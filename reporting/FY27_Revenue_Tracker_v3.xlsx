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Deferred Revenue" sheetId="5" state="visible" r:id="rId5"/>
    <sheet name="Onsite" sheetId="6" state="visible" r:id="rId6"/>
    <sheet name="Production" sheetId="7" state="visible" r:id="rId7"/>
    <sheet name="Consulting"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3" hidden="1">'WIP Summary'!$A$11:$H$434</definedName>
    <definedName name="_xlnm._FilterDatabase" localSheetId="4" hidden="1">'Deferred Revenue'!$A$5:$R$578</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17">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s>
  <fills count="8">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60">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6" fillId="0" borderId="0" applyAlignment="1" pivotButton="0" quotePrefix="0" xfId="0">
      <alignment vertical="top" wrapText="1"/>
    </xf>
    <xf numFmtId="0" fontId="14" fillId="6" borderId="1" applyAlignment="1" pivotButton="0" quotePrefix="0" xfId="0">
      <alignment vertical="top"/>
    </xf>
    <xf numFmtId="0" fontId="6" fillId="0" borderId="1" applyAlignment="1" pivotButton="0" quotePrefix="0" xfId="0">
      <alignment vertical="top" wrapText="1"/>
    </xf>
    <xf numFmtId="0" fontId="13" fillId="7" borderId="0" applyAlignment="1" pivotButton="0" quotePrefix="0" xfId="0">
      <alignment vertical="center"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0" fillId="2" borderId="1" pivotButton="0" quotePrefix="0" xfId="0"/>
    <xf numFmtId="0" fontId="0" fillId="0" borderId="4"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5" borderId="1" pivotButton="0" quotePrefix="0" xfId="0"/>
    <xf numFmtId="0" fontId="6" fillId="5"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3" fontId="7" fillId="5" borderId="1" pivotButton="0" quotePrefix="0" xfId="0"/>
    <xf numFmtId="4" fontId="6" fillId="0" borderId="1" applyProtection="1" pivotButton="0" quotePrefix="0" xfId="0">
      <protection locked="0" hidden="0"/>
    </xf>
    <xf numFmtId="164" fontId="7" fillId="5" borderId="1" pivotButton="0" quotePrefix="0" xfId="0"/>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Finance" displayName="tbl_Finance" ref="A4:V577" headerRowCount="1">
  <autoFilter ref="A4:V577"/>
  <tableColumns count="22">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O431" headerRowCount="1">
  <autoFilter ref="A4:O431"/>
  <tableColumns count="15">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PO / Reference"/>
    <tableColumn id="11" name="Qwilr Quote"/>
    <tableColumn id="12" name="Open Qwilr"/>
    <tableColumn id="13" name="Billable Hours"/>
    <tableColumn id="14" name="Approved By"/>
    <tableColumn id="15"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B462" headerRowCount="1">
  <autoFilter ref="A4:AB462"/>
  <tableColumns count="28">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Event Date"/>
    <tableColumn id="11" name="Current RMS No"/>
    <tableColumn id="12" name="Open in Current RMS"/>
    <tableColumn id="13" name="Zoho Number"/>
    <tableColumn id="14" name="Job Closed"/>
    <tableColumn id="15" name="Discounts Given"/>
    <tableColumn id="16" name="Value Before Discount"/>
    <tableColumn id="17" name="Discount %"/>
    <tableColumn id="18" name="Cross Hire Expense"/>
    <tableColumn id="19" name="Labour Expense (Internal)"/>
    <tableColumn id="20" name="Total Expense"/>
    <tableColumn id="21" name="Margin"/>
    <tableColumn id="22" name="Margin %"/>
    <tableColumn id="23" name="Video Filming Hrs"/>
    <tableColumn id="24" name="Video Editing Hrs"/>
    <tableColumn id="25" name="Project Mgmt Hrs"/>
    <tableColumn id="26" name="Video Project Mgmt Hrs"/>
    <tableColumn id="27" name="Production Labour Hrs"/>
    <tableColumn id="28"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V432" headerRowCount="1">
  <autoFilter ref="A4:V432"/>
  <tableColumns count="22">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Qwilr Quote"/>
    <tableColumn id="11" name="Open Qwilr"/>
    <tableColumn id="12" name="Labour Revenue"/>
    <tableColumn id="13" name="Equipment Revenue"/>
    <tableColumn id="14" name="Subscription Revenue"/>
    <tableColumn id="15" name="Revenue Split Check"/>
    <tableColumn id="16" name="Labour Expense (External)"/>
    <tableColumn id="17" name="Equipment Expense (Internal)"/>
    <tableColumn id="18" name="Subscription &amp; Licences Expense"/>
    <tableColumn id="19" name="Total Expense"/>
    <tableColumn id="20" name="Margin"/>
    <tableColumn id="21" name="Margin %"/>
    <tableColumn id="22"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N330" headerRowCount="1">
  <autoFilter ref="A4:N330"/>
  <tableColumns count="14">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GL Code"/>
    <tableColumn id="12" name="Journal Ref"/>
    <tableColumn id="13" name="Posted to Xero"/>
    <tableColumn id="14"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9"/>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3">
      <c r="B3" s="2" t="inlineStr">
        <is>
          <t>Corporate Technology Services Pty Ltd  -  replaces FY27_Revenue_Tracker_v2.xlsm</t>
        </is>
      </c>
    </row>
    <row r="4" ht="10" customHeight="1"/>
    <row r="5" ht="22" customHeight="1">
      <c r="B5" s="3" t="inlineStr">
        <is>
          <t>WHO TYPES WHERE</t>
        </is>
      </c>
    </row>
    <row r="6" ht="14" customHeight="1">
      <c r="C6" s="4" t="inlineStr">
        <is>
          <t>Finance types on the Finance sheet. Nowhere else. Every invoice line, every month.</t>
        </is>
      </c>
    </row>
    <row r="7" ht="14" customHeight="1">
      <c r="C7" s="4" t="inlineStr">
        <is>
          <t>Each department types on its own sheet. Nowhere else. One row per job number.</t>
        </is>
      </c>
    </row>
    <row r="8" ht="28" customHeight="1">
      <c r="C8" s="4" t="inlineStr">
        <is>
          <t>The two meet on Job Number, which is a real Xero tracking category and is checked against the live job list as you type. Nothing has to be kept lined up by hand.</t>
        </is>
      </c>
    </row>
    <row r="9" ht="10" customHeight="1"/>
    <row r="10" ht="22" customHeight="1">
      <c r="B10" s="3" t="inlineStr">
        <is>
          <t>HOW IT FITS TOGETHER</t>
        </is>
      </c>
    </row>
    <row r="11" ht="30" customHeight="1">
      <c r="B11" s="5" t="inlineStr">
        <is>
          <t>Finance</t>
        </is>
      </c>
      <c r="C11" s="6" t="inlineStr">
        <is>
          <t>The invoice register, and the only source of revenue. One row per invoice LINE, coded to one cost centre, exactly as Xero holds it. Filter the Issue column to see everything that needs fixing.</t>
        </is>
      </c>
    </row>
    <row r="12" ht="30" customHeight="1">
      <c r="B12" s="5" t="inlineStr">
        <is>
          <t>Onsite / Production / Consulting</t>
        </is>
      </c>
      <c r="C12" s="6" t="inlineStr">
        <is>
          <t>One row per job. Client, invoice count and revenue come from Finance automatically; the department fills in its own costs, hours and references.</t>
        </is>
      </c>
    </row>
    <row r="13" ht="30" customHeight="1">
      <c r="B13" s="5" t="inlineStr">
        <is>
          <t>WIP Movements</t>
        </is>
      </c>
      <c r="C13" s="6" t="inlineStr">
        <is>
          <t>Manual journals between the P&amp;L and GL 11300 Work in Progress. Anything with a defer start and end on Finance does not belong here - it is handled automatically.</t>
        </is>
      </c>
    </row>
    <row r="14" ht="30" customHeight="1">
      <c r="B14" s="5" t="inlineStr">
        <is>
          <t>Deferred Revenue</t>
        </is>
      </c>
      <c r="C14" s="6" t="inlineStr">
        <is>
          <t>The workings behind the automatic deferrals. Nothing is typed here; it mirrors the Finance lines that carry a defer start and end.</t>
        </is>
      </c>
    </row>
    <row r="15" ht="30" customHeight="1">
      <c r="B15" s="5" t="inlineStr">
        <is>
          <t>Month-End</t>
        </is>
      </c>
      <c r="C15" s="6" t="inlineStr">
        <is>
          <t>The close: revenue by cost centre against Xero, the WIP reconciliation, fifteen data checks and a sign-off box.</t>
        </is>
      </c>
    </row>
    <row r="16" ht="15" customHeight="1">
      <c r="B16" s="5" t="inlineStr">
        <is>
          <t>WIP Summary</t>
        </is>
      </c>
      <c r="C16" s="6" t="inlineStr">
        <is>
          <t>WIP opening / movement / closing for every job, to tie job by job back to the WIP Schedule file.</t>
        </is>
      </c>
    </row>
    <row r="17" ht="30" customHeight="1">
      <c r="B17" s="5" t="inlineStr">
        <is>
          <t>Lists</t>
        </is>
      </c>
      <c r="C17" s="6" t="inlineStr">
        <is>
          <t>Every dropdown. Cost centres, job numbers and revenue GL codes came straight out of your Xero organisation, so they already match.</t>
        </is>
      </c>
    </row>
    <row r="18" ht="10" customHeight="1"/>
    <row r="19" ht="22" customHeight="1">
      <c r="B19" s="3" t="inlineStr">
        <is>
          <t>DEFERRED REVENUE  -  it releases itself</t>
        </is>
      </c>
    </row>
    <row r="20" ht="28" customHeight="1">
      <c r="C20" s="4" t="inlineStr">
        <is>
          <t>Put a Defer Start and a Defer End on a Finance line and the revenue spreads evenly across those months instead of landing all in the month you invoiced. Leave both blank for an ordinary one-off invoice.</t>
        </is>
      </c>
    </row>
    <row r="21" ht="14" customHeight="1">
      <c r="C21" s="4" t="inlineStr">
        <is>
          <t xml:space="preserve">   In the month invoiced: one month is recognised, the rest goes to WIP.</t>
        </is>
      </c>
    </row>
    <row r="22" ht="14" customHeight="1">
      <c r="C22" s="4" t="inlineStr">
        <is>
          <t xml:space="preserve">   Every month after: one more month is released, automatically.</t>
        </is>
      </c>
    </row>
    <row r="23" ht="42" customHeight="1">
      <c r="C23" s="4" t="inlineStr">
        <is>
          <t>Worked example - $12,000 invoiced 15 Sep 2025 for Sep 2025 to Aug 2026. September recognises $1,000 and defers $11,000. Each month after releases $1,000. By August 2026 the balance is nil. Nothing is typed each month and no journal is needed.</t>
        </is>
      </c>
    </row>
    <row r="24" ht="42" customHeight="1">
      <c r="C24" s="4" t="inlineStr">
        <is>
          <t>The Deferred Revenue sheet shows the workings line by line, and Month-End and WIP Summary already include it. One warning: a deferred line must not ALSO have a manual row on WIP Movements or it counts twice - Month-End checks for that.</t>
        </is>
      </c>
    </row>
    <row r="25" ht="10" customHeight="1"/>
    <row r="26" ht="22" customHeight="1">
      <c r="B26" s="3" t="inlineStr">
        <is>
          <t>VIDEO REVENUE</t>
        </is>
      </c>
    </row>
    <row r="27" ht="56" customHeight="1">
      <c r="C27"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8" ht="28" customHeight="1">
      <c r="C28" s="4" t="inlineStr">
        <is>
          <t>The 26 migrated invoices that carried a video amount were split into two lines each on the way across. Ex GST in total is unchanged.</t>
        </is>
      </c>
    </row>
    <row r="29" ht="10" customHeight="1"/>
    <row r="30" ht="22" customHeight="1">
      <c r="B30" s="3" t="inlineStr">
        <is>
          <t>WHY THIS VERSION IS NOT SLOW, AND WHY IT OPENS</t>
        </is>
      </c>
    </row>
    <row r="31" ht="42" customHeight="1">
      <c r="C31"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2" ht="42" customHeight="1">
      <c r="C32"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3" ht="10" customHeight="1"/>
    <row r="34" ht="22" customHeight="1">
      <c r="B34" s="3" t="inlineStr">
        <is>
          <t>MONTH-END, IN ORDER</t>
        </is>
      </c>
    </row>
    <row r="35" ht="28" customHeight="1">
      <c r="C35" s="4" t="inlineStr">
        <is>
          <t>1.  Chase the departments until every invoice for the month is on the Finance sheet and Posted to Xero is Y.</t>
        </is>
      </c>
    </row>
    <row r="36" ht="14" customHeight="1">
      <c r="C36" s="4" t="inlineStr">
        <is>
          <t>2.  Open Month-End and set the month.</t>
        </is>
      </c>
    </row>
    <row r="37" ht="28" customHeight="1">
      <c r="C37" s="4" t="inlineStr">
        <is>
          <t>3.  Work section 3 first. Every count must be zero. Fix on the Finance sheet, or filter the Issue column there, which lists the same problems row by row.</t>
        </is>
      </c>
    </row>
    <row r="38" ht="28" customHeight="1">
      <c r="C38" s="4" t="inlineStr">
        <is>
          <t>4.  Section 1: run the Xero P&amp;L for the month by Cost Centre and type the revenue into the yellow column. Each line should read Reconciled.</t>
        </is>
      </c>
    </row>
    <row r="39" ht="14" customHeight="1">
      <c r="C39" s="4" t="inlineStr">
        <is>
          <t>5.  Section 2: type the WIP Schedule closing balance and the Xero GL 11300 balance.</t>
        </is>
      </c>
    </row>
    <row r="40" ht="28" customHeight="1">
      <c r="C40" s="4" t="inlineStr">
        <is>
          <t>6.  Breaks in section 2 - open WIP Summary, paste the WIP Schedule balances into column G and the variance column shows which job is out.</t>
        </is>
      </c>
    </row>
    <row r="41" ht="14" customHeight="1">
      <c r="C41" s="4" t="inlineStr">
        <is>
          <t>7.  Sign off in section 4.</t>
        </is>
      </c>
    </row>
    <row r="42" ht="10" customHeight="1"/>
    <row r="43" ht="22" customHeight="1">
      <c r="B43" s="3" t="inlineStr">
        <is>
          <t>THE WIP SIGN RULE</t>
        </is>
      </c>
    </row>
    <row r="44" ht="56" customHeight="1">
      <c r="C4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5" ht="10" customHeight="1"/>
    <row r="46" ht="22" customHeight="1">
      <c r="B46" s="3" t="inlineStr">
        <is>
          <t>LOCKED CELLS, LINKS AND TOTALS</t>
        </is>
      </c>
    </row>
    <row r="47" ht="42" customHeight="1">
      <c r="C47" s="4" t="inlineStr">
        <is>
          <t>Every sheet is protected with no password. Only the cells you are meant to fill are open; the grey calculated ones are locked so a stray keystroke cannot wipe a formula. To turn it off: Review, Unprotect Sheet. Sorting and filtering still work.</t>
        </is>
      </c>
    </row>
    <row r="48" ht="42" customHeight="1">
      <c r="C48" s="4" t="inlineStr">
        <is>
          <t>Qwilr quotes and Current RMS numbers are clickable. Paste a full web address and it is used as it stands; type a bare number and it is added to the base address on the Lists sheet. The Qwilr base is already set. Paste your Current RMS address into Lists column U, row 6, and the Production links switch on.</t>
        </is>
      </c>
    </row>
    <row r="49" ht="28" customHeight="1">
      <c r="C49" s="4" t="inlineStr">
        <is>
          <t>Each sheet shows its total ex-GST at the top, and it follows the filter - filter to one client or one month and the total follows. Finance shows Ex GST, GST and Inc GST.</t>
        </is>
      </c>
    </row>
    <row r="50" ht="28" customHeight="1">
      <c r="C50" s="4" t="inlineStr">
        <is>
          <t>The GST rate is no longer buried in the formula. It sits on the Lists sheet, column U row 8, and every GST cell reads it from there.</t>
        </is>
      </c>
    </row>
    <row r="51" ht="10" customHeight="1"/>
    <row r="52" ht="22" customHeight="1">
      <c r="B52" s="3" t="inlineStr">
        <is>
          <t>RULES THAT KEEP IT FAST</t>
        </is>
      </c>
    </row>
    <row r="53" ht="14" customHeight="1">
      <c r="C53" s="4" t="inlineStr">
        <is>
          <t xml:space="preserve">   Never insert or delete rows above the header row.</t>
        </is>
      </c>
    </row>
    <row r="54" ht="28" customHeight="1">
      <c r="C54" s="4" t="inlineStr">
        <is>
          <t xml:space="preserve">   Add rows by typing in the next blank row of the table, or press Tab at the end of the last row and the table grows with the formulas.</t>
        </is>
      </c>
    </row>
    <row r="55" ht="14" customHeight="1">
      <c r="C55" s="4" t="inlineStr">
        <is>
          <t xml:space="preserve">   Paste values only, never whole columns.</t>
        </is>
      </c>
    </row>
    <row r="56" ht="14" customHeight="1">
      <c r="C56" s="4" t="inlineStr">
        <is>
          <t xml:space="preserve">   Leave calculation on Automatic. Nothing here is volatile - no OFFSET, no INDIRECT, no TODAY in bulk.</t>
        </is>
      </c>
    </row>
    <row r="57" ht="28" customHeight="1">
      <c r="C57" s="4" t="inlineStr">
        <is>
          <t xml:space="preserve">   Keep it as .xlsx. The moment someone saves it as .xlsm and adds a macro you are back where you started.</t>
        </is>
      </c>
    </row>
    <row r="58" ht="10" customHeight="1"/>
    <row r="59" ht="22" customHeight="1">
      <c r="B59" s="3" t="inlineStr">
        <is>
          <t>WHAT CAME ACROSS FROM v2</t>
        </is>
      </c>
    </row>
    <row r="60" ht="28" customHeight="1">
      <c r="C60" s="4" t="inlineStr">
        <is>
          <t xml:space="preserve">   Finance: 175 invoice lines from the 149 v2 records, the difference being the 26 video splits now carried as their own line.</t>
        </is>
      </c>
    </row>
    <row r="61" ht="14" customHeight="1">
      <c r="C61" s="4" t="inlineStr">
        <is>
          <t xml:space="preserve">   Department sheets: one row per job - Onsite 28, Production 58, Consulting 28.</t>
        </is>
      </c>
    </row>
    <row r="62" ht="14" customHeight="1">
      <c r="C62" s="4" t="inlineStr">
        <is>
          <t xml:space="preserve">   WIP Movements: 126 rows.</t>
        </is>
      </c>
    </row>
    <row r="63" ht="28" customHeight="1">
      <c r="C63" s="4" t="inlineStr">
        <is>
          <t xml:space="preserve">   Totals tie to the cent: Onsite 512,023.81, Production 460,883.46, Consulting 857,950.27, WIP 17,537.91.</t>
        </is>
      </c>
    </row>
    <row r="64" ht="28" customHeight="1">
      <c r="C64" s="4" t="inlineStr">
        <is>
          <t xml:space="preserve">   Revenue GL codes were assigned by rule (Onsite 41100, Production 42100, Video 42150, Consulting 42800, Integration 42300). Spot-check them.</t>
        </is>
      </c>
    </row>
    <row r="65" ht="14" customHeight="1">
      <c r="C65" s="4" t="inlineStr">
        <is>
          <t xml:space="preserve">   The 126 WIP rows were given a Type from the sign of the amount. Confirm before relying on them.</t>
        </is>
      </c>
    </row>
    <row r="66" ht="10" customHeight="1"/>
    <row r="67" ht="22" customHeight="1">
      <c r="B67" s="7" t="inlineStr">
        <is>
          <t>STILL TO CONFIRM</t>
        </is>
      </c>
    </row>
    <row r="68" ht="70" customHeight="1">
      <c r="C68"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69" ht="42" customHeight="1">
      <c r="C69" s="4" t="inlineStr">
        <is>
          <t>23 migrated records have no invoice number and 21 have no date - $93,346.99 of revenue that belongs to no month. They are on the Finance sheet with the Issue column filled in. Filter that column and work the list to nothing.</t>
        </is>
      </c>
    </row>
  </sheetData>
  <mergeCells count="11">
    <mergeCell ref="B52:C52"/>
    <mergeCell ref="B30:C30"/>
    <mergeCell ref="B59:C59"/>
    <mergeCell ref="B19:C19"/>
    <mergeCell ref="B5:C5"/>
    <mergeCell ref="B34:C34"/>
    <mergeCell ref="B10:C10"/>
    <mergeCell ref="B67:C67"/>
    <mergeCell ref="B46:C46"/>
    <mergeCell ref="B26:C26"/>
    <mergeCell ref="B43:C43"/>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V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s>
  <sheetData>
    <row r="1" ht="24" customHeight="1">
      <c r="A1" s="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9">
        <f>"Ex GST  "&amp;TEXT(SUBTOTAL(109,tbl_Finance[Ex GST]),"$#,##0.00")&amp;"      "&amp;"GST  "&amp;TEXT(SUBTOTAL(109,tbl_Finance[GST]),"$#,##0.00")&amp;"      "&amp;"Inc GST  "&amp;TEXT(SUBTOTAL(109,tbl_Finance[Inc GST]),"$#,##0.00")</f>
        <v/>
      </c>
    </row>
    <row r="4" ht="34" customHeight="1">
      <c r="A4" s="10" t="inlineStr">
        <is>
          <t>Date</t>
        </is>
      </c>
      <c r="B4" s="11" t="inlineStr">
        <is>
          <t>Month</t>
        </is>
      </c>
      <c r="C4" s="10" t="inlineStr">
        <is>
          <t>Xero Invoice No</t>
        </is>
      </c>
      <c r="D4" s="10" t="inlineStr">
        <is>
          <t>Client</t>
        </is>
      </c>
      <c r="E4" s="10" t="inlineStr">
        <is>
          <t>Job Number</t>
        </is>
      </c>
      <c r="F4" s="11" t="inlineStr">
        <is>
          <t>Job in Xero?</t>
        </is>
      </c>
      <c r="G4" s="10" t="inlineStr">
        <is>
          <t>Description</t>
        </is>
      </c>
      <c r="H4" s="10" t="inlineStr">
        <is>
          <t>Team</t>
        </is>
      </c>
      <c r="I4" s="10" t="inlineStr">
        <is>
          <t>Cost Centre</t>
        </is>
      </c>
      <c r="J4" s="10" t="inlineStr">
        <is>
          <t>Invoice Type</t>
        </is>
      </c>
      <c r="K4" s="10" t="inlineStr">
        <is>
          <t>Tax Code</t>
        </is>
      </c>
      <c r="L4" s="10" t="inlineStr">
        <is>
          <t>Ex GST</t>
        </is>
      </c>
      <c r="M4" s="11" t="inlineStr">
        <is>
          <t>GST</t>
        </is>
      </c>
      <c r="N4" s="11" t="inlineStr">
        <is>
          <t>Inc GST</t>
        </is>
      </c>
      <c r="O4" s="10" t="inlineStr">
        <is>
          <t>Revenue GL</t>
        </is>
      </c>
      <c r="P4" s="10" t="inlineStr">
        <is>
          <t>Posted to Xero</t>
        </is>
      </c>
      <c r="Q4" s="10" t="inlineStr">
        <is>
          <t>To WIP</t>
        </is>
      </c>
      <c r="R4" s="10" t="inlineStr">
        <is>
          <t>Defer Start</t>
        </is>
      </c>
      <c r="S4" s="10" t="inlineStr">
        <is>
          <t>Defer End</t>
        </is>
      </c>
      <c r="T4" s="10" t="inlineStr">
        <is>
          <t>Status</t>
        </is>
      </c>
      <c r="U4" s="10" t="inlineStr">
        <is>
          <t>Notes</t>
        </is>
      </c>
      <c r="V4" s="11" t="inlineStr">
        <is>
          <t>Issue</t>
        </is>
      </c>
    </row>
    <row r="5" ht="15" customHeight="1">
      <c r="A5" s="12" t="n">
        <v>46234</v>
      </c>
      <c r="B5" s="13">
        <f>IF(A5="","",EOMONTH(A5,0))</f>
        <v/>
      </c>
      <c r="C5" s="14" t="inlineStr">
        <is>
          <t>INV-10525</t>
        </is>
      </c>
      <c r="D5" s="14" t="inlineStr">
        <is>
          <t>CBA</t>
        </is>
      </c>
      <c r="E5" s="14" t="inlineStr">
        <is>
          <t>1350</t>
        </is>
      </c>
      <c r="F5" s="15">
        <f>IF(E5="","",IF(COUNTIF(lst_Jobs,E5&amp;"")&gt;0,"OK","CHECK"))</f>
        <v/>
      </c>
      <c r="G5" s="14" t="inlineStr">
        <is>
          <t>CBA BNE July 2026</t>
        </is>
      </c>
      <c r="H5" s="14" t="inlineStr">
        <is>
          <t>Onsite</t>
        </is>
      </c>
      <c r="I5" s="14" t="inlineStr">
        <is>
          <t>ONSITE</t>
        </is>
      </c>
      <c r="J5" s="14" t="inlineStr">
        <is>
          <t>Contract</t>
        </is>
      </c>
      <c r="K5" s="14" t="inlineStr">
        <is>
          <t>GST 10%</t>
        </is>
      </c>
      <c r="L5" s="16" t="n">
        <v>8588.450000000001</v>
      </c>
      <c r="M5" s="17">
        <f>IF(L5="","",IF(K5="GST 10%",ROUND(L5*set_GSTRate,2),0))</f>
        <v/>
      </c>
      <c r="N5" s="17">
        <f>IF(L5="","",L5+M5)</f>
        <v/>
      </c>
      <c r="O5" s="14" t="inlineStr">
        <is>
          <t>41100</t>
        </is>
      </c>
      <c r="P5" s="14" t="inlineStr">
        <is>
          <t>Y</t>
        </is>
      </c>
      <c r="Q5" s="14" t="inlineStr">
        <is>
          <t>N</t>
        </is>
      </c>
      <c r="R5" s="12" t="n"/>
      <c r="S5" s="12" t="n"/>
      <c r="T5" s="14" t="inlineStr">
        <is>
          <t>Invoiced</t>
        </is>
      </c>
      <c r="U5" s="14" t="inlineStr">
        <is>
          <t>174.05 hours</t>
        </is>
      </c>
      <c r="V5" s="15">
        <f>IF(COUNTA(A5,D5,C5,L5)=0,"",IF(A5="","No date - sits outside every month",IF(E5="","No job number",IF(F5="CHECK","Job number is not in the Xero job list",IF(I5="","No cost centre",IF(AND(P5="Y",C5=""),"Marked posted to Xero but has no invoice number",IF(AND(L5&lt;&gt;"",K5=""),"No tax code",IF(AND(L5&lt;&gt;"",O5=""),"No revenue GL code",""))))))))</f>
        <v/>
      </c>
    </row>
    <row r="6" ht="15" customHeight="1">
      <c r="A6" s="12" t="n">
        <v>46234</v>
      </c>
      <c r="B6" s="13">
        <f>IF(A6="","",EOMONTH(A6,0))</f>
        <v/>
      </c>
      <c r="C6" s="14" t="inlineStr">
        <is>
          <t>INV-10526</t>
        </is>
      </c>
      <c r="D6" s="14" t="inlineStr">
        <is>
          <t>CBA</t>
        </is>
      </c>
      <c r="E6" s="14" t="inlineStr">
        <is>
          <t>585/586/1755</t>
        </is>
      </c>
      <c r="F6" s="15">
        <f>IF(E6="","",IF(COUNTIF(lst_Jobs,E6&amp;"")&gt;0,"OK","CHECK"))</f>
        <v/>
      </c>
      <c r="G6" s="14" t="inlineStr">
        <is>
          <t>CBP July 2026</t>
        </is>
      </c>
      <c r="H6" s="14" t="inlineStr">
        <is>
          <t>Onsite</t>
        </is>
      </c>
      <c r="I6" s="14" t="inlineStr">
        <is>
          <t>ONSITE</t>
        </is>
      </c>
      <c r="J6" s="14" t="inlineStr">
        <is>
          <t>Contract</t>
        </is>
      </c>
      <c r="K6" s="14" t="inlineStr">
        <is>
          <t>GST 10%</t>
        </is>
      </c>
      <c r="L6" s="16" t="n">
        <v>22120.57</v>
      </c>
      <c r="M6" s="17">
        <f>IF(L6="","",IF(K6="GST 10%",ROUND(L6*set_GSTRate,2),0))</f>
        <v/>
      </c>
      <c r="N6" s="17">
        <f>IF(L6="","",L6+M6)</f>
        <v/>
      </c>
      <c r="O6" s="14" t="inlineStr">
        <is>
          <t>41100</t>
        </is>
      </c>
      <c r="P6" s="14" t="inlineStr">
        <is>
          <t>Y</t>
        </is>
      </c>
      <c r="Q6" s="14" t="inlineStr">
        <is>
          <t>N</t>
        </is>
      </c>
      <c r="R6" s="12" t="n"/>
      <c r="S6" s="12" t="n"/>
      <c r="T6" s="14" t="inlineStr">
        <is>
          <t>Invoiced</t>
        </is>
      </c>
      <c r="U6" s="14" t="inlineStr">
        <is>
          <t>Deduct 3hrs for TN 01/07 &amp; 6hrs for NP 14/07</t>
        </is>
      </c>
      <c r="V6" s="15">
        <f>IF(COUNTA(A6,D6,C6,L6)=0,"",IF(A6="","No date - sits outside every month",IF(E6="","No job number",IF(F6="CHECK","Job number is not in the Xero job list",IF(I6="","No cost centre",IF(AND(P6="Y",C6=""),"Marked posted to Xero but has no invoice number",IF(AND(L6&lt;&gt;"",K6=""),"No tax code",IF(AND(L6&lt;&gt;"",O6=""),"No revenue GL code",""))))))))</f>
        <v/>
      </c>
    </row>
    <row r="7" ht="15" customHeight="1">
      <c r="A7" s="12" t="n">
        <v>46234</v>
      </c>
      <c r="B7" s="13">
        <f>IF(A7="","",EOMONTH(A7,0))</f>
        <v/>
      </c>
      <c r="C7" s="14" t="inlineStr">
        <is>
          <t>INV-10527</t>
        </is>
      </c>
      <c r="D7" s="14" t="inlineStr">
        <is>
          <t>CBA</t>
        </is>
      </c>
      <c r="E7" s="14" t="inlineStr">
        <is>
          <t>587</t>
        </is>
      </c>
      <c r="F7" s="15">
        <f>IF(E7="","",IF(COUNTIF(lst_Jobs,E7&amp;"")&gt;0,"OK","CHECK"))</f>
        <v/>
      </c>
      <c r="G7" s="14" t="inlineStr">
        <is>
          <t>CBS July 2026</t>
        </is>
      </c>
      <c r="H7" s="14" t="inlineStr">
        <is>
          <t>Onsite</t>
        </is>
      </c>
      <c r="I7" s="14" t="inlineStr">
        <is>
          <t>ONSITE</t>
        </is>
      </c>
      <c r="J7" s="14" t="inlineStr">
        <is>
          <t>Contract</t>
        </is>
      </c>
      <c r="K7" s="14" t="inlineStr">
        <is>
          <t>GST 10%</t>
        </is>
      </c>
      <c r="L7" s="16" t="n">
        <v>10720</v>
      </c>
      <c r="M7" s="17">
        <f>IF(L7="","",IF(K7="GST 10%",ROUND(L7*set_GSTRate,2),0))</f>
        <v/>
      </c>
      <c r="N7" s="17">
        <f>IF(L7="","",L7+M7)</f>
        <v/>
      </c>
      <c r="O7" s="14" t="inlineStr">
        <is>
          <t>41100</t>
        </is>
      </c>
      <c r="P7" s="14" t="inlineStr">
        <is>
          <t>Y</t>
        </is>
      </c>
      <c r="Q7" s="14" t="inlineStr">
        <is>
          <t>N</t>
        </is>
      </c>
      <c r="R7" s="12" t="n"/>
      <c r="S7" s="12" t="n"/>
      <c r="T7" s="14" t="inlineStr">
        <is>
          <t>Invoiced</t>
        </is>
      </c>
      <c r="U7" s="14" t="n"/>
      <c r="V7" s="15">
        <f>IF(COUNTA(A7,D7,C7,L7)=0,"",IF(A7="","No date - sits outside every month",IF(E7="","No job number",IF(F7="CHECK","Job number is not in the Xero job list",IF(I7="","No cost centre",IF(AND(P7="Y",C7=""),"Marked posted to Xero but has no invoice number",IF(AND(L7&lt;&gt;"",K7=""),"No tax code",IF(AND(L7&lt;&gt;"",O7=""),"No revenue GL code",""))))))))</f>
        <v/>
      </c>
    </row>
    <row r="8" ht="15" customHeight="1">
      <c r="A8" s="12" t="n">
        <v>46234</v>
      </c>
      <c r="B8" s="13">
        <f>IF(A8="","",EOMONTH(A8,0))</f>
        <v/>
      </c>
      <c r="C8" s="14" t="inlineStr">
        <is>
          <t>INV-10528</t>
        </is>
      </c>
      <c r="D8" s="14" t="inlineStr">
        <is>
          <t>DTTL</t>
        </is>
      </c>
      <c r="E8" s="14" t="inlineStr">
        <is>
          <t>2846/1401/725/1400/1530/1862/2402/2849/974</t>
        </is>
      </c>
      <c r="F8" s="15">
        <f>IF(E8="","",IF(COUNTIF(lst_Jobs,E8&amp;"")&gt;0,"OK","CHECK"))</f>
        <v/>
      </c>
      <c r="G8" s="14" t="inlineStr">
        <is>
          <t>DTTL Contract July 2026</t>
        </is>
      </c>
      <c r="H8" s="14" t="inlineStr">
        <is>
          <t>Onsite</t>
        </is>
      </c>
      <c r="I8" s="14" t="inlineStr">
        <is>
          <t>ONSITE</t>
        </is>
      </c>
      <c r="J8" s="14" t="inlineStr">
        <is>
          <t>Contract</t>
        </is>
      </c>
      <c r="K8" s="14" t="inlineStr">
        <is>
          <t>GST 10%</t>
        </is>
      </c>
      <c r="L8" s="16" t="n">
        <v>103625.44</v>
      </c>
      <c r="M8" s="17">
        <f>IF(L8="","",IF(K8="GST 10%",ROUND(L8*set_GSTRate,2),0))</f>
        <v/>
      </c>
      <c r="N8" s="17">
        <f>IF(L8="","",L8+M8)</f>
        <v/>
      </c>
      <c r="O8" s="14" t="inlineStr">
        <is>
          <t>41100</t>
        </is>
      </c>
      <c r="P8" s="14" t="inlineStr">
        <is>
          <t>Y</t>
        </is>
      </c>
      <c r="Q8" s="14" t="inlineStr">
        <is>
          <t>N</t>
        </is>
      </c>
      <c r="R8" s="12" t="n"/>
      <c r="S8" s="12" t="n"/>
      <c r="T8" s="14" t="inlineStr">
        <is>
          <t>Invoiced</t>
        </is>
      </c>
      <c r="U8" s="14" t="n"/>
      <c r="V8" s="15">
        <f>IF(COUNTA(A8,D8,C8,L8)=0,"",IF(A8="","No date - sits outside every month",IF(E8="","No job number",IF(F8="CHECK","Job number is not in the Xero job list",IF(I8="","No cost centre",IF(AND(P8="Y",C8=""),"Marked posted to Xero but has no invoice number",IF(AND(L8&lt;&gt;"",K8=""),"No tax code",IF(AND(L8&lt;&gt;"",O8=""),"No revenue GL code",""))))))))</f>
        <v/>
      </c>
    </row>
    <row r="9" ht="15" customHeight="1">
      <c r="A9" s="12" t="n">
        <v>46234</v>
      </c>
      <c r="B9" s="13">
        <f>IF(A9="","",EOMONTH(A9,0))</f>
        <v/>
      </c>
      <c r="C9" s="14" t="inlineStr">
        <is>
          <t>INV-10529</t>
        </is>
      </c>
      <c r="D9" s="14" t="inlineStr">
        <is>
          <t>BW</t>
        </is>
      </c>
      <c r="E9" s="14" t="inlineStr">
        <is>
          <t>732/1144</t>
        </is>
      </c>
      <c r="F9" s="15">
        <f>IF(E9="","",IF(COUNTIF(lst_Jobs,E9&amp;"")&gt;0,"OK","CHECK"))</f>
        <v/>
      </c>
      <c r="G9" s="14" t="inlineStr">
        <is>
          <t>BW Contract July 2026</t>
        </is>
      </c>
      <c r="H9" s="14" t="inlineStr">
        <is>
          <t>Onsite</t>
        </is>
      </c>
      <c r="I9" s="14" t="inlineStr">
        <is>
          <t>ONSITE</t>
        </is>
      </c>
      <c r="J9" s="14" t="inlineStr">
        <is>
          <t>Contract</t>
        </is>
      </c>
      <c r="K9" s="14" t="inlineStr">
        <is>
          <t>GST 10%</t>
        </is>
      </c>
      <c r="L9" s="16" t="n">
        <v>19427.5</v>
      </c>
      <c r="M9" s="17">
        <f>IF(L9="","",IF(K9="GST 10%",ROUND(L9*set_GSTRate,2),0))</f>
        <v/>
      </c>
      <c r="N9" s="17">
        <f>IF(L9="","",L9+M9)</f>
        <v/>
      </c>
      <c r="O9" s="14" t="inlineStr">
        <is>
          <t>41100</t>
        </is>
      </c>
      <c r="P9" s="14" t="inlineStr">
        <is>
          <t>Y</t>
        </is>
      </c>
      <c r="Q9" s="14" t="inlineStr">
        <is>
          <t>N</t>
        </is>
      </c>
      <c r="R9" s="12" t="n"/>
      <c r="S9" s="12" t="n"/>
      <c r="T9" s="14" t="inlineStr">
        <is>
          <t>Invoiced</t>
        </is>
      </c>
      <c r="U9" s="14" t="n"/>
      <c r="V9" s="15">
        <f>IF(COUNTA(A9,D9,C9,L9)=0,"",IF(A9="","No date - sits outside every month",IF(E9="","No job number",IF(F9="CHECK","Job number is not in the Xero job list",IF(I9="","No cost centre",IF(AND(P9="Y",C9=""),"Marked posted to Xero but has no invoice number",IF(AND(L9&lt;&gt;"",K9=""),"No tax code",IF(AND(L9&lt;&gt;"",O9=""),"No revenue GL code",""))))))))</f>
        <v/>
      </c>
    </row>
    <row r="10" ht="15" customHeight="1">
      <c r="A10" s="12" t="n">
        <v>46234</v>
      </c>
      <c r="B10" s="13">
        <f>IF(A10="","",EOMONTH(A10,0))</f>
        <v/>
      </c>
      <c r="C10" s="14" t="inlineStr">
        <is>
          <t>INV-10530</t>
        </is>
      </c>
      <c r="D10" s="14" t="inlineStr">
        <is>
          <t>BW</t>
        </is>
      </c>
      <c r="E10" s="14" t="inlineStr">
        <is>
          <t>2192</t>
        </is>
      </c>
      <c r="F10" s="15">
        <f>IF(E10="","",IF(COUNTIF(lst_Jobs,E10&amp;"")&gt;0,"OK","CHECK"))</f>
        <v/>
      </c>
      <c r="G10" s="14" t="inlineStr">
        <is>
          <t>BW Additionals July 2026</t>
        </is>
      </c>
      <c r="H10" s="14" t="inlineStr">
        <is>
          <t>Onsite</t>
        </is>
      </c>
      <c r="I10" s="14" t="inlineStr">
        <is>
          <t>ONSITE</t>
        </is>
      </c>
      <c r="J10" s="14" t="inlineStr">
        <is>
          <t>Contract</t>
        </is>
      </c>
      <c r="K10" s="14" t="inlineStr">
        <is>
          <t>GST 10%</t>
        </is>
      </c>
      <c r="L10" s="16" t="n">
        <v>1120</v>
      </c>
      <c r="M10" s="17">
        <f>IF(L10="","",IF(K10="GST 10%",ROUND(L10*set_GSTRate,2),0))</f>
        <v/>
      </c>
      <c r="N10" s="17">
        <f>IF(L10="","",L10+M10)</f>
        <v/>
      </c>
      <c r="O10" s="14" t="inlineStr">
        <is>
          <t>41100</t>
        </is>
      </c>
      <c r="P10" s="14" t="inlineStr">
        <is>
          <t>Y</t>
        </is>
      </c>
      <c r="Q10" s="14" t="inlineStr">
        <is>
          <t>N</t>
        </is>
      </c>
      <c r="R10" s="12" t="n"/>
      <c r="S10" s="12" t="n"/>
      <c r="T10" s="14" t="inlineStr">
        <is>
          <t>Invoiced</t>
        </is>
      </c>
      <c r="U10" s="14" t="n"/>
      <c r="V10" s="15">
        <f>IF(COUNTA(A10,D10,C10,L10)=0,"",IF(A10="","No date - sits outside every month",IF(E10="","No job number",IF(F10="CHECK","Job number is not in the Xero job list",IF(I10="","No cost centre",IF(AND(P10="Y",C10=""),"Marked posted to Xero but has no invoice number",IF(AND(L10&lt;&gt;"",K10=""),"No tax code",IF(AND(L10&lt;&gt;"",O10=""),"No revenue GL code",""))))))))</f>
        <v/>
      </c>
    </row>
    <row r="11" ht="15" customHeight="1">
      <c r="A11" s="12" t="n">
        <v>46234</v>
      </c>
      <c r="B11" s="13">
        <f>IF(A11="","",EOMONTH(A11,0))</f>
        <v/>
      </c>
      <c r="C11" s="14" t="inlineStr">
        <is>
          <t>INV-10531</t>
        </is>
      </c>
      <c r="D11" s="14" t="inlineStr">
        <is>
          <t>PWC</t>
        </is>
      </c>
      <c r="E11" s="14" t="inlineStr">
        <is>
          <t>2488</t>
        </is>
      </c>
      <c r="F11" s="15">
        <f>IF(E11="","",IF(COUNTIF(lst_Jobs,E11&amp;"")&gt;0,"OK","CHECK"))</f>
        <v/>
      </c>
      <c r="G11" s="14" t="inlineStr">
        <is>
          <t>PWC Brisbane July 2026</t>
        </is>
      </c>
      <c r="H11" s="14" t="inlineStr">
        <is>
          <t>Onsite</t>
        </is>
      </c>
      <c r="I11" s="14" t="inlineStr">
        <is>
          <t>ONSITE</t>
        </is>
      </c>
      <c r="J11" s="14" t="inlineStr">
        <is>
          <t>Contract</t>
        </is>
      </c>
      <c r="K11" s="14" t="inlineStr">
        <is>
          <t>GST 10%</t>
        </is>
      </c>
      <c r="L11" s="16" t="n">
        <v>7150</v>
      </c>
      <c r="M11" s="17">
        <f>IF(L11="","",IF(K11="GST 10%",ROUND(L11*set_GSTRate,2),0))</f>
        <v/>
      </c>
      <c r="N11" s="17">
        <f>IF(L11="","",L11+M11)</f>
        <v/>
      </c>
      <c r="O11" s="14" t="inlineStr">
        <is>
          <t>41100</t>
        </is>
      </c>
      <c r="P11" s="14" t="inlineStr">
        <is>
          <t>Y</t>
        </is>
      </c>
      <c r="Q11" s="14" t="inlineStr">
        <is>
          <t>N</t>
        </is>
      </c>
      <c r="R11" s="12" t="n"/>
      <c r="S11" s="12" t="n"/>
      <c r="T11" s="14" t="inlineStr">
        <is>
          <t>Invoiced</t>
        </is>
      </c>
      <c r="U11" s="14" t="n"/>
      <c r="V11" s="15">
        <f>IF(COUNTA(A11,D11,C11,L11)=0,"",IF(A11="","No date - sits outside every month",IF(E11="","No job number",IF(F11="CHECK","Job number is not in the Xero job list",IF(I11="","No cost centre",IF(AND(P11="Y",C11=""),"Marked posted to Xero but has no invoice number",IF(AND(L11&lt;&gt;"",K11=""),"No tax code",IF(AND(L11&lt;&gt;"",O11=""),"No revenue GL code",""))))))))</f>
        <v/>
      </c>
    </row>
    <row r="12" ht="15" customHeight="1">
      <c r="A12" s="12" t="n">
        <v>46234</v>
      </c>
      <c r="B12" s="13">
        <f>IF(A12="","",EOMONTH(A12,0))</f>
        <v/>
      </c>
      <c r="C12" s="14" t="inlineStr">
        <is>
          <t>INV-10532</t>
        </is>
      </c>
      <c r="D12" s="14" t="inlineStr">
        <is>
          <t>Gen-E</t>
        </is>
      </c>
      <c r="E12" s="14" t="inlineStr">
        <is>
          <t>26021602</t>
        </is>
      </c>
      <c r="F12" s="15">
        <f>IF(E12="","",IF(COUNTIF(lst_Jobs,E12&amp;"")&gt;0,"OK","CHECK"))</f>
        <v/>
      </c>
      <c r="G12" s="14" t="inlineStr">
        <is>
          <t>Gen-E ABS July 2026</t>
        </is>
      </c>
      <c r="H12" s="14" t="inlineStr">
        <is>
          <t>Onsite</t>
        </is>
      </c>
      <c r="I12" s="14" t="inlineStr">
        <is>
          <t>ONSITE</t>
        </is>
      </c>
      <c r="J12" s="14" t="inlineStr">
        <is>
          <t>Contract</t>
        </is>
      </c>
      <c r="K12" s="14" t="inlineStr">
        <is>
          <t>GST 10%</t>
        </is>
      </c>
      <c r="L12" s="16" t="n">
        <v>12388.8</v>
      </c>
      <c r="M12" s="17">
        <f>IF(L12="","",IF(K12="GST 10%",ROUND(L12*set_GSTRate,2),0))</f>
        <v/>
      </c>
      <c r="N12" s="17">
        <f>IF(L12="","",L12+M12)</f>
        <v/>
      </c>
      <c r="O12" s="14" t="inlineStr">
        <is>
          <t>41100</t>
        </is>
      </c>
      <c r="P12" s="14" t="inlineStr">
        <is>
          <t>Y</t>
        </is>
      </c>
      <c r="Q12" s="14" t="inlineStr">
        <is>
          <t>N</t>
        </is>
      </c>
      <c r="R12" s="12" t="n"/>
      <c r="S12" s="12" t="n"/>
      <c r="T12" s="14" t="inlineStr">
        <is>
          <t>Invoiced</t>
        </is>
      </c>
      <c r="U12" s="14" t="n"/>
      <c r="V12" s="15">
        <f>IF(COUNTA(A12,D12,C12,L12)=0,"",IF(A12="","No date - sits outside every month",IF(E12="","No job number",IF(F12="CHECK","Job number is not in the Xero job list",IF(I12="","No cost centre",IF(AND(P12="Y",C12=""),"Marked posted to Xero but has no invoice number",IF(AND(L12&lt;&gt;"",K12=""),"No tax code",IF(AND(L12&lt;&gt;"",O12=""),"No revenue GL code",""))))))))</f>
        <v/>
      </c>
    </row>
    <row r="13" ht="15" customHeight="1">
      <c r="A13" s="12" t="n">
        <v>46234</v>
      </c>
      <c r="B13" s="13">
        <f>IF(A13="","",EOMONTH(A13,0))</f>
        <v/>
      </c>
      <c r="C13" s="14" t="inlineStr">
        <is>
          <t>INV-10534</t>
        </is>
      </c>
      <c r="D13" s="14" t="inlineStr">
        <is>
          <t>CBA</t>
        </is>
      </c>
      <c r="E13" s="14" t="inlineStr">
        <is>
          <t>26043001</t>
        </is>
      </c>
      <c r="F13" s="15">
        <f>IF(E13="","",IF(COUNTIF(lst_Jobs,E13&amp;"")&gt;0,"OK","CHECK"))</f>
        <v/>
      </c>
      <c r="G13" s="14" t="inlineStr">
        <is>
          <t>CBA Mel July 2026</t>
        </is>
      </c>
      <c r="H13" s="14" t="inlineStr">
        <is>
          <t>Onsite</t>
        </is>
      </c>
      <c r="I13" s="14" t="inlineStr">
        <is>
          <t>ONSITE</t>
        </is>
      </c>
      <c r="J13" s="14" t="inlineStr">
        <is>
          <t>Contract</t>
        </is>
      </c>
      <c r="K13" s="14" t="inlineStr">
        <is>
          <t>GST 10%</t>
        </is>
      </c>
      <c r="L13" s="16" t="n">
        <v>11377.12</v>
      </c>
      <c r="M13" s="17">
        <f>IF(L13="","",IF(K13="GST 10%",ROUND(L13*set_GSTRate,2),0))</f>
        <v/>
      </c>
      <c r="N13" s="17">
        <f>IF(L13="","",L13+M13)</f>
        <v/>
      </c>
      <c r="O13" s="14" t="inlineStr">
        <is>
          <t>41100</t>
        </is>
      </c>
      <c r="P13" s="14" t="inlineStr">
        <is>
          <t>Y</t>
        </is>
      </c>
      <c r="Q13" s="14" t="inlineStr">
        <is>
          <t>N</t>
        </is>
      </c>
      <c r="R13" s="12" t="n"/>
      <c r="S13" s="12" t="n"/>
      <c r="T13" s="14" t="inlineStr">
        <is>
          <t>Invoiced</t>
        </is>
      </c>
      <c r="U13" s="14" t="inlineStr">
        <is>
          <t>Deduct 8hrs CN for 03/07</t>
        </is>
      </c>
      <c r="V13" s="15">
        <f>IF(COUNTA(A13,D13,C13,L13)=0,"",IF(A13="","No date - sits outside every month",IF(E13="","No job number",IF(F13="CHECK","Job number is not in the Xero job list",IF(I13="","No cost centre",IF(AND(P13="Y",C13=""),"Marked posted to Xero but has no invoice number",IF(AND(L13&lt;&gt;"",K13=""),"No tax code",IF(AND(L13&lt;&gt;"",O13=""),"No revenue GL code",""))))))))</f>
        <v/>
      </c>
    </row>
    <row r="14" ht="15" customHeight="1">
      <c r="A14" s="12" t="n">
        <v>46234</v>
      </c>
      <c r="B14" s="13">
        <f>IF(A14="","",EOMONTH(A14,0))</f>
        <v/>
      </c>
      <c r="C14" s="14" t="inlineStr">
        <is>
          <t>INV-10535</t>
        </is>
      </c>
      <c r="D14" s="14" t="inlineStr">
        <is>
          <t>PWC</t>
        </is>
      </c>
      <c r="E14" s="14" t="inlineStr">
        <is>
          <t>25101301B</t>
        </is>
      </c>
      <c r="F14" s="15">
        <f>IF(E14="","",IF(COUNTIF(lst_Jobs,E14&amp;"")&gt;0,"OK","CHECK"))</f>
        <v/>
      </c>
      <c r="G14" s="14" t="inlineStr">
        <is>
          <t>PWC Sydney IT July 2026</t>
        </is>
      </c>
      <c r="H14" s="14" t="inlineStr">
        <is>
          <t>Onsite</t>
        </is>
      </c>
      <c r="I14" s="14" t="inlineStr">
        <is>
          <t>ONSITE</t>
        </is>
      </c>
      <c r="J14" s="14" t="inlineStr">
        <is>
          <t>Contract</t>
        </is>
      </c>
      <c r="K14" s="14" t="inlineStr">
        <is>
          <t>GST 10%</t>
        </is>
      </c>
      <c r="L14" s="16" t="n">
        <v>11907</v>
      </c>
      <c r="M14" s="17">
        <f>IF(L14="","",IF(K14="GST 10%",ROUND(L14*set_GSTRate,2),0))</f>
        <v/>
      </c>
      <c r="N14" s="17">
        <f>IF(L14="","",L14+M14)</f>
        <v/>
      </c>
      <c r="O14" s="14" t="inlineStr">
        <is>
          <t>41100</t>
        </is>
      </c>
      <c r="P14" s="14" t="inlineStr">
        <is>
          <t>Y</t>
        </is>
      </c>
      <c r="Q14" s="14" t="inlineStr">
        <is>
          <t>N</t>
        </is>
      </c>
      <c r="R14" s="12" t="n"/>
      <c r="S14" s="12" t="n"/>
      <c r="T14" s="14" t="inlineStr">
        <is>
          <t>Invoiced</t>
        </is>
      </c>
      <c r="U14" s="14" t="n"/>
      <c r="V14" s="15">
        <f>IF(COUNTA(A14,D14,C14,L14)=0,"",IF(A14="","No date - sits outside every month",IF(E14="","No job number",IF(F14="CHECK","Job number is not in the Xero job list",IF(I14="","No cost centre",IF(AND(P14="Y",C14=""),"Marked posted to Xero but has no invoice number",IF(AND(L14&lt;&gt;"",K14=""),"No tax code",IF(AND(L14&lt;&gt;"",O14=""),"No revenue GL code",""))))))))</f>
        <v/>
      </c>
    </row>
    <row r="15" ht="15" customHeight="1">
      <c r="A15" s="12" t="n">
        <v>46234</v>
      </c>
      <c r="B15" s="13">
        <f>IF(A15="","",EOMONTH(A15,0))</f>
        <v/>
      </c>
      <c r="C15" s="14" t="inlineStr">
        <is>
          <t>INV-10536</t>
        </is>
      </c>
      <c r="D15" s="14" t="inlineStr">
        <is>
          <t>RICOH</t>
        </is>
      </c>
      <c r="E15" s="14" t="inlineStr">
        <is>
          <t>2880</t>
        </is>
      </c>
      <c r="F15" s="15">
        <f>IF(E15="","",IF(COUNTIF(lst_Jobs,E15&amp;"")&gt;0,"OK","CHECK"))</f>
        <v/>
      </c>
      <c r="G15" s="14" t="inlineStr">
        <is>
          <t>Ricoh Contract July 2026</t>
        </is>
      </c>
      <c r="H15" s="14" t="inlineStr">
        <is>
          <t>Onsite</t>
        </is>
      </c>
      <c r="I15" s="14" t="inlineStr">
        <is>
          <t>ONSITE</t>
        </is>
      </c>
      <c r="J15" s="14" t="inlineStr">
        <is>
          <t>Contract</t>
        </is>
      </c>
      <c r="K15" s="14" t="inlineStr">
        <is>
          <t>GST 10%</t>
        </is>
      </c>
      <c r="L15" s="16" t="n">
        <v>11860.5</v>
      </c>
      <c r="M15" s="17">
        <f>IF(L15="","",IF(K15="GST 10%",ROUND(L15*set_GSTRate,2),0))</f>
        <v/>
      </c>
      <c r="N15" s="17">
        <f>IF(L15="","",L15+M15)</f>
        <v/>
      </c>
      <c r="O15" s="14" t="inlineStr">
        <is>
          <t>41100</t>
        </is>
      </c>
      <c r="P15" s="14" t="inlineStr">
        <is>
          <t>Y</t>
        </is>
      </c>
      <c r="Q15" s="14" t="inlineStr">
        <is>
          <t>N</t>
        </is>
      </c>
      <c r="R15" s="12" t="n"/>
      <c r="S15" s="12" t="n"/>
      <c r="T15" s="14" t="inlineStr">
        <is>
          <t>Invoiced</t>
        </is>
      </c>
      <c r="U15" s="14" t="inlineStr">
        <is>
          <t>2 months extension</t>
        </is>
      </c>
      <c r="V15" s="15">
        <f>IF(COUNTA(A15,D15,C15,L15)=0,"",IF(A15="","No date - sits outside every month",IF(E15="","No job number",IF(F15="CHECK","Job number is not in the Xero job list",IF(I15="","No cost centre",IF(AND(P15="Y",C15=""),"Marked posted to Xero but has no invoice number",IF(AND(L15&lt;&gt;"",K15=""),"No tax code",IF(AND(L15&lt;&gt;"",O15=""),"No revenue GL code",""))))))))</f>
        <v/>
      </c>
    </row>
    <row r="16" ht="15" customHeight="1">
      <c r="A16" s="12" t="n">
        <v>46234</v>
      </c>
      <c r="B16" s="13">
        <f>IF(A16="","",EOMONTH(A16,0))</f>
        <v/>
      </c>
      <c r="C16" s="14" t="inlineStr">
        <is>
          <t>INV-10537</t>
        </is>
      </c>
      <c r="D16" s="14" t="inlineStr">
        <is>
          <t>PWC</t>
        </is>
      </c>
      <c r="E16" s="14" t="n"/>
      <c r="F16" s="15">
        <f>IF(E16="","",IF(COUNTIF(lst_Jobs,E16&amp;"")&gt;0,"OK","CHECK"))</f>
        <v/>
      </c>
      <c r="G16" s="14" t="inlineStr">
        <is>
          <t>PWC Dedicated Tech 29/07/2026</t>
        </is>
      </c>
      <c r="H16" s="14" t="inlineStr">
        <is>
          <t>Onsite</t>
        </is>
      </c>
      <c r="I16" s="14" t="inlineStr">
        <is>
          <t>ONSITE</t>
        </is>
      </c>
      <c r="J16" s="14" t="inlineStr">
        <is>
          <t>Contract</t>
        </is>
      </c>
      <c r="K16" s="14" t="inlineStr">
        <is>
          <t>GST 10%</t>
        </is>
      </c>
      <c r="L16" s="16" t="n">
        <v>340</v>
      </c>
      <c r="M16" s="17">
        <f>IF(L16="","",IF(K16="GST 10%",ROUND(L16*set_GSTRate,2),0))</f>
        <v/>
      </c>
      <c r="N16" s="17">
        <f>IF(L16="","",L16+M16)</f>
        <v/>
      </c>
      <c r="O16" s="14" t="inlineStr">
        <is>
          <t>41100</t>
        </is>
      </c>
      <c r="P16" s="14" t="inlineStr">
        <is>
          <t>Y</t>
        </is>
      </c>
      <c r="Q16" s="14" t="inlineStr">
        <is>
          <t>N</t>
        </is>
      </c>
      <c r="R16" s="12" t="n"/>
      <c r="S16" s="12" t="n"/>
      <c r="T16" s="14" t="inlineStr">
        <is>
          <t>Invoiced</t>
        </is>
      </c>
      <c r="U16" s="14" t="inlineStr">
        <is>
          <t>29/07/2026 4hours</t>
        </is>
      </c>
      <c r="V16" s="15">
        <f>IF(COUNTA(A16,D16,C16,L16)=0,"",IF(A16="","No date - sits outside every month",IF(E16="","No job number",IF(F16="CHECK","Job number is not in the Xero job list",IF(I16="","No cost centre",IF(AND(P16="Y",C16=""),"Marked posted to Xero but has no invoice number",IF(AND(L16&lt;&gt;"",K16=""),"No tax code",IF(AND(L16&lt;&gt;"",O16=""),"No revenue GL code",""))))))))</f>
        <v/>
      </c>
    </row>
    <row r="17" ht="15" customHeight="1">
      <c r="A17" s="12" t="n">
        <v>46234</v>
      </c>
      <c r="B17" s="13">
        <f>IF(A17="","",EOMONTH(A17,0))</f>
        <v/>
      </c>
      <c r="C17" s="14" t="inlineStr">
        <is>
          <t>INV-10541</t>
        </is>
      </c>
      <c r="D17" s="14" t="inlineStr">
        <is>
          <t>APN</t>
        </is>
      </c>
      <c r="E17" s="14" t="inlineStr">
        <is>
          <t>3056</t>
        </is>
      </c>
      <c r="F17" s="15">
        <f>IF(E17="","",IF(COUNTIF(lst_Jobs,E17&amp;"")&gt;0,"OK","CHECK"))</f>
        <v/>
      </c>
      <c r="G17" s="14" t="inlineStr">
        <is>
          <t>APN Tech Support July 22 &amp; 24</t>
        </is>
      </c>
      <c r="H17" s="14" t="inlineStr">
        <is>
          <t>Onsite</t>
        </is>
      </c>
      <c r="I17" s="14" t="inlineStr">
        <is>
          <t>ONSITE</t>
        </is>
      </c>
      <c r="J17" s="14" t="inlineStr">
        <is>
          <t>Contract</t>
        </is>
      </c>
      <c r="K17" s="14" t="inlineStr">
        <is>
          <t>GST 10%</t>
        </is>
      </c>
      <c r="L17" s="16" t="n">
        <v>680</v>
      </c>
      <c r="M17" s="17">
        <f>IF(L17="","",IF(K17="GST 10%",ROUND(L17*set_GSTRate,2),0))</f>
        <v/>
      </c>
      <c r="N17" s="17">
        <f>IF(L17="","",L17+M17)</f>
        <v/>
      </c>
      <c r="O17" s="14" t="inlineStr">
        <is>
          <t>41100</t>
        </is>
      </c>
      <c r="P17" s="14" t="inlineStr">
        <is>
          <t>Y</t>
        </is>
      </c>
      <c r="Q17" s="14" t="inlineStr">
        <is>
          <t>N</t>
        </is>
      </c>
      <c r="R17" s="12" t="n"/>
      <c r="S17" s="12" t="n"/>
      <c r="T17" s="14" t="inlineStr">
        <is>
          <t>Invoiced</t>
        </is>
      </c>
      <c r="U17" s="14" t="n"/>
      <c r="V17" s="15">
        <f>IF(COUNTA(A17,D17,C17,L17)=0,"",IF(A17="","No date - sits outside every month",IF(E17="","No job number",IF(F17="CHECK","Job number is not in the Xero job list",IF(I17="","No cost centre",IF(AND(P17="Y",C17=""),"Marked posted to Xero but has no invoice number",IF(AND(L17&lt;&gt;"",K17=""),"No tax code",IF(AND(L17&lt;&gt;"",O17=""),"No revenue GL code",""))))))))</f>
        <v/>
      </c>
    </row>
    <row r="18" ht="15" customHeight="1">
      <c r="A18" s="12" t="n">
        <v>46234</v>
      </c>
      <c r="B18" s="13">
        <f>IF(A18="","",EOMONTH(A18,0))</f>
        <v/>
      </c>
      <c r="C18" s="14" t="inlineStr">
        <is>
          <t>INV-10539</t>
        </is>
      </c>
      <c r="D18" s="14" t="inlineStr">
        <is>
          <t>PWC</t>
        </is>
      </c>
      <c r="E18" s="14" t="inlineStr">
        <is>
          <t>20250731</t>
        </is>
      </c>
      <c r="F18" s="15">
        <f>IF(E18="","",IF(COUNTIF(lst_Jobs,E18&amp;"")&gt;0,"OK","CHECK"))</f>
        <v/>
      </c>
      <c r="G18" s="14" t="inlineStr">
        <is>
          <t>PWC Pool of Hours (50 hours)</t>
        </is>
      </c>
      <c r="H18" s="14" t="inlineStr">
        <is>
          <t>Onsite</t>
        </is>
      </c>
      <c r="I18" s="14" t="inlineStr">
        <is>
          <t>ONSITE</t>
        </is>
      </c>
      <c r="J18" s="14" t="inlineStr">
        <is>
          <t>Contract</t>
        </is>
      </c>
      <c r="K18" s="14" t="inlineStr">
        <is>
          <t>GST 10%</t>
        </is>
      </c>
      <c r="L18" s="16" t="n">
        <v>4250</v>
      </c>
      <c r="M18" s="17">
        <f>IF(L18="","",IF(K18="GST 10%",ROUND(L18*set_GSTRate,2),0))</f>
        <v/>
      </c>
      <c r="N18" s="17">
        <f>IF(L18="","",L18+M18)</f>
        <v/>
      </c>
      <c r="O18" s="14" t="inlineStr">
        <is>
          <t>41100</t>
        </is>
      </c>
      <c r="P18" s="14" t="inlineStr">
        <is>
          <t>Y</t>
        </is>
      </c>
      <c r="Q18" s="14" t="inlineStr">
        <is>
          <t>N</t>
        </is>
      </c>
      <c r="R18" s="12" t="n"/>
      <c r="S18" s="12" t="n"/>
      <c r="T18" s="14" t="inlineStr">
        <is>
          <t>Invoiced</t>
        </is>
      </c>
      <c r="U18" s="14" t="inlineStr">
        <is>
          <t>PO2601703215</t>
        </is>
      </c>
      <c r="V18" s="15">
        <f>IF(COUNTA(A18,D18,C18,L18)=0,"",IF(A18="","No date - sits outside every month",IF(E18="","No job number",IF(F18="CHECK","Job number is not in the Xero job list",IF(I18="","No cost centre",IF(AND(P18="Y",C18=""),"Marked posted to Xero but has no invoice number",IF(AND(L18&lt;&gt;"",K18=""),"No tax code",IF(AND(L18&lt;&gt;"",O18=""),"No revenue GL code",""))))))))</f>
        <v/>
      </c>
    </row>
    <row r="19" ht="15" customHeight="1">
      <c r="A19" s="12" t="n">
        <v>46234</v>
      </c>
      <c r="B19" s="13">
        <f>IF(A19="","",EOMONTH(A19,0))</f>
        <v/>
      </c>
      <c r="C19" s="14" t="inlineStr">
        <is>
          <t>INV-10542</t>
        </is>
      </c>
      <c r="D19" s="14" t="inlineStr">
        <is>
          <t>CBA</t>
        </is>
      </c>
      <c r="E19" s="14" t="inlineStr">
        <is>
          <t>1668</t>
        </is>
      </c>
      <c r="F19" s="15">
        <f>IF(E19="","",IF(COUNTIF(lst_Jobs,E19&amp;"")&gt;0,"OK","CHECK"))</f>
        <v/>
      </c>
      <c r="G19" s="14" t="inlineStr">
        <is>
          <t>AH Support 02/07/2026</t>
        </is>
      </c>
      <c r="H19" s="14" t="inlineStr">
        <is>
          <t>Onsite</t>
        </is>
      </c>
      <c r="I19" s="14" t="inlineStr">
        <is>
          <t>ONSITE</t>
        </is>
      </c>
      <c r="J19" s="14" t="inlineStr">
        <is>
          <t>Contract</t>
        </is>
      </c>
      <c r="K19" s="14" t="inlineStr">
        <is>
          <t>GST 10%</t>
        </is>
      </c>
      <c r="L19" s="16" t="n">
        <v>180</v>
      </c>
      <c r="M19" s="17">
        <f>IF(L19="","",IF(K19="GST 10%",ROUND(L19*set_GSTRate,2),0))</f>
        <v/>
      </c>
      <c r="N19" s="17">
        <f>IF(L19="","",L19+M19)</f>
        <v/>
      </c>
      <c r="O19" s="14" t="inlineStr">
        <is>
          <t>41100</t>
        </is>
      </c>
      <c r="P19" s="14" t="inlineStr">
        <is>
          <t>Y</t>
        </is>
      </c>
      <c r="Q19" s="14" t="inlineStr">
        <is>
          <t>N</t>
        </is>
      </c>
      <c r="R19" s="12" t="n"/>
      <c r="S19" s="12" t="n"/>
      <c r="T19" s="14" t="inlineStr">
        <is>
          <t>Invoiced</t>
        </is>
      </c>
      <c r="U19" s="14" t="n"/>
      <c r="V19" s="15">
        <f>IF(COUNTA(A19,D19,C19,L19)=0,"",IF(A19="","No date - sits outside every month",IF(E19="","No job number",IF(F19="CHECK","Job number is not in the Xero job list",IF(I19="","No cost centre",IF(AND(P19="Y",C19=""),"Marked posted to Xero but has no invoice number",IF(AND(L19&lt;&gt;"",K19=""),"No tax code",IF(AND(L19&lt;&gt;"",O19=""),"No revenue GL code",""))))))))</f>
        <v/>
      </c>
    </row>
    <row r="20" ht="15" customHeight="1">
      <c r="A20" s="12" t="n">
        <v>46234</v>
      </c>
      <c r="B20" s="13">
        <f>IF(A20="","",EOMONTH(A20,0))</f>
        <v/>
      </c>
      <c r="C20" s="14" t="inlineStr">
        <is>
          <t>INV-10543</t>
        </is>
      </c>
      <c r="D20" s="14" t="inlineStr">
        <is>
          <t>CBA</t>
        </is>
      </c>
      <c r="E20" s="14" t="inlineStr">
        <is>
          <t>1668</t>
        </is>
      </c>
      <c r="F20" s="15">
        <f>IF(E20="","",IF(COUNTIF(lst_Jobs,E20&amp;"")&gt;0,"OK","CHECK"))</f>
        <v/>
      </c>
      <c r="G20" s="14" t="inlineStr">
        <is>
          <t>DT Support 02/07/2026</t>
        </is>
      </c>
      <c r="H20" s="14" t="inlineStr">
        <is>
          <t>Onsite</t>
        </is>
      </c>
      <c r="I20" s="14" t="inlineStr">
        <is>
          <t>ONSITE</t>
        </is>
      </c>
      <c r="J20" s="14" t="inlineStr">
        <is>
          <t>Contract</t>
        </is>
      </c>
      <c r="K20" s="14" t="inlineStr">
        <is>
          <t>GST 10%</t>
        </is>
      </c>
      <c r="L20" s="16" t="n">
        <v>425</v>
      </c>
      <c r="M20" s="17">
        <f>IF(L20="","",IF(K20="GST 10%",ROUND(L20*set_GSTRate,2),0))</f>
        <v/>
      </c>
      <c r="N20" s="17">
        <f>IF(L20="","",L20+M20)</f>
        <v/>
      </c>
      <c r="O20" s="14" t="inlineStr">
        <is>
          <t>41100</t>
        </is>
      </c>
      <c r="P20" s="14" t="inlineStr">
        <is>
          <t>Y</t>
        </is>
      </c>
      <c r="Q20" s="14" t="inlineStr">
        <is>
          <t>N</t>
        </is>
      </c>
      <c r="R20" s="12" t="n"/>
      <c r="S20" s="12" t="n"/>
      <c r="T20" s="14" t="inlineStr">
        <is>
          <t>Invoiced</t>
        </is>
      </c>
      <c r="U20" s="14" t="n"/>
      <c r="V20" s="15">
        <f>IF(COUNTA(A20,D20,C20,L20)=0,"",IF(A20="","No date - sits outside every month",IF(E20="","No job number",IF(F20="CHECK","Job number is not in the Xero job list",IF(I20="","No cost centre",IF(AND(P20="Y",C20=""),"Marked posted to Xero but has no invoice number",IF(AND(L20&lt;&gt;"",K20=""),"No tax code",IF(AND(L20&lt;&gt;"",O20=""),"No revenue GL code",""))))))))</f>
        <v/>
      </c>
    </row>
    <row r="21" ht="15" customHeight="1">
      <c r="A21" s="12" t="n">
        <v>46234</v>
      </c>
      <c r="B21" s="13">
        <f>IF(A21="","",EOMONTH(A21,0))</f>
        <v/>
      </c>
      <c r="C21" s="14" t="inlineStr">
        <is>
          <t>INV-10544</t>
        </is>
      </c>
      <c r="D21" s="14" t="inlineStr">
        <is>
          <t>CBA</t>
        </is>
      </c>
      <c r="E21" s="14" t="inlineStr">
        <is>
          <t>1668</t>
        </is>
      </c>
      <c r="F21" s="15">
        <f>IF(E21="","",IF(COUNTIF(lst_Jobs,E21&amp;"")&gt;0,"OK","CHECK"))</f>
        <v/>
      </c>
      <c r="G21" s="14" t="inlineStr">
        <is>
          <t>DT Support 23/07/2026</t>
        </is>
      </c>
      <c r="H21" s="14" t="inlineStr">
        <is>
          <t>Onsite</t>
        </is>
      </c>
      <c r="I21" s="14" t="inlineStr">
        <is>
          <t>ONSITE</t>
        </is>
      </c>
      <c r="J21" s="14" t="inlineStr">
        <is>
          <t>Contract</t>
        </is>
      </c>
      <c r="K21" s="14" t="inlineStr">
        <is>
          <t>GST 10%</t>
        </is>
      </c>
      <c r="L21" s="16" t="n">
        <v>510</v>
      </c>
      <c r="M21" s="17">
        <f>IF(L21="","",IF(K21="GST 10%",ROUND(L21*set_GSTRate,2),0))</f>
        <v/>
      </c>
      <c r="N21" s="17">
        <f>IF(L21="","",L21+M21)</f>
        <v/>
      </c>
      <c r="O21" s="14" t="inlineStr">
        <is>
          <t>41100</t>
        </is>
      </c>
      <c r="P21" s="14" t="inlineStr">
        <is>
          <t>Y</t>
        </is>
      </c>
      <c r="Q21" s="14" t="inlineStr">
        <is>
          <t>N</t>
        </is>
      </c>
      <c r="R21" s="12" t="n"/>
      <c r="S21" s="12" t="n"/>
      <c r="T21" s="14" t="inlineStr">
        <is>
          <t>Invoiced</t>
        </is>
      </c>
      <c r="U21" s="14" t="n"/>
      <c r="V21" s="15">
        <f>IF(COUNTA(A21,D21,C21,L21)=0,"",IF(A21="","No date - sits outside every month",IF(E21="","No job number",IF(F21="CHECK","Job number is not in the Xero job list",IF(I21="","No cost centre",IF(AND(P21="Y",C21=""),"Marked posted to Xero but has no invoice number",IF(AND(L21&lt;&gt;"",K21=""),"No tax code",IF(AND(L21&lt;&gt;"",O21=""),"No revenue GL code",""))))))))</f>
        <v/>
      </c>
    </row>
    <row r="22" ht="15" customHeight="1">
      <c r="A22" s="12" t="n">
        <v>46233</v>
      </c>
      <c r="B22" s="13">
        <f>IF(A22="","",EOMONTH(A22,0))</f>
        <v/>
      </c>
      <c r="C22" s="14" t="inlineStr">
        <is>
          <t>INV-10545</t>
        </is>
      </c>
      <c r="D22" s="14" t="inlineStr">
        <is>
          <t>PWC</t>
        </is>
      </c>
      <c r="E22" s="14" t="inlineStr">
        <is>
          <t>2540</t>
        </is>
      </c>
      <c r="F22" s="15">
        <f>IF(E22="","",IF(COUNTIF(lst_Jobs,E22&amp;"")&gt;0,"OK","CHECK"))</f>
        <v/>
      </c>
      <c r="G22" s="14" t="inlineStr">
        <is>
          <t>PWC Dedicated Tech 30/07/2026</t>
        </is>
      </c>
      <c r="H22" s="14" t="inlineStr">
        <is>
          <t>Onsite</t>
        </is>
      </c>
      <c r="I22" s="14" t="inlineStr">
        <is>
          <t>ONSITE</t>
        </is>
      </c>
      <c r="J22" s="14" t="inlineStr">
        <is>
          <t>Contract</t>
        </is>
      </c>
      <c r="K22" s="14" t="inlineStr">
        <is>
          <t>GST 10%</t>
        </is>
      </c>
      <c r="L22" s="16" t="n">
        <v>340</v>
      </c>
      <c r="M22" s="17">
        <f>IF(L22="","",IF(K22="GST 10%",ROUND(L22*set_GSTRate,2),0))</f>
        <v/>
      </c>
      <c r="N22" s="17">
        <f>IF(L22="","",L22+M22)</f>
        <v/>
      </c>
      <c r="O22" s="14" t="inlineStr">
        <is>
          <t>41100</t>
        </is>
      </c>
      <c r="P22" s="14" t="inlineStr">
        <is>
          <t>Y</t>
        </is>
      </c>
      <c r="Q22" s="14" t="inlineStr">
        <is>
          <t>N</t>
        </is>
      </c>
      <c r="R22" s="12" t="n"/>
      <c r="S22" s="12" t="n"/>
      <c r="T22" s="14" t="inlineStr">
        <is>
          <t>Invoiced</t>
        </is>
      </c>
      <c r="U22" s="14" t="inlineStr">
        <is>
          <t>PO2601703274</t>
        </is>
      </c>
      <c r="V22" s="15">
        <f>IF(COUNTA(A22,D22,C22,L22)=0,"",IF(A22="","No date - sits outside every month",IF(E22="","No job number",IF(F22="CHECK","Job number is not in the Xero job list",IF(I22="","No cost centre",IF(AND(P22="Y",C22=""),"Marked posted to Xero but has no invoice number",IF(AND(L22&lt;&gt;"",K22=""),"No tax code",IF(AND(L22&lt;&gt;"",O22=""),"No revenue GL code",""))))))))</f>
        <v/>
      </c>
    </row>
    <row r="23" ht="15" customHeight="1">
      <c r="A23" s="12" t="n">
        <v>46233</v>
      </c>
      <c r="B23" s="13">
        <f>IF(A23="","",EOMONTH(A23,0))</f>
        <v/>
      </c>
      <c r="C23" s="14" t="inlineStr">
        <is>
          <t>INV-10546</t>
        </is>
      </c>
      <c r="D23" s="14" t="inlineStr">
        <is>
          <t>DTTL</t>
        </is>
      </c>
      <c r="E23" s="14" t="inlineStr">
        <is>
          <t>26062501/2347</t>
        </is>
      </c>
      <c r="F23" s="15">
        <f>IF(E23="","",IF(COUNTIF(lst_Jobs,E23&amp;"")&gt;0,"OK","CHECK"))</f>
        <v/>
      </c>
      <c r="G23" s="14" t="inlineStr">
        <is>
          <t>DH Travel 06-07/07 &amp; Ad-hoc Tech Support 30/07 &amp; Market Shapers</t>
        </is>
      </c>
      <c r="H23" s="14" t="inlineStr">
        <is>
          <t>Onsite</t>
        </is>
      </c>
      <c r="I23" s="14" t="inlineStr">
        <is>
          <t>ONSITE</t>
        </is>
      </c>
      <c r="J23" s="14" t="inlineStr">
        <is>
          <t>Contract</t>
        </is>
      </c>
      <c r="K23" s="14" t="inlineStr">
        <is>
          <t>GST 10%</t>
        </is>
      </c>
      <c r="L23" s="16" t="n">
        <v>1672.5</v>
      </c>
      <c r="M23" s="17">
        <f>IF(L23="","",IF(K23="GST 10%",ROUND(L23*set_GSTRate,2),0))</f>
        <v/>
      </c>
      <c r="N23" s="17">
        <f>IF(L23="","",L23+M23)</f>
        <v/>
      </c>
      <c r="O23" s="14" t="inlineStr">
        <is>
          <t>41100</t>
        </is>
      </c>
      <c r="P23" s="14" t="inlineStr">
        <is>
          <t>Y</t>
        </is>
      </c>
      <c r="Q23" s="14" t="inlineStr">
        <is>
          <t>N</t>
        </is>
      </c>
      <c r="R23" s="12" t="n"/>
      <c r="S23" s="12" t="n"/>
      <c r="T23" s="14" t="inlineStr">
        <is>
          <t>Invoiced</t>
        </is>
      </c>
      <c r="U23" s="14" t="n"/>
      <c r="V23" s="15">
        <f>IF(COUNTA(A23,D23,C23,L23)=0,"",IF(A23="","No date - sits outside every month",IF(E23="","No job number",IF(F23="CHECK","Job number is not in the Xero job list",IF(I23="","No cost centre",IF(AND(P23="Y",C23=""),"Marked posted to Xero but has no invoice number",IF(AND(L23&lt;&gt;"",K23=""),"No tax code",IF(AND(L23&lt;&gt;"",O23=""),"No revenue GL code",""))))))))</f>
        <v/>
      </c>
    </row>
    <row r="24" ht="15" customHeight="1">
      <c r="A24" s="12" t="n">
        <v>46233</v>
      </c>
      <c r="B24" s="13">
        <f>IF(A24="","",EOMONTH(A24,0))</f>
        <v/>
      </c>
      <c r="C24" s="14" t="inlineStr">
        <is>
          <t>INV-10550</t>
        </is>
      </c>
      <c r="D24" s="14" t="inlineStr">
        <is>
          <t>APN</t>
        </is>
      </c>
      <c r="E24" s="14" t="inlineStr">
        <is>
          <t>2026021101</t>
        </is>
      </c>
      <c r="F24" s="15">
        <f>IF(E24="","",IF(COUNTIF(lst_Jobs,E24&amp;"")&gt;0,"OK","CHECK"))</f>
        <v/>
      </c>
      <c r="G24" s="14" t="inlineStr">
        <is>
          <t>APN Quarterly AV Support</t>
        </is>
      </c>
      <c r="H24" s="14" t="inlineStr">
        <is>
          <t>Onsite</t>
        </is>
      </c>
      <c r="I24" s="14" t="inlineStr">
        <is>
          <t>ONSITE</t>
        </is>
      </c>
      <c r="J24" s="14" t="inlineStr">
        <is>
          <t>Contract</t>
        </is>
      </c>
      <c r="K24" s="14" t="inlineStr">
        <is>
          <t>GST 10%</t>
        </is>
      </c>
      <c r="L24" s="16" t="n">
        <v>1670</v>
      </c>
      <c r="M24" s="17">
        <f>IF(L24="","",IF(K24="GST 10%",ROUND(L24*set_GSTRate,2),0))</f>
        <v/>
      </c>
      <c r="N24" s="17">
        <f>IF(L24="","",L24+M24)</f>
        <v/>
      </c>
      <c r="O24" s="14" t="inlineStr">
        <is>
          <t>41100</t>
        </is>
      </c>
      <c r="P24" s="14" t="inlineStr">
        <is>
          <t>Y</t>
        </is>
      </c>
      <c r="Q24" s="14" t="inlineStr">
        <is>
          <t>N</t>
        </is>
      </c>
      <c r="R24" s="12" t="n"/>
      <c r="S24" s="12" t="n"/>
      <c r="T24" s="14" t="inlineStr">
        <is>
          <t>Invoiced</t>
        </is>
      </c>
      <c r="U24" s="14" t="inlineStr">
        <is>
          <t>Invoice 1/2</t>
        </is>
      </c>
      <c r="V24" s="15">
        <f>IF(COUNTA(A24,D24,C24,L24)=0,"",IF(A24="","No date - sits outside every month",IF(E24="","No job number",IF(F24="CHECK","Job number is not in the Xero job list",IF(I24="","No cost centre",IF(AND(P24="Y",C24=""),"Marked posted to Xero but has no invoice number",IF(AND(L24&lt;&gt;"",K24=""),"No tax code",IF(AND(L24&lt;&gt;"",O24=""),"No revenue GL code",""))))))))</f>
        <v/>
      </c>
    </row>
    <row r="25" ht="15" customHeight="1">
      <c r="A25" s="12" t="n">
        <v>46234</v>
      </c>
      <c r="B25" s="13">
        <f>IF(A25="","",EOMONTH(A25,0))</f>
        <v/>
      </c>
      <c r="C25" s="14" t="inlineStr">
        <is>
          <t>INV-10551</t>
        </is>
      </c>
      <c r="D25" s="14" t="inlineStr">
        <is>
          <t>Aware Super</t>
        </is>
      </c>
      <c r="E25" s="14" t="inlineStr">
        <is>
          <t>26022301</t>
        </is>
      </c>
      <c r="F25" s="15">
        <f>IF(E25="","",IF(COUNTIF(lst_Jobs,E25&amp;"")&gt;0,"OK","CHECK"))</f>
        <v/>
      </c>
      <c r="G25" s="14" t="inlineStr">
        <is>
          <t>Aware Super Contract July 2026</t>
        </is>
      </c>
      <c r="H25" s="14" t="inlineStr">
        <is>
          <t>Onsite</t>
        </is>
      </c>
      <c r="I25" s="14" t="inlineStr">
        <is>
          <t>ONSITE</t>
        </is>
      </c>
      <c r="J25" s="14" t="inlineStr">
        <is>
          <t>Contract</t>
        </is>
      </c>
      <c r="K25" s="14" t="inlineStr">
        <is>
          <t>GST 10%</t>
        </is>
      </c>
      <c r="L25" s="16" t="n">
        <v>11000</v>
      </c>
      <c r="M25" s="17">
        <f>IF(L25="","",IF(K25="GST 10%",ROUND(L25*set_GSTRate,2),0))</f>
        <v/>
      </c>
      <c r="N25" s="17">
        <f>IF(L25="","",L25+M25)</f>
        <v/>
      </c>
      <c r="O25" s="14" t="inlineStr">
        <is>
          <t>41100</t>
        </is>
      </c>
      <c r="P25" s="14" t="inlineStr">
        <is>
          <t>Y</t>
        </is>
      </c>
      <c r="Q25" s="14" t="inlineStr">
        <is>
          <t>N</t>
        </is>
      </c>
      <c r="R25" s="12" t="n"/>
      <c r="S25" s="12" t="n"/>
      <c r="T25" s="14" t="inlineStr">
        <is>
          <t>Invoiced</t>
        </is>
      </c>
      <c r="U25" s="14" t="n"/>
      <c r="V25" s="15">
        <f>IF(COUNTA(A25,D25,C25,L25)=0,"",IF(A25="","No date - sits outside every month",IF(E25="","No job number",IF(F25="CHECK","Job number is not in the Xero job list",IF(I25="","No cost centre",IF(AND(P25="Y",C25=""),"Marked posted to Xero but has no invoice number",IF(AND(L25&lt;&gt;"",K25=""),"No tax code",IF(AND(L25&lt;&gt;"",O25=""),"No revenue GL code",""))))))))</f>
        <v/>
      </c>
    </row>
    <row r="26" ht="15" customHeight="1">
      <c r="A26" s="12" t="n">
        <v>46265</v>
      </c>
      <c r="B26" s="13">
        <f>IF(A26="","",EOMONTH(A26,0))</f>
        <v/>
      </c>
      <c r="C26" s="14" t="inlineStr">
        <is>
          <t>INV-10597</t>
        </is>
      </c>
      <c r="D26" s="14" t="inlineStr">
        <is>
          <t>DTTL</t>
        </is>
      </c>
      <c r="E26" s="14" t="inlineStr">
        <is>
          <t>2608502</t>
        </is>
      </c>
      <c r="F26" s="15">
        <f>IF(E26="","",IF(COUNTIF(lst_Jobs,E26&amp;"")&gt;0,"OK","CHECK"))</f>
        <v/>
      </c>
      <c r="G26" s="14" t="inlineStr">
        <is>
          <t>DTTL Additionals August 2026</t>
        </is>
      </c>
      <c r="H26" s="14" t="inlineStr">
        <is>
          <t>Onsite</t>
        </is>
      </c>
      <c r="I26" s="14" t="inlineStr">
        <is>
          <t>ONSITE</t>
        </is>
      </c>
      <c r="J26" s="14" t="inlineStr">
        <is>
          <t>Contract</t>
        </is>
      </c>
      <c r="K26" s="14" t="inlineStr">
        <is>
          <t>GST 10%</t>
        </is>
      </c>
      <c r="L26" s="16" t="n">
        <v>1275</v>
      </c>
      <c r="M26" s="17">
        <f>IF(L26="","",IF(K26="GST 10%",ROUND(L26*set_GSTRate,2),0))</f>
        <v/>
      </c>
      <c r="N26" s="17">
        <f>IF(L26="","",L26+M26)</f>
        <v/>
      </c>
      <c r="O26" s="14" t="inlineStr">
        <is>
          <t>41100</t>
        </is>
      </c>
      <c r="P26" s="14" t="inlineStr">
        <is>
          <t>Y</t>
        </is>
      </c>
      <c r="Q26" s="14" t="inlineStr">
        <is>
          <t>N</t>
        </is>
      </c>
      <c r="R26" s="12" t="n"/>
      <c r="S26" s="12" t="n"/>
      <c r="T26" s="14" t="inlineStr">
        <is>
          <t>Invoiced</t>
        </is>
      </c>
      <c r="U26" s="14" t="inlineStr">
        <is>
          <t>8419.62 differe from invoice amount</t>
        </is>
      </c>
      <c r="V26" s="15">
        <f>IF(COUNTA(A26,D26,C26,L26)=0,"",IF(A26="","No date - sits outside every month",IF(E26="","No job number",IF(F26="CHECK","Job number is not in the Xero job list",IF(I26="","No cost centre",IF(AND(P26="Y",C26=""),"Marked posted to Xero but has no invoice number",IF(AND(L26&lt;&gt;"",K26=""),"No tax code",IF(AND(L26&lt;&gt;"",O26=""),"No revenue GL code",""))))))))</f>
        <v/>
      </c>
    </row>
    <row r="27" ht="15" customHeight="1">
      <c r="A27" s="12" t="n">
        <v>46265</v>
      </c>
      <c r="B27" s="13">
        <f>IF(A27="","",EOMONTH(A27,0))</f>
        <v/>
      </c>
      <c r="C27" s="14" t="inlineStr">
        <is>
          <t>INV-10598</t>
        </is>
      </c>
      <c r="D27" s="14" t="inlineStr">
        <is>
          <t>PWC</t>
        </is>
      </c>
      <c r="E27" s="14" t="inlineStr">
        <is>
          <t>26073102</t>
        </is>
      </c>
      <c r="F27" s="15">
        <f>IF(E27="","",IF(COUNTIF(lst_Jobs,E27&amp;"")&gt;0,"OK","CHECK"))</f>
        <v/>
      </c>
      <c r="G27" s="14" t="inlineStr">
        <is>
          <t>Pool of Hours - National AV/IT Support</t>
        </is>
      </c>
      <c r="H27" s="14" t="inlineStr">
        <is>
          <t>Onsite</t>
        </is>
      </c>
      <c r="I27" s="14" t="inlineStr">
        <is>
          <t>ONSITE</t>
        </is>
      </c>
      <c r="J27" s="14" t="inlineStr">
        <is>
          <t>Contract</t>
        </is>
      </c>
      <c r="K27" s="14" t="inlineStr">
        <is>
          <t>GST 10%</t>
        </is>
      </c>
      <c r="L27" s="16" t="n">
        <v>8500</v>
      </c>
      <c r="M27" s="17">
        <f>IF(L27="","",IF(K27="GST 10%",ROUND(L27*set_GSTRate,2),0))</f>
        <v/>
      </c>
      <c r="N27" s="17">
        <f>IF(L27="","",L27+M27)</f>
        <v/>
      </c>
      <c r="O27" s="14" t="inlineStr">
        <is>
          <t>41100</t>
        </is>
      </c>
      <c r="P27" s="14" t="inlineStr">
        <is>
          <t>Y</t>
        </is>
      </c>
      <c r="Q27" s="14" t="inlineStr">
        <is>
          <t>N</t>
        </is>
      </c>
      <c r="R27" s="12" t="n"/>
      <c r="S27" s="12" t="n"/>
      <c r="T27" s="14" t="inlineStr">
        <is>
          <t>Invoiced</t>
        </is>
      </c>
      <c r="U27" s="14" t="n"/>
      <c r="V27" s="15">
        <f>IF(COUNTA(A27,D27,C27,L27)=0,"",IF(A27="","No date - sits outside every month",IF(E27="","No job number",IF(F27="CHECK","Job number is not in the Xero job list",IF(I27="","No cost centre",IF(AND(P27="Y",C27=""),"Marked posted to Xero but has no invoice number",IF(AND(L27&lt;&gt;"",K27=""),"No tax code",IF(AND(L27&lt;&gt;"",O27=""),"No revenue GL code",""))))))))</f>
        <v/>
      </c>
    </row>
    <row r="28" ht="15" customHeight="1">
      <c r="A28" s="12" t="n">
        <v>46265</v>
      </c>
      <c r="B28" s="13">
        <f>IF(A28="","",EOMONTH(A28,0))</f>
        <v/>
      </c>
      <c r="C28" s="14" t="inlineStr">
        <is>
          <t>INV-10565</t>
        </is>
      </c>
      <c r="D28" s="14" t="inlineStr">
        <is>
          <t>CBA</t>
        </is>
      </c>
      <c r="E28" s="14" t="inlineStr">
        <is>
          <t>1350</t>
        </is>
      </c>
      <c r="F28" s="15">
        <f>IF(E28="","",IF(COUNTIF(lst_Jobs,E28&amp;"")&gt;0,"OK","CHECK"))</f>
        <v/>
      </c>
      <c r="G28" s="14" t="inlineStr">
        <is>
          <t>CBA BNE August 2026</t>
        </is>
      </c>
      <c r="H28" s="14" t="inlineStr">
        <is>
          <t>Onsite</t>
        </is>
      </c>
      <c r="I28" s="14" t="inlineStr">
        <is>
          <t>ONSITE</t>
        </is>
      </c>
      <c r="J28" s="14" t="inlineStr">
        <is>
          <t>Contract</t>
        </is>
      </c>
      <c r="K28" s="14" t="inlineStr">
        <is>
          <t>GST 10%</t>
        </is>
      </c>
      <c r="L28" s="16" t="n">
        <v>8022.5</v>
      </c>
      <c r="M28" s="17">
        <f>IF(L28="","",IF(K28="GST 10%",ROUND(L28*set_GSTRate,2),0))</f>
        <v/>
      </c>
      <c r="N28" s="17">
        <f>IF(L28="","",L28+M28)</f>
        <v/>
      </c>
      <c r="O28" s="14" t="inlineStr">
        <is>
          <t>41100</t>
        </is>
      </c>
      <c r="P28" s="14" t="inlineStr">
        <is>
          <t>Y</t>
        </is>
      </c>
      <c r="Q28" s="14" t="inlineStr">
        <is>
          <t>N</t>
        </is>
      </c>
      <c r="R28" s="12" t="n"/>
      <c r="S28" s="12" t="n"/>
      <c r="T28" s="14" t="inlineStr">
        <is>
          <t>Invoiced</t>
        </is>
      </c>
      <c r="U28" s="14" t="n"/>
      <c r="V28" s="15">
        <f>IF(COUNTA(A28,D28,C28,L28)=0,"",IF(A28="","No date - sits outside every month",IF(E28="","No job number",IF(F28="CHECK","Job number is not in the Xero job list",IF(I28="","No cost centre",IF(AND(P28="Y",C28=""),"Marked posted to Xero but has no invoice number",IF(AND(L28&lt;&gt;"",K28=""),"No tax code",IF(AND(L28&lt;&gt;"",O28=""),"No revenue GL code",""))))))))</f>
        <v/>
      </c>
    </row>
    <row r="29" ht="15" customHeight="1">
      <c r="A29" s="12" t="n"/>
      <c r="B29" s="13">
        <f>IF(A29="","",EOMONTH(A29,0))</f>
        <v/>
      </c>
      <c r="C29" s="14" t="n"/>
      <c r="D29" s="14" t="inlineStr">
        <is>
          <t>CBA</t>
        </is>
      </c>
      <c r="E29" s="14" t="inlineStr">
        <is>
          <t>585/586/1755</t>
        </is>
      </c>
      <c r="F29" s="15">
        <f>IF(E29="","",IF(COUNTIF(lst_Jobs,E29&amp;"")&gt;0,"OK","CHECK"))</f>
        <v/>
      </c>
      <c r="G29" s="14" t="inlineStr">
        <is>
          <t>CBP August 2026</t>
        </is>
      </c>
      <c r="H29" s="14" t="inlineStr">
        <is>
          <t>Onsite</t>
        </is>
      </c>
      <c r="I29" s="14" t="inlineStr">
        <is>
          <t>ONSITE</t>
        </is>
      </c>
      <c r="J29" s="14" t="inlineStr">
        <is>
          <t>Contract</t>
        </is>
      </c>
      <c r="K29" s="14" t="inlineStr">
        <is>
          <t>GST 10%</t>
        </is>
      </c>
      <c r="L29" s="16" t="n"/>
      <c r="M29" s="17">
        <f>IF(L29="","",IF(K29="GST 10%",ROUND(L29*set_GSTRate,2),0))</f>
        <v/>
      </c>
      <c r="N29" s="17">
        <f>IF(L29="","",L29+M29)</f>
        <v/>
      </c>
      <c r="O29" s="14" t="inlineStr">
        <is>
          <t>41100</t>
        </is>
      </c>
      <c r="P29" s="14" t="inlineStr">
        <is>
          <t>N</t>
        </is>
      </c>
      <c r="Q29" s="14" t="inlineStr">
        <is>
          <t>N</t>
        </is>
      </c>
      <c r="R29" s="12" t="n"/>
      <c r="S29" s="12" t="n"/>
      <c r="T29" s="14" t="inlineStr">
        <is>
          <t>To Invoice</t>
        </is>
      </c>
      <c r="U29" s="14" t="n"/>
      <c r="V29" s="15">
        <f>IF(COUNTA(A29,D29,C29,L29)=0,"",IF(A29="","No date - sits outside every month",IF(E29="","No job number",IF(F29="CHECK","Job number is not in the Xero job list",IF(I29="","No cost centre",IF(AND(P29="Y",C29=""),"Marked posted to Xero but has no invoice number",IF(AND(L29&lt;&gt;"",K29=""),"No tax code",IF(AND(L29&lt;&gt;"",O29=""),"No revenue GL code",""))))))))</f>
        <v/>
      </c>
    </row>
    <row r="30" ht="15" customHeight="1">
      <c r="A30" s="12" t="n"/>
      <c r="B30" s="13">
        <f>IF(A30="","",EOMONTH(A30,0))</f>
        <v/>
      </c>
      <c r="C30" s="14" t="n"/>
      <c r="D30" s="14" t="inlineStr">
        <is>
          <t>CBA</t>
        </is>
      </c>
      <c r="E30" s="14" t="inlineStr">
        <is>
          <t>587</t>
        </is>
      </c>
      <c r="F30" s="15">
        <f>IF(E30="","",IF(COUNTIF(lst_Jobs,E30&amp;"")&gt;0,"OK","CHECK"))</f>
        <v/>
      </c>
      <c r="G30" s="14" t="inlineStr">
        <is>
          <t>CBS August 2026</t>
        </is>
      </c>
      <c r="H30" s="14" t="inlineStr">
        <is>
          <t>Onsite</t>
        </is>
      </c>
      <c r="I30" s="14" t="inlineStr">
        <is>
          <t>ONSITE</t>
        </is>
      </c>
      <c r="J30" s="14" t="inlineStr">
        <is>
          <t>Contract</t>
        </is>
      </c>
      <c r="K30" s="14" t="inlineStr">
        <is>
          <t>GST 10%</t>
        </is>
      </c>
      <c r="L30" s="16" t="n"/>
      <c r="M30" s="17">
        <f>IF(L30="","",IF(K30="GST 10%",ROUND(L30*set_GSTRate,2),0))</f>
        <v/>
      </c>
      <c r="N30" s="17">
        <f>IF(L30="","",L30+M30)</f>
        <v/>
      </c>
      <c r="O30" s="14" t="inlineStr">
        <is>
          <t>41100</t>
        </is>
      </c>
      <c r="P30" s="14" t="inlineStr">
        <is>
          <t>N</t>
        </is>
      </c>
      <c r="Q30" s="14" t="inlineStr">
        <is>
          <t>N</t>
        </is>
      </c>
      <c r="R30" s="12" t="n"/>
      <c r="S30" s="12" t="n"/>
      <c r="T30" s="14" t="inlineStr">
        <is>
          <t>To Invoice</t>
        </is>
      </c>
      <c r="U30" s="14" t="n"/>
      <c r="V30" s="15">
        <f>IF(COUNTA(A30,D30,C30,L30)=0,"",IF(A30="","No date - sits outside every month",IF(E30="","No job number",IF(F30="CHECK","Job number is not in the Xero job list",IF(I30="","No cost centre",IF(AND(P30="Y",C30=""),"Marked posted to Xero but has no invoice number",IF(AND(L30&lt;&gt;"",K30=""),"No tax code",IF(AND(L30&lt;&gt;"",O30=""),"No revenue GL code",""))))))))</f>
        <v/>
      </c>
    </row>
    <row r="31" ht="15" customHeight="1">
      <c r="A31" s="12" t="n">
        <v>46265</v>
      </c>
      <c r="B31" s="13">
        <f>IF(A31="","",EOMONTH(A31,0))</f>
        <v/>
      </c>
      <c r="C31" s="14" t="inlineStr">
        <is>
          <t>INV-10569</t>
        </is>
      </c>
      <c r="D31" s="14" t="inlineStr">
        <is>
          <t>DTTL</t>
        </is>
      </c>
      <c r="E31" s="14" t="inlineStr">
        <is>
          <t>2846/1401/725/1400/1530/1862/2402/2849/974</t>
        </is>
      </c>
      <c r="F31" s="15">
        <f>IF(E31="","",IF(COUNTIF(lst_Jobs,E31&amp;"")&gt;0,"OK","CHECK"))</f>
        <v/>
      </c>
      <c r="G31" s="14" t="inlineStr">
        <is>
          <t>DTTL Contract August 2026</t>
        </is>
      </c>
      <c r="H31" s="14" t="inlineStr">
        <is>
          <t>Onsite</t>
        </is>
      </c>
      <c r="I31" s="14" t="inlineStr">
        <is>
          <t>ONSITE</t>
        </is>
      </c>
      <c r="J31" s="14" t="inlineStr">
        <is>
          <t>Contract</t>
        </is>
      </c>
      <c r="K31" s="14" t="inlineStr">
        <is>
          <t>GST 10%</t>
        </is>
      </c>
      <c r="L31" s="16" t="n">
        <v>103625.44</v>
      </c>
      <c r="M31" s="17">
        <f>IF(L31="","",IF(K31="GST 10%",ROUND(L31*set_GSTRate,2),0))</f>
        <v/>
      </c>
      <c r="N31" s="17">
        <f>IF(L31="","",L31+M31)</f>
        <v/>
      </c>
      <c r="O31" s="14" t="inlineStr">
        <is>
          <t>41100</t>
        </is>
      </c>
      <c r="P31" s="14" t="inlineStr">
        <is>
          <t>Y</t>
        </is>
      </c>
      <c r="Q31" s="14" t="inlineStr">
        <is>
          <t>N</t>
        </is>
      </c>
      <c r="R31" s="12" t="n"/>
      <c r="S31" s="12" t="n"/>
      <c r="T31" s="14" t="inlineStr">
        <is>
          <t>Invoiced</t>
        </is>
      </c>
      <c r="U31" s="14" t="n"/>
      <c r="V31" s="15">
        <f>IF(COUNTA(A31,D31,C31,L31)=0,"",IF(A31="","No date - sits outside every month",IF(E31="","No job number",IF(F31="CHECK","Job number is not in the Xero job list",IF(I31="","No cost centre",IF(AND(P31="Y",C31=""),"Marked posted to Xero but has no invoice number",IF(AND(L31&lt;&gt;"",K31=""),"No tax code",IF(AND(L31&lt;&gt;"",O31=""),"No revenue GL code",""))))))))</f>
        <v/>
      </c>
    </row>
    <row r="32" ht="15" customHeight="1">
      <c r="A32" s="12" t="n">
        <v>46265</v>
      </c>
      <c r="B32" s="13">
        <f>IF(A32="","",EOMONTH(A32,0))</f>
        <v/>
      </c>
      <c r="C32" s="14" t="inlineStr">
        <is>
          <t>INV-10570</t>
        </is>
      </c>
      <c r="D32" s="14" t="inlineStr">
        <is>
          <t>BW</t>
        </is>
      </c>
      <c r="E32" s="14" t="inlineStr">
        <is>
          <t>732/1144</t>
        </is>
      </c>
      <c r="F32" s="15">
        <f>IF(E32="","",IF(COUNTIF(lst_Jobs,E32&amp;"")&gt;0,"OK","CHECK"))</f>
        <v/>
      </c>
      <c r="G32" s="14" t="inlineStr">
        <is>
          <t>BW Contract August 2026</t>
        </is>
      </c>
      <c r="H32" s="14" t="inlineStr">
        <is>
          <t>Onsite</t>
        </is>
      </c>
      <c r="I32" s="14" t="inlineStr">
        <is>
          <t>ONSITE</t>
        </is>
      </c>
      <c r="J32" s="14" t="inlineStr">
        <is>
          <t>Contract</t>
        </is>
      </c>
      <c r="K32" s="14" t="inlineStr">
        <is>
          <t>GST 10%</t>
        </is>
      </c>
      <c r="L32" s="16" t="n">
        <v>15113.75</v>
      </c>
      <c r="M32" s="17">
        <f>IF(L32="","",IF(K32="GST 10%",ROUND(L32*set_GSTRate,2),0))</f>
        <v/>
      </c>
      <c r="N32" s="17">
        <f>IF(L32="","",L32+M32)</f>
        <v/>
      </c>
      <c r="O32" s="14" t="inlineStr">
        <is>
          <t>41100</t>
        </is>
      </c>
      <c r="P32" s="14" t="inlineStr">
        <is>
          <t>Y</t>
        </is>
      </c>
      <c r="Q32" s="14" t="inlineStr">
        <is>
          <t>N</t>
        </is>
      </c>
      <c r="R32" s="12" t="n"/>
      <c r="S32" s="12" t="n"/>
      <c r="T32" s="14" t="inlineStr">
        <is>
          <t>Invoiced</t>
        </is>
      </c>
      <c r="U32" s="14" t="n"/>
      <c r="V32" s="15">
        <f>IF(COUNTA(A32,D32,C32,L32)=0,"",IF(A32="","No date - sits outside every month",IF(E32="","No job number",IF(F32="CHECK","Job number is not in the Xero job list",IF(I32="","No cost centre",IF(AND(P32="Y",C32=""),"Marked posted to Xero but has no invoice number",IF(AND(L32&lt;&gt;"",K32=""),"No tax code",IF(AND(L32&lt;&gt;"",O32=""),"No revenue GL code",""))))))))</f>
        <v/>
      </c>
    </row>
    <row r="33" ht="15" customHeight="1">
      <c r="A33" s="12" t="n">
        <v>46265</v>
      </c>
      <c r="B33" s="13">
        <f>IF(A33="","",EOMONTH(A33,0))</f>
        <v/>
      </c>
      <c r="C33" s="14" t="inlineStr">
        <is>
          <t>INV-10571</t>
        </is>
      </c>
      <c r="D33" s="14" t="inlineStr">
        <is>
          <t>BW</t>
        </is>
      </c>
      <c r="E33" s="14" t="inlineStr">
        <is>
          <t>2192</t>
        </is>
      </c>
      <c r="F33" s="15">
        <f>IF(E33="","",IF(COUNTIF(lst_Jobs,E33&amp;"")&gt;0,"OK","CHECK"))</f>
        <v/>
      </c>
      <c r="G33" s="14" t="inlineStr">
        <is>
          <t>BW Additionals August 2026</t>
        </is>
      </c>
      <c r="H33" s="14" t="inlineStr">
        <is>
          <t>Onsite</t>
        </is>
      </c>
      <c r="I33" s="14" t="inlineStr">
        <is>
          <t>ONSITE</t>
        </is>
      </c>
      <c r="J33" s="14" t="inlineStr">
        <is>
          <t>Contract</t>
        </is>
      </c>
      <c r="K33" s="14" t="inlineStr">
        <is>
          <t>GST 10%</t>
        </is>
      </c>
      <c r="L33" s="16" t="n">
        <v>2080</v>
      </c>
      <c r="M33" s="17">
        <f>IF(L33="","",IF(K33="GST 10%",ROUND(L33*set_GSTRate,2),0))</f>
        <v/>
      </c>
      <c r="N33" s="17">
        <f>IF(L33="","",L33+M33)</f>
        <v/>
      </c>
      <c r="O33" s="14" t="inlineStr">
        <is>
          <t>41100</t>
        </is>
      </c>
      <c r="P33" s="14" t="inlineStr">
        <is>
          <t>Y</t>
        </is>
      </c>
      <c r="Q33" s="14" t="inlineStr">
        <is>
          <t>N</t>
        </is>
      </c>
      <c r="R33" s="12" t="n"/>
      <c r="S33" s="12" t="n"/>
      <c r="T33" s="14" t="inlineStr">
        <is>
          <t>Invoiced</t>
        </is>
      </c>
      <c r="U33" s="14" t="n"/>
      <c r="V33" s="15">
        <f>IF(COUNTA(A33,D33,C33,L33)=0,"",IF(A33="","No date - sits outside every month",IF(E33="","No job number",IF(F33="CHECK","Job number is not in the Xero job list",IF(I33="","No cost centre",IF(AND(P33="Y",C33=""),"Marked posted to Xero but has no invoice number",IF(AND(L33&lt;&gt;"",K33=""),"No tax code",IF(AND(L33&lt;&gt;"",O33=""),"No revenue GL code",""))))))))</f>
        <v/>
      </c>
    </row>
    <row r="34" ht="15" customHeight="1">
      <c r="A34" s="12" t="n">
        <v>46265</v>
      </c>
      <c r="B34" s="13">
        <f>IF(A34="","",EOMONTH(A34,0))</f>
        <v/>
      </c>
      <c r="C34" s="14" t="inlineStr">
        <is>
          <t>INV-10572</t>
        </is>
      </c>
      <c r="D34" s="14" t="inlineStr">
        <is>
          <t>PWC</t>
        </is>
      </c>
      <c r="E34" s="14" t="inlineStr">
        <is>
          <t>2488</t>
        </is>
      </c>
      <c r="F34" s="15">
        <f>IF(E34="","",IF(COUNTIF(lst_Jobs,E34&amp;"")&gt;0,"OK","CHECK"))</f>
        <v/>
      </c>
      <c r="G34" s="14" t="inlineStr">
        <is>
          <t>PWC Brisbane August 2026</t>
        </is>
      </c>
      <c r="H34" s="14" t="inlineStr">
        <is>
          <t>Onsite</t>
        </is>
      </c>
      <c r="I34" s="14" t="inlineStr">
        <is>
          <t>ONSITE</t>
        </is>
      </c>
      <c r="J34" s="14" t="inlineStr">
        <is>
          <t>Contract</t>
        </is>
      </c>
      <c r="K34" s="14" t="inlineStr">
        <is>
          <t>GST 10%</t>
        </is>
      </c>
      <c r="L34" s="16" t="n">
        <v>7150</v>
      </c>
      <c r="M34" s="17">
        <f>IF(L34="","",IF(K34="GST 10%",ROUND(L34*set_GSTRate,2),0))</f>
        <v/>
      </c>
      <c r="N34" s="17">
        <f>IF(L34="","",L34+M34)</f>
        <v/>
      </c>
      <c r="O34" s="14" t="inlineStr">
        <is>
          <t>41100</t>
        </is>
      </c>
      <c r="P34" s="14" t="inlineStr">
        <is>
          <t>Y</t>
        </is>
      </c>
      <c r="Q34" s="14" t="inlineStr">
        <is>
          <t>N</t>
        </is>
      </c>
      <c r="R34" s="12" t="n"/>
      <c r="S34" s="12" t="n"/>
      <c r="T34" s="14" t="inlineStr">
        <is>
          <t>Invoiced</t>
        </is>
      </c>
      <c r="U34" s="14" t="n"/>
      <c r="V34" s="15">
        <f>IF(COUNTA(A34,D34,C34,L34)=0,"",IF(A34="","No date - sits outside every month",IF(E34="","No job number",IF(F34="CHECK","Job number is not in the Xero job list",IF(I34="","No cost centre",IF(AND(P34="Y",C34=""),"Marked posted to Xero but has no invoice number",IF(AND(L34&lt;&gt;"",K34=""),"No tax code",IF(AND(L34&lt;&gt;"",O34=""),"No revenue GL code",""))))))))</f>
        <v/>
      </c>
    </row>
    <row r="35" ht="15" customHeight="1">
      <c r="A35" s="12" t="n">
        <v>46265</v>
      </c>
      <c r="B35" s="13">
        <f>IF(A35="","",EOMONTH(A35,0))</f>
        <v/>
      </c>
      <c r="C35" s="14" t="inlineStr">
        <is>
          <t>INV-10573</t>
        </is>
      </c>
      <c r="D35" s="14" t="inlineStr">
        <is>
          <t>Gen-E</t>
        </is>
      </c>
      <c r="E35" s="14" t="inlineStr">
        <is>
          <t>26021602</t>
        </is>
      </c>
      <c r="F35" s="15">
        <f>IF(E35="","",IF(COUNTIF(lst_Jobs,E35&amp;"")&gt;0,"OK","CHECK"))</f>
        <v/>
      </c>
      <c r="G35" s="14" t="inlineStr">
        <is>
          <t>Gen-E ABS August 2026</t>
        </is>
      </c>
      <c r="H35" s="14" t="inlineStr">
        <is>
          <t>Onsite</t>
        </is>
      </c>
      <c r="I35" s="14" t="inlineStr">
        <is>
          <t>ONSITE</t>
        </is>
      </c>
      <c r="J35" s="14" t="inlineStr">
        <is>
          <t>Contract</t>
        </is>
      </c>
      <c r="K35" s="14" t="inlineStr">
        <is>
          <t>GST 10%</t>
        </is>
      </c>
      <c r="L35" s="16" t="n">
        <v>12388.8</v>
      </c>
      <c r="M35" s="17">
        <f>IF(L35="","",IF(K35="GST 10%",ROUND(L35*set_GSTRate,2),0))</f>
        <v/>
      </c>
      <c r="N35" s="17">
        <f>IF(L35="","",L35+M35)</f>
        <v/>
      </c>
      <c r="O35" s="14" t="inlineStr">
        <is>
          <t>41100</t>
        </is>
      </c>
      <c r="P35" s="14" t="inlineStr">
        <is>
          <t>Y</t>
        </is>
      </c>
      <c r="Q35" s="14" t="inlineStr">
        <is>
          <t>N</t>
        </is>
      </c>
      <c r="R35" s="12" t="n"/>
      <c r="S35" s="12" t="n"/>
      <c r="T35" s="14" t="inlineStr">
        <is>
          <t>Invoiced</t>
        </is>
      </c>
      <c r="U35" s="14" t="n"/>
      <c r="V35" s="15">
        <f>IF(COUNTA(A35,D35,C35,L35)=0,"",IF(A35="","No date - sits outside every month",IF(E35="","No job number",IF(F35="CHECK","Job number is not in the Xero job list",IF(I35="","No cost centre",IF(AND(P35="Y",C35=""),"Marked posted to Xero but has no invoice number",IF(AND(L35&lt;&gt;"",K35=""),"No tax code",IF(AND(L35&lt;&gt;"",O35=""),"No revenue GL code",""))))))))</f>
        <v/>
      </c>
    </row>
    <row r="36" ht="15" customHeight="1">
      <c r="A36" s="12" t="n">
        <v>46265</v>
      </c>
      <c r="B36" s="13">
        <f>IF(A36="","",EOMONTH(A36,0))</f>
        <v/>
      </c>
      <c r="C36" s="14" t="inlineStr">
        <is>
          <t>INV-10582</t>
        </is>
      </c>
      <c r="D36" s="14" t="inlineStr">
        <is>
          <t>CBA</t>
        </is>
      </c>
      <c r="E36" s="14" t="inlineStr">
        <is>
          <t>26043001</t>
        </is>
      </c>
      <c r="F36" s="15">
        <f>IF(E36="","",IF(COUNTIF(lst_Jobs,E36&amp;"")&gt;0,"OK","CHECK"))</f>
        <v/>
      </c>
      <c r="G36" s="14" t="inlineStr">
        <is>
          <t>CBA Mel August 2026</t>
        </is>
      </c>
      <c r="H36" s="14" t="inlineStr">
        <is>
          <t>Onsite</t>
        </is>
      </c>
      <c r="I36" s="14" t="inlineStr">
        <is>
          <t>ONSITE</t>
        </is>
      </c>
      <c r="J36" s="14" t="inlineStr">
        <is>
          <t>Contract</t>
        </is>
      </c>
      <c r="K36" s="14" t="inlineStr">
        <is>
          <t>GST 10%</t>
        </is>
      </c>
      <c r="L36" s="16" t="n">
        <v>11960</v>
      </c>
      <c r="M36" s="17">
        <f>IF(L36="","",IF(K36="GST 10%",ROUND(L36*set_GSTRate,2),0))</f>
        <v/>
      </c>
      <c r="N36" s="17">
        <f>IF(L36="","",L36+M36)</f>
        <v/>
      </c>
      <c r="O36" s="14" t="inlineStr">
        <is>
          <t>41100</t>
        </is>
      </c>
      <c r="P36" s="14" t="inlineStr">
        <is>
          <t>Y</t>
        </is>
      </c>
      <c r="Q36" s="14" t="inlineStr">
        <is>
          <t>N</t>
        </is>
      </c>
      <c r="R36" s="12" t="n"/>
      <c r="S36" s="12" t="n"/>
      <c r="T36" s="14" t="inlineStr">
        <is>
          <t>Invoiced</t>
        </is>
      </c>
      <c r="U36" s="14" t="n"/>
      <c r="V36" s="15">
        <f>IF(COUNTA(A36,D36,C36,L36)=0,"",IF(A36="","No date - sits outside every month",IF(E36="","No job number",IF(F36="CHECK","Job number is not in the Xero job list",IF(I36="","No cost centre",IF(AND(P36="Y",C36=""),"Marked posted to Xero but has no invoice number",IF(AND(L36&lt;&gt;"",K36=""),"No tax code",IF(AND(L36&lt;&gt;"",O36=""),"No revenue GL code",""))))))))</f>
        <v/>
      </c>
    </row>
    <row r="37" ht="15" customHeight="1">
      <c r="A37" s="12" t="n">
        <v>46265</v>
      </c>
      <c r="B37" s="13">
        <f>IF(A37="","",EOMONTH(A37,0))</f>
        <v/>
      </c>
      <c r="C37" s="14" t="inlineStr">
        <is>
          <t>INV-10615</t>
        </is>
      </c>
      <c r="D37" s="14" t="inlineStr">
        <is>
          <t>Aware Super</t>
        </is>
      </c>
      <c r="E37" s="14" t="inlineStr">
        <is>
          <t>26022301</t>
        </is>
      </c>
      <c r="F37" s="15">
        <f>IF(E37="","",IF(COUNTIF(lst_Jobs,E37&amp;"")&gt;0,"OK","CHECK"))</f>
        <v/>
      </c>
      <c r="G37" s="14" t="inlineStr">
        <is>
          <t>Aware Super Contract August 2026</t>
        </is>
      </c>
      <c r="H37" s="14" t="inlineStr">
        <is>
          <t>Onsite</t>
        </is>
      </c>
      <c r="I37" s="14" t="inlineStr">
        <is>
          <t>ONSITE</t>
        </is>
      </c>
      <c r="J37" s="14" t="inlineStr">
        <is>
          <t>Contract</t>
        </is>
      </c>
      <c r="K37" s="14" t="inlineStr">
        <is>
          <t>GST 10%</t>
        </is>
      </c>
      <c r="L37" s="16" t="n">
        <v>11000</v>
      </c>
      <c r="M37" s="17">
        <f>IF(L37="","",IF(K37="GST 10%",ROUND(L37*set_GSTRate,2),0))</f>
        <v/>
      </c>
      <c r="N37" s="17">
        <f>IF(L37="","",L37+M37)</f>
        <v/>
      </c>
      <c r="O37" s="14" t="inlineStr">
        <is>
          <t>41100</t>
        </is>
      </c>
      <c r="P37" s="14" t="inlineStr">
        <is>
          <t>Y</t>
        </is>
      </c>
      <c r="Q37" s="14" t="inlineStr">
        <is>
          <t>N</t>
        </is>
      </c>
      <c r="R37" s="12" t="n"/>
      <c r="S37" s="12" t="n"/>
      <c r="T37" s="14" t="inlineStr">
        <is>
          <t>Invoiced</t>
        </is>
      </c>
      <c r="U37" s="14" t="inlineStr">
        <is>
          <t>Split TBC - Xero split this with production ($850)</t>
        </is>
      </c>
      <c r="V37" s="15">
        <f>IF(COUNTA(A37,D37,C37,L37)=0,"",IF(A37="","No date - sits outside every month",IF(E37="","No job number",IF(F37="CHECK","Job number is not in the Xero job list",IF(I37="","No cost centre",IF(AND(P37="Y",C37=""),"Marked posted to Xero but has no invoice number",IF(AND(L37&lt;&gt;"",K37=""),"No tax code",IF(AND(L37&lt;&gt;"",O37=""),"No revenue GL code",""))))))))</f>
        <v/>
      </c>
    </row>
    <row r="38" ht="15" customHeight="1">
      <c r="A38" s="12" t="n">
        <v>46265</v>
      </c>
      <c r="B38" s="13">
        <f>IF(A38="","",EOMONTH(A38,0))</f>
        <v/>
      </c>
      <c r="C38" s="14" t="inlineStr">
        <is>
          <t>INV-10585</t>
        </is>
      </c>
      <c r="D38" s="14" t="inlineStr">
        <is>
          <t>PWC</t>
        </is>
      </c>
      <c r="E38" s="14" t="inlineStr">
        <is>
          <t>25101301B</t>
        </is>
      </c>
      <c r="F38" s="15">
        <f>IF(E38="","",IF(COUNTIF(lst_Jobs,E38&amp;"")&gt;0,"OK","CHECK"))</f>
        <v/>
      </c>
      <c r="G38" s="14" t="inlineStr">
        <is>
          <t>PWC Sydney IT August 2026</t>
        </is>
      </c>
      <c r="H38" s="14" t="inlineStr">
        <is>
          <t>Onsite</t>
        </is>
      </c>
      <c r="I38" s="14" t="inlineStr">
        <is>
          <t>ONSITE</t>
        </is>
      </c>
      <c r="J38" s="14" t="inlineStr">
        <is>
          <t>Contract</t>
        </is>
      </c>
      <c r="K38" s="14" t="inlineStr">
        <is>
          <t>GST 10%</t>
        </is>
      </c>
      <c r="L38" s="16" t="n">
        <v>11907</v>
      </c>
      <c r="M38" s="17">
        <f>IF(L38="","",IF(K38="GST 10%",ROUND(L38*set_GSTRate,2),0))</f>
        <v/>
      </c>
      <c r="N38" s="17">
        <f>IF(L38="","",L38+M38)</f>
        <v/>
      </c>
      <c r="O38" s="14" t="inlineStr">
        <is>
          <t>41100</t>
        </is>
      </c>
      <c r="P38" s="14" t="inlineStr">
        <is>
          <t>Y</t>
        </is>
      </c>
      <c r="Q38" s="14" t="inlineStr">
        <is>
          <t>N</t>
        </is>
      </c>
      <c r="R38" s="12" t="n"/>
      <c r="S38" s="12" t="n"/>
      <c r="T38" s="14" t="inlineStr">
        <is>
          <t>Invoiced</t>
        </is>
      </c>
      <c r="U38" s="14" t="n"/>
      <c r="V38" s="15">
        <f>IF(COUNTA(A38,D38,C38,L38)=0,"",IF(A38="","No date - sits outside every month",IF(E38="","No job number",IF(F38="CHECK","Job number is not in the Xero job list",IF(I38="","No cost centre",IF(AND(P38="Y",C38=""),"Marked posted to Xero but has no invoice number",IF(AND(L38&lt;&gt;"",K38=""),"No tax code",IF(AND(L38&lt;&gt;"",O38=""),"No revenue GL code",""))))))))</f>
        <v/>
      </c>
    </row>
    <row r="39" ht="15" customHeight="1">
      <c r="A39" s="12" t="n"/>
      <c r="B39" s="13">
        <f>IF(A39="","",EOMONTH(A39,0))</f>
        <v/>
      </c>
      <c r="C39" s="14" t="n"/>
      <c r="D39" s="14" t="inlineStr">
        <is>
          <t>TWG</t>
        </is>
      </c>
      <c r="E39" s="14" t="inlineStr">
        <is>
          <t>26081301</t>
        </is>
      </c>
      <c r="F39" s="15">
        <f>IF(E39="","",IF(COUNTIF(lst_Jobs,E39&amp;"")&gt;0,"OK","CHECK"))</f>
        <v/>
      </c>
      <c r="G39" s="14" t="inlineStr">
        <is>
          <t>EY Support Technician BNE</t>
        </is>
      </c>
      <c r="H39" s="14" t="inlineStr">
        <is>
          <t>Onsite</t>
        </is>
      </c>
      <c r="I39" s="14" t="inlineStr">
        <is>
          <t>ONSITE</t>
        </is>
      </c>
      <c r="J39" s="14" t="inlineStr">
        <is>
          <t>Contract</t>
        </is>
      </c>
      <c r="K39" s="14" t="inlineStr">
        <is>
          <t>GST 10%</t>
        </is>
      </c>
      <c r="L39" s="16" t="n">
        <v>3740</v>
      </c>
      <c r="M39" s="17">
        <f>IF(L39="","",IF(K39="GST 10%",ROUND(L39*set_GSTRate,2),0))</f>
        <v/>
      </c>
      <c r="N39" s="17">
        <f>IF(L39="","",L39+M39)</f>
        <v/>
      </c>
      <c r="O39" s="14" t="inlineStr">
        <is>
          <t>41100</t>
        </is>
      </c>
      <c r="P39" s="14" t="inlineStr">
        <is>
          <t>N</t>
        </is>
      </c>
      <c r="Q39" s="14" t="inlineStr">
        <is>
          <t>N</t>
        </is>
      </c>
      <c r="R39" s="12" t="n"/>
      <c r="S39" s="12" t="n"/>
      <c r="T39" s="14" t="inlineStr">
        <is>
          <t>To Invoice</t>
        </is>
      </c>
      <c r="U39" s="14" t="inlineStr">
        <is>
          <t>November</t>
        </is>
      </c>
      <c r="V39" s="15">
        <f>IF(COUNTA(A39,D39,C39,L39)=0,"",IF(A39="","No date - sits outside every month",IF(E39="","No job number",IF(F39="CHECK","Job number is not in the Xero job list",IF(I39="","No cost centre",IF(AND(P39="Y",C39=""),"Marked posted to Xero but has no invoice number",IF(AND(L39&lt;&gt;"",K39=""),"No tax code",IF(AND(L39&lt;&gt;"",O39=""),"No revenue GL code",""))))))))</f>
        <v/>
      </c>
    </row>
    <row r="40" ht="15" customHeight="1">
      <c r="A40" s="12" t="n">
        <v>46265</v>
      </c>
      <c r="B40" s="13">
        <f>IF(A40="","",EOMONTH(A40,0))</f>
        <v/>
      </c>
      <c r="C40" s="14" t="inlineStr">
        <is>
          <t>INV-10603</t>
        </is>
      </c>
      <c r="D40" s="14" t="inlineStr">
        <is>
          <t>CBA</t>
        </is>
      </c>
      <c r="E40" s="14" t="inlineStr">
        <is>
          <t>1668</t>
        </is>
      </c>
      <c r="F40" s="15">
        <f>IF(E40="","",IF(COUNTIF(lst_Jobs,E40&amp;"")&gt;0,"OK","CHECK"))</f>
        <v/>
      </c>
      <c r="G40" s="14" t="inlineStr">
        <is>
          <t>85720001CBPSCSJUN27 AFTERHOUR</t>
        </is>
      </c>
      <c r="H40" s="14" t="inlineStr">
        <is>
          <t>Onsite</t>
        </is>
      </c>
      <c r="I40" s="14" t="inlineStr">
        <is>
          <t>ONSITE</t>
        </is>
      </c>
      <c r="J40" s="14" t="inlineStr">
        <is>
          <t>Contract</t>
        </is>
      </c>
      <c r="K40" s="14" t="inlineStr">
        <is>
          <t>GST 10%</t>
        </is>
      </c>
      <c r="L40" s="16" t="n">
        <v>775</v>
      </c>
      <c r="M40" s="17">
        <f>IF(L40="","",IF(K40="GST 10%",ROUND(L40*set_GSTRate,2),0))</f>
        <v/>
      </c>
      <c r="N40" s="17">
        <f>IF(L40="","",L40+M40)</f>
        <v/>
      </c>
      <c r="O40" s="14" t="inlineStr">
        <is>
          <t>41100</t>
        </is>
      </c>
      <c r="P40" s="14" t="inlineStr">
        <is>
          <t>Y</t>
        </is>
      </c>
      <c r="Q40" s="14" t="inlineStr">
        <is>
          <t>N</t>
        </is>
      </c>
      <c r="R40" s="12" t="n"/>
      <c r="S40" s="12" t="n"/>
      <c r="T40" s="14" t="inlineStr">
        <is>
          <t>Invoiced</t>
        </is>
      </c>
      <c r="U40" s="14" t="n"/>
      <c r="V40" s="15">
        <f>IF(COUNTA(A40,D40,C40,L40)=0,"",IF(A40="","No date - sits outside every month",IF(E40="","No job number",IF(F40="CHECK","Job number is not in the Xero job list",IF(I40="","No cost centre",IF(AND(P40="Y",C40=""),"Marked posted to Xero but has no invoice number",IF(AND(L40&lt;&gt;"",K40=""),"No tax code",IF(AND(L40&lt;&gt;"",O40=""),"No revenue GL code",""))))))))</f>
        <v/>
      </c>
    </row>
    <row r="41" ht="15" customHeight="1">
      <c r="A41" s="12" t="n">
        <v>46265</v>
      </c>
      <c r="B41" s="13">
        <f>IF(A41="","",EOMONTH(A41,0))</f>
        <v/>
      </c>
      <c r="C41" s="14" t="inlineStr">
        <is>
          <t>INV-10604</t>
        </is>
      </c>
      <c r="D41" s="14" t="inlineStr">
        <is>
          <t>CBA</t>
        </is>
      </c>
      <c r="E41" s="14" t="inlineStr">
        <is>
          <t>1668</t>
        </is>
      </c>
      <c r="F41" s="15">
        <f>IF(E41="","",IF(COUNTIF(lst_Jobs,E41&amp;"")&gt;0,"OK","CHECK"))</f>
        <v/>
      </c>
      <c r="G41" s="14" t="inlineStr">
        <is>
          <t>85720001CBPSCSJUN27 DEDICATED TECH</t>
        </is>
      </c>
      <c r="H41" s="14" t="inlineStr">
        <is>
          <t>Onsite</t>
        </is>
      </c>
      <c r="I41" s="14" t="inlineStr">
        <is>
          <t>ONSITE</t>
        </is>
      </c>
      <c r="J41" s="14" t="inlineStr">
        <is>
          <t>Contract</t>
        </is>
      </c>
      <c r="K41" s="14" t="inlineStr">
        <is>
          <t>GST 10%</t>
        </is>
      </c>
      <c r="L41" s="16" t="n">
        <v>510</v>
      </c>
      <c r="M41" s="17">
        <f>IF(L41="","",IF(K41="GST 10%",ROUND(L41*set_GSTRate,2),0))</f>
        <v/>
      </c>
      <c r="N41" s="17">
        <f>IF(L41="","",L41+M41)</f>
        <v/>
      </c>
      <c r="O41" s="14" t="inlineStr">
        <is>
          <t>41100</t>
        </is>
      </c>
      <c r="P41" s="14" t="inlineStr">
        <is>
          <t>Y</t>
        </is>
      </c>
      <c r="Q41" s="14" t="inlineStr">
        <is>
          <t>N</t>
        </is>
      </c>
      <c r="R41" s="12" t="n"/>
      <c r="S41" s="12" t="n"/>
      <c r="T41" s="14" t="inlineStr">
        <is>
          <t>Invoiced</t>
        </is>
      </c>
      <c r="U41" s="14" t="n"/>
      <c r="V41" s="15">
        <f>IF(COUNTA(A41,D41,C41,L41)=0,"",IF(A41="","No date - sits outside every month",IF(E41="","No job number",IF(F41="CHECK","Job number is not in the Xero job list",IF(I41="","No cost centre",IF(AND(P41="Y",C41=""),"Marked posted to Xero but has no invoice number",IF(AND(L41&lt;&gt;"",K41=""),"No tax code",IF(AND(L41&lt;&gt;"",O41=""),"No revenue GL code",""))))))))</f>
        <v/>
      </c>
    </row>
    <row r="42" ht="15" customHeight="1">
      <c r="A42" s="12" t="n">
        <v>46265</v>
      </c>
      <c r="B42" s="13">
        <f>IF(A42="","",EOMONTH(A42,0))</f>
        <v/>
      </c>
      <c r="C42" s="14" t="inlineStr">
        <is>
          <t>INV-10605</t>
        </is>
      </c>
      <c r="D42" s="14" t="inlineStr">
        <is>
          <t>CBA</t>
        </is>
      </c>
      <c r="E42" s="14" t="inlineStr">
        <is>
          <t>1668</t>
        </is>
      </c>
      <c r="F42" s="15">
        <f>IF(E42="","",IF(COUNTIF(lst_Jobs,E42&amp;"")&gt;0,"OK","CHECK"))</f>
        <v/>
      </c>
      <c r="G42" s="14" t="inlineStr">
        <is>
          <t>85720001CBPSCSJUN27 DEDICATED TECH</t>
        </is>
      </c>
      <c r="H42" s="14" t="inlineStr">
        <is>
          <t>Onsite</t>
        </is>
      </c>
      <c r="I42" s="14" t="inlineStr">
        <is>
          <t>ONSITE</t>
        </is>
      </c>
      <c r="J42" s="14" t="inlineStr">
        <is>
          <t>Contract</t>
        </is>
      </c>
      <c r="K42" s="14" t="inlineStr">
        <is>
          <t>GST 10%</t>
        </is>
      </c>
      <c r="L42" s="16" t="n">
        <v>340</v>
      </c>
      <c r="M42" s="17">
        <f>IF(L42="","",IF(K42="GST 10%",ROUND(L42*set_GSTRate,2),0))</f>
        <v/>
      </c>
      <c r="N42" s="17">
        <f>IF(L42="","",L42+M42)</f>
        <v/>
      </c>
      <c r="O42" s="14" t="inlineStr">
        <is>
          <t>41100</t>
        </is>
      </c>
      <c r="P42" s="14" t="inlineStr">
        <is>
          <t>Y</t>
        </is>
      </c>
      <c r="Q42" s="14" t="inlineStr">
        <is>
          <t>N</t>
        </is>
      </c>
      <c r="R42" s="12" t="n"/>
      <c r="S42" s="12" t="n"/>
      <c r="T42" s="14" t="inlineStr">
        <is>
          <t>Invoiced</t>
        </is>
      </c>
      <c r="U42" s="14" t="n"/>
      <c r="V42" s="15">
        <f>IF(COUNTA(A42,D42,C42,L42)=0,"",IF(A42="","No date - sits outside every month",IF(E42="","No job number",IF(F42="CHECK","Job number is not in the Xero job list",IF(I42="","No cost centre",IF(AND(P42="Y",C42=""),"Marked posted to Xero but has no invoice number",IF(AND(L42&lt;&gt;"",K42=""),"No tax code",IF(AND(L42&lt;&gt;"",O42=""),"No revenue GL code",""))))))))</f>
        <v/>
      </c>
    </row>
    <row r="43" ht="15" customHeight="1">
      <c r="A43" s="12" t="n">
        <v>46265</v>
      </c>
      <c r="B43" s="13">
        <f>IF(A43="","",EOMONTH(A43,0))</f>
        <v/>
      </c>
      <c r="C43" s="14" t="inlineStr">
        <is>
          <t>INV-10606</t>
        </is>
      </c>
      <c r="D43" s="14" t="inlineStr">
        <is>
          <t>CBA</t>
        </is>
      </c>
      <c r="E43" s="14" t="inlineStr">
        <is>
          <t>1668</t>
        </is>
      </c>
      <c r="F43" s="15">
        <f>IF(E43="","",IF(COUNTIF(lst_Jobs,E43&amp;"")&gt;0,"OK","CHECK"))</f>
        <v/>
      </c>
      <c r="G43" s="14" t="inlineStr">
        <is>
          <t>85720001CBPSCSJUN27 DEDICATED TECH</t>
        </is>
      </c>
      <c r="H43" s="14" t="inlineStr">
        <is>
          <t>Onsite</t>
        </is>
      </c>
      <c r="I43" s="14" t="inlineStr">
        <is>
          <t>ONSITE</t>
        </is>
      </c>
      <c r="J43" s="14" t="inlineStr">
        <is>
          <t>Contract</t>
        </is>
      </c>
      <c r="K43" s="14" t="inlineStr">
        <is>
          <t>GST 10%</t>
        </is>
      </c>
      <c r="L43" s="16" t="n">
        <v>510</v>
      </c>
      <c r="M43" s="17">
        <f>IF(L43="","",IF(K43="GST 10%",ROUND(L43*set_GSTRate,2),0))</f>
        <v/>
      </c>
      <c r="N43" s="17">
        <f>IF(L43="","",L43+M43)</f>
        <v/>
      </c>
      <c r="O43" s="14" t="inlineStr">
        <is>
          <t>41100</t>
        </is>
      </c>
      <c r="P43" s="14" t="inlineStr">
        <is>
          <t>Y</t>
        </is>
      </c>
      <c r="Q43" s="14" t="inlineStr">
        <is>
          <t>N</t>
        </is>
      </c>
      <c r="R43" s="12" t="n"/>
      <c r="S43" s="12" t="n"/>
      <c r="T43" s="14" t="inlineStr">
        <is>
          <t>Invoiced</t>
        </is>
      </c>
      <c r="U43" s="14" t="n"/>
      <c r="V43" s="15">
        <f>IF(COUNTA(A43,D43,C43,L43)=0,"",IF(A43="","No date - sits outside every month",IF(E43="","No job number",IF(F43="CHECK","Job number is not in the Xero job list",IF(I43="","No cost centre",IF(AND(P43="Y",C43=""),"Marked posted to Xero but has no invoice number",IF(AND(L43&lt;&gt;"",K43=""),"No tax code",IF(AND(L43&lt;&gt;"",O43=""),"No revenue GL code",""))))))))</f>
        <v/>
      </c>
    </row>
    <row r="44" ht="15" customHeight="1">
      <c r="A44" s="12" t="n">
        <v>46265</v>
      </c>
      <c r="B44" s="13">
        <f>IF(A44="","",EOMONTH(A44,0))</f>
        <v/>
      </c>
      <c r="C44" s="14" t="inlineStr">
        <is>
          <t>INV-10607</t>
        </is>
      </c>
      <c r="D44" s="14" t="inlineStr">
        <is>
          <t>CBA</t>
        </is>
      </c>
      <c r="E44" s="14" t="inlineStr">
        <is>
          <t>1668</t>
        </is>
      </c>
      <c r="F44" s="15">
        <f>IF(E44="","",IF(COUNTIF(lst_Jobs,E44&amp;"")&gt;0,"OK","CHECK"))</f>
        <v/>
      </c>
      <c r="G44" s="14" t="inlineStr">
        <is>
          <t>85720001CBPSCSJUN27 DEDICATED TECH</t>
        </is>
      </c>
      <c r="H44" s="14" t="inlineStr">
        <is>
          <t>Onsite</t>
        </is>
      </c>
      <c r="I44" s="14" t="inlineStr">
        <is>
          <t>ONSITE</t>
        </is>
      </c>
      <c r="J44" s="14" t="inlineStr">
        <is>
          <t>Contract</t>
        </is>
      </c>
      <c r="K44" s="14" t="inlineStr">
        <is>
          <t>GST 10%</t>
        </is>
      </c>
      <c r="L44" s="16" t="n">
        <v>510</v>
      </c>
      <c r="M44" s="17">
        <f>IF(L44="","",IF(K44="GST 10%",ROUND(L44*set_GSTRate,2),0))</f>
        <v/>
      </c>
      <c r="N44" s="17">
        <f>IF(L44="","",L44+M44)</f>
        <v/>
      </c>
      <c r="O44" s="14" t="inlineStr">
        <is>
          <t>41100</t>
        </is>
      </c>
      <c r="P44" s="14" t="inlineStr">
        <is>
          <t>Y</t>
        </is>
      </c>
      <c r="Q44" s="14" t="inlineStr">
        <is>
          <t>N</t>
        </is>
      </c>
      <c r="R44" s="12" t="n"/>
      <c r="S44" s="12" t="n"/>
      <c r="T44" s="14" t="inlineStr">
        <is>
          <t>Invoiced</t>
        </is>
      </c>
      <c r="U44" s="14" t="n"/>
      <c r="V44" s="15">
        <f>IF(COUNTA(A44,D44,C44,L44)=0,"",IF(A44="","No date - sits outside every month",IF(E44="","No job number",IF(F44="CHECK","Job number is not in the Xero job list",IF(I44="","No cost centre",IF(AND(P44="Y",C44=""),"Marked posted to Xero but has no invoice number",IF(AND(L44&lt;&gt;"",K44=""),"No tax code",IF(AND(L44&lt;&gt;"",O44=""),"No revenue GL code",""))))))))</f>
        <v/>
      </c>
    </row>
    <row r="45" ht="15" customHeight="1">
      <c r="A45" s="12" t="n">
        <v>46265</v>
      </c>
      <c r="B45" s="13">
        <f>IF(A45="","",EOMONTH(A45,0))</f>
        <v/>
      </c>
      <c r="C45" s="14" t="inlineStr">
        <is>
          <t>INV-10608</t>
        </is>
      </c>
      <c r="D45" s="14" t="inlineStr">
        <is>
          <t>CBA</t>
        </is>
      </c>
      <c r="E45" s="14" t="inlineStr">
        <is>
          <t>1668</t>
        </is>
      </c>
      <c r="F45" s="15">
        <f>IF(E45="","",IF(COUNTIF(lst_Jobs,E45&amp;"")&gt;0,"OK","CHECK"))</f>
        <v/>
      </c>
      <c r="G45" s="14" t="inlineStr">
        <is>
          <t>85720001CBPSCSJUN27 DEDICATED TECH</t>
        </is>
      </c>
      <c r="H45" s="14" t="inlineStr">
        <is>
          <t>Onsite</t>
        </is>
      </c>
      <c r="I45" s="14" t="inlineStr">
        <is>
          <t>ONSITE</t>
        </is>
      </c>
      <c r="J45" s="14" t="inlineStr">
        <is>
          <t>Contract</t>
        </is>
      </c>
      <c r="K45" s="14" t="inlineStr">
        <is>
          <t>GST 10%</t>
        </is>
      </c>
      <c r="L45" s="16" t="n">
        <v>340</v>
      </c>
      <c r="M45" s="17">
        <f>IF(L45="","",IF(K45="GST 10%",ROUND(L45*set_GSTRate,2),0))</f>
        <v/>
      </c>
      <c r="N45" s="17">
        <f>IF(L45="","",L45+M45)</f>
        <v/>
      </c>
      <c r="O45" s="14" t="inlineStr">
        <is>
          <t>41100</t>
        </is>
      </c>
      <c r="P45" s="14" t="inlineStr">
        <is>
          <t>Y</t>
        </is>
      </c>
      <c r="Q45" s="14" t="inlineStr">
        <is>
          <t>N</t>
        </is>
      </c>
      <c r="R45" s="12" t="n"/>
      <c r="S45" s="12" t="n"/>
      <c r="T45" s="14" t="inlineStr">
        <is>
          <t>Invoiced</t>
        </is>
      </c>
      <c r="U45" s="14" t="n"/>
      <c r="V45" s="15">
        <f>IF(COUNTA(A45,D45,C45,L45)=0,"",IF(A45="","No date - sits outside every month",IF(E45="","No job number",IF(F45="CHECK","Job number is not in the Xero job list",IF(I45="","No cost centre",IF(AND(P45="Y",C45=""),"Marked posted to Xero but has no invoice number",IF(AND(L45&lt;&gt;"",K45=""),"No tax code",IF(AND(L45&lt;&gt;"",O45=""),"No revenue GL code",""))))))))</f>
        <v/>
      </c>
    </row>
    <row r="46" ht="15" customHeight="1">
      <c r="A46" s="12" t="n">
        <v>46265</v>
      </c>
      <c r="B46" s="13">
        <f>IF(A46="","",EOMONTH(A46,0))</f>
        <v/>
      </c>
      <c r="C46" s="14" t="inlineStr">
        <is>
          <t>INV-10609</t>
        </is>
      </c>
      <c r="D46" s="14" t="inlineStr">
        <is>
          <t>CBA</t>
        </is>
      </c>
      <c r="E46" s="14" t="inlineStr">
        <is>
          <t>1668</t>
        </is>
      </c>
      <c r="F46" s="15">
        <f>IF(E46="","",IF(COUNTIF(lst_Jobs,E46&amp;"")&gt;0,"OK","CHECK"))</f>
        <v/>
      </c>
      <c r="G46" s="14" t="inlineStr">
        <is>
          <t>85720001CBPSCSJUN27 DEDICATED TECH</t>
        </is>
      </c>
      <c r="H46" s="14" t="inlineStr">
        <is>
          <t>Onsite</t>
        </is>
      </c>
      <c r="I46" s="14" t="inlineStr">
        <is>
          <t>ONSITE</t>
        </is>
      </c>
      <c r="J46" s="14" t="inlineStr">
        <is>
          <t>Contract</t>
        </is>
      </c>
      <c r="K46" s="14" t="inlineStr">
        <is>
          <t>GST 10%</t>
        </is>
      </c>
      <c r="L46" s="16" t="n">
        <v>425</v>
      </c>
      <c r="M46" s="17">
        <f>IF(L46="","",IF(K46="GST 10%",ROUND(L46*set_GSTRate,2),0))</f>
        <v/>
      </c>
      <c r="N46" s="17">
        <f>IF(L46="","",L46+M46)</f>
        <v/>
      </c>
      <c r="O46" s="14" t="inlineStr">
        <is>
          <t>41100</t>
        </is>
      </c>
      <c r="P46" s="14" t="inlineStr">
        <is>
          <t>Y</t>
        </is>
      </c>
      <c r="Q46" s="14" t="inlineStr">
        <is>
          <t>N</t>
        </is>
      </c>
      <c r="R46" s="12" t="n"/>
      <c r="S46" s="12" t="n"/>
      <c r="T46" s="14" t="inlineStr">
        <is>
          <t>Invoiced</t>
        </is>
      </c>
      <c r="U46" s="14" t="n"/>
      <c r="V46" s="15">
        <f>IF(COUNTA(A46,D46,C46,L46)=0,"",IF(A46="","No date - sits outside every month",IF(E46="","No job number",IF(F46="CHECK","Job number is not in the Xero job list",IF(I46="","No cost centre",IF(AND(P46="Y",C46=""),"Marked posted to Xero but has no invoice number",IF(AND(L46&lt;&gt;"",K46=""),"No tax code",IF(AND(L46&lt;&gt;"",O46=""),"No revenue GL code",""))))))))</f>
        <v/>
      </c>
    </row>
    <row r="47" ht="15" customHeight="1">
      <c r="A47" s="12" t="n">
        <v>46265</v>
      </c>
      <c r="B47" s="13">
        <f>IF(A47="","",EOMONTH(A47,0))</f>
        <v/>
      </c>
      <c r="C47" s="14" t="inlineStr">
        <is>
          <t>INV-10610</t>
        </is>
      </c>
      <c r="D47" s="14" t="inlineStr">
        <is>
          <t>CBA</t>
        </is>
      </c>
      <c r="E47" s="14" t="inlineStr">
        <is>
          <t>1668</t>
        </is>
      </c>
      <c r="F47" s="15">
        <f>IF(E47="","",IF(COUNTIF(lst_Jobs,E47&amp;"")&gt;0,"OK","CHECK"))</f>
        <v/>
      </c>
      <c r="G47" s="14" t="inlineStr">
        <is>
          <t>85720001CBPSCSJUN27 DEDICATED TECH</t>
        </is>
      </c>
      <c r="H47" s="14" t="inlineStr">
        <is>
          <t>Onsite</t>
        </is>
      </c>
      <c r="I47" s="14" t="inlineStr">
        <is>
          <t>ONSITE</t>
        </is>
      </c>
      <c r="J47" s="14" t="inlineStr">
        <is>
          <t>Contract</t>
        </is>
      </c>
      <c r="K47" s="14" t="inlineStr">
        <is>
          <t>GST 10%</t>
        </is>
      </c>
      <c r="L47" s="16" t="n">
        <v>595</v>
      </c>
      <c r="M47" s="17">
        <f>IF(L47="","",IF(K47="GST 10%",ROUND(L47*set_GSTRate,2),0))</f>
        <v/>
      </c>
      <c r="N47" s="17">
        <f>IF(L47="","",L47+M47)</f>
        <v/>
      </c>
      <c r="O47" s="14" t="inlineStr">
        <is>
          <t>41100</t>
        </is>
      </c>
      <c r="P47" s="14" t="inlineStr">
        <is>
          <t>Y</t>
        </is>
      </c>
      <c r="Q47" s="14" t="inlineStr">
        <is>
          <t>N</t>
        </is>
      </c>
      <c r="R47" s="12" t="n"/>
      <c r="S47" s="12" t="n"/>
      <c r="T47" s="14" t="inlineStr">
        <is>
          <t>Invoiced</t>
        </is>
      </c>
      <c r="U47" s="14" t="n"/>
      <c r="V47" s="15">
        <f>IF(COUNTA(A47,D47,C47,L47)=0,"",IF(A47="","No date - sits outside every month",IF(E47="","No job number",IF(F47="CHECK","Job number is not in the Xero job list",IF(I47="","No cost centre",IF(AND(P47="Y",C47=""),"Marked posted to Xero but has no invoice number",IF(AND(L47&lt;&gt;"",K47=""),"No tax code",IF(AND(L47&lt;&gt;"",O47=""),"No revenue GL code",""))))))))</f>
        <v/>
      </c>
    </row>
    <row r="48" ht="15" customHeight="1">
      <c r="A48" s="12" t="n">
        <v>46265</v>
      </c>
      <c r="B48" s="13">
        <f>IF(A48="","",EOMONTH(A48,0))</f>
        <v/>
      </c>
      <c r="C48" s="14" t="inlineStr">
        <is>
          <t>INV-10614</t>
        </is>
      </c>
      <c r="D48" s="14" t="inlineStr">
        <is>
          <t>CBA</t>
        </is>
      </c>
      <c r="E48" s="14" t="inlineStr">
        <is>
          <t>585, 586</t>
        </is>
      </c>
      <c r="F48" s="15">
        <f>IF(E48="","",IF(COUNTIF(lst_Jobs,E48&amp;"")&gt;0,"OK","CHECK"))</f>
        <v/>
      </c>
      <c r="G48" s="14" t="inlineStr">
        <is>
          <t>85720001CBPSCSJUN27</t>
        </is>
      </c>
      <c r="H48" s="14" t="inlineStr">
        <is>
          <t>Onsite</t>
        </is>
      </c>
      <c r="I48" s="14" t="inlineStr">
        <is>
          <t>ONSITE</t>
        </is>
      </c>
      <c r="J48" s="14" t="inlineStr">
        <is>
          <t>Contract</t>
        </is>
      </c>
      <c r="K48" s="14" t="inlineStr">
        <is>
          <t>GST 10%</t>
        </is>
      </c>
      <c r="L48" s="16" t="n">
        <v>22680</v>
      </c>
      <c r="M48" s="17">
        <f>IF(L48="","",IF(K48="GST 10%",ROUND(L48*set_GSTRate,2),0))</f>
        <v/>
      </c>
      <c r="N48" s="17">
        <f>IF(L48="","",L48+M48)</f>
        <v/>
      </c>
      <c r="O48" s="14" t="inlineStr">
        <is>
          <t>41100</t>
        </is>
      </c>
      <c r="P48" s="14" t="inlineStr">
        <is>
          <t>Y</t>
        </is>
      </c>
      <c r="Q48" s="14" t="inlineStr">
        <is>
          <t>N</t>
        </is>
      </c>
      <c r="R48" s="12" t="n"/>
      <c r="S48" s="12" t="n"/>
      <c r="T48" s="14" t="inlineStr">
        <is>
          <t>Invoiced</t>
        </is>
      </c>
      <c r="U48" s="14" t="n"/>
      <c r="V48" s="15">
        <f>IF(COUNTA(A48,D48,C48,L48)=0,"",IF(A48="","No date - sits outside every month",IF(E48="","No job number",IF(F48="CHECK","Job number is not in the Xero job list",IF(I48="","No cost centre",IF(AND(P48="Y",C48=""),"Marked posted to Xero but has no invoice number",IF(AND(L48&lt;&gt;"",K48=""),"No tax code",IF(AND(L48&lt;&gt;"",O48=""),"No revenue GL code",""))))))))</f>
        <v/>
      </c>
    </row>
    <row r="49" ht="15" customHeight="1">
      <c r="A49" s="12" t="n">
        <v>46265</v>
      </c>
      <c r="B49" s="13">
        <f>IF(A49="","",EOMONTH(A49,0))</f>
        <v/>
      </c>
      <c r="C49" s="14" t="inlineStr">
        <is>
          <t>INV-10613</t>
        </is>
      </c>
      <c r="D49" s="14" t="inlineStr">
        <is>
          <t>CBA</t>
        </is>
      </c>
      <c r="E49" s="14" t="inlineStr">
        <is>
          <t>587</t>
        </is>
      </c>
      <c r="F49" s="15">
        <f>IF(E49="","",IF(COUNTIF(lst_Jobs,E49&amp;"")&gt;0,"OK","CHECK"))</f>
        <v/>
      </c>
      <c r="G49" s="14" t="inlineStr">
        <is>
          <t>85720001CBSCSJUN27</t>
        </is>
      </c>
      <c r="H49" s="14" t="inlineStr">
        <is>
          <t>Onsite</t>
        </is>
      </c>
      <c r="I49" s="14" t="inlineStr">
        <is>
          <t>ONSITE</t>
        </is>
      </c>
      <c r="J49" s="14" t="inlineStr">
        <is>
          <t>Contract</t>
        </is>
      </c>
      <c r="K49" s="14" t="inlineStr">
        <is>
          <t>GST 10%</t>
        </is>
      </c>
      <c r="L49" s="16" t="n">
        <v>10197.88</v>
      </c>
      <c r="M49" s="17">
        <f>IF(L49="","",IF(K49="GST 10%",ROUND(L49*set_GSTRate,2),0))</f>
        <v/>
      </c>
      <c r="N49" s="17">
        <f>IF(L49="","",L49+M49)</f>
        <v/>
      </c>
      <c r="O49" s="14" t="inlineStr">
        <is>
          <t>41100</t>
        </is>
      </c>
      <c r="P49" s="14" t="inlineStr">
        <is>
          <t>Y</t>
        </is>
      </c>
      <c r="Q49" s="14" t="inlineStr">
        <is>
          <t>N</t>
        </is>
      </c>
      <c r="R49" s="12" t="n"/>
      <c r="S49" s="12" t="n"/>
      <c r="T49" s="14" t="inlineStr">
        <is>
          <t>Invoiced</t>
        </is>
      </c>
      <c r="U49" s="14" t="n"/>
      <c r="V49" s="15">
        <f>IF(COUNTA(A49,D49,C49,L49)=0,"",IF(A49="","No date - sits outside every month",IF(E49="","No job number",IF(F49="CHECK","Job number is not in the Xero job list",IF(I49="","No cost centre",IF(AND(P49="Y",C49=""),"Marked posted to Xero but has no invoice number",IF(AND(L49&lt;&gt;"",K49=""),"No tax code",IF(AND(L49&lt;&gt;"",O49=""),"No revenue GL code",""))))))))</f>
        <v/>
      </c>
    </row>
    <row r="50" ht="15" customHeight="1">
      <c r="A50" s="12" t="n">
        <v>46265</v>
      </c>
      <c r="B50" s="13">
        <f>IF(A50="","",EOMONTH(A50,0))</f>
        <v/>
      </c>
      <c r="C50" s="14" t="inlineStr">
        <is>
          <t>INV-10602</t>
        </is>
      </c>
      <c r="D50" s="14" t="inlineStr">
        <is>
          <t>CBA</t>
        </is>
      </c>
      <c r="E50" s="14" t="inlineStr">
        <is>
          <t>1668</t>
        </is>
      </c>
      <c r="F50" s="15">
        <f>IF(E50="","",IF(COUNTIF(lst_Jobs,E50&amp;"")&gt;0,"OK","CHECK"))</f>
        <v/>
      </c>
      <c r="G50" s="14" t="inlineStr">
        <is>
          <t>85720001CBPSCSJUN27 DEDICATED TECH</t>
        </is>
      </c>
      <c r="H50" s="14" t="inlineStr">
        <is>
          <t>Onsite</t>
        </is>
      </c>
      <c r="I50" s="14" t="inlineStr">
        <is>
          <t>ONSITE</t>
        </is>
      </c>
      <c r="J50" s="14" t="inlineStr">
        <is>
          <t>Contract</t>
        </is>
      </c>
      <c r="K50" s="14" t="inlineStr">
        <is>
          <t>GST 10%</t>
        </is>
      </c>
      <c r="L50" s="16" t="n">
        <v>170</v>
      </c>
      <c r="M50" s="17">
        <f>IF(L50="","",IF(K50="GST 10%",ROUND(L50*set_GSTRate,2),0))</f>
        <v/>
      </c>
      <c r="N50" s="17">
        <f>IF(L50="","",L50+M50)</f>
        <v/>
      </c>
      <c r="O50" s="14" t="inlineStr">
        <is>
          <t>41100</t>
        </is>
      </c>
      <c r="P50" s="14" t="inlineStr">
        <is>
          <t>Y</t>
        </is>
      </c>
      <c r="Q50" s="14" t="inlineStr">
        <is>
          <t>N</t>
        </is>
      </c>
      <c r="R50" s="12" t="n"/>
      <c r="S50" s="12" t="n"/>
      <c r="T50" s="14" t="inlineStr">
        <is>
          <t>Invoiced</t>
        </is>
      </c>
      <c r="U50" s="14" t="n"/>
      <c r="V50" s="15">
        <f>IF(COUNTA(A50,D50,C50,L50)=0,"",IF(A50="","No date - sits outside every month",IF(E50="","No job number",IF(F50="CHECK","Job number is not in the Xero job list",IF(I50="","No cost centre",IF(AND(P50="Y",C50=""),"Marked posted to Xero but has no invoice number",IF(AND(L50&lt;&gt;"",K50=""),"No tax code",IF(AND(L50&lt;&gt;"",O50=""),"No revenue GL code",""))))))))</f>
        <v/>
      </c>
    </row>
    <row r="51" ht="15" customHeight="1">
      <c r="A51" s="12" t="n">
        <v>46265</v>
      </c>
      <c r="B51" s="13">
        <f>IF(A51="","",EOMONTH(A51,0))</f>
        <v/>
      </c>
      <c r="C51" s="14" t="inlineStr">
        <is>
          <t>INV-10618</t>
        </is>
      </c>
      <c r="D51" s="14" t="inlineStr">
        <is>
          <t>Ricoh Australia Pty Ltd</t>
        </is>
      </c>
      <c r="E51" s="14" t="inlineStr">
        <is>
          <t>2880</t>
        </is>
      </c>
      <c r="F51" s="15">
        <f>IF(E51="","",IF(COUNTIF(lst_Jobs,E51&amp;"")&gt;0,"OK","CHECK"))</f>
        <v/>
      </c>
      <c r="G51" s="14" t="inlineStr">
        <is>
          <t>CONTRACT</t>
        </is>
      </c>
      <c r="H51" s="14" t="inlineStr">
        <is>
          <t>Onsite</t>
        </is>
      </c>
      <c r="I51" s="14" t="inlineStr">
        <is>
          <t>ONSITE</t>
        </is>
      </c>
      <c r="J51" s="14" t="inlineStr">
        <is>
          <t>Contract</t>
        </is>
      </c>
      <c r="K51" s="14" t="inlineStr">
        <is>
          <t>GST 10%</t>
        </is>
      </c>
      <c r="L51" s="16" t="n">
        <v>11860.56</v>
      </c>
      <c r="M51" s="17">
        <f>IF(L51="","",IF(K51="GST 10%",ROUND(L51*set_GSTRate,2),0))</f>
        <v/>
      </c>
      <c r="N51" s="17">
        <f>IF(L51="","",L51+M51)</f>
        <v/>
      </c>
      <c r="O51" s="14" t="inlineStr">
        <is>
          <t>41100</t>
        </is>
      </c>
      <c r="P51" s="14" t="inlineStr">
        <is>
          <t>Y</t>
        </is>
      </c>
      <c r="Q51" s="14" t="inlineStr">
        <is>
          <t>N</t>
        </is>
      </c>
      <c r="R51" s="12" t="n"/>
      <c r="S51" s="12" t="n"/>
      <c r="T51" s="14" t="inlineStr">
        <is>
          <t>Invoiced</t>
        </is>
      </c>
      <c r="U51" s="14" t="n"/>
      <c r="V51" s="15">
        <f>IF(COUNTA(A51,D51,C51,L51)=0,"",IF(A51="","No date - sits outside every month",IF(E51="","No job number",IF(F51="CHECK","Job number is not in the Xero job list",IF(I51="","No cost centre",IF(AND(P51="Y",C51=""),"Marked posted to Xero but has no invoice number",IF(AND(L51&lt;&gt;"",K51=""),"No tax code",IF(AND(L51&lt;&gt;"",O51=""),"No revenue GL code",""))))))))</f>
        <v/>
      </c>
    </row>
    <row r="52" ht="15" customHeight="1">
      <c r="A52" s="12" t="n"/>
      <c r="B52" s="13">
        <f>IF(A52="","",EOMONTH(A52,0))</f>
        <v/>
      </c>
      <c r="C52" s="14" t="n"/>
      <c r="D52" s="14" t="inlineStr">
        <is>
          <t>DTTL</t>
        </is>
      </c>
      <c r="E52" s="14" t="inlineStr">
        <is>
          <t>26073103</t>
        </is>
      </c>
      <c r="F52" s="15">
        <f>IF(E52="","",IF(COUNTIF(lst_Jobs,E52&amp;"")&gt;0,"OK","CHECK"))</f>
        <v/>
      </c>
      <c r="G52" s="14" t="inlineStr">
        <is>
          <t>Perth AV &amp; Hospitality Technician (SEP26-FEB27)</t>
        </is>
      </c>
      <c r="H52" s="14" t="inlineStr">
        <is>
          <t>Onsite</t>
        </is>
      </c>
      <c r="I52" s="14" t="inlineStr">
        <is>
          <t>ONSITE</t>
        </is>
      </c>
      <c r="J52" s="14" t="inlineStr">
        <is>
          <t>Contract</t>
        </is>
      </c>
      <c r="K52" s="14" t="inlineStr">
        <is>
          <t>GST 10%</t>
        </is>
      </c>
      <c r="L52" s="16" t="n"/>
      <c r="M52" s="17">
        <f>IF(L52="","",IF(K52="GST 10%",ROUND(L52*set_GSTRate,2),0))</f>
        <v/>
      </c>
      <c r="N52" s="17">
        <f>IF(L52="","",L52+M52)</f>
        <v/>
      </c>
      <c r="O52" s="14" t="inlineStr">
        <is>
          <t>41100</t>
        </is>
      </c>
      <c r="P52" s="14" t="inlineStr">
        <is>
          <t>N</t>
        </is>
      </c>
      <c r="Q52" s="14" t="inlineStr">
        <is>
          <t>N</t>
        </is>
      </c>
      <c r="R52" s="12" t="n"/>
      <c r="S52" s="12" t="n"/>
      <c r="T52" s="14" t="inlineStr">
        <is>
          <t>To Invoice</t>
        </is>
      </c>
      <c r="U52"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15">
        <f>IF(COUNTA(A52,D52,C52,L52)=0,"",IF(A52="","No date - sits outside every month",IF(E52="","No job number",IF(F52="CHECK","Job number is not in the Xero job list",IF(I52="","No cost centre",IF(AND(P52="Y",C52=""),"Marked posted to Xero but has no invoice number",IF(AND(L52&lt;&gt;"",K52=""),"No tax code",IF(AND(L52&lt;&gt;"",O52=""),"No revenue GL code",""))))))))</f>
        <v/>
      </c>
    </row>
    <row r="53" ht="15" customHeight="1">
      <c r="A53" s="12" t="n">
        <v>46268</v>
      </c>
      <c r="B53" s="13">
        <f>IF(A53="","",EOMONTH(A53,0))</f>
        <v/>
      </c>
      <c r="C53" s="14" t="inlineStr">
        <is>
          <t>INV-10620</t>
        </is>
      </c>
      <c r="D53" s="14" t="inlineStr">
        <is>
          <t>Ricoh Australia Pty Ltd</t>
        </is>
      </c>
      <c r="E53" s="14" t="inlineStr">
        <is>
          <t>26082801</t>
        </is>
      </c>
      <c r="F53" s="15">
        <f>IF(E53="","",IF(COUNTIF(lst_Jobs,E53&amp;"")&gt;0,"OK","CHECK"))</f>
        <v/>
      </c>
      <c r="G53" s="14" t="inlineStr">
        <is>
          <t>Ricoh Australia - SHELL AV Support</t>
        </is>
      </c>
      <c r="H53" s="14" t="inlineStr">
        <is>
          <t>Onsite</t>
        </is>
      </c>
      <c r="I53" s="14" t="inlineStr">
        <is>
          <t>ONSITE</t>
        </is>
      </c>
      <c r="J53" s="14" t="inlineStr">
        <is>
          <t>Contract</t>
        </is>
      </c>
      <c r="K53" s="14" t="inlineStr">
        <is>
          <t>GST 10%</t>
        </is>
      </c>
      <c r="L53" s="16" t="n">
        <v>340</v>
      </c>
      <c r="M53" s="17">
        <f>IF(L53="","",IF(K53="GST 10%",ROUND(L53*set_GSTRate,2),0))</f>
        <v/>
      </c>
      <c r="N53" s="17">
        <f>IF(L53="","",L53+M53)</f>
        <v/>
      </c>
      <c r="O53" s="14" t="inlineStr">
        <is>
          <t>41100</t>
        </is>
      </c>
      <c r="P53" s="14" t="inlineStr">
        <is>
          <t>Y</t>
        </is>
      </c>
      <c r="Q53" s="14" t="inlineStr">
        <is>
          <t>N</t>
        </is>
      </c>
      <c r="R53" s="12" t="n"/>
      <c r="S53" s="12" t="n"/>
      <c r="T53" s="14" t="inlineStr">
        <is>
          <t>Invoiced</t>
        </is>
      </c>
      <c r="U53" s="14" t="inlineStr">
        <is>
          <t>This was not actually for Shell - error in quote. End client was Wotton Kearney.</t>
        </is>
      </c>
      <c r="V53" s="15">
        <f>IF(COUNTA(A53,D53,C53,L53)=0,"",IF(A53="","No date - sits outside every month",IF(E53="","No job number",IF(F53="CHECK","Job number is not in the Xero job list",IF(I53="","No cost centre",IF(AND(P53="Y",C53=""),"Marked posted to Xero but has no invoice number",IF(AND(L53&lt;&gt;"",K53=""),"No tax code",IF(AND(L53&lt;&gt;"",O53=""),"No revenue GL code",""))))))))</f>
        <v/>
      </c>
    </row>
    <row r="54" ht="15" customHeight="1">
      <c r="A54" s="12" t="n"/>
      <c r="B54" s="13">
        <f>IF(A54="","",EOMONTH(A54,0))</f>
        <v/>
      </c>
      <c r="C54" s="14" t="n"/>
      <c r="D54" s="14" t="inlineStr">
        <is>
          <t>PWC</t>
        </is>
      </c>
      <c r="E54" s="14" t="inlineStr">
        <is>
          <t>2608603</t>
        </is>
      </c>
      <c r="F54" s="15">
        <f>IF(E54="","",IF(COUNTIF(lst_Jobs,E54&amp;"")&gt;0,"OK","CHECK"))</f>
        <v/>
      </c>
      <c r="G54" s="14" t="inlineStr">
        <is>
          <t>Pool of Hours - National AV / IT Support</t>
        </is>
      </c>
      <c r="H54" s="14" t="inlineStr">
        <is>
          <t>Onsite</t>
        </is>
      </c>
      <c r="I54" s="14" t="inlineStr">
        <is>
          <t>ONSITE</t>
        </is>
      </c>
      <c r="J54" s="14" t="inlineStr">
        <is>
          <t>Contract</t>
        </is>
      </c>
      <c r="K54" s="14" t="inlineStr">
        <is>
          <t>GST 10%</t>
        </is>
      </c>
      <c r="L54" s="16" t="n">
        <v>8500</v>
      </c>
      <c r="M54" s="17">
        <f>IF(L54="","",IF(K54="GST 10%",ROUND(L54*set_GSTRate,2),0))</f>
        <v/>
      </c>
      <c r="N54" s="17">
        <f>IF(L54="","",L54+M54)</f>
        <v/>
      </c>
      <c r="O54" s="14" t="inlineStr">
        <is>
          <t>41100</t>
        </is>
      </c>
      <c r="P54" s="14" t="inlineStr">
        <is>
          <t>N</t>
        </is>
      </c>
      <c r="Q54" s="14" t="inlineStr">
        <is>
          <t>N</t>
        </is>
      </c>
      <c r="R54" s="12" t="n"/>
      <c r="S54" s="12" t="n"/>
      <c r="T54" s="14" t="inlineStr">
        <is>
          <t>To Invoice</t>
        </is>
      </c>
      <c r="U54" s="14" t="n"/>
      <c r="V54" s="15">
        <f>IF(COUNTA(A54,D54,C54,L54)=0,"",IF(A54="","No date - sits outside every month",IF(E54="","No job number",IF(F54="CHECK","Job number is not in the Xero job list",IF(I54="","No cost centre",IF(AND(P54="Y",C54=""),"Marked posted to Xero but has no invoice number",IF(AND(L54&lt;&gt;"",K54=""),"No tax code",IF(AND(L54&lt;&gt;"",O54=""),"No revenue GL code",""))))))))</f>
        <v/>
      </c>
    </row>
    <row r="55" ht="15" customHeight="1">
      <c r="A55" s="12" t="n"/>
      <c r="B55" s="13">
        <f>IF(A55="","",EOMONTH(A55,0))</f>
        <v/>
      </c>
      <c r="C55" s="14" t="n"/>
      <c r="D55" s="14" t="inlineStr">
        <is>
          <t>DTTL</t>
        </is>
      </c>
      <c r="E55" s="14" t="inlineStr">
        <is>
          <t>26073107</t>
        </is>
      </c>
      <c r="F55" s="15">
        <f>IF(E55="","",IF(COUNTIF(lst_Jobs,E55&amp;"")&gt;0,"OK","CHECK"))</f>
        <v/>
      </c>
      <c r="G55" s="14" t="inlineStr">
        <is>
          <t>Technician Travel (ADL-HOB Return)</t>
        </is>
      </c>
      <c r="H55" s="14" t="inlineStr">
        <is>
          <t>Onsite</t>
        </is>
      </c>
      <c r="I55" s="14" t="inlineStr">
        <is>
          <t>ONSITE</t>
        </is>
      </c>
      <c r="J55" s="14" t="inlineStr">
        <is>
          <t>Contract</t>
        </is>
      </c>
      <c r="K55" s="14" t="inlineStr">
        <is>
          <t>GST 10%</t>
        </is>
      </c>
      <c r="L55" s="16" t="n">
        <v>7145</v>
      </c>
      <c r="M55" s="17">
        <f>IF(L55="","",IF(K55="GST 10%",ROUND(L55*set_GSTRate,2),0))</f>
        <v/>
      </c>
      <c r="N55" s="17">
        <f>IF(L55="","",L55+M55)</f>
        <v/>
      </c>
      <c r="O55" s="14" t="inlineStr">
        <is>
          <t>41100</t>
        </is>
      </c>
      <c r="P55" s="14" t="inlineStr">
        <is>
          <t>N</t>
        </is>
      </c>
      <c r="Q55" s="14" t="inlineStr">
        <is>
          <t>N</t>
        </is>
      </c>
      <c r="R55" s="12" t="n"/>
      <c r="S55" s="12" t="n"/>
      <c r="T55" s="14" t="inlineStr">
        <is>
          <t>To Invoice</t>
        </is>
      </c>
      <c r="U55" s="14" t="n"/>
      <c r="V55" s="15">
        <f>IF(COUNTA(A55,D55,C55,L55)=0,"",IF(A55="","No date - sits outside every month",IF(E55="","No job number",IF(F55="CHECK","Job number is not in the Xero job list",IF(I55="","No cost centre",IF(AND(P55="Y",C55=""),"Marked posted to Xero but has no invoice number",IF(AND(L55&lt;&gt;"",K55=""),"No tax code",IF(AND(L55&lt;&gt;"",O55=""),"No revenue GL code",""))))))))</f>
        <v/>
      </c>
    </row>
    <row r="56" ht="15" customHeight="1">
      <c r="A56" s="12" t="n"/>
      <c r="B56" s="13">
        <f>IF(A56="","",EOMONTH(A56,0))</f>
        <v/>
      </c>
      <c r="C56" s="14" t="n"/>
      <c r="D56" s="14" t="inlineStr">
        <is>
          <t>DTTL</t>
        </is>
      </c>
      <c r="E56" s="14" t="inlineStr">
        <is>
          <t>2608502</t>
        </is>
      </c>
      <c r="F56" s="15">
        <f>IF(E56="","",IF(COUNTIF(lst_Jobs,E56&amp;"")&gt;0,"OK","CHECK"))</f>
        <v/>
      </c>
      <c r="G56" s="14" t="inlineStr">
        <is>
          <t>Change Maker</t>
        </is>
      </c>
      <c r="H56" s="14" t="inlineStr">
        <is>
          <t>Onsite</t>
        </is>
      </c>
      <c r="I56" s="14" t="inlineStr">
        <is>
          <t>ONSITE</t>
        </is>
      </c>
      <c r="J56" s="14" t="inlineStr">
        <is>
          <t>Contract</t>
        </is>
      </c>
      <c r="K56" s="14" t="inlineStr">
        <is>
          <t>GST 10%</t>
        </is>
      </c>
      <c r="L56" s="16" t="n">
        <v>1275</v>
      </c>
      <c r="M56" s="17">
        <f>IF(L56="","",IF(K56="GST 10%",ROUND(L56*set_GSTRate,2),0))</f>
        <v/>
      </c>
      <c r="N56" s="17">
        <f>IF(L56="","",L56+M56)</f>
        <v/>
      </c>
      <c r="O56" s="14" t="inlineStr">
        <is>
          <t>41100</t>
        </is>
      </c>
      <c r="P56" s="14" t="inlineStr">
        <is>
          <t>N</t>
        </is>
      </c>
      <c r="Q56" s="14" t="inlineStr">
        <is>
          <t>N</t>
        </is>
      </c>
      <c r="R56" s="12" t="n"/>
      <c r="S56" s="12" t="n"/>
      <c r="T56" s="14" t="inlineStr">
        <is>
          <t>To Invoice</t>
        </is>
      </c>
      <c r="U56" s="14" t="n"/>
      <c r="V56" s="15">
        <f>IF(COUNTA(A56,D56,C56,L56)=0,"",IF(A56="","No date - sits outside every month",IF(E56="","No job number",IF(F56="CHECK","Job number is not in the Xero job list",IF(I56="","No cost centre",IF(AND(P56="Y",C56=""),"Marked posted to Xero but has no invoice number",IF(AND(L56&lt;&gt;"",K56=""),"No tax code",IF(AND(L56&lt;&gt;"",O56=""),"No revenue GL code",""))))))))</f>
        <v/>
      </c>
    </row>
    <row r="57" ht="15" customHeight="1">
      <c r="A57" s="12" t="n"/>
      <c r="B57" s="13">
        <f>IF(A57="","",EOMONTH(A57,0))</f>
        <v/>
      </c>
      <c r="C57" s="14" t="n"/>
      <c r="D57" s="14" t="inlineStr">
        <is>
          <t>DTTL</t>
        </is>
      </c>
      <c r="E57" s="14" t="inlineStr">
        <is>
          <t>26082704</t>
        </is>
      </c>
      <c r="F57" s="15">
        <f>IF(E57="","",IF(COUNTIF(lst_Jobs,E57&amp;"")&gt;0,"OK","CHECK"))</f>
        <v/>
      </c>
      <c r="G57" s="14" t="inlineStr">
        <is>
          <t>STL Travel (SYD-PER)</t>
        </is>
      </c>
      <c r="H57" s="14" t="inlineStr">
        <is>
          <t>Onsite</t>
        </is>
      </c>
      <c r="I57" s="14" t="inlineStr">
        <is>
          <t>ONSITE</t>
        </is>
      </c>
      <c r="J57" s="14" t="inlineStr">
        <is>
          <t>Contract</t>
        </is>
      </c>
      <c r="K57" s="14" t="inlineStr">
        <is>
          <t>GST 10%</t>
        </is>
      </c>
      <c r="L57" s="16" t="n">
        <v>7735</v>
      </c>
      <c r="M57" s="17">
        <f>IF(L57="","",IF(K57="GST 10%",ROUND(L57*set_GSTRate,2),0))</f>
        <v/>
      </c>
      <c r="N57" s="17">
        <f>IF(L57="","",L57+M57)</f>
        <v/>
      </c>
      <c r="O57" s="14" t="inlineStr">
        <is>
          <t>41100</t>
        </is>
      </c>
      <c r="P57" s="14" t="inlineStr">
        <is>
          <t>N</t>
        </is>
      </c>
      <c r="Q57" s="14" t="inlineStr">
        <is>
          <t>N</t>
        </is>
      </c>
      <c r="R57" s="12" t="n"/>
      <c r="S57" s="12" t="n"/>
      <c r="T57" s="14" t="inlineStr">
        <is>
          <t>To Invoice</t>
        </is>
      </c>
      <c r="U57" s="14" t="n"/>
      <c r="V57" s="15">
        <f>IF(COUNTA(A57,D57,C57,L57)=0,"",IF(A57="","No date - sits outside every month",IF(E57="","No job number",IF(F57="CHECK","Job number is not in the Xero job list",IF(I57="","No cost centre",IF(AND(P57="Y",C57=""),"Marked posted to Xero but has no invoice number",IF(AND(L57&lt;&gt;"",K57=""),"No tax code",IF(AND(L57&lt;&gt;"",O57=""),"No revenue GL code",""))))))))</f>
        <v/>
      </c>
    </row>
    <row r="58" ht="15" customHeight="1">
      <c r="A58" s="12" t="n"/>
      <c r="B58" s="13">
        <f>IF(A58="","",EOMONTH(A58,0))</f>
        <v/>
      </c>
      <c r="C58" s="14" t="n"/>
      <c r="D58" s="14" t="inlineStr">
        <is>
          <t>CBA</t>
        </is>
      </c>
      <c r="E58" s="14" t="inlineStr">
        <is>
          <t>26043001</t>
        </is>
      </c>
      <c r="F58" s="15">
        <f>IF(E58="","",IF(COUNTIF(lst_Jobs,E58&amp;"")&gt;0,"OK","CHECK"))</f>
        <v/>
      </c>
      <c r="G58" s="14" t="n"/>
      <c r="H58" s="14" t="inlineStr">
        <is>
          <t>Onsite</t>
        </is>
      </c>
      <c r="I58" s="14" t="inlineStr">
        <is>
          <t>ONSITE</t>
        </is>
      </c>
      <c r="J58" s="14" t="inlineStr">
        <is>
          <t>Contract</t>
        </is>
      </c>
      <c r="K58" s="14" t="inlineStr">
        <is>
          <t>GST 10%</t>
        </is>
      </c>
      <c r="L58" s="16" t="n"/>
      <c r="M58" s="17">
        <f>IF(L58="","",IF(K58="GST 10%",ROUND(L58*set_GSTRate,2),0))</f>
        <v/>
      </c>
      <c r="N58" s="17">
        <f>IF(L58="","",L58+M58)</f>
        <v/>
      </c>
      <c r="O58" s="14" t="inlineStr">
        <is>
          <t>41100</t>
        </is>
      </c>
      <c r="P58" s="14" t="inlineStr">
        <is>
          <t>N</t>
        </is>
      </c>
      <c r="Q58" s="14" t="inlineStr">
        <is>
          <t>N</t>
        </is>
      </c>
      <c r="R58" s="12" t="n"/>
      <c r="S58" s="12" t="n"/>
      <c r="T58" s="14" t="inlineStr">
        <is>
          <t>To Invoice</t>
        </is>
      </c>
      <c r="U58" s="14" t="n"/>
      <c r="V58" s="15">
        <f>IF(COUNTA(A58,D58,C58,L58)=0,"",IF(A58="","No date - sits outside every month",IF(E58="","No job number",IF(F58="CHECK","Job number is not in the Xero job list",IF(I58="","No cost centre",IF(AND(P58="Y",C58=""),"Marked posted to Xero but has no invoice number",IF(AND(L58&lt;&gt;"",K58=""),"No tax code",IF(AND(L58&lt;&gt;"",O58=""),"No revenue GL code",""))))))))</f>
        <v/>
      </c>
    </row>
    <row r="59" ht="15" customHeight="1">
      <c r="A59" s="12" t="n">
        <v>46205</v>
      </c>
      <c r="B59" s="13">
        <f>IF(A59="","",EOMONTH(A59,0))</f>
        <v/>
      </c>
      <c r="C59" s="14" t="inlineStr">
        <is>
          <t>INV-10513</t>
        </is>
      </c>
      <c r="D59" s="14" t="inlineStr">
        <is>
          <t>Elkiem</t>
        </is>
      </c>
      <c r="E59" s="14" t="inlineStr">
        <is>
          <t>2602309</t>
        </is>
      </c>
      <c r="F59" s="15">
        <f>IF(E59="","",IF(COUNTIF(lst_Jobs,E59&amp;"")&gt;0,"OK","CHECK"))</f>
        <v/>
      </c>
      <c r="G59" s="14" t="inlineStr">
        <is>
          <t>Studio Support | 1.7.26</t>
        </is>
      </c>
      <c r="H59" s="14" t="inlineStr">
        <is>
          <t>Production</t>
        </is>
      </c>
      <c r="I59" s="14" t="inlineStr">
        <is>
          <t>PRODUCTION</t>
        </is>
      </c>
      <c r="J59" s="14" t="inlineStr">
        <is>
          <t>Project</t>
        </is>
      </c>
      <c r="K59" s="14" t="inlineStr">
        <is>
          <t>GST 10%</t>
        </is>
      </c>
      <c r="L59" s="16" t="n">
        <v>380</v>
      </c>
      <c r="M59" s="17">
        <f>IF(L59="","",IF(K59="GST 10%",ROUND(L59*set_GSTRate,2),0))</f>
        <v/>
      </c>
      <c r="N59" s="17">
        <f>IF(L59="","",L59+M59)</f>
        <v/>
      </c>
      <c r="O59" s="14" t="inlineStr">
        <is>
          <t>42100</t>
        </is>
      </c>
      <c r="P59" s="14" t="inlineStr">
        <is>
          <t>Y</t>
        </is>
      </c>
      <c r="Q59" s="14" t="inlineStr">
        <is>
          <t>N</t>
        </is>
      </c>
      <c r="R59" s="12" t="n"/>
      <c r="S59" s="12" t="n"/>
      <c r="T59" s="14" t="inlineStr">
        <is>
          <t>Invoiced</t>
        </is>
      </c>
      <c r="U59" s="14" t="n"/>
      <c r="V59" s="15">
        <f>IF(COUNTA(A59,D59,C59,L59)=0,"",IF(A59="","No date - sits outside every month",IF(E59="","No job number",IF(F59="CHECK","Job number is not in the Xero job list",IF(I59="","No cost centre",IF(AND(P59="Y",C59=""),"Marked posted to Xero but has no invoice number",IF(AND(L59&lt;&gt;"",K59=""),"No tax code",IF(AND(L59&lt;&gt;"",O59=""),"No revenue GL code",""))))))))</f>
        <v/>
      </c>
    </row>
    <row r="60" ht="15" customHeight="1">
      <c r="A60" s="12" t="n">
        <v>46210</v>
      </c>
      <c r="B60" s="13">
        <f>IF(A60="","",EOMONTH(A60,0))</f>
        <v/>
      </c>
      <c r="C60" s="14" t="inlineStr">
        <is>
          <t>INV-10519</t>
        </is>
      </c>
      <c r="D60" s="14" t="inlineStr">
        <is>
          <t>RSNSW</t>
        </is>
      </c>
      <c r="E60" s="14" t="inlineStr">
        <is>
          <t>26032301</t>
        </is>
      </c>
      <c r="F60" s="15">
        <f>IF(E60="","",IF(COUNTIF(lst_Jobs,E60&amp;"")&gt;0,"OK","CHECK"))</f>
        <v/>
      </c>
      <c r="G60" s="14" t="inlineStr">
        <is>
          <t>Ordinary General Meeting | 1.7.26</t>
        </is>
      </c>
      <c r="H60" s="14" t="inlineStr">
        <is>
          <t>Production</t>
        </is>
      </c>
      <c r="I60" s="14" t="inlineStr">
        <is>
          <t>PRODUCTION</t>
        </is>
      </c>
      <c r="J60" s="14" t="inlineStr">
        <is>
          <t>Project</t>
        </is>
      </c>
      <c r="K60" s="14" t="inlineStr">
        <is>
          <t>GST 10%</t>
        </is>
      </c>
      <c r="L60" s="16" t="n">
        <v>2042</v>
      </c>
      <c r="M60" s="17">
        <f>IF(L60="","",IF(K60="GST 10%",ROUND(L60*set_GSTRate,2),0))</f>
        <v/>
      </c>
      <c r="N60" s="17">
        <f>IF(L60="","",L60+M60)</f>
        <v/>
      </c>
      <c r="O60" s="14" t="inlineStr">
        <is>
          <t>42100</t>
        </is>
      </c>
      <c r="P60" s="14" t="inlineStr">
        <is>
          <t>Y</t>
        </is>
      </c>
      <c r="Q60" s="14" t="inlineStr">
        <is>
          <t>N</t>
        </is>
      </c>
      <c r="R60" s="12" t="n"/>
      <c r="S60" s="12" t="n"/>
      <c r="T60" s="14" t="inlineStr">
        <is>
          <t>Invoiced</t>
        </is>
      </c>
      <c r="U60" s="14" t="inlineStr">
        <is>
          <t>Production portion of this invoice</t>
        </is>
      </c>
      <c r="V60" s="15">
        <f>IF(COUNTA(A60,D60,C60,L60)=0,"",IF(A60="","No date - sits outside every month",IF(E60="","No job number",IF(F60="CHECK","Job number is not in the Xero job list",IF(I60="","No cost centre",IF(AND(P60="Y",C60=""),"Marked posted to Xero but has no invoice number",IF(AND(L60&lt;&gt;"",K60=""),"No tax code",IF(AND(L60&lt;&gt;"",O60=""),"No revenue GL code",""))))))))</f>
        <v/>
      </c>
    </row>
    <row r="61" ht="15" customHeight="1">
      <c r="A61" s="12" t="n">
        <v>46210</v>
      </c>
      <c r="B61" s="13">
        <f>IF(A61="","",EOMONTH(A61,0))</f>
        <v/>
      </c>
      <c r="C61" s="14" t="inlineStr">
        <is>
          <t>INV-10519</t>
        </is>
      </c>
      <c r="D61" s="14" t="inlineStr">
        <is>
          <t>RSNSW</t>
        </is>
      </c>
      <c r="E61" s="14" t="inlineStr">
        <is>
          <t>26032301</t>
        </is>
      </c>
      <c r="F61" s="15">
        <f>IF(E61="","",IF(COUNTIF(lst_Jobs,E61&amp;"")&gt;0,"OK","CHECK"))</f>
        <v/>
      </c>
      <c r="G61" s="14" t="inlineStr">
        <is>
          <t>Ordinary General Meeting | 1.7.26</t>
        </is>
      </c>
      <c r="H61" s="14" t="inlineStr">
        <is>
          <t>Production</t>
        </is>
      </c>
      <c r="I61" s="14" t="inlineStr">
        <is>
          <t>VIDEO</t>
        </is>
      </c>
      <c r="J61" s="14" t="inlineStr">
        <is>
          <t>Project</t>
        </is>
      </c>
      <c r="K61" s="14" t="inlineStr">
        <is>
          <t>GST 10%</t>
        </is>
      </c>
      <c r="L61" s="16" t="n">
        <v>1029</v>
      </c>
      <c r="M61" s="17">
        <f>IF(L61="","",IF(K61="GST 10%",ROUND(L61*set_GSTRate,2),0))</f>
        <v/>
      </c>
      <c r="N61" s="17">
        <f>IF(L61="","",L61+M61)</f>
        <v/>
      </c>
      <c r="O61" s="14" t="inlineStr">
        <is>
          <t>42150</t>
        </is>
      </c>
      <c r="P61" s="14" t="inlineStr">
        <is>
          <t>Y</t>
        </is>
      </c>
      <c r="Q61" s="14" t="inlineStr">
        <is>
          <t>N</t>
        </is>
      </c>
      <c r="R61" s="12" t="n"/>
      <c r="S61" s="12" t="n"/>
      <c r="T61" s="14" t="inlineStr">
        <is>
          <t>Invoiced</t>
        </is>
      </c>
      <c r="U61" s="14" t="inlineStr">
        <is>
          <t>Video portion of this invoice</t>
        </is>
      </c>
      <c r="V61" s="15">
        <f>IF(COUNTA(A61,D61,C61,L61)=0,"",IF(A61="","No date - sits outside every month",IF(E61="","No job number",IF(F61="CHECK","Job number is not in the Xero job list",IF(I61="","No cost centre",IF(AND(P61="Y",C61=""),"Marked posted to Xero but has no invoice number",IF(AND(L61&lt;&gt;"",K61=""),"No tax code",IF(AND(L61&lt;&gt;"",O61=""),"No revenue GL code",""))))))))</f>
        <v/>
      </c>
    </row>
    <row r="62" ht="15" customHeight="1">
      <c r="A62" s="12" t="n">
        <v>46210</v>
      </c>
      <c r="B62" s="13">
        <f>IF(A62="","",EOMONTH(A62,0))</f>
        <v/>
      </c>
      <c r="C62" s="14" t="inlineStr">
        <is>
          <t>INV-10515</t>
        </is>
      </c>
      <c r="D62" s="14" t="inlineStr">
        <is>
          <t>PWC</t>
        </is>
      </c>
      <c r="E62" s="14" t="inlineStr">
        <is>
          <t>26062201</t>
        </is>
      </c>
      <c r="F62" s="15">
        <f>IF(E62="","",IF(COUNTIF(lst_Jobs,E62&amp;"")&gt;0,"OK","CHECK"))</f>
        <v/>
      </c>
      <c r="G62" s="14" t="inlineStr">
        <is>
          <t>Tax and Legal Webcast 2.7.26</t>
        </is>
      </c>
      <c r="H62" s="14" t="inlineStr">
        <is>
          <t>Production</t>
        </is>
      </c>
      <c r="I62" s="14" t="inlineStr">
        <is>
          <t>PRODUCTION</t>
        </is>
      </c>
      <c r="J62" s="14" t="inlineStr">
        <is>
          <t>Project</t>
        </is>
      </c>
      <c r="K62" s="14" t="inlineStr">
        <is>
          <t>GST 10%</t>
        </is>
      </c>
      <c r="L62" s="16" t="n">
        <v>955</v>
      </c>
      <c r="M62" s="17">
        <f>IF(L62="","",IF(K62="GST 10%",ROUND(L62*set_GSTRate,2),0))</f>
        <v/>
      </c>
      <c r="N62" s="17">
        <f>IF(L62="","",L62+M62)</f>
        <v/>
      </c>
      <c r="O62" s="14" t="inlineStr">
        <is>
          <t>42100</t>
        </is>
      </c>
      <c r="P62" s="14" t="inlineStr">
        <is>
          <t>Y</t>
        </is>
      </c>
      <c r="Q62" s="14" t="inlineStr">
        <is>
          <t>N</t>
        </is>
      </c>
      <c r="R62" s="12" t="n"/>
      <c r="S62" s="12" t="n"/>
      <c r="T62" s="14" t="inlineStr">
        <is>
          <t>Invoiced</t>
        </is>
      </c>
      <c r="U62" s="14" t="inlineStr">
        <is>
          <t>Production portion of this invoice</t>
        </is>
      </c>
      <c r="V62" s="15">
        <f>IF(COUNTA(A62,D62,C62,L62)=0,"",IF(A62="","No date - sits outside every month",IF(E62="","No job number",IF(F62="CHECK","Job number is not in the Xero job list",IF(I62="","No cost centre",IF(AND(P62="Y",C62=""),"Marked posted to Xero but has no invoice number",IF(AND(L62&lt;&gt;"",K62=""),"No tax code",IF(AND(L62&lt;&gt;"",O62=""),"No revenue GL code",""))))))))</f>
        <v/>
      </c>
    </row>
    <row r="63" ht="15" customHeight="1">
      <c r="A63" s="12" t="n">
        <v>46210</v>
      </c>
      <c r="B63" s="13">
        <f>IF(A63="","",EOMONTH(A63,0))</f>
        <v/>
      </c>
      <c r="C63" s="14" t="inlineStr">
        <is>
          <t>INV-10515</t>
        </is>
      </c>
      <c r="D63" s="14" t="inlineStr">
        <is>
          <t>PWC</t>
        </is>
      </c>
      <c r="E63" s="14" t="inlineStr">
        <is>
          <t>26062201</t>
        </is>
      </c>
      <c r="F63" s="15">
        <f>IF(E63="","",IF(COUNTIF(lst_Jobs,E63&amp;"")&gt;0,"OK","CHECK"))</f>
        <v/>
      </c>
      <c r="G63" s="14" t="inlineStr">
        <is>
          <t>Tax and Legal Webcast 2.7.26</t>
        </is>
      </c>
      <c r="H63" s="14" t="inlineStr">
        <is>
          <t>Production</t>
        </is>
      </c>
      <c r="I63" s="14" t="inlineStr">
        <is>
          <t>VIDEO</t>
        </is>
      </c>
      <c r="J63" s="14" t="inlineStr">
        <is>
          <t>Project</t>
        </is>
      </c>
      <c r="K63" s="14" t="inlineStr">
        <is>
          <t>GST 10%</t>
        </is>
      </c>
      <c r="L63" s="16" t="n">
        <v>970</v>
      </c>
      <c r="M63" s="17">
        <f>IF(L63="","",IF(K63="GST 10%",ROUND(L63*set_GSTRate,2),0))</f>
        <v/>
      </c>
      <c r="N63" s="17">
        <f>IF(L63="","",L63+M63)</f>
        <v/>
      </c>
      <c r="O63" s="14" t="inlineStr">
        <is>
          <t>42150</t>
        </is>
      </c>
      <c r="P63" s="14" t="inlineStr">
        <is>
          <t>Y</t>
        </is>
      </c>
      <c r="Q63" s="14" t="inlineStr">
        <is>
          <t>N</t>
        </is>
      </c>
      <c r="R63" s="12" t="n"/>
      <c r="S63" s="12" t="n"/>
      <c r="T63" s="14" t="inlineStr">
        <is>
          <t>Invoiced</t>
        </is>
      </c>
      <c r="U63" s="14" t="inlineStr">
        <is>
          <t>Video portion of this invoice</t>
        </is>
      </c>
      <c r="V63" s="15">
        <f>IF(COUNTA(A63,D63,C63,L63)=0,"",IF(A63="","No date - sits outside every month",IF(E63="","No job number",IF(F63="CHECK","Job number is not in the Xero job list",IF(I63="","No cost centre",IF(AND(P63="Y",C63=""),"Marked posted to Xero but has no invoice number",IF(AND(L63&lt;&gt;"",K63=""),"No tax code",IF(AND(L63&lt;&gt;"",O63=""),"No revenue GL code",""))))))))</f>
        <v/>
      </c>
    </row>
    <row r="64" ht="15" customHeight="1">
      <c r="A64" s="12" t="n">
        <v>46219</v>
      </c>
      <c r="B64" s="13">
        <f>IF(A64="","",EOMONTH(A64,0))</f>
        <v/>
      </c>
      <c r="C64" s="14" t="inlineStr">
        <is>
          <t>INV-10524</t>
        </is>
      </c>
      <c r="D64" s="14" t="inlineStr">
        <is>
          <t>Elkiem - PM** Cancelled</t>
        </is>
      </c>
      <c r="E64" s="14" t="inlineStr">
        <is>
          <t>2605802</t>
        </is>
      </c>
      <c r="F64" s="15">
        <f>IF(E64="","",IF(COUNTIF(lst_Jobs,E64&amp;"")&gt;0,"OK","CHECK"))</f>
        <v/>
      </c>
      <c r="G64" s="14" t="inlineStr">
        <is>
          <t>Elkiem Studio Support | 15.7.26</t>
        </is>
      </c>
      <c r="H64" s="14" t="inlineStr">
        <is>
          <t>Production</t>
        </is>
      </c>
      <c r="I64" s="14" t="inlineStr">
        <is>
          <t>PRODUCTION</t>
        </is>
      </c>
      <c r="J64" s="14" t="inlineStr">
        <is>
          <t>Project</t>
        </is>
      </c>
      <c r="K64" s="14" t="inlineStr">
        <is>
          <t>GST 10%</t>
        </is>
      </c>
      <c r="L64" s="16" t="n">
        <v>261.25</v>
      </c>
      <c r="M64" s="17">
        <f>IF(L64="","",IF(K64="GST 10%",ROUND(L64*set_GSTRate,2),0))</f>
        <v/>
      </c>
      <c r="N64" s="17">
        <f>IF(L64="","",L64+M64)</f>
        <v/>
      </c>
      <c r="O64" s="14" t="inlineStr">
        <is>
          <t>42100</t>
        </is>
      </c>
      <c r="P64" s="14" t="inlineStr">
        <is>
          <t>Y</t>
        </is>
      </c>
      <c r="Q64" s="14" t="inlineStr">
        <is>
          <t>N</t>
        </is>
      </c>
      <c r="R64" s="12" t="n"/>
      <c r="S64" s="12" t="n"/>
      <c r="T64" s="14" t="inlineStr">
        <is>
          <t>Invoiced</t>
        </is>
      </c>
      <c r="U64" s="14" t="n"/>
      <c r="V64" s="15">
        <f>IF(COUNTA(A64,D64,C64,L64)=0,"",IF(A64="","No date - sits outside every month",IF(E64="","No job number",IF(F64="CHECK","Job number is not in the Xero job list",IF(I64="","No cost centre",IF(AND(P64="Y",C64=""),"Marked posted to Xero but has no invoice number",IF(AND(L64&lt;&gt;"",K64=""),"No tax code",IF(AND(L64&lt;&gt;"",O64=""),"No revenue GL code",""))))))))</f>
        <v/>
      </c>
    </row>
    <row r="65" ht="15" customHeight="1">
      <c r="A65" s="12" t="n">
        <v>46210</v>
      </c>
      <c r="B65" s="13">
        <f>IF(A65="","",EOMONTH(A65,0))</f>
        <v/>
      </c>
      <c r="C65" s="14" t="inlineStr">
        <is>
          <t>INV-10518</t>
        </is>
      </c>
      <c r="D65" s="14" t="inlineStr">
        <is>
          <t>Litecard</t>
        </is>
      </c>
      <c r="E65" s="14" t="inlineStr">
        <is>
          <t>2607701</t>
        </is>
      </c>
      <c r="F65" s="15">
        <f>IF(E65="","",IF(COUNTIF(lst_Jobs,E65&amp;"")&gt;0,"OK","CHECK"))</f>
        <v/>
      </c>
      <c r="G65" s="14" t="inlineStr">
        <is>
          <t>Screen &amp; Mic Hire 16.7.26</t>
        </is>
      </c>
      <c r="H65" s="14" t="inlineStr">
        <is>
          <t>Production</t>
        </is>
      </c>
      <c r="I65" s="14" t="inlineStr">
        <is>
          <t>PRODUCTION</t>
        </is>
      </c>
      <c r="J65" s="14" t="inlineStr">
        <is>
          <t>Project</t>
        </is>
      </c>
      <c r="K65" s="14" t="inlineStr">
        <is>
          <t>GST 10%</t>
        </is>
      </c>
      <c r="L65" s="16" t="n">
        <v>500</v>
      </c>
      <c r="M65" s="17">
        <f>IF(L65="","",IF(K65="GST 10%",ROUND(L65*set_GSTRate,2),0))</f>
        <v/>
      </c>
      <c r="N65" s="17">
        <f>IF(L65="","",L65+M65)</f>
        <v/>
      </c>
      <c r="O65" s="14" t="inlineStr">
        <is>
          <t>42100</t>
        </is>
      </c>
      <c r="P65" s="14" t="inlineStr">
        <is>
          <t>Y</t>
        </is>
      </c>
      <c r="Q65" s="14" t="inlineStr">
        <is>
          <t>N</t>
        </is>
      </c>
      <c r="R65" s="12" t="n"/>
      <c r="S65" s="12" t="n"/>
      <c r="T65" s="14" t="inlineStr">
        <is>
          <t>Invoiced</t>
        </is>
      </c>
      <c r="U65" s="14" t="n"/>
      <c r="V65" s="15">
        <f>IF(COUNTA(A65,D65,C65,L65)=0,"",IF(A65="","No date - sits outside every month",IF(E65="","No job number",IF(F65="CHECK","Job number is not in the Xero job list",IF(I65="","No cost centre",IF(AND(P65="Y",C65=""),"Marked posted to Xero but has no invoice number",IF(AND(L65&lt;&gt;"",K65=""),"No tax code",IF(AND(L65&lt;&gt;"",O65=""),"No revenue GL code",""))))))))</f>
        <v/>
      </c>
    </row>
    <row r="66" ht="15" customHeight="1">
      <c r="A66" s="12" t="n">
        <v>46216</v>
      </c>
      <c r="B66" s="13">
        <f>IF(A66="","",EOMONTH(A66,0))</f>
        <v/>
      </c>
      <c r="C66" s="14" t="inlineStr">
        <is>
          <t>INV-10522</t>
        </is>
      </c>
      <c r="D66" s="14" t="inlineStr">
        <is>
          <t>Litecard</t>
        </is>
      </c>
      <c r="E66" s="14" t="inlineStr">
        <is>
          <t>2607701</t>
        </is>
      </c>
      <c r="F66" s="15">
        <f>IF(E66="","",IF(COUNTIF(lst_Jobs,E66&amp;"")&gt;0,"OK","CHECK"))</f>
        <v/>
      </c>
      <c r="G66" s="14" t="inlineStr">
        <is>
          <t>Litecard - Event Photographer - 16.7.26</t>
        </is>
      </c>
      <c r="H66" s="14" t="inlineStr">
        <is>
          <t>Production</t>
        </is>
      </c>
      <c r="I66" s="14" t="inlineStr">
        <is>
          <t>VIDEO</t>
        </is>
      </c>
      <c r="J66" s="14" t="inlineStr">
        <is>
          <t>Project</t>
        </is>
      </c>
      <c r="K66" s="14" t="inlineStr">
        <is>
          <t>GST 10%</t>
        </is>
      </c>
      <c r="L66" s="16" t="n">
        <v>550</v>
      </c>
      <c r="M66" s="17">
        <f>IF(L66="","",IF(K66="GST 10%",ROUND(L66*set_GSTRate,2),0))</f>
        <v/>
      </c>
      <c r="N66" s="17">
        <f>IF(L66="","",L66+M66)</f>
        <v/>
      </c>
      <c r="O66" s="14" t="inlineStr">
        <is>
          <t>42150</t>
        </is>
      </c>
      <c r="P66" s="14" t="inlineStr">
        <is>
          <t>Y</t>
        </is>
      </c>
      <c r="Q66" s="14" t="inlineStr">
        <is>
          <t>N</t>
        </is>
      </c>
      <c r="R66" s="12" t="n"/>
      <c r="S66" s="12" t="n"/>
      <c r="T66" s="14" t="inlineStr">
        <is>
          <t>Invoiced</t>
        </is>
      </c>
      <c r="U66" s="14" t="n"/>
      <c r="V66" s="15">
        <f>IF(COUNTA(A66,D66,C66,L66)=0,"",IF(A66="","No date - sits outside every month",IF(E66="","No job number",IF(F66="CHECK","Job number is not in the Xero job list",IF(I66="","No cost centre",IF(AND(P66="Y",C66=""),"Marked posted to Xero but has no invoice number",IF(AND(L66&lt;&gt;"",K66=""),"No tax code",IF(AND(L66&lt;&gt;"",O66=""),"No revenue GL code",""))))))))</f>
        <v/>
      </c>
    </row>
    <row r="67" ht="15" customHeight="1">
      <c r="A67" s="12" t="n">
        <v>46234</v>
      </c>
      <c r="B67" s="13">
        <f>IF(A67="","",EOMONTH(A67,0))</f>
        <v/>
      </c>
      <c r="C67" s="14" t="inlineStr">
        <is>
          <t>INV-10554</t>
        </is>
      </c>
      <c r="D67" s="14" t="inlineStr">
        <is>
          <t>Microsoft</t>
        </is>
      </c>
      <c r="E67" s="14" t="inlineStr">
        <is>
          <t>26052703</t>
        </is>
      </c>
      <c r="F67" s="15">
        <f>IF(E67="","",IF(COUNTIF(lst_Jobs,E67&amp;"")&gt;0,"OK","CHECK"))</f>
        <v/>
      </c>
      <c r="G67" s="14" t="inlineStr">
        <is>
          <t>Microsoft Town Hall 21.7.26</t>
        </is>
      </c>
      <c r="H67" s="14" t="inlineStr">
        <is>
          <t>Production</t>
        </is>
      </c>
      <c r="I67" s="14" t="inlineStr">
        <is>
          <t>PRODUCTION</t>
        </is>
      </c>
      <c r="J67" s="14" t="inlineStr">
        <is>
          <t>Project</t>
        </is>
      </c>
      <c r="K67" s="14" t="inlineStr">
        <is>
          <t>GST 10%</t>
        </is>
      </c>
      <c r="L67" s="16" t="n">
        <v>10885</v>
      </c>
      <c r="M67" s="17">
        <f>IF(L67="","",IF(K67="GST 10%",ROUND(L67*set_GSTRate,2),0))</f>
        <v/>
      </c>
      <c r="N67" s="17">
        <f>IF(L67="","",L67+M67)</f>
        <v/>
      </c>
      <c r="O67" s="14" t="inlineStr">
        <is>
          <t>42100</t>
        </is>
      </c>
      <c r="P67" s="14" t="inlineStr">
        <is>
          <t>Y</t>
        </is>
      </c>
      <c r="Q67" s="14" t="inlineStr">
        <is>
          <t>N</t>
        </is>
      </c>
      <c r="R67" s="12" t="n"/>
      <c r="S67" s="12" t="n"/>
      <c r="T67" s="14" t="inlineStr">
        <is>
          <t>Invoiced</t>
        </is>
      </c>
      <c r="U67" s="14" t="inlineStr">
        <is>
          <t>Production portion of this invoice</t>
        </is>
      </c>
      <c r="V67" s="15">
        <f>IF(COUNTA(A67,D67,C67,L67)=0,"",IF(A67="","No date - sits outside every month",IF(E67="","No job number",IF(F67="CHECK","Job number is not in the Xero job list",IF(I67="","No cost centre",IF(AND(P67="Y",C67=""),"Marked posted to Xero but has no invoice number",IF(AND(L67&lt;&gt;"",K67=""),"No tax code",IF(AND(L67&lt;&gt;"",O67=""),"No revenue GL code",""))))))))</f>
        <v/>
      </c>
    </row>
    <row r="68" ht="15" customHeight="1">
      <c r="A68" s="12" t="n">
        <v>46234</v>
      </c>
      <c r="B68" s="13">
        <f>IF(A68="","",EOMONTH(A68,0))</f>
        <v/>
      </c>
      <c r="C68" s="14" t="inlineStr">
        <is>
          <t>INV-10554</t>
        </is>
      </c>
      <c r="D68" s="14" t="inlineStr">
        <is>
          <t>Microsoft</t>
        </is>
      </c>
      <c r="E68" s="14" t="inlineStr">
        <is>
          <t>26052703</t>
        </is>
      </c>
      <c r="F68" s="15">
        <f>IF(E68="","",IF(COUNTIF(lst_Jobs,E68&amp;"")&gt;0,"OK","CHECK"))</f>
        <v/>
      </c>
      <c r="G68" s="14" t="inlineStr">
        <is>
          <t>Microsoft Town Hall 21.7.26</t>
        </is>
      </c>
      <c r="H68" s="14" t="inlineStr">
        <is>
          <t>Production</t>
        </is>
      </c>
      <c r="I68" s="14" t="inlineStr">
        <is>
          <t>VIDEO</t>
        </is>
      </c>
      <c r="J68" s="14" t="inlineStr">
        <is>
          <t>Project</t>
        </is>
      </c>
      <c r="K68" s="14" t="inlineStr">
        <is>
          <t>GST 10%</t>
        </is>
      </c>
      <c r="L68" s="16" t="n">
        <v>1702</v>
      </c>
      <c r="M68" s="17">
        <f>IF(L68="","",IF(K68="GST 10%",ROUND(L68*set_GSTRate,2),0))</f>
        <v/>
      </c>
      <c r="N68" s="17">
        <f>IF(L68="","",L68+M68)</f>
        <v/>
      </c>
      <c r="O68" s="14" t="inlineStr">
        <is>
          <t>42150</t>
        </is>
      </c>
      <c r="P68" s="14" t="inlineStr">
        <is>
          <t>Y</t>
        </is>
      </c>
      <c r="Q68" s="14" t="inlineStr">
        <is>
          <t>N</t>
        </is>
      </c>
      <c r="R68" s="12" t="n"/>
      <c r="S68" s="12" t="n"/>
      <c r="T68" s="14" t="inlineStr">
        <is>
          <t>Invoiced</t>
        </is>
      </c>
      <c r="U68" s="14" t="inlineStr">
        <is>
          <t>Video portion of this invoice</t>
        </is>
      </c>
      <c r="V68" s="15">
        <f>IF(COUNTA(A68,D68,C68,L68)=0,"",IF(A68="","No date - sits outside every month",IF(E68="","No job number",IF(F68="CHECK","Job number is not in the Xero job list",IF(I68="","No cost centre",IF(AND(P68="Y",C68=""),"Marked posted to Xero but has no invoice number",IF(AND(L68&lt;&gt;"",K68=""),"No tax code",IF(AND(L68&lt;&gt;"",O68=""),"No revenue GL code",""))))))))</f>
        <v/>
      </c>
    </row>
    <row r="69" ht="15" customHeight="1">
      <c r="A69" s="12" t="n">
        <v>46232</v>
      </c>
      <c r="B69" s="13">
        <f>IF(A69="","",EOMONTH(A69,0))</f>
        <v/>
      </c>
      <c r="C69" s="14" t="inlineStr">
        <is>
          <t>INV-10538</t>
        </is>
      </c>
      <c r="D69" s="14" t="inlineStr">
        <is>
          <t>Optiver</t>
        </is>
      </c>
      <c r="E69" s="14" t="inlineStr">
        <is>
          <t>26041603</t>
        </is>
      </c>
      <c r="F69" s="15">
        <f>IF(E69="","",IF(COUNTIF(lst_Jobs,E69&amp;"")&gt;0,"OK","CHECK"))</f>
        <v/>
      </c>
      <c r="G69" s="14" t="inlineStr">
        <is>
          <t>Mid-Year Town Hall 23.7.26</t>
        </is>
      </c>
      <c r="H69" s="14" t="inlineStr">
        <is>
          <t>Production</t>
        </is>
      </c>
      <c r="I69" s="14" t="inlineStr">
        <is>
          <t>PRODUCTION</t>
        </is>
      </c>
      <c r="J69" s="14" t="inlineStr">
        <is>
          <t>Project</t>
        </is>
      </c>
      <c r="K69" s="14" t="inlineStr">
        <is>
          <t>GST 10%</t>
        </is>
      </c>
      <c r="L69" s="16" t="n">
        <v>745</v>
      </c>
      <c r="M69" s="17">
        <f>IF(L69="","",IF(K69="GST 10%",ROUND(L69*set_GSTRate,2),0))</f>
        <v/>
      </c>
      <c r="N69" s="17">
        <f>IF(L69="","",L69+M69)</f>
        <v/>
      </c>
      <c r="O69" s="14" t="inlineStr">
        <is>
          <t>42100</t>
        </is>
      </c>
      <c r="P69" s="14" t="inlineStr">
        <is>
          <t>Y</t>
        </is>
      </c>
      <c r="Q69" s="14" t="inlineStr">
        <is>
          <t>N</t>
        </is>
      </c>
      <c r="R69" s="12" t="n"/>
      <c r="S69" s="12" t="n"/>
      <c r="T69" s="14" t="inlineStr">
        <is>
          <t>Invoiced</t>
        </is>
      </c>
      <c r="U69" s="14" t="n"/>
      <c r="V69" s="15">
        <f>IF(COUNTA(A69,D69,C69,L69)=0,"",IF(A69="","No date - sits outside every month",IF(E69="","No job number",IF(F69="CHECK","Job number is not in the Xero job list",IF(I69="","No cost centre",IF(AND(P69="Y",C69=""),"Marked posted to Xero but has no invoice number",IF(AND(L69&lt;&gt;"",K69=""),"No tax code",IF(AND(L69&lt;&gt;"",O69=""),"No revenue GL code",""))))))))</f>
        <v/>
      </c>
    </row>
    <row r="70" ht="15" customHeight="1">
      <c r="A70" s="12" t="n">
        <v>46234</v>
      </c>
      <c r="B70" s="13">
        <f>IF(A70="","",EOMONTH(A70,0))</f>
        <v/>
      </c>
      <c r="C70" s="14" t="inlineStr">
        <is>
          <t>INV-10540</t>
        </is>
      </c>
      <c r="D70" s="14" t="inlineStr">
        <is>
          <t>Arup</t>
        </is>
      </c>
      <c r="E70" s="14" t="inlineStr">
        <is>
          <t>2605403</t>
        </is>
      </c>
      <c r="F70" s="15">
        <f>IF(E70="","",IF(COUNTIF(lst_Jobs,E70&amp;"")&gt;0,"OK","CHECK"))</f>
        <v/>
      </c>
      <c r="G70" s="14" t="inlineStr">
        <is>
          <t>Oves Awards Night 23.7.26</t>
        </is>
      </c>
      <c r="H70" s="14" t="inlineStr">
        <is>
          <t>Production</t>
        </is>
      </c>
      <c r="I70" s="14" t="inlineStr">
        <is>
          <t>PRODUCTION</t>
        </is>
      </c>
      <c r="J70" s="14" t="inlineStr">
        <is>
          <t>Project</t>
        </is>
      </c>
      <c r="K70" s="14" t="inlineStr">
        <is>
          <t>GST 10%</t>
        </is>
      </c>
      <c r="L70" s="16" t="n">
        <v>5460</v>
      </c>
      <c r="M70" s="17">
        <f>IF(L70="","",IF(K70="GST 10%",ROUND(L70*set_GSTRate,2),0))</f>
        <v/>
      </c>
      <c r="N70" s="17">
        <f>IF(L70="","",L70+M70)</f>
        <v/>
      </c>
      <c r="O70" s="14" t="inlineStr">
        <is>
          <t>42100</t>
        </is>
      </c>
      <c r="P70" s="14" t="inlineStr">
        <is>
          <t>Y</t>
        </is>
      </c>
      <c r="Q70" s="14" t="inlineStr">
        <is>
          <t>N</t>
        </is>
      </c>
      <c r="R70" s="12" t="n"/>
      <c r="S70" s="12" t="n"/>
      <c r="T70" s="14" t="inlineStr">
        <is>
          <t>Invoiced</t>
        </is>
      </c>
      <c r="U70" s="14" t="inlineStr">
        <is>
          <t>Production portion of this invoice</t>
        </is>
      </c>
      <c r="V70" s="15">
        <f>IF(COUNTA(A70,D70,C70,L70)=0,"",IF(A70="","No date - sits outside every month",IF(E70="","No job number",IF(F70="CHECK","Job number is not in the Xero job list",IF(I70="","No cost centre",IF(AND(P70="Y",C70=""),"Marked posted to Xero but has no invoice number",IF(AND(L70&lt;&gt;"",K70=""),"No tax code",IF(AND(L70&lt;&gt;"",O70=""),"No revenue GL code",""))))))))</f>
        <v/>
      </c>
    </row>
    <row r="71" ht="15" customHeight="1">
      <c r="A71" s="12" t="n">
        <v>46234</v>
      </c>
      <c r="B71" s="13">
        <f>IF(A71="","",EOMONTH(A71,0))</f>
        <v/>
      </c>
      <c r="C71" s="14" t="inlineStr">
        <is>
          <t>INV-10540</t>
        </is>
      </c>
      <c r="D71" s="14" t="inlineStr">
        <is>
          <t>Arup</t>
        </is>
      </c>
      <c r="E71" s="14" t="inlineStr">
        <is>
          <t>2605403</t>
        </is>
      </c>
      <c r="F71" s="15">
        <f>IF(E71="","",IF(COUNTIF(lst_Jobs,E71&amp;"")&gt;0,"OK","CHECK"))</f>
        <v/>
      </c>
      <c r="G71" s="14" t="inlineStr">
        <is>
          <t>Oves Awards Night 23.7.26</t>
        </is>
      </c>
      <c r="H71" s="14" t="inlineStr">
        <is>
          <t>Production</t>
        </is>
      </c>
      <c r="I71" s="14" t="inlineStr">
        <is>
          <t>VIDEO</t>
        </is>
      </c>
      <c r="J71" s="14" t="inlineStr">
        <is>
          <t>Project</t>
        </is>
      </c>
      <c r="K71" s="14" t="inlineStr">
        <is>
          <t>GST 10%</t>
        </is>
      </c>
      <c r="L71" s="16" t="n">
        <v>176</v>
      </c>
      <c r="M71" s="17">
        <f>IF(L71="","",IF(K71="GST 10%",ROUND(L71*set_GSTRate,2),0))</f>
        <v/>
      </c>
      <c r="N71" s="17">
        <f>IF(L71="","",L71+M71)</f>
        <v/>
      </c>
      <c r="O71" s="14" t="inlineStr">
        <is>
          <t>42150</t>
        </is>
      </c>
      <c r="P71" s="14" t="inlineStr">
        <is>
          <t>Y</t>
        </is>
      </c>
      <c r="Q71" s="14" t="inlineStr">
        <is>
          <t>N</t>
        </is>
      </c>
      <c r="R71" s="12" t="n"/>
      <c r="S71" s="12" t="n"/>
      <c r="T71" s="14" t="inlineStr">
        <is>
          <t>Invoiced</t>
        </is>
      </c>
      <c r="U71" s="14" t="inlineStr">
        <is>
          <t>Video portion of this invoice</t>
        </is>
      </c>
      <c r="V71" s="15">
        <f>IF(COUNTA(A71,D71,C71,L71)=0,"",IF(A71="","No date - sits outside every month",IF(E71="","No job number",IF(F71="CHECK","Job number is not in the Xero job list",IF(I71="","No cost centre",IF(AND(P71="Y",C71=""),"Marked posted to Xero but has no invoice number",IF(AND(L71&lt;&gt;"",K71=""),"No tax code",IF(AND(L71&lt;&gt;"",O71=""),"No revenue GL code",""))))))))</f>
        <v/>
      </c>
    </row>
    <row r="72" ht="15" customHeight="1">
      <c r="A72" s="12" t="n">
        <v>46234</v>
      </c>
      <c r="B72" s="13">
        <f>IF(A72="","",EOMONTH(A72,0))</f>
        <v/>
      </c>
      <c r="C72" s="14" t="inlineStr">
        <is>
          <t>INV-10552</t>
        </is>
      </c>
      <c r="D72" s="14" t="inlineStr">
        <is>
          <t>On24</t>
        </is>
      </c>
      <c r="E72" s="14" t="inlineStr">
        <is>
          <t>2607901</t>
        </is>
      </c>
      <c r="F72" s="15">
        <f>IF(E72="","",IF(COUNTIF(lst_Jobs,E72&amp;"")&gt;0,"OK","CHECK"))</f>
        <v/>
      </c>
      <c r="G72" s="14" t="inlineStr">
        <is>
          <t>KWM Event 23.7.26 (PO #25962)</t>
        </is>
      </c>
      <c r="H72" s="14" t="inlineStr">
        <is>
          <t>Production</t>
        </is>
      </c>
      <c r="I72" s="14" t="inlineStr">
        <is>
          <t>PRODUCTION</t>
        </is>
      </c>
      <c r="J72" s="14" t="inlineStr">
        <is>
          <t>Project</t>
        </is>
      </c>
      <c r="K72" s="14" t="inlineStr">
        <is>
          <t>GST 10%</t>
        </is>
      </c>
      <c r="L72" s="16" t="n">
        <v>2575</v>
      </c>
      <c r="M72" s="17">
        <f>IF(L72="","",IF(K72="GST 10%",ROUND(L72*set_GSTRate,2),0))</f>
        <v/>
      </c>
      <c r="N72" s="17">
        <f>IF(L72="","",L72+M72)</f>
        <v/>
      </c>
      <c r="O72" s="14" t="inlineStr">
        <is>
          <t>42100</t>
        </is>
      </c>
      <c r="P72" s="14" t="inlineStr">
        <is>
          <t>Y</t>
        </is>
      </c>
      <c r="Q72" s="14" t="inlineStr">
        <is>
          <t>N</t>
        </is>
      </c>
      <c r="R72" s="12" t="n"/>
      <c r="S72" s="12" t="n"/>
      <c r="T72" s="14" t="inlineStr">
        <is>
          <t>Invoiced</t>
        </is>
      </c>
      <c r="U72" s="14" t="n"/>
      <c r="V72" s="15">
        <f>IF(COUNTA(A72,D72,C72,L72)=0,"",IF(A72="","No date - sits outside every month",IF(E72="","No job number",IF(F72="CHECK","Job number is not in the Xero job list",IF(I72="","No cost centre",IF(AND(P72="Y",C72=""),"Marked posted to Xero but has no invoice number",IF(AND(L72&lt;&gt;"",K72=""),"No tax code",IF(AND(L72&lt;&gt;"",O72=""),"No revenue GL code",""))))))))</f>
        <v/>
      </c>
    </row>
    <row r="73" ht="15" customHeight="1">
      <c r="A73" s="12" t="n">
        <v>46223</v>
      </c>
      <c r="B73" s="13">
        <f>IF(A73="","",EOMONTH(A73,0))</f>
        <v/>
      </c>
      <c r="C73" s="14" t="inlineStr">
        <is>
          <t>INV-10533</t>
        </is>
      </c>
      <c r="D73" s="14" t="inlineStr">
        <is>
          <t>Skykick Ranger</t>
        </is>
      </c>
      <c r="E73" s="14" t="inlineStr">
        <is>
          <t>26063001</t>
        </is>
      </c>
      <c r="F73" s="15">
        <f>IF(E73="","",IF(COUNTIF(lst_Jobs,E73&amp;"")&gt;0,"OK","CHECK"))</f>
        <v/>
      </c>
      <c r="G73" s="14" t="inlineStr">
        <is>
          <t>Sydney Performance Dry Hire 26.7.26</t>
        </is>
      </c>
      <c r="H73" s="14" t="inlineStr">
        <is>
          <t>Production</t>
        </is>
      </c>
      <c r="I73" s="14" t="inlineStr">
        <is>
          <t>PRODUCTION</t>
        </is>
      </c>
      <c r="J73" s="14" t="inlineStr">
        <is>
          <t>Project</t>
        </is>
      </c>
      <c r="K73" s="14" t="inlineStr">
        <is>
          <t>GST 10%</t>
        </is>
      </c>
      <c r="L73" s="16" t="n">
        <v>975</v>
      </c>
      <c r="M73" s="17">
        <f>IF(L73="","",IF(K73="GST 10%",ROUND(L73*set_GSTRate,2),0))</f>
        <v/>
      </c>
      <c r="N73" s="17">
        <f>IF(L73="","",L73+M73)</f>
        <v/>
      </c>
      <c r="O73" s="14" t="inlineStr">
        <is>
          <t>42100</t>
        </is>
      </c>
      <c r="P73" s="14" t="inlineStr">
        <is>
          <t>Y</t>
        </is>
      </c>
      <c r="Q73" s="14" t="inlineStr">
        <is>
          <t>N</t>
        </is>
      </c>
      <c r="R73" s="12" t="n"/>
      <c r="S73" s="12" t="n"/>
      <c r="T73" s="14" t="inlineStr">
        <is>
          <t>Invoiced</t>
        </is>
      </c>
      <c r="U73" s="14" t="n"/>
      <c r="V73" s="15">
        <f>IF(COUNTA(A73,D73,C73,L73)=0,"",IF(A73="","No date - sits outside every month",IF(E73="","No job number",IF(F73="CHECK","Job number is not in the Xero job list",IF(I73="","No cost centre",IF(AND(P73="Y",C73=""),"Marked posted to Xero but has no invoice number",IF(AND(L73&lt;&gt;"",K73=""),"No tax code",IF(AND(L73&lt;&gt;"",O73=""),"No revenue GL code",""))))))))</f>
        <v/>
      </c>
    </row>
    <row r="74" ht="15" customHeight="1">
      <c r="A74" s="12" t="n">
        <v>46234</v>
      </c>
      <c r="B74" s="13">
        <f>IF(A74="","",EOMONTH(A74,0))</f>
        <v/>
      </c>
      <c r="C74" s="14" t="inlineStr">
        <is>
          <t>INV-10557</t>
        </is>
      </c>
      <c r="D74" s="14" t="inlineStr">
        <is>
          <t>Ventia</t>
        </is>
      </c>
      <c r="E74" s="14" t="inlineStr">
        <is>
          <t>2604202</t>
        </is>
      </c>
      <c r="F74" s="15">
        <f>IF(E74="","",IF(COUNTIF(lst_Jobs,E74&amp;"")&gt;0,"OK","CHECK"))</f>
        <v/>
      </c>
      <c r="G74" s="14" t="inlineStr">
        <is>
          <t>Ventia Awards 28 &amp; 30.7.26 (PO 4701355678)</t>
        </is>
      </c>
      <c r="H74" s="14" t="inlineStr">
        <is>
          <t>Production</t>
        </is>
      </c>
      <c r="I74" s="14" t="inlineStr">
        <is>
          <t>PRODUCTION</t>
        </is>
      </c>
      <c r="J74" s="14" t="inlineStr">
        <is>
          <t>Project</t>
        </is>
      </c>
      <c r="K74" s="14" t="inlineStr">
        <is>
          <t>GST 10%</t>
        </is>
      </c>
      <c r="L74" s="16" t="n">
        <v>52749.78</v>
      </c>
      <c r="M74" s="17">
        <f>IF(L74="","",IF(K74="GST 10%",ROUND(L74*set_GSTRate,2),0))</f>
        <v/>
      </c>
      <c r="N74" s="17">
        <f>IF(L74="","",L74+M74)</f>
        <v/>
      </c>
      <c r="O74" s="14" t="inlineStr">
        <is>
          <t>42100</t>
        </is>
      </c>
      <c r="P74" s="14" t="inlineStr">
        <is>
          <t>Y</t>
        </is>
      </c>
      <c r="Q74" s="14" t="inlineStr">
        <is>
          <t>N</t>
        </is>
      </c>
      <c r="R74" s="12" t="n"/>
      <c r="S74" s="12" t="n"/>
      <c r="T74" s="14" t="inlineStr">
        <is>
          <t>Invoiced</t>
        </is>
      </c>
      <c r="U74" s="14" t="n"/>
      <c r="V74" s="15">
        <f>IF(COUNTA(A74,D74,C74,L74)=0,"",IF(A74="","No date - sits outside every month",IF(E74="","No job number",IF(F74="CHECK","Job number is not in the Xero job list",IF(I74="","No cost centre",IF(AND(P74="Y",C74=""),"Marked posted to Xero but has no invoice number",IF(AND(L74&lt;&gt;"",K74=""),"No tax code",IF(AND(L74&lt;&gt;"",O74=""),"No revenue GL code",""))))))))</f>
        <v/>
      </c>
    </row>
    <row r="75" ht="15" customHeight="1">
      <c r="A75" s="12" t="n">
        <v>46234</v>
      </c>
      <c r="B75" s="13">
        <f>IF(A75="","",EOMONTH(A75,0))</f>
        <v/>
      </c>
      <c r="C75" s="14" t="inlineStr">
        <is>
          <t>INV-10555</t>
        </is>
      </c>
      <c r="D75" s="14" t="inlineStr">
        <is>
          <t>PWC</t>
        </is>
      </c>
      <c r="E75" s="14" t="inlineStr">
        <is>
          <t>26062202</t>
        </is>
      </c>
      <c r="F75" s="15">
        <f>IF(E75="","",IF(COUNTIF(lst_Jobs,E75&amp;"")&gt;0,"OK","CHECK"))</f>
        <v/>
      </c>
      <c r="G75" s="14" t="inlineStr">
        <is>
          <t>Early Careers Webcast 29.7.26</t>
        </is>
      </c>
      <c r="H75" s="14" t="inlineStr">
        <is>
          <t>Production</t>
        </is>
      </c>
      <c r="I75" s="14" t="inlineStr">
        <is>
          <t>PRODUCTION</t>
        </is>
      </c>
      <c r="J75" s="14" t="inlineStr">
        <is>
          <t>Project</t>
        </is>
      </c>
      <c r="K75" s="14" t="inlineStr">
        <is>
          <t>GST 10%</t>
        </is>
      </c>
      <c r="L75" s="16" t="n">
        <v>1925</v>
      </c>
      <c r="M75" s="17">
        <f>IF(L75="","",IF(K75="GST 10%",ROUND(L75*set_GSTRate,2),0))</f>
        <v/>
      </c>
      <c r="N75" s="17">
        <f>IF(L75="","",L75+M75)</f>
        <v/>
      </c>
      <c r="O75" s="14" t="inlineStr">
        <is>
          <t>42100</t>
        </is>
      </c>
      <c r="P75" s="14" t="inlineStr">
        <is>
          <t>Y</t>
        </is>
      </c>
      <c r="Q75" s="14" t="inlineStr">
        <is>
          <t>N</t>
        </is>
      </c>
      <c r="R75" s="12" t="n"/>
      <c r="S75" s="12" t="n"/>
      <c r="T75" s="14" t="inlineStr">
        <is>
          <t>Invoiced</t>
        </is>
      </c>
      <c r="U75" s="14" t="n"/>
      <c r="V75" s="15">
        <f>IF(COUNTA(A75,D75,C75,L75)=0,"",IF(A75="","No date - sits outside every month",IF(E75="","No job number",IF(F75="CHECK","Job number is not in the Xero job list",IF(I75="","No cost centre",IF(AND(P75="Y",C75=""),"Marked posted to Xero but has no invoice number",IF(AND(L75&lt;&gt;"",K75=""),"No tax code",IF(AND(L75&lt;&gt;"",O75=""),"No revenue GL code",""))))))))</f>
        <v/>
      </c>
    </row>
    <row r="76" ht="15" customHeight="1">
      <c r="A76" s="12" t="n">
        <v>46234</v>
      </c>
      <c r="B76" s="13">
        <f>IF(A76="","",EOMONTH(A76,0))</f>
        <v/>
      </c>
      <c r="C76" s="14" t="inlineStr">
        <is>
          <t>INV-10558</t>
        </is>
      </c>
      <c r="D76" s="14" t="inlineStr">
        <is>
          <t>Ventia (Melbourne)</t>
        </is>
      </c>
      <c r="E76" s="14" t="inlineStr">
        <is>
          <t>26071303</t>
        </is>
      </c>
      <c r="F76" s="15">
        <f>IF(E76="","",IF(COUNTIF(lst_Jobs,E76&amp;"")&gt;0,"OK","CHECK"))</f>
        <v/>
      </c>
      <c r="G76" s="14" t="inlineStr">
        <is>
          <t>Melbourne Office Event 30&amp;31.7.26</t>
        </is>
      </c>
      <c r="H76" s="14" t="inlineStr">
        <is>
          <t>Production</t>
        </is>
      </c>
      <c r="I76" s="14" t="inlineStr">
        <is>
          <t>PRODUCTION</t>
        </is>
      </c>
      <c r="J76" s="14" t="inlineStr">
        <is>
          <t>Project</t>
        </is>
      </c>
      <c r="K76" s="14" t="inlineStr">
        <is>
          <t>GST 10%</t>
        </is>
      </c>
      <c r="L76" s="16" t="n">
        <v>11570</v>
      </c>
      <c r="M76" s="17">
        <f>IF(L76="","",IF(K76="GST 10%",ROUND(L76*set_GSTRate,2),0))</f>
        <v/>
      </c>
      <c r="N76" s="17">
        <f>IF(L76="","",L76+M76)</f>
        <v/>
      </c>
      <c r="O76" s="14" t="inlineStr">
        <is>
          <t>42100</t>
        </is>
      </c>
      <c r="P76" s="14" t="inlineStr">
        <is>
          <t>Y</t>
        </is>
      </c>
      <c r="Q76" s="14" t="inlineStr">
        <is>
          <t>N</t>
        </is>
      </c>
      <c r="R76" s="12" t="n"/>
      <c r="S76" s="12" t="n"/>
      <c r="T76" s="14" t="inlineStr">
        <is>
          <t>Invoiced</t>
        </is>
      </c>
      <c r="U76" s="14" t="n"/>
      <c r="V76" s="15">
        <f>IF(COUNTA(A76,D76,C76,L76)=0,"",IF(A76="","No date - sits outside every month",IF(E76="","No job number",IF(F76="CHECK","Job number is not in the Xero job list",IF(I76="","No cost centre",IF(AND(P76="Y",C76=""),"Marked posted to Xero but has no invoice number",IF(AND(L76&lt;&gt;"",K76=""),"No tax code",IF(AND(L76&lt;&gt;"",O76=""),"No revenue GL code",""))))))))</f>
        <v/>
      </c>
    </row>
    <row r="77" ht="15" customHeight="1">
      <c r="A77" s="12" t="n">
        <v>46234</v>
      </c>
      <c r="B77" s="13">
        <f>IF(A77="","",EOMONTH(A77,0))</f>
        <v/>
      </c>
      <c r="C77" s="14" t="inlineStr">
        <is>
          <t>INV-10556</t>
        </is>
      </c>
      <c r="D77" s="14" t="inlineStr">
        <is>
          <t>Garvan</t>
        </is>
      </c>
      <c r="E77" s="14" t="inlineStr">
        <is>
          <t>26061702</t>
        </is>
      </c>
      <c r="F77" s="15">
        <f>IF(E77="","",IF(COUNTIF(lst_Jobs,E77&amp;"")&gt;0,"OK","CHECK"))</f>
        <v/>
      </c>
      <c r="G77" s="14" t="inlineStr">
        <is>
          <t>Morning Tea Event 31.7.26 (PO-58817)</t>
        </is>
      </c>
      <c r="H77" s="14" t="inlineStr">
        <is>
          <t>Production</t>
        </is>
      </c>
      <c r="I77" s="14" t="inlineStr">
        <is>
          <t>PRODUCTION</t>
        </is>
      </c>
      <c r="J77" s="14" t="inlineStr">
        <is>
          <t>Project</t>
        </is>
      </c>
      <c r="K77" s="14" t="inlineStr">
        <is>
          <t>GST 10%</t>
        </is>
      </c>
      <c r="L77" s="16" t="n">
        <v>1120</v>
      </c>
      <c r="M77" s="17">
        <f>IF(L77="","",IF(K77="GST 10%",ROUND(L77*set_GSTRate,2),0))</f>
        <v/>
      </c>
      <c r="N77" s="17">
        <f>IF(L77="","",L77+M77)</f>
        <v/>
      </c>
      <c r="O77" s="14" t="inlineStr">
        <is>
          <t>42100</t>
        </is>
      </c>
      <c r="P77" s="14" t="inlineStr">
        <is>
          <t>Y</t>
        </is>
      </c>
      <c r="Q77" s="14" t="inlineStr">
        <is>
          <t>N</t>
        </is>
      </c>
      <c r="R77" s="12" t="n"/>
      <c r="S77" s="12" t="n"/>
      <c r="T77" s="14" t="inlineStr">
        <is>
          <t>Invoiced</t>
        </is>
      </c>
      <c r="U77" s="14" t="n"/>
      <c r="V77" s="15">
        <f>IF(COUNTA(A77,D77,C77,L77)=0,"",IF(A77="","No date - sits outside every month",IF(E77="","No job number",IF(F77="CHECK","Job number is not in the Xero job list",IF(I77="","No cost centre",IF(AND(P77="Y",C77=""),"Marked posted to Xero but has no invoice number",IF(AND(L77&lt;&gt;"",K77=""),"No tax code",IF(AND(L77&lt;&gt;"",O77=""),"No revenue GL code",""))))))))</f>
        <v/>
      </c>
    </row>
    <row r="78" ht="15" customHeight="1">
      <c r="A78" s="12" t="n">
        <v>46234</v>
      </c>
      <c r="B78" s="13">
        <f>IF(A78="","",EOMONTH(A78,0))</f>
        <v/>
      </c>
      <c r="C78" s="14" t="inlineStr">
        <is>
          <t>INV-10559</t>
        </is>
      </c>
      <c r="D78" s="14" t="inlineStr">
        <is>
          <t>CBA</t>
        </is>
      </c>
      <c r="E78" s="14" t="inlineStr">
        <is>
          <t>26061701</t>
        </is>
      </c>
      <c r="F78" s="15">
        <f>IF(E78="","",IF(COUNTIF(lst_Jobs,E78&amp;"")&gt;0,"OK","CHECK"))</f>
        <v/>
      </c>
      <c r="G78" s="14" t="inlineStr">
        <is>
          <t>CBA LES July 2026</t>
        </is>
      </c>
      <c r="H78" s="14" t="inlineStr">
        <is>
          <t>Production</t>
        </is>
      </c>
      <c r="I78" s="14" t="inlineStr">
        <is>
          <t>PRODUCTION</t>
        </is>
      </c>
      <c r="J78" s="14" t="inlineStr">
        <is>
          <t>Project</t>
        </is>
      </c>
      <c r="K78" s="14" t="inlineStr">
        <is>
          <t>GST 10%</t>
        </is>
      </c>
      <c r="L78" s="16" t="n">
        <v>8550</v>
      </c>
      <c r="M78" s="17">
        <f>IF(L78="","",IF(K78="GST 10%",ROUND(L78*set_GSTRate,2),0))</f>
        <v/>
      </c>
      <c r="N78" s="17">
        <f>IF(L78="","",L78+M78)</f>
        <v/>
      </c>
      <c r="O78" s="14" t="inlineStr">
        <is>
          <t>42100</t>
        </is>
      </c>
      <c r="P78" s="14" t="inlineStr">
        <is>
          <t>Y</t>
        </is>
      </c>
      <c r="Q78" s="14" t="inlineStr">
        <is>
          <t>N</t>
        </is>
      </c>
      <c r="R78" s="12" t="n"/>
      <c r="S78" s="12" t="n"/>
      <c r="T78" s="14" t="inlineStr">
        <is>
          <t>Invoiced</t>
        </is>
      </c>
      <c r="U78" s="14" t="n"/>
      <c r="V78" s="15">
        <f>IF(COUNTA(A78,D78,C78,L78)=0,"",IF(A78="","No date - sits outside every month",IF(E78="","No job number",IF(F78="CHECK","Job number is not in the Xero job list",IF(I78="","No cost centre",IF(AND(P78="Y",C78=""),"Marked posted to Xero but has no invoice number",IF(AND(L78&lt;&gt;"",K78=""),"No tax code",IF(AND(L78&lt;&gt;"",O78=""),"No revenue GL code",""))))))))</f>
        <v/>
      </c>
    </row>
    <row r="79" ht="15" customHeight="1">
      <c r="A79" s="12" t="n">
        <v>46247</v>
      </c>
      <c r="B79" s="13">
        <f>IF(A79="","",EOMONTH(A79,0))</f>
        <v/>
      </c>
      <c r="C79" s="14" t="inlineStr">
        <is>
          <t>CN-10563</t>
        </is>
      </c>
      <c r="D79" s="14" t="inlineStr">
        <is>
          <t>CBA</t>
        </is>
      </c>
      <c r="E79" s="14" t="inlineStr">
        <is>
          <t>26061701</t>
        </is>
      </c>
      <c r="F79" s="15">
        <f>IF(E79="","",IF(COUNTIF(lst_Jobs,E79&amp;"")&gt;0,"OK","CHECK"))</f>
        <v/>
      </c>
      <c r="G79" s="14" t="inlineStr">
        <is>
          <t>CBA LES July 2026 Loading Reversal</t>
        </is>
      </c>
      <c r="H79" s="14" t="inlineStr">
        <is>
          <t>Production</t>
        </is>
      </c>
      <c r="I79" s="14" t="inlineStr">
        <is>
          <t>PRODUCTION</t>
        </is>
      </c>
      <c r="J79" s="14" t="inlineStr">
        <is>
          <t>Project</t>
        </is>
      </c>
      <c r="K79" s="14" t="inlineStr">
        <is>
          <t>GST 10%</t>
        </is>
      </c>
      <c r="L79" s="16" t="n">
        <v>-332.5</v>
      </c>
      <c r="M79" s="17">
        <f>IF(L79="","",IF(K79="GST 10%",ROUND(L79*set_GSTRate,2),0))</f>
        <v/>
      </c>
      <c r="N79" s="17">
        <f>IF(L79="","",L79+M79)</f>
        <v/>
      </c>
      <c r="O79" s="14" t="inlineStr">
        <is>
          <t>42100</t>
        </is>
      </c>
      <c r="P79" s="14" t="inlineStr">
        <is>
          <t>Y</t>
        </is>
      </c>
      <c r="Q79" s="14" t="inlineStr">
        <is>
          <t>N</t>
        </is>
      </c>
      <c r="R79" s="12" t="n"/>
      <c r="S79" s="12" t="n"/>
      <c r="T79" s="14" t="inlineStr">
        <is>
          <t>Invoiced</t>
        </is>
      </c>
      <c r="U79" s="14" t="n"/>
      <c r="V79" s="15">
        <f>IF(COUNTA(A79,D79,C79,L79)=0,"",IF(A79="","No date - sits outside every month",IF(E79="","No job number",IF(F79="CHECK","Job number is not in the Xero job list",IF(I79="","No cost centre",IF(AND(P79="Y",C79=""),"Marked posted to Xero but has no invoice number",IF(AND(L79&lt;&gt;"",K79=""),"No tax code",IF(AND(L79&lt;&gt;"",O79=""),"No revenue GL code",""))))))))</f>
        <v/>
      </c>
    </row>
    <row r="80" ht="15" customHeight="1">
      <c r="A80" s="12" t="n">
        <v>46247</v>
      </c>
      <c r="B80" s="13">
        <f>IF(A80="","",EOMONTH(A80,0))</f>
        <v/>
      </c>
      <c r="C80" s="14" t="inlineStr">
        <is>
          <t>INV-10561</t>
        </is>
      </c>
      <c r="D80" s="14" t="inlineStr">
        <is>
          <t>RSNSW</t>
        </is>
      </c>
      <c r="E80" s="14" t="inlineStr">
        <is>
          <t>2512804</t>
        </is>
      </c>
      <c r="F80" s="15">
        <f>IF(E80="","",IF(COUNTIF(lst_Jobs,E80&amp;"")&gt;0,"OK","CHECK"))</f>
        <v/>
      </c>
      <c r="G80" s="14" t="inlineStr">
        <is>
          <t>Ordinary General Meeting 5.8.26</t>
        </is>
      </c>
      <c r="H80" s="14" t="inlineStr">
        <is>
          <t>Production</t>
        </is>
      </c>
      <c r="I80" s="14" t="inlineStr">
        <is>
          <t>PRODUCTION</t>
        </is>
      </c>
      <c r="J80" s="14" t="inlineStr">
        <is>
          <t>Project</t>
        </is>
      </c>
      <c r="K80" s="14" t="inlineStr">
        <is>
          <t>GST 10%</t>
        </is>
      </c>
      <c r="L80" s="16" t="n">
        <v>2232</v>
      </c>
      <c r="M80" s="17">
        <f>IF(L80="","",IF(K80="GST 10%",ROUND(L80*set_GSTRate,2),0))</f>
        <v/>
      </c>
      <c r="N80" s="17">
        <f>IF(L80="","",L80+M80)</f>
        <v/>
      </c>
      <c r="O80" s="14" t="inlineStr">
        <is>
          <t>42100</t>
        </is>
      </c>
      <c r="P80" s="14" t="inlineStr">
        <is>
          <t>Y</t>
        </is>
      </c>
      <c r="Q80" s="14" t="inlineStr">
        <is>
          <t>N</t>
        </is>
      </c>
      <c r="R80" s="12" t="n"/>
      <c r="S80" s="12" t="n"/>
      <c r="T80" s="14" t="inlineStr">
        <is>
          <t>Invoiced</t>
        </is>
      </c>
      <c r="U80" s="14" t="inlineStr">
        <is>
          <t>Production portion of this invoice</t>
        </is>
      </c>
      <c r="V80" s="15">
        <f>IF(COUNTA(A80,D80,C80,L80)=0,"",IF(A80="","No date - sits outside every month",IF(E80="","No job number",IF(F80="CHECK","Job number is not in the Xero job list",IF(I80="","No cost centre",IF(AND(P80="Y",C80=""),"Marked posted to Xero but has no invoice number",IF(AND(L80&lt;&gt;"",K80=""),"No tax code",IF(AND(L80&lt;&gt;"",O80=""),"No revenue GL code",""))))))))</f>
        <v/>
      </c>
    </row>
    <row r="81" ht="15" customHeight="1">
      <c r="A81" s="12" t="n">
        <v>46247</v>
      </c>
      <c r="B81" s="13">
        <f>IF(A81="","",EOMONTH(A81,0))</f>
        <v/>
      </c>
      <c r="C81" s="14" t="inlineStr">
        <is>
          <t>INV-10561</t>
        </is>
      </c>
      <c r="D81" s="14" t="inlineStr">
        <is>
          <t>RSNSW</t>
        </is>
      </c>
      <c r="E81" s="14" t="inlineStr">
        <is>
          <t>2512804</t>
        </is>
      </c>
      <c r="F81" s="15">
        <f>IF(E81="","",IF(COUNTIF(lst_Jobs,E81&amp;"")&gt;0,"OK","CHECK"))</f>
        <v/>
      </c>
      <c r="G81" s="14" t="inlineStr">
        <is>
          <t>Ordinary General Meeting 5.8.26</t>
        </is>
      </c>
      <c r="H81" s="14" t="inlineStr">
        <is>
          <t>Production</t>
        </is>
      </c>
      <c r="I81" s="14" t="inlineStr">
        <is>
          <t>VIDEO</t>
        </is>
      </c>
      <c r="J81" s="14" t="inlineStr">
        <is>
          <t>Project</t>
        </is>
      </c>
      <c r="K81" s="14" t="inlineStr">
        <is>
          <t>GST 10%</t>
        </is>
      </c>
      <c r="L81" s="16" t="n">
        <v>1029</v>
      </c>
      <c r="M81" s="17">
        <f>IF(L81="","",IF(K81="GST 10%",ROUND(L81*set_GSTRate,2),0))</f>
        <v/>
      </c>
      <c r="N81" s="17">
        <f>IF(L81="","",L81+M81)</f>
        <v/>
      </c>
      <c r="O81" s="14" t="inlineStr">
        <is>
          <t>42150</t>
        </is>
      </c>
      <c r="P81" s="14" t="inlineStr">
        <is>
          <t>Y</t>
        </is>
      </c>
      <c r="Q81" s="14" t="inlineStr">
        <is>
          <t>N</t>
        </is>
      </c>
      <c r="R81" s="12" t="n"/>
      <c r="S81" s="12" t="n"/>
      <c r="T81" s="14" t="inlineStr">
        <is>
          <t>Invoiced</t>
        </is>
      </c>
      <c r="U81" s="14" t="inlineStr">
        <is>
          <t>Video portion of this invoice</t>
        </is>
      </c>
      <c r="V81" s="15">
        <f>IF(COUNTA(A81,D81,C81,L81)=0,"",IF(A81="","No date - sits outside every month",IF(E81="","No job number",IF(F81="CHECK","Job number is not in the Xero job list",IF(I81="","No cost centre",IF(AND(P81="Y",C81=""),"Marked posted to Xero but has no invoice number",IF(AND(L81&lt;&gt;"",K81=""),"No tax code",IF(AND(L81&lt;&gt;"",O81=""),"No revenue GL code",""))))))))</f>
        <v/>
      </c>
    </row>
    <row r="82" ht="15" customHeight="1">
      <c r="A82" s="12" t="n">
        <v>46247</v>
      </c>
      <c r="B82" s="13">
        <f>IF(A82="","",EOMONTH(A82,0))</f>
        <v/>
      </c>
      <c r="C82" s="14" t="inlineStr">
        <is>
          <t>INV-10560</t>
        </is>
      </c>
      <c r="D82" s="14" t="inlineStr">
        <is>
          <t>Garvan</t>
        </is>
      </c>
      <c r="E82" s="14" t="inlineStr">
        <is>
          <t>2607703</t>
        </is>
      </c>
      <c r="F82" s="15">
        <f>IF(E82="","",IF(COUNTIF(lst_Jobs,E82&amp;"")&gt;0,"OK","CHECK"))</f>
        <v/>
      </c>
      <c r="G82" s="14" t="inlineStr">
        <is>
          <t>YPO Event 6.8.26 (PO-58493)</t>
        </is>
      </c>
      <c r="H82" s="14" t="inlineStr">
        <is>
          <t>Production</t>
        </is>
      </c>
      <c r="I82" s="14" t="inlineStr">
        <is>
          <t>PRODUCTION</t>
        </is>
      </c>
      <c r="J82" s="14" t="inlineStr">
        <is>
          <t>Project</t>
        </is>
      </c>
      <c r="K82" s="14" t="inlineStr">
        <is>
          <t>GST 10%</t>
        </is>
      </c>
      <c r="L82" s="16" t="n">
        <v>2152.5</v>
      </c>
      <c r="M82" s="17">
        <f>IF(L82="","",IF(K82="GST 10%",ROUND(L82*set_GSTRate,2),0))</f>
        <v/>
      </c>
      <c r="N82" s="17">
        <f>IF(L82="","",L82+M82)</f>
        <v/>
      </c>
      <c r="O82" s="14" t="inlineStr">
        <is>
          <t>42100</t>
        </is>
      </c>
      <c r="P82" s="14" t="inlineStr">
        <is>
          <t>Y</t>
        </is>
      </c>
      <c r="Q82" s="14" t="inlineStr">
        <is>
          <t>N</t>
        </is>
      </c>
      <c r="R82" s="12" t="n"/>
      <c r="S82" s="12" t="n"/>
      <c r="T82" s="14" t="inlineStr">
        <is>
          <t>Invoiced</t>
        </is>
      </c>
      <c r="U82" s="14" t="n"/>
      <c r="V82" s="15">
        <f>IF(COUNTA(A82,D82,C82,L82)=0,"",IF(A82="","No date - sits outside every month",IF(E82="","No job number",IF(F82="CHECK","Job number is not in the Xero job list",IF(I82="","No cost centre",IF(AND(P82="Y",C82=""),"Marked posted to Xero but has no invoice number",IF(AND(L82&lt;&gt;"",K82=""),"No tax code",IF(AND(L82&lt;&gt;"",O82=""),"No revenue GL code",""))))))))</f>
        <v/>
      </c>
    </row>
    <row r="83" ht="15" customHeight="1">
      <c r="A83" s="12" t="n">
        <v>46247</v>
      </c>
      <c r="B83" s="13">
        <f>IF(A83="","",EOMONTH(A83,0))</f>
        <v/>
      </c>
      <c r="C83" s="14" t="inlineStr">
        <is>
          <t>INV-10562</t>
        </is>
      </c>
      <c r="D83" s="14" t="inlineStr">
        <is>
          <t>PwC</t>
        </is>
      </c>
      <c r="E83" s="14" t="inlineStr">
        <is>
          <t>26072902</t>
        </is>
      </c>
      <c r="F83" s="15">
        <f>IF(E83="","",IF(COUNTIF(lst_Jobs,E83&amp;"")&gt;0,"OK","CHECK"))</f>
        <v/>
      </c>
      <c r="G83" s="14" t="inlineStr">
        <is>
          <t>AI Townhall 6.8.26 (PO2601703328)</t>
        </is>
      </c>
      <c r="H83" s="14" t="inlineStr">
        <is>
          <t>Production</t>
        </is>
      </c>
      <c r="I83" s="14" t="inlineStr">
        <is>
          <t>PRODUCTION</t>
        </is>
      </c>
      <c r="J83" s="14" t="inlineStr">
        <is>
          <t>Project</t>
        </is>
      </c>
      <c r="K83" s="14" t="inlineStr">
        <is>
          <t>GST 10%</t>
        </is>
      </c>
      <c r="L83" s="16" t="n">
        <v>1165</v>
      </c>
      <c r="M83" s="17">
        <f>IF(L83="","",IF(K83="GST 10%",ROUND(L83*set_GSTRate,2),0))</f>
        <v/>
      </c>
      <c r="N83" s="17">
        <f>IF(L83="","",L83+M83)</f>
        <v/>
      </c>
      <c r="O83" s="14" t="inlineStr">
        <is>
          <t>42100</t>
        </is>
      </c>
      <c r="P83" s="14" t="inlineStr">
        <is>
          <t>Y</t>
        </is>
      </c>
      <c r="Q83" s="14" t="inlineStr">
        <is>
          <t>N</t>
        </is>
      </c>
      <c r="R83" s="12" t="n"/>
      <c r="S83" s="12" t="n"/>
      <c r="T83" s="14" t="inlineStr">
        <is>
          <t>Invoiced</t>
        </is>
      </c>
      <c r="U83" s="14" t="inlineStr">
        <is>
          <t>Production portion of this invoice</t>
        </is>
      </c>
      <c r="V83" s="15">
        <f>IF(COUNTA(A83,D83,C83,L83)=0,"",IF(A83="","No date - sits outside every month",IF(E83="","No job number",IF(F83="CHECK","Job number is not in the Xero job list",IF(I83="","No cost centre",IF(AND(P83="Y",C83=""),"Marked posted to Xero but has no invoice number",IF(AND(L83&lt;&gt;"",K83=""),"No tax code",IF(AND(L83&lt;&gt;"",O83=""),"No revenue GL code",""))))))))</f>
        <v/>
      </c>
    </row>
    <row r="84" ht="15" customHeight="1">
      <c r="A84" s="12" t="n">
        <v>46247</v>
      </c>
      <c r="B84" s="13">
        <f>IF(A84="","",EOMONTH(A84,0))</f>
        <v/>
      </c>
      <c r="C84" s="14" t="inlineStr">
        <is>
          <t>INV-10562</t>
        </is>
      </c>
      <c r="D84" s="14" t="inlineStr">
        <is>
          <t>PwC</t>
        </is>
      </c>
      <c r="E84" s="14" t="inlineStr">
        <is>
          <t>26072902</t>
        </is>
      </c>
      <c r="F84" s="15">
        <f>IF(E84="","",IF(COUNTIF(lst_Jobs,E84&amp;"")&gt;0,"OK","CHECK"))</f>
        <v/>
      </c>
      <c r="G84" s="14" t="inlineStr">
        <is>
          <t>AI Townhall 6.8.26 (PO2601703328)</t>
        </is>
      </c>
      <c r="H84" s="14" t="inlineStr">
        <is>
          <t>Production</t>
        </is>
      </c>
      <c r="I84" s="14" t="inlineStr">
        <is>
          <t>VIDEO</t>
        </is>
      </c>
      <c r="J84" s="14" t="inlineStr">
        <is>
          <t>Project</t>
        </is>
      </c>
      <c r="K84" s="14" t="inlineStr">
        <is>
          <t>GST 10%</t>
        </is>
      </c>
      <c r="L84" s="16" t="n">
        <v>485</v>
      </c>
      <c r="M84" s="17">
        <f>IF(L84="","",IF(K84="GST 10%",ROUND(L84*set_GSTRate,2),0))</f>
        <v/>
      </c>
      <c r="N84" s="17">
        <f>IF(L84="","",L84+M84)</f>
        <v/>
      </c>
      <c r="O84" s="14" t="inlineStr">
        <is>
          <t>42150</t>
        </is>
      </c>
      <c r="P84" s="14" t="inlineStr">
        <is>
          <t>Y</t>
        </is>
      </c>
      <c r="Q84" s="14" t="inlineStr">
        <is>
          <t>N</t>
        </is>
      </c>
      <c r="R84" s="12" t="n"/>
      <c r="S84" s="12" t="n"/>
      <c r="T84" s="14" t="inlineStr">
        <is>
          <t>Invoiced</t>
        </is>
      </c>
      <c r="U84" s="14" t="inlineStr">
        <is>
          <t>Video portion of this invoice</t>
        </is>
      </c>
      <c r="V84" s="15">
        <f>IF(COUNTA(A84,D84,C84,L84)=0,"",IF(A84="","No date - sits outside every month",IF(E84="","No job number",IF(F84="CHECK","Job number is not in the Xero job list",IF(I84="","No cost centre",IF(AND(P84="Y",C84=""),"Marked posted to Xero but has no invoice number",IF(AND(L84&lt;&gt;"",K84=""),"No tax code",IF(AND(L84&lt;&gt;"",O84=""),"No revenue GL code",""))))))))</f>
        <v/>
      </c>
    </row>
    <row r="85" ht="15" customHeight="1">
      <c r="A85" s="12" t="n">
        <v>46255</v>
      </c>
      <c r="B85" s="13">
        <f>IF(A85="","",EOMONTH(A85,0))</f>
        <v/>
      </c>
      <c r="C85" s="14" t="inlineStr">
        <is>
          <t>INV-10580</t>
        </is>
      </c>
      <c r="D85" s="14" t="inlineStr">
        <is>
          <t>Elkiem</t>
        </is>
      </c>
      <c r="E85" s="14" t="inlineStr">
        <is>
          <t>26071901</t>
        </is>
      </c>
      <c r="F85" s="15">
        <f>IF(E85="","",IF(COUNTIF(lst_Jobs,E85&amp;"")&gt;0,"OK","CHECK"))</f>
        <v/>
      </c>
      <c r="G85" s="14" t="inlineStr">
        <is>
          <t>Studio Support 11.8.26</t>
        </is>
      </c>
      <c r="H85" s="14" t="inlineStr">
        <is>
          <t>Production</t>
        </is>
      </c>
      <c r="I85" s="14" t="inlineStr">
        <is>
          <t>PRODUCTION</t>
        </is>
      </c>
      <c r="J85" s="14" t="inlineStr">
        <is>
          <t>Project</t>
        </is>
      </c>
      <c r="K85" s="14" t="inlineStr">
        <is>
          <t>GST 10%</t>
        </is>
      </c>
      <c r="L85" s="16" t="n">
        <v>380</v>
      </c>
      <c r="M85" s="17">
        <f>IF(L85="","",IF(K85="GST 10%",ROUND(L85*set_GSTRate,2),0))</f>
        <v/>
      </c>
      <c r="N85" s="17">
        <f>IF(L85="","",L85+M85)</f>
        <v/>
      </c>
      <c r="O85" s="14" t="inlineStr">
        <is>
          <t>42100</t>
        </is>
      </c>
      <c r="P85" s="14" t="inlineStr">
        <is>
          <t>Y</t>
        </is>
      </c>
      <c r="Q85" s="14" t="inlineStr">
        <is>
          <t>N</t>
        </is>
      </c>
      <c r="R85" s="12" t="n"/>
      <c r="S85" s="12" t="n"/>
      <c r="T85" s="14" t="inlineStr">
        <is>
          <t>Invoiced</t>
        </is>
      </c>
      <c r="U85" s="14" t="n"/>
      <c r="V85" s="15">
        <f>IF(COUNTA(A85,D85,C85,L85)=0,"",IF(A85="","No date - sits outside every month",IF(E85="","No job number",IF(F85="CHECK","Job number is not in the Xero job list",IF(I85="","No cost centre",IF(AND(P85="Y",C85=""),"Marked posted to Xero but has no invoice number",IF(AND(L85&lt;&gt;"",K85=""),"No tax code",IF(AND(L85&lt;&gt;"",O85=""),"No revenue GL code",""))))))))</f>
        <v/>
      </c>
    </row>
    <row r="86" ht="15" customHeight="1">
      <c r="A86" s="12" t="n">
        <v>46255</v>
      </c>
      <c r="B86" s="13">
        <f>IF(A86="","",EOMONTH(A86,0))</f>
        <v/>
      </c>
      <c r="C86" s="14" t="inlineStr">
        <is>
          <t>INV-10581</t>
        </is>
      </c>
      <c r="D86" s="14" t="inlineStr">
        <is>
          <t>CEO Institute</t>
        </is>
      </c>
      <c r="E86" s="14" t="inlineStr">
        <is>
          <t>26063002</t>
        </is>
      </c>
      <c r="F86" s="15">
        <f>IF(E86="","",IF(COUNTIF(lst_Jobs,E86&amp;"")&gt;0,"OK","CHECK"))</f>
        <v/>
      </c>
      <c r="G86" s="14" t="inlineStr">
        <is>
          <t>CEO Connect 11.8.26</t>
        </is>
      </c>
      <c r="H86" s="14" t="inlineStr">
        <is>
          <t>Production</t>
        </is>
      </c>
      <c r="I86" s="14" t="inlineStr">
        <is>
          <t>PRODUCTION</t>
        </is>
      </c>
      <c r="J86" s="14" t="inlineStr">
        <is>
          <t>Project</t>
        </is>
      </c>
      <c r="K86" s="14" t="inlineStr">
        <is>
          <t>GST 10%</t>
        </is>
      </c>
      <c r="L86" s="16" t="n">
        <v>6283</v>
      </c>
      <c r="M86" s="17">
        <f>IF(L86="","",IF(K86="GST 10%",ROUND(L86*set_GSTRate,2),0))</f>
        <v/>
      </c>
      <c r="N86" s="17">
        <f>IF(L86="","",L86+M86)</f>
        <v/>
      </c>
      <c r="O86" s="14" t="inlineStr">
        <is>
          <t>42100</t>
        </is>
      </c>
      <c r="P86" s="14" t="inlineStr">
        <is>
          <t>Y</t>
        </is>
      </c>
      <c r="Q86" s="14" t="inlineStr">
        <is>
          <t>N</t>
        </is>
      </c>
      <c r="R86" s="12" t="n"/>
      <c r="S86" s="12" t="n"/>
      <c r="T86" s="14" t="inlineStr">
        <is>
          <t>Invoiced</t>
        </is>
      </c>
      <c r="U86" s="14" t="inlineStr">
        <is>
          <t>Production portion of this invoice</t>
        </is>
      </c>
      <c r="V86" s="15">
        <f>IF(COUNTA(A86,D86,C86,L86)=0,"",IF(A86="","No date - sits outside every month",IF(E86="","No job number",IF(F86="CHECK","Job number is not in the Xero job list",IF(I86="","No cost centre",IF(AND(P86="Y",C86=""),"Marked posted to Xero but has no invoice number",IF(AND(L86&lt;&gt;"",K86=""),"No tax code",IF(AND(L86&lt;&gt;"",O86=""),"No revenue GL code",""))))))))</f>
        <v/>
      </c>
    </row>
    <row r="87" ht="15" customHeight="1">
      <c r="A87" s="12" t="n">
        <v>46255</v>
      </c>
      <c r="B87" s="13">
        <f>IF(A87="","",EOMONTH(A87,0))</f>
        <v/>
      </c>
      <c r="C87" s="14" t="inlineStr">
        <is>
          <t>INV-10581</t>
        </is>
      </c>
      <c r="D87" s="14" t="inlineStr">
        <is>
          <t>CEO Institute</t>
        </is>
      </c>
      <c r="E87" s="14" t="inlineStr">
        <is>
          <t>26063002</t>
        </is>
      </c>
      <c r="F87" s="15">
        <f>IF(E87="","",IF(COUNTIF(lst_Jobs,E87&amp;"")&gt;0,"OK","CHECK"))</f>
        <v/>
      </c>
      <c r="G87" s="14" t="inlineStr">
        <is>
          <t>CEO Connect 11.8.26</t>
        </is>
      </c>
      <c r="H87" s="14" t="inlineStr">
        <is>
          <t>Production</t>
        </is>
      </c>
      <c r="I87" s="14" t="inlineStr">
        <is>
          <t>VIDEO</t>
        </is>
      </c>
      <c r="J87" s="14" t="inlineStr">
        <is>
          <t>Project</t>
        </is>
      </c>
      <c r="K87" s="14" t="inlineStr">
        <is>
          <t>GST 10%</t>
        </is>
      </c>
      <c r="L87" s="16" t="n">
        <v>1977.35</v>
      </c>
      <c r="M87" s="17">
        <f>IF(L87="","",IF(K87="GST 10%",ROUND(L87*set_GSTRate,2),0))</f>
        <v/>
      </c>
      <c r="N87" s="17">
        <f>IF(L87="","",L87+M87)</f>
        <v/>
      </c>
      <c r="O87" s="14" t="inlineStr">
        <is>
          <t>42150</t>
        </is>
      </c>
      <c r="P87" s="14" t="inlineStr">
        <is>
          <t>Y</t>
        </is>
      </c>
      <c r="Q87" s="14" t="inlineStr">
        <is>
          <t>N</t>
        </is>
      </c>
      <c r="R87" s="12" t="n"/>
      <c r="S87" s="12" t="n"/>
      <c r="T87" s="14" t="inlineStr">
        <is>
          <t>Invoiced</t>
        </is>
      </c>
      <c r="U87" s="14" t="inlineStr">
        <is>
          <t>Video portion of this invoice</t>
        </is>
      </c>
      <c r="V87" s="15">
        <f>IF(COUNTA(A87,D87,C87,L87)=0,"",IF(A87="","No date - sits outside every month",IF(E87="","No job number",IF(F87="CHECK","Job number is not in the Xero job list",IF(I87="","No cost centre",IF(AND(P87="Y",C87=""),"Marked posted to Xero but has no invoice number",IF(AND(L87&lt;&gt;"",K87=""),"No tax code",IF(AND(L87&lt;&gt;"",O87=""),"No revenue GL code",""))))))))</f>
        <v/>
      </c>
    </row>
    <row r="88" ht="15" customHeight="1">
      <c r="A88" s="12" t="n">
        <v>46259</v>
      </c>
      <c r="B88" s="13">
        <f>IF(A88="","",EOMONTH(A88,0))</f>
        <v/>
      </c>
      <c r="C88" s="14" t="inlineStr">
        <is>
          <t>INV-10577</t>
        </is>
      </c>
      <c r="D88" s="14" t="inlineStr">
        <is>
          <t>PwC</t>
        </is>
      </c>
      <c r="E88" s="14" t="inlineStr">
        <is>
          <t>26072903</t>
        </is>
      </c>
      <c r="F88" s="15">
        <f>IF(E88="","",IF(COUNTIF(lst_Jobs,E88&amp;"")&gt;0,"OK","CHECK"))</f>
        <v/>
      </c>
      <c r="G88" s="14" t="inlineStr">
        <is>
          <t>GB Webcast 11.8.26</t>
        </is>
      </c>
      <c r="H88" s="14" t="inlineStr">
        <is>
          <t>Production</t>
        </is>
      </c>
      <c r="I88" s="14" t="inlineStr">
        <is>
          <t>PRODUCTION</t>
        </is>
      </c>
      <c r="J88" s="14" t="inlineStr">
        <is>
          <t>Project</t>
        </is>
      </c>
      <c r="K88" s="14" t="inlineStr">
        <is>
          <t>GST 10%</t>
        </is>
      </c>
      <c r="L88" s="16" t="n">
        <v>3235</v>
      </c>
      <c r="M88" s="17">
        <f>IF(L88="","",IF(K88="GST 10%",ROUND(L88*set_GSTRate,2),0))</f>
        <v/>
      </c>
      <c r="N88" s="17">
        <f>IF(L88="","",L88+M88)</f>
        <v/>
      </c>
      <c r="O88" s="14" t="inlineStr">
        <is>
          <t>42100</t>
        </is>
      </c>
      <c r="P88" s="14" t="inlineStr">
        <is>
          <t>Y</t>
        </is>
      </c>
      <c r="Q88" s="14" t="inlineStr">
        <is>
          <t>N</t>
        </is>
      </c>
      <c r="R88" s="12" t="n"/>
      <c r="S88" s="12" t="n"/>
      <c r="T88" s="14" t="inlineStr">
        <is>
          <t>Invoiced</t>
        </is>
      </c>
      <c r="U88" s="14" t="inlineStr">
        <is>
          <t>Production portion of this invoice</t>
        </is>
      </c>
      <c r="V88" s="15">
        <f>IF(COUNTA(A88,D88,C88,L88)=0,"",IF(A88="","No date - sits outside every month",IF(E88="","No job number",IF(F88="CHECK","Job number is not in the Xero job list",IF(I88="","No cost centre",IF(AND(P88="Y",C88=""),"Marked posted to Xero but has no invoice number",IF(AND(L88&lt;&gt;"",K88=""),"No tax code",IF(AND(L88&lt;&gt;"",O88=""),"No revenue GL code",""))))))))</f>
        <v/>
      </c>
    </row>
    <row r="89" ht="15" customHeight="1">
      <c r="A89" s="12" t="n">
        <v>46259</v>
      </c>
      <c r="B89" s="13">
        <f>IF(A89="","",EOMONTH(A89,0))</f>
        <v/>
      </c>
      <c r="C89" s="14" t="inlineStr">
        <is>
          <t>INV-10577</t>
        </is>
      </c>
      <c r="D89" s="14" t="inlineStr">
        <is>
          <t>PwC</t>
        </is>
      </c>
      <c r="E89" s="14" t="inlineStr">
        <is>
          <t>26072903</t>
        </is>
      </c>
      <c r="F89" s="15">
        <f>IF(E89="","",IF(COUNTIF(lst_Jobs,E89&amp;"")&gt;0,"OK","CHECK"))</f>
        <v/>
      </c>
      <c r="G89" s="14" t="inlineStr">
        <is>
          <t>GB Webcast 11.8.26</t>
        </is>
      </c>
      <c r="H89" s="14" t="inlineStr">
        <is>
          <t>Production</t>
        </is>
      </c>
      <c r="I89" s="14" t="inlineStr">
        <is>
          <t>VIDEO</t>
        </is>
      </c>
      <c r="J89" s="14" t="inlineStr">
        <is>
          <t>Project</t>
        </is>
      </c>
      <c r="K89" s="14" t="inlineStr">
        <is>
          <t>GST 10%</t>
        </is>
      </c>
      <c r="L89" s="16" t="n">
        <v>1065</v>
      </c>
      <c r="M89" s="17">
        <f>IF(L89="","",IF(K89="GST 10%",ROUND(L89*set_GSTRate,2),0))</f>
        <v/>
      </c>
      <c r="N89" s="17">
        <f>IF(L89="","",L89+M89)</f>
        <v/>
      </c>
      <c r="O89" s="14" t="inlineStr">
        <is>
          <t>42150</t>
        </is>
      </c>
      <c r="P89" s="14" t="inlineStr">
        <is>
          <t>Y</t>
        </is>
      </c>
      <c r="Q89" s="14" t="inlineStr">
        <is>
          <t>N</t>
        </is>
      </c>
      <c r="R89" s="12" t="n"/>
      <c r="S89" s="12" t="n"/>
      <c r="T89" s="14" t="inlineStr">
        <is>
          <t>Invoiced</t>
        </is>
      </c>
      <c r="U89" s="14" t="inlineStr">
        <is>
          <t>Video portion of this invoice</t>
        </is>
      </c>
      <c r="V89" s="15">
        <f>IF(COUNTA(A89,D89,C89,L89)=0,"",IF(A89="","No date - sits outside every month",IF(E89="","No job number",IF(F89="CHECK","Job number is not in the Xero job list",IF(I89="","No cost centre",IF(AND(P89="Y",C89=""),"Marked posted to Xero but has no invoice number",IF(AND(L89&lt;&gt;"",K89=""),"No tax code",IF(AND(L89&lt;&gt;"",O89=""),"No revenue GL code",""))))))))</f>
        <v/>
      </c>
    </row>
    <row r="90" ht="15" customHeight="1">
      <c r="A90" s="12" t="n">
        <v>46259</v>
      </c>
      <c r="B90" s="13">
        <f>IF(A90="","",EOMONTH(A90,0))</f>
        <v/>
      </c>
      <c r="C90" s="14" t="inlineStr">
        <is>
          <t>INV - 10584
INV - 10585</t>
        </is>
      </c>
      <c r="D90" s="14" t="inlineStr">
        <is>
          <t>MUFG</t>
        </is>
      </c>
      <c r="E90" s="14" t="inlineStr">
        <is>
          <t>26061104</t>
        </is>
      </c>
      <c r="F90" s="15">
        <f>IF(E90="","",IF(COUNTIF(lst_Jobs,E90&amp;"")&gt;0,"OK","CHECK"))</f>
        <v/>
      </c>
      <c r="G90" s="14" t="inlineStr">
        <is>
          <t>MUFG - Suncorp FYR</t>
        </is>
      </c>
      <c r="H90" s="14" t="inlineStr">
        <is>
          <t>Production</t>
        </is>
      </c>
      <c r="I90" s="14" t="inlineStr">
        <is>
          <t>PRODUCTION</t>
        </is>
      </c>
      <c r="J90" s="14" t="inlineStr">
        <is>
          <t>Project</t>
        </is>
      </c>
      <c r="K90" s="14" t="inlineStr">
        <is>
          <t>GST 10%</t>
        </is>
      </c>
      <c r="L90" s="16" t="n">
        <v>25635.25</v>
      </c>
      <c r="M90" s="17">
        <f>IF(L90="","",IF(K90="GST 10%",ROUND(L90*set_GSTRate,2),0))</f>
        <v/>
      </c>
      <c r="N90" s="17">
        <f>IF(L90="","",L90+M90)</f>
        <v/>
      </c>
      <c r="O90" s="14" t="inlineStr">
        <is>
          <t>42100</t>
        </is>
      </c>
      <c r="P90" s="14" t="inlineStr">
        <is>
          <t>Y</t>
        </is>
      </c>
      <c r="Q90" s="14" t="inlineStr">
        <is>
          <t>N</t>
        </is>
      </c>
      <c r="R90" s="12" t="n"/>
      <c r="S90" s="12" t="n"/>
      <c r="T90" s="14" t="inlineStr">
        <is>
          <t>Invoiced</t>
        </is>
      </c>
      <c r="U90" s="14" t="inlineStr">
        <is>
          <t>Production portion of this invoice</t>
        </is>
      </c>
      <c r="V90" s="15">
        <f>IF(COUNTA(A90,D90,C90,L90)=0,"",IF(A90="","No date - sits outside every month",IF(E90="","No job number",IF(F90="CHECK","Job number is not in the Xero job list",IF(I90="","No cost centre",IF(AND(P90="Y",C90=""),"Marked posted to Xero but has no invoice number",IF(AND(L90&lt;&gt;"",K90=""),"No tax code",IF(AND(L90&lt;&gt;"",O90=""),"No revenue GL code",""))))))))</f>
        <v/>
      </c>
    </row>
    <row r="91" ht="15" customHeight="1">
      <c r="A91" s="12" t="n">
        <v>46259</v>
      </c>
      <c r="B91" s="13">
        <f>IF(A91="","",EOMONTH(A91,0))</f>
        <v/>
      </c>
      <c r="C91" s="14" t="inlineStr">
        <is>
          <t>INV - 10584
INV - 10585</t>
        </is>
      </c>
      <c r="D91" s="14" t="inlineStr">
        <is>
          <t>MUFG</t>
        </is>
      </c>
      <c r="E91" s="14" t="inlineStr">
        <is>
          <t>26061104</t>
        </is>
      </c>
      <c r="F91" s="15">
        <f>IF(E91="","",IF(COUNTIF(lst_Jobs,E91&amp;"")&gt;0,"OK","CHECK"))</f>
        <v/>
      </c>
      <c r="G91" s="14" t="inlineStr">
        <is>
          <t>MUFG - Suncorp FYR</t>
        </is>
      </c>
      <c r="H91" s="14" t="inlineStr">
        <is>
          <t>Production</t>
        </is>
      </c>
      <c r="I91" s="14" t="inlineStr">
        <is>
          <t>VIDEO</t>
        </is>
      </c>
      <c r="J91" s="14" t="inlineStr">
        <is>
          <t>Project</t>
        </is>
      </c>
      <c r="K91" s="14" t="inlineStr">
        <is>
          <t>GST 10%</t>
        </is>
      </c>
      <c r="L91" s="16" t="n">
        <v>3017</v>
      </c>
      <c r="M91" s="17">
        <f>IF(L91="","",IF(K91="GST 10%",ROUND(L91*set_GSTRate,2),0))</f>
        <v/>
      </c>
      <c r="N91" s="17">
        <f>IF(L91="","",L91+M91)</f>
        <v/>
      </c>
      <c r="O91" s="14" t="inlineStr">
        <is>
          <t>42150</t>
        </is>
      </c>
      <c r="P91" s="14" t="inlineStr">
        <is>
          <t>Y</t>
        </is>
      </c>
      <c r="Q91" s="14" t="inlineStr">
        <is>
          <t>N</t>
        </is>
      </c>
      <c r="R91" s="12" t="n"/>
      <c r="S91" s="12" t="n"/>
      <c r="T91" s="14" t="inlineStr">
        <is>
          <t>Invoiced</t>
        </is>
      </c>
      <c r="U91" s="14" t="inlineStr">
        <is>
          <t>Video portion of this invoice</t>
        </is>
      </c>
      <c r="V91" s="15">
        <f>IF(COUNTA(A91,D91,C91,L91)=0,"",IF(A91="","No date - sits outside every month",IF(E91="","No job number",IF(F91="CHECK","Job number is not in the Xero job list",IF(I91="","No cost centre",IF(AND(P91="Y",C91=""),"Marked posted to Xero but has no invoice number",IF(AND(L91&lt;&gt;"",K91=""),"No tax code",IF(AND(L91&lt;&gt;"",O91=""),"No revenue GL code",""))))))))</f>
        <v/>
      </c>
    </row>
    <row r="92" ht="15" customHeight="1">
      <c r="A92" s="12" t="n">
        <v>46247</v>
      </c>
      <c r="B92" s="13">
        <f>IF(A92="","",EOMONTH(A92,0))</f>
        <v/>
      </c>
      <c r="C92" s="14" t="inlineStr">
        <is>
          <t>INV-10563</t>
        </is>
      </c>
      <c r="D92" s="14" t="inlineStr">
        <is>
          <t>CBA</t>
        </is>
      </c>
      <c r="E92" s="14" t="inlineStr">
        <is>
          <t>26061105</t>
        </is>
      </c>
      <c r="F92" s="15">
        <f>IF(E92="","",IF(COUNTIF(lst_Jobs,E92&amp;"")&gt;0,"OK","CHECK"))</f>
        <v/>
      </c>
      <c r="G92" s="14" t="inlineStr">
        <is>
          <t>CBA FYR 2026 (Order PO3308779)</t>
        </is>
      </c>
      <c r="H92" s="14" t="inlineStr">
        <is>
          <t>Production</t>
        </is>
      </c>
      <c r="I92" s="14" t="inlineStr">
        <is>
          <t>PRODUCTION</t>
        </is>
      </c>
      <c r="J92" s="14" t="inlineStr">
        <is>
          <t>Project</t>
        </is>
      </c>
      <c r="K92" s="14" t="inlineStr">
        <is>
          <t>GST 10%</t>
        </is>
      </c>
      <c r="L92" s="16" t="n">
        <v>11320</v>
      </c>
      <c r="M92" s="17">
        <f>IF(L92="","",IF(K92="GST 10%",ROUND(L92*set_GSTRate,2),0))</f>
        <v/>
      </c>
      <c r="N92" s="17">
        <f>IF(L92="","",L92+M92)</f>
        <v/>
      </c>
      <c r="O92" s="14" t="inlineStr">
        <is>
          <t>42100</t>
        </is>
      </c>
      <c r="P92" s="14" t="inlineStr">
        <is>
          <t>Y</t>
        </is>
      </c>
      <c r="Q92" s="14" t="inlineStr">
        <is>
          <t>N</t>
        </is>
      </c>
      <c r="R92" s="12" t="n"/>
      <c r="S92" s="12" t="n"/>
      <c r="T92" s="14" t="inlineStr">
        <is>
          <t>Invoiced</t>
        </is>
      </c>
      <c r="U92" s="14" t="inlineStr">
        <is>
          <t>Production portion of this invoice</t>
        </is>
      </c>
      <c r="V92" s="15">
        <f>IF(COUNTA(A92,D92,C92,L92)=0,"",IF(A92="","No date - sits outside every month",IF(E92="","No job number",IF(F92="CHECK","Job number is not in the Xero job list",IF(I92="","No cost centre",IF(AND(P92="Y",C92=""),"Marked posted to Xero but has no invoice number",IF(AND(L92&lt;&gt;"",K92=""),"No tax code",IF(AND(L92&lt;&gt;"",O92=""),"No revenue GL code",""))))))))</f>
        <v/>
      </c>
    </row>
    <row r="93" ht="15" customHeight="1">
      <c r="A93" s="12" t="n">
        <v>46247</v>
      </c>
      <c r="B93" s="13">
        <f>IF(A93="","",EOMONTH(A93,0))</f>
        <v/>
      </c>
      <c r="C93" s="14" t="inlineStr">
        <is>
          <t>INV-10563</t>
        </is>
      </c>
      <c r="D93" s="14" t="inlineStr">
        <is>
          <t>CBA</t>
        </is>
      </c>
      <c r="E93" s="14" t="inlineStr">
        <is>
          <t>26061105</t>
        </is>
      </c>
      <c r="F93" s="15">
        <f>IF(E93="","",IF(COUNTIF(lst_Jobs,E93&amp;"")&gt;0,"OK","CHECK"))</f>
        <v/>
      </c>
      <c r="G93" s="14" t="inlineStr">
        <is>
          <t>CBA FYR 2026 (Order PO3308779)</t>
        </is>
      </c>
      <c r="H93" s="14" t="inlineStr">
        <is>
          <t>Production</t>
        </is>
      </c>
      <c r="I93" s="14" t="inlineStr">
        <is>
          <t>VIDEO</t>
        </is>
      </c>
      <c r="J93" s="14" t="inlineStr">
        <is>
          <t>Project</t>
        </is>
      </c>
      <c r="K93" s="14" t="inlineStr">
        <is>
          <t>GST 10%</t>
        </is>
      </c>
      <c r="L93" s="16" t="n">
        <v>850</v>
      </c>
      <c r="M93" s="17">
        <f>IF(L93="","",IF(K93="GST 10%",ROUND(L93*set_GSTRate,2),0))</f>
        <v/>
      </c>
      <c r="N93" s="17">
        <f>IF(L93="","",L93+M93)</f>
        <v/>
      </c>
      <c r="O93" s="14" t="inlineStr">
        <is>
          <t>42150</t>
        </is>
      </c>
      <c r="P93" s="14" t="inlineStr">
        <is>
          <t>Y</t>
        </is>
      </c>
      <c r="Q93" s="14" t="inlineStr">
        <is>
          <t>N</t>
        </is>
      </c>
      <c r="R93" s="12" t="n"/>
      <c r="S93" s="12" t="n"/>
      <c r="T93" s="14" t="inlineStr">
        <is>
          <t>Invoiced</t>
        </is>
      </c>
      <c r="U93" s="14" t="inlineStr">
        <is>
          <t>Video portion of this invoice</t>
        </is>
      </c>
      <c r="V93" s="15">
        <f>IF(COUNTA(A93,D93,C93,L93)=0,"",IF(A93="","No date - sits outside every month",IF(E93="","No job number",IF(F93="CHECK","Job number is not in the Xero job list",IF(I93="","No cost centre",IF(AND(P93="Y",C93=""),"Marked posted to Xero but has no invoice number",IF(AND(L93&lt;&gt;"",K93=""),"No tax code",IF(AND(L93&lt;&gt;"",O93=""),"No revenue GL code",""))))))))</f>
        <v/>
      </c>
    </row>
    <row r="94" ht="15" customHeight="1">
      <c r="A94" s="12" t="n">
        <v>46255</v>
      </c>
      <c r="B94" s="13">
        <f>IF(A94="","",EOMONTH(A94,0))</f>
        <v/>
      </c>
      <c r="C94" s="14" t="inlineStr">
        <is>
          <t>INV-10579</t>
        </is>
      </c>
      <c r="D94" s="14" t="inlineStr">
        <is>
          <t>AGL</t>
        </is>
      </c>
      <c r="E94" s="14" t="inlineStr">
        <is>
          <t>2605401</t>
        </is>
      </c>
      <c r="F94" s="15">
        <f>IF(E94="","",IF(COUNTIF(lst_Jobs,E94&amp;"")&gt;0,"OK","CHECK"))</f>
        <v/>
      </c>
      <c r="G94" s="14" t="inlineStr">
        <is>
          <t>AGL FYR - Investor Briefing</t>
        </is>
      </c>
      <c r="H94" s="14" t="inlineStr">
        <is>
          <t>Production</t>
        </is>
      </c>
      <c r="I94" s="14" t="inlineStr">
        <is>
          <t>PRODUCTION</t>
        </is>
      </c>
      <c r="J94" s="14" t="inlineStr">
        <is>
          <t>Project</t>
        </is>
      </c>
      <c r="K94" s="14" t="inlineStr">
        <is>
          <t>GST 10%</t>
        </is>
      </c>
      <c r="L94" s="16" t="n">
        <v>12465.5</v>
      </c>
      <c r="M94" s="17">
        <f>IF(L94="","",IF(K94="GST 10%",ROUND(L94*set_GSTRate,2),0))</f>
        <v/>
      </c>
      <c r="N94" s="17">
        <f>IF(L94="","",L94+M94)</f>
        <v/>
      </c>
      <c r="O94" s="14" t="inlineStr">
        <is>
          <t>42100</t>
        </is>
      </c>
      <c r="P94" s="14" t="inlineStr">
        <is>
          <t>Y</t>
        </is>
      </c>
      <c r="Q94" s="14" t="inlineStr">
        <is>
          <t>N</t>
        </is>
      </c>
      <c r="R94" s="12" t="n"/>
      <c r="S94" s="12" t="n"/>
      <c r="T94" s="14" t="inlineStr">
        <is>
          <t>Invoiced</t>
        </is>
      </c>
      <c r="U94" s="14" t="inlineStr">
        <is>
          <t>Production portion of this invoice</t>
        </is>
      </c>
      <c r="V94" s="15">
        <f>IF(COUNTA(A94,D94,C94,L94)=0,"",IF(A94="","No date - sits outside every month",IF(E94="","No job number",IF(F94="CHECK","Job number is not in the Xero job list",IF(I94="","No cost centre",IF(AND(P94="Y",C94=""),"Marked posted to Xero but has no invoice number",IF(AND(L94&lt;&gt;"",K94=""),"No tax code",IF(AND(L94&lt;&gt;"",O94=""),"No revenue GL code",""))))))))</f>
        <v/>
      </c>
    </row>
    <row r="95" ht="15" customHeight="1">
      <c r="A95" s="12" t="n">
        <v>46255</v>
      </c>
      <c r="B95" s="13">
        <f>IF(A95="","",EOMONTH(A95,0))</f>
        <v/>
      </c>
      <c r="C95" s="14" t="inlineStr">
        <is>
          <t>INV-10579</t>
        </is>
      </c>
      <c r="D95" s="14" t="inlineStr">
        <is>
          <t>AGL</t>
        </is>
      </c>
      <c r="E95" s="14" t="inlineStr">
        <is>
          <t>2605401</t>
        </is>
      </c>
      <c r="F95" s="15">
        <f>IF(E95="","",IF(COUNTIF(lst_Jobs,E95&amp;"")&gt;0,"OK","CHECK"))</f>
        <v/>
      </c>
      <c r="G95" s="14" t="inlineStr">
        <is>
          <t>AGL FYR - Investor Briefing</t>
        </is>
      </c>
      <c r="H95" s="14" t="inlineStr">
        <is>
          <t>Production</t>
        </is>
      </c>
      <c r="I95" s="14" t="inlineStr">
        <is>
          <t>VIDEO</t>
        </is>
      </c>
      <c r="J95" s="14" t="inlineStr">
        <is>
          <t>Project</t>
        </is>
      </c>
      <c r="K95" s="14" t="inlineStr">
        <is>
          <t>GST 10%</t>
        </is>
      </c>
      <c r="L95" s="16" t="n">
        <v>1806</v>
      </c>
      <c r="M95" s="17">
        <f>IF(L95="","",IF(K95="GST 10%",ROUND(L95*set_GSTRate,2),0))</f>
        <v/>
      </c>
      <c r="N95" s="17">
        <f>IF(L95="","",L95+M95)</f>
        <v/>
      </c>
      <c r="O95" s="14" t="inlineStr">
        <is>
          <t>42150</t>
        </is>
      </c>
      <c r="P95" s="14" t="inlineStr">
        <is>
          <t>Y</t>
        </is>
      </c>
      <c r="Q95" s="14" t="inlineStr">
        <is>
          <t>N</t>
        </is>
      </c>
      <c r="R95" s="12" t="n"/>
      <c r="S95" s="12" t="n"/>
      <c r="T95" s="14" t="inlineStr">
        <is>
          <t>Invoiced</t>
        </is>
      </c>
      <c r="U95" s="14" t="inlineStr">
        <is>
          <t>Video portion of this invoice</t>
        </is>
      </c>
      <c r="V95" s="15">
        <f>IF(COUNTA(A95,D95,C95,L95)=0,"",IF(A95="","No date - sits outside every month",IF(E95="","No job number",IF(F95="CHECK","Job number is not in the Xero job list",IF(I95="","No cost centre",IF(AND(P95="Y",C95=""),"Marked posted to Xero but has no invoice number",IF(AND(L95&lt;&gt;"",K95=""),"No tax code",IF(AND(L95&lt;&gt;"",O95=""),"No revenue GL code",""))))))))</f>
        <v/>
      </c>
    </row>
    <row r="96" ht="15" customHeight="1">
      <c r="A96" s="12" t="n">
        <v>46255</v>
      </c>
      <c r="B96" s="13">
        <f>IF(A96="","",EOMONTH(A96,0))</f>
        <v/>
      </c>
      <c r="C96" s="14" t="inlineStr">
        <is>
          <t>INV-10578</t>
        </is>
      </c>
      <c r="D96" s="14" t="inlineStr">
        <is>
          <t>AGL</t>
        </is>
      </c>
      <c r="E96" s="14" t="inlineStr">
        <is>
          <t>2605402</t>
        </is>
      </c>
      <c r="F96" s="15">
        <f>IF(E96="","",IF(COUNTIF(lst_Jobs,E96&amp;"")&gt;0,"OK","CHECK"))</f>
        <v/>
      </c>
      <c r="G96" s="14" t="inlineStr">
        <is>
          <t>AGL FYR - Employee Town Hall</t>
        </is>
      </c>
      <c r="H96" s="14" t="inlineStr">
        <is>
          <t>Production</t>
        </is>
      </c>
      <c r="I96" s="14" t="inlineStr">
        <is>
          <t>PRODUCTION</t>
        </is>
      </c>
      <c r="J96" s="14" t="inlineStr">
        <is>
          <t>Project</t>
        </is>
      </c>
      <c r="K96" s="14" t="inlineStr">
        <is>
          <t>GST 10%</t>
        </is>
      </c>
      <c r="L96" s="16" t="n">
        <v>7148.75</v>
      </c>
      <c r="M96" s="17">
        <f>IF(L96="","",IF(K96="GST 10%",ROUND(L96*set_GSTRate,2),0))</f>
        <v/>
      </c>
      <c r="N96" s="17">
        <f>IF(L96="","",L96+M96)</f>
        <v/>
      </c>
      <c r="O96" s="14" t="inlineStr">
        <is>
          <t>42100</t>
        </is>
      </c>
      <c r="P96" s="14" t="inlineStr">
        <is>
          <t>Y</t>
        </is>
      </c>
      <c r="Q96" s="14" t="inlineStr">
        <is>
          <t>N</t>
        </is>
      </c>
      <c r="R96" s="12" t="n"/>
      <c r="S96" s="12" t="n"/>
      <c r="T96" s="14" t="inlineStr">
        <is>
          <t>Invoiced</t>
        </is>
      </c>
      <c r="U96" s="14" t="n"/>
      <c r="V96" s="15">
        <f>IF(COUNTA(A96,D96,C96,L96)=0,"",IF(A96="","No date - sits outside every month",IF(E96="","No job number",IF(F96="CHECK","Job number is not in the Xero job list",IF(I96="","No cost centre",IF(AND(P96="Y",C96=""),"Marked posted to Xero but has no invoice number",IF(AND(L96&lt;&gt;"",K96=""),"No tax code",IF(AND(L96&lt;&gt;"",O96=""),"No revenue GL code",""))))))))</f>
        <v/>
      </c>
    </row>
    <row r="97" ht="15" customHeight="1">
      <c r="A97" s="12" t="n">
        <v>46255</v>
      </c>
      <c r="B97" s="13">
        <f>IF(A97="","",EOMONTH(A97,0))</f>
        <v/>
      </c>
      <c r="C97" s="14" t="inlineStr">
        <is>
          <t>INV-10599</t>
        </is>
      </c>
      <c r="D97" s="14" t="inlineStr">
        <is>
          <t>ASX</t>
        </is>
      </c>
      <c r="E97" s="14" t="inlineStr">
        <is>
          <t>2608604</t>
        </is>
      </c>
      <c r="F97" s="15">
        <f>IF(E97="","",IF(COUNTIF(lst_Jobs,E97&amp;"")&gt;0,"OK","CHECK"))</f>
        <v/>
      </c>
      <c r="G97" s="14" t="inlineStr">
        <is>
          <t>ASX Employee Townhall 13.8.26</t>
        </is>
      </c>
      <c r="H97" s="14" t="inlineStr">
        <is>
          <t>Production</t>
        </is>
      </c>
      <c r="I97" s="14" t="inlineStr">
        <is>
          <t>PRODUCTION</t>
        </is>
      </c>
      <c r="J97" s="14" t="inlineStr">
        <is>
          <t>Project</t>
        </is>
      </c>
      <c r="K97" s="14" t="inlineStr">
        <is>
          <t>GST 10%</t>
        </is>
      </c>
      <c r="L97" s="16" t="n">
        <v>1025</v>
      </c>
      <c r="M97" s="17">
        <f>IF(L97="","",IF(K97="GST 10%",ROUND(L97*set_GSTRate,2),0))</f>
        <v/>
      </c>
      <c r="N97" s="17">
        <f>IF(L97="","",L97+M97)</f>
        <v/>
      </c>
      <c r="O97" s="14" t="inlineStr">
        <is>
          <t>42100</t>
        </is>
      </c>
      <c r="P97" s="14" t="inlineStr">
        <is>
          <t>Y</t>
        </is>
      </c>
      <c r="Q97" s="14" t="inlineStr">
        <is>
          <t>N</t>
        </is>
      </c>
      <c r="R97" s="12" t="n"/>
      <c r="S97" s="12" t="n"/>
      <c r="T97" s="14" t="inlineStr">
        <is>
          <t>Invoiced</t>
        </is>
      </c>
      <c r="U97" s="14" t="inlineStr">
        <is>
          <t>Production portion of this invoice</t>
        </is>
      </c>
      <c r="V97" s="15">
        <f>IF(COUNTA(A97,D97,C97,L97)=0,"",IF(A97="","No date - sits outside every month",IF(E97="","No job number",IF(F97="CHECK","Job number is not in the Xero job list",IF(I97="","No cost centre",IF(AND(P97="Y",C97=""),"Marked posted to Xero but has no invoice number",IF(AND(L97&lt;&gt;"",K97=""),"No tax code",IF(AND(L97&lt;&gt;"",O97=""),"No revenue GL code",""))))))))</f>
        <v/>
      </c>
    </row>
    <row r="98" ht="15" customHeight="1">
      <c r="A98" s="12" t="n">
        <v>46255</v>
      </c>
      <c r="B98" s="13">
        <f>IF(A98="","",EOMONTH(A98,0))</f>
        <v/>
      </c>
      <c r="C98" s="14" t="inlineStr">
        <is>
          <t>INV-10599</t>
        </is>
      </c>
      <c r="D98" s="14" t="inlineStr">
        <is>
          <t>ASX</t>
        </is>
      </c>
      <c r="E98" s="14" t="inlineStr">
        <is>
          <t>2608604</t>
        </is>
      </c>
      <c r="F98" s="15">
        <f>IF(E98="","",IF(COUNTIF(lst_Jobs,E98&amp;"")&gt;0,"OK","CHECK"))</f>
        <v/>
      </c>
      <c r="G98" s="14" t="inlineStr">
        <is>
          <t>ASX Employee Townhall 13.8.26</t>
        </is>
      </c>
      <c r="H98" s="14" t="inlineStr">
        <is>
          <t>Production</t>
        </is>
      </c>
      <c r="I98" s="14" t="inlineStr">
        <is>
          <t>VIDEO</t>
        </is>
      </c>
      <c r="J98" s="14" t="inlineStr">
        <is>
          <t>Project</t>
        </is>
      </c>
      <c r="K98" s="14" t="inlineStr">
        <is>
          <t>GST 10%</t>
        </is>
      </c>
      <c r="L98" s="16" t="n">
        <v>485</v>
      </c>
      <c r="M98" s="17">
        <f>IF(L98="","",IF(K98="GST 10%",ROUND(L98*set_GSTRate,2),0))</f>
        <v/>
      </c>
      <c r="N98" s="17">
        <f>IF(L98="","",L98+M98)</f>
        <v/>
      </c>
      <c r="O98" s="14" t="inlineStr">
        <is>
          <t>42150</t>
        </is>
      </c>
      <c r="P98" s="14" t="inlineStr">
        <is>
          <t>Y</t>
        </is>
      </c>
      <c r="Q98" s="14" t="inlineStr">
        <is>
          <t>N</t>
        </is>
      </c>
      <c r="R98" s="12" t="n"/>
      <c r="S98" s="12" t="n"/>
      <c r="T98" s="14" t="inlineStr">
        <is>
          <t>Invoiced</t>
        </is>
      </c>
      <c r="U98" s="14" t="inlineStr">
        <is>
          <t>Video portion of this invoice</t>
        </is>
      </c>
      <c r="V98" s="15">
        <f>IF(COUNTA(A98,D98,C98,L98)=0,"",IF(A98="","No date - sits outside every month",IF(E98="","No job number",IF(F98="CHECK","Job number is not in the Xero job list",IF(I98="","No cost centre",IF(AND(P98="Y",C98=""),"Marked posted to Xero but has no invoice number",IF(AND(L98&lt;&gt;"",K98=""),"No tax code",IF(AND(L98&lt;&gt;"",O98=""),"No revenue GL code",""))))))))</f>
        <v/>
      </c>
    </row>
    <row r="99" ht="15" customHeight="1">
      <c r="A99" s="12" t="n">
        <v>46255</v>
      </c>
      <c r="B99" s="13">
        <f>IF(A99="","",EOMONTH(A99,0))</f>
        <v/>
      </c>
      <c r="C99" s="14" t="inlineStr">
        <is>
          <t>INV-10576</t>
        </is>
      </c>
      <c r="D99" s="14" t="inlineStr">
        <is>
          <t>ASX</t>
        </is>
      </c>
      <c r="E99" s="14" t="inlineStr">
        <is>
          <t>26052702</t>
        </is>
      </c>
      <c r="F99" s="15">
        <f>IF(E99="","",IF(COUNTIF(lst_Jobs,E99&amp;"")&gt;0,"OK","CHECK"))</f>
        <v/>
      </c>
      <c r="G99" s="14" t="inlineStr">
        <is>
          <t>ASX FYR Briefing 13.8.26</t>
        </is>
      </c>
      <c r="H99" s="14" t="inlineStr">
        <is>
          <t>Production</t>
        </is>
      </c>
      <c r="I99" s="14" t="inlineStr">
        <is>
          <t>PRODUCTION</t>
        </is>
      </c>
      <c r="J99" s="14" t="inlineStr">
        <is>
          <t>Project</t>
        </is>
      </c>
      <c r="K99" s="14" t="inlineStr">
        <is>
          <t>GST 10%</t>
        </is>
      </c>
      <c r="L99" s="16" t="n">
        <v>34222</v>
      </c>
      <c r="M99" s="17">
        <f>IF(L99="","",IF(K99="GST 10%",ROUND(L99*set_GSTRate,2),0))</f>
        <v/>
      </c>
      <c r="N99" s="17">
        <f>IF(L99="","",L99+M99)</f>
        <v/>
      </c>
      <c r="O99" s="14" t="inlineStr">
        <is>
          <t>42100</t>
        </is>
      </c>
      <c r="P99" s="14" t="inlineStr">
        <is>
          <t>Y</t>
        </is>
      </c>
      <c r="Q99" s="14" t="inlineStr">
        <is>
          <t>N</t>
        </is>
      </c>
      <c r="R99" s="12" t="n"/>
      <c r="S99" s="12" t="n"/>
      <c r="T99" s="14" t="inlineStr">
        <is>
          <t>Invoiced</t>
        </is>
      </c>
      <c r="U99" s="14" t="inlineStr">
        <is>
          <t>Production portion of this invoice</t>
        </is>
      </c>
      <c r="V99" s="15">
        <f>IF(COUNTA(A99,D99,C99,L99)=0,"",IF(A99="","No date - sits outside every month",IF(E99="","No job number",IF(F99="CHECK","Job number is not in the Xero job list",IF(I99="","No cost centre",IF(AND(P99="Y",C99=""),"Marked posted to Xero but has no invoice number",IF(AND(L99&lt;&gt;"",K99=""),"No tax code",IF(AND(L99&lt;&gt;"",O99=""),"No revenue GL code",""))))))))</f>
        <v/>
      </c>
    </row>
    <row r="100" ht="15" customHeight="1">
      <c r="A100" s="12" t="n">
        <v>46255</v>
      </c>
      <c r="B100" s="13">
        <f>IF(A100="","",EOMONTH(A100,0))</f>
        <v/>
      </c>
      <c r="C100" s="14" t="inlineStr">
        <is>
          <t>INV-10576</t>
        </is>
      </c>
      <c r="D100" s="14" t="inlineStr">
        <is>
          <t>ASX</t>
        </is>
      </c>
      <c r="E100" s="14" t="inlineStr">
        <is>
          <t>26052702</t>
        </is>
      </c>
      <c r="F100" s="15">
        <f>IF(E100="","",IF(COUNTIF(lst_Jobs,E100&amp;"")&gt;0,"OK","CHECK"))</f>
        <v/>
      </c>
      <c r="G100" s="14" t="inlineStr">
        <is>
          <t>ASX FYR Briefing 13.8.26</t>
        </is>
      </c>
      <c r="H100" s="14" t="inlineStr">
        <is>
          <t>Production</t>
        </is>
      </c>
      <c r="I100" s="14" t="inlineStr">
        <is>
          <t>VIDEO</t>
        </is>
      </c>
      <c r="J100" s="14" t="inlineStr">
        <is>
          <t>Project</t>
        </is>
      </c>
      <c r="K100" s="14" t="inlineStr">
        <is>
          <t>GST 10%</t>
        </is>
      </c>
      <c r="L100" s="16" t="n">
        <v>3357</v>
      </c>
      <c r="M100" s="17">
        <f>IF(L100="","",IF(K100="GST 10%",ROUND(L100*set_GSTRate,2),0))</f>
        <v/>
      </c>
      <c r="N100" s="17">
        <f>IF(L100="","",L100+M100)</f>
        <v/>
      </c>
      <c r="O100" s="14" t="inlineStr">
        <is>
          <t>42150</t>
        </is>
      </c>
      <c r="P100" s="14" t="inlineStr">
        <is>
          <t>Y</t>
        </is>
      </c>
      <c r="Q100" s="14" t="inlineStr">
        <is>
          <t>N</t>
        </is>
      </c>
      <c r="R100" s="12" t="n"/>
      <c r="S100" s="12" t="n"/>
      <c r="T100" s="14" t="inlineStr">
        <is>
          <t>Invoiced</t>
        </is>
      </c>
      <c r="U100" s="14" t="inlineStr">
        <is>
          <t>Video portion of this invoice</t>
        </is>
      </c>
      <c r="V100" s="1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row>
    <row r="101" ht="15" customHeight="1">
      <c r="A101" s="12" t="n">
        <v>46261</v>
      </c>
      <c r="B101" s="13">
        <f>IF(A101="","",EOMONTH(A101,0))</f>
        <v/>
      </c>
      <c r="C101" s="14" t="inlineStr">
        <is>
          <t>INV-10600</t>
        </is>
      </c>
      <c r="D101" s="14" t="inlineStr">
        <is>
          <t>ASX</t>
        </is>
      </c>
      <c r="E101" s="14" t="inlineStr">
        <is>
          <t>26072906</t>
        </is>
      </c>
      <c r="F101" s="15">
        <f>IF(E101="","",IF(COUNTIF(lst_Jobs,E101&amp;"")&gt;0,"OK","CHECK"))</f>
        <v/>
      </c>
      <c r="G101" s="14" t="inlineStr">
        <is>
          <t>ASX Advisory Group on Corporate Governance</t>
        </is>
      </c>
      <c r="H101" s="14" t="inlineStr">
        <is>
          <t>Production</t>
        </is>
      </c>
      <c r="I101" s="14" t="inlineStr">
        <is>
          <t>VIDEO</t>
        </is>
      </c>
      <c r="J101" s="14" t="inlineStr">
        <is>
          <t>Project</t>
        </is>
      </c>
      <c r="K101" s="14" t="inlineStr">
        <is>
          <t>GST 10%</t>
        </is>
      </c>
      <c r="L101" s="16" t="n">
        <v>4601.7</v>
      </c>
      <c r="M101" s="17">
        <f>IF(L101="","",IF(K101="GST 10%",ROUND(L101*set_GSTRate,2),0))</f>
        <v/>
      </c>
      <c r="N101" s="17">
        <f>IF(L101="","",L101+M101)</f>
        <v/>
      </c>
      <c r="O101" s="14" t="inlineStr">
        <is>
          <t>42150</t>
        </is>
      </c>
      <c r="P101" s="14" t="inlineStr">
        <is>
          <t>Y</t>
        </is>
      </c>
      <c r="Q101" s="14" t="inlineStr">
        <is>
          <t>N</t>
        </is>
      </c>
      <c r="R101" s="12" t="n"/>
      <c r="S101" s="12" t="n"/>
      <c r="T101" s="14" t="inlineStr">
        <is>
          <t>Invoiced</t>
        </is>
      </c>
      <c r="U101" s="14" t="n"/>
      <c r="V101" s="1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row>
    <row r="102" ht="15" customHeight="1">
      <c r="A102" s="12" t="n">
        <v>46265</v>
      </c>
      <c r="B102" s="13">
        <f>IF(A102="","",EOMONTH(A102,0))</f>
        <v/>
      </c>
      <c r="C102" s="14" t="inlineStr">
        <is>
          <t>INV-10590</t>
        </is>
      </c>
      <c r="D102" s="14" t="inlineStr">
        <is>
          <t>Cochlear</t>
        </is>
      </c>
      <c r="E102" s="14" t="inlineStr">
        <is>
          <t>2603104</t>
        </is>
      </c>
      <c r="F102" s="15">
        <f>IF(E102="","",IF(COUNTIF(lst_Jobs,E102&amp;"")&gt;0,"OK","CHECK"))</f>
        <v/>
      </c>
      <c r="G102" s="14" t="inlineStr">
        <is>
          <t>Cochlear FY26 Results 18.8.26</t>
        </is>
      </c>
      <c r="H102" s="14" t="inlineStr">
        <is>
          <t>Production</t>
        </is>
      </c>
      <c r="I102" s="14" t="inlineStr">
        <is>
          <t>PRODUCTION</t>
        </is>
      </c>
      <c r="J102" s="14" t="inlineStr">
        <is>
          <t>Project</t>
        </is>
      </c>
      <c r="K102" s="14" t="inlineStr">
        <is>
          <t>GST 10%</t>
        </is>
      </c>
      <c r="L102" s="16" t="n">
        <v>10540.5</v>
      </c>
      <c r="M102" s="17">
        <f>IF(L102="","",IF(K102="GST 10%",ROUND(L102*set_GSTRate,2),0))</f>
        <v/>
      </c>
      <c r="N102" s="17">
        <f>IF(L102="","",L102+M102)</f>
        <v/>
      </c>
      <c r="O102" s="14" t="inlineStr">
        <is>
          <t>42100</t>
        </is>
      </c>
      <c r="P102" s="14" t="inlineStr">
        <is>
          <t>Y</t>
        </is>
      </c>
      <c r="Q102" s="14" t="inlineStr">
        <is>
          <t>N</t>
        </is>
      </c>
      <c r="R102" s="12" t="n"/>
      <c r="S102" s="12" t="n"/>
      <c r="T102" s="14" t="inlineStr">
        <is>
          <t>Invoiced</t>
        </is>
      </c>
      <c r="U102" s="14" t="n"/>
      <c r="V102" s="1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row>
    <row r="103" ht="15" customHeight="1">
      <c r="A103" s="12" t="n">
        <v>46260</v>
      </c>
      <c r="B103" s="13">
        <f>IF(A103="","",EOMONTH(A103,0))</f>
        <v/>
      </c>
      <c r="C103" s="14" t="inlineStr">
        <is>
          <t>INV-10589</t>
        </is>
      </c>
      <c r="D103" s="14" t="inlineStr">
        <is>
          <t>ON24</t>
        </is>
      </c>
      <c r="E103" s="14" t="inlineStr">
        <is>
          <t>26072802</t>
        </is>
      </c>
      <c r="F103" s="15">
        <f>IF(E103="","",IF(COUNTIF(lst_Jobs,E103&amp;"")&gt;0,"OK","CHECK"))</f>
        <v/>
      </c>
      <c r="G103" s="14" t="inlineStr">
        <is>
          <t>KWM Sydney Event 18.8.26 (PO25962)</t>
        </is>
      </c>
      <c r="H103" s="14" t="inlineStr">
        <is>
          <t>Production</t>
        </is>
      </c>
      <c r="I103" s="14" t="inlineStr">
        <is>
          <t>PRODUCTION</t>
        </is>
      </c>
      <c r="J103" s="14" t="inlineStr">
        <is>
          <t>Project</t>
        </is>
      </c>
      <c r="K103" s="14" t="inlineStr">
        <is>
          <t>GST 10%</t>
        </is>
      </c>
      <c r="L103" s="16" t="n">
        <v>2732.5</v>
      </c>
      <c r="M103" s="17">
        <f>IF(L103="","",IF(K103="GST 10%",ROUND(L103*set_GSTRate,2),0))</f>
        <v/>
      </c>
      <c r="N103" s="17">
        <f>IF(L103="","",L103+M103)</f>
        <v/>
      </c>
      <c r="O103" s="14" t="inlineStr">
        <is>
          <t>42100</t>
        </is>
      </c>
      <c r="P103" s="14" t="inlineStr">
        <is>
          <t>Y</t>
        </is>
      </c>
      <c r="Q103" s="14" t="inlineStr">
        <is>
          <t>N</t>
        </is>
      </c>
      <c r="R103" s="12" t="n"/>
      <c r="S103" s="12" t="n"/>
      <c r="T103" s="14" t="inlineStr">
        <is>
          <t>Invoiced</t>
        </is>
      </c>
      <c r="U103" s="14" t="n"/>
      <c r="V103" s="1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row>
    <row r="104" ht="15" customHeight="1">
      <c r="A104" s="12" t="n">
        <v>46260</v>
      </c>
      <c r="B104" s="13">
        <f>IF(A104="","",EOMONTH(A104,0))</f>
        <v/>
      </c>
      <c r="C104" s="14" t="inlineStr">
        <is>
          <t>INV-10588</t>
        </is>
      </c>
      <c r="D104" s="14" t="inlineStr">
        <is>
          <t>Dimensional</t>
        </is>
      </c>
      <c r="E104" s="14" t="inlineStr">
        <is>
          <t>26081402</t>
        </is>
      </c>
      <c r="F104" s="15">
        <f>IF(E104="","",IF(COUNTIF(lst_Jobs,E104&amp;"")&gt;0,"OK","CHECK"))</f>
        <v/>
      </c>
      <c r="G104" s="14" t="inlineStr">
        <is>
          <t>AV Support 19.8.26</t>
        </is>
      </c>
      <c r="H104" s="14" t="inlineStr">
        <is>
          <t>Production</t>
        </is>
      </c>
      <c r="I104" s="14" t="inlineStr">
        <is>
          <t>PRODUCTION</t>
        </is>
      </c>
      <c r="J104" s="14" t="inlineStr">
        <is>
          <t>Project</t>
        </is>
      </c>
      <c r="K104" s="14" t="inlineStr">
        <is>
          <t>GST 10%</t>
        </is>
      </c>
      <c r="L104" s="16" t="n">
        <v>460</v>
      </c>
      <c r="M104" s="17">
        <f>IF(L104="","",IF(K104="GST 10%",ROUND(L104*set_GSTRate,2),0))</f>
        <v/>
      </c>
      <c r="N104" s="17">
        <f>IF(L104="","",L104+M104)</f>
        <v/>
      </c>
      <c r="O104" s="14" t="inlineStr">
        <is>
          <t>42100</t>
        </is>
      </c>
      <c r="P104" s="14" t="inlineStr">
        <is>
          <t>Y</t>
        </is>
      </c>
      <c r="Q104" s="14" t="inlineStr">
        <is>
          <t>N</t>
        </is>
      </c>
      <c r="R104" s="12" t="n"/>
      <c r="S104" s="12" t="n"/>
      <c r="T104" s="14" t="inlineStr">
        <is>
          <t>Invoiced</t>
        </is>
      </c>
      <c r="U104" s="14" t="n"/>
      <c r="V104" s="1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row>
    <row r="105" ht="15" customHeight="1">
      <c r="A105" s="12" t="n">
        <v>46259</v>
      </c>
      <c r="B105" s="13">
        <f>IF(A105="","",EOMONTH(A105,0))</f>
        <v/>
      </c>
      <c r="C105" s="14" t="inlineStr">
        <is>
          <t>INV-10591</t>
        </is>
      </c>
      <c r="D105" s="14" t="inlineStr">
        <is>
          <t>TLC -  Melbourne</t>
        </is>
      </c>
      <c r="E105" s="14" t="inlineStr">
        <is>
          <t>26061106</t>
        </is>
      </c>
      <c r="F105" s="15">
        <f>IF(E105="","",IF(COUNTIF(lst_Jobs,E105&amp;"")&gt;0,"OK","CHECK"))</f>
        <v/>
      </c>
      <c r="G105" s="14" t="inlineStr">
        <is>
          <t>TLC Full Year Results</t>
        </is>
      </c>
      <c r="H105" s="14" t="inlineStr">
        <is>
          <t>Production</t>
        </is>
      </c>
      <c r="I105" s="14" t="inlineStr">
        <is>
          <t>PRODUCTION</t>
        </is>
      </c>
      <c r="J105" s="14" t="inlineStr">
        <is>
          <t>Project</t>
        </is>
      </c>
      <c r="K105" s="14" t="inlineStr">
        <is>
          <t>GST 10%</t>
        </is>
      </c>
      <c r="L105" s="16" t="n">
        <v>12987</v>
      </c>
      <c r="M105" s="17">
        <f>IF(L105="","",IF(K105="GST 10%",ROUND(L105*set_GSTRate,2),0))</f>
        <v/>
      </c>
      <c r="N105" s="17">
        <f>IF(L105="","",L105+M105)</f>
        <v/>
      </c>
      <c r="O105" s="14" t="inlineStr">
        <is>
          <t>42100</t>
        </is>
      </c>
      <c r="P105" s="14" t="inlineStr">
        <is>
          <t>Y</t>
        </is>
      </c>
      <c r="Q105" s="14" t="inlineStr">
        <is>
          <t>N</t>
        </is>
      </c>
      <c r="R105" s="12" t="n"/>
      <c r="S105" s="12" t="n"/>
      <c r="T105" s="14" t="inlineStr">
        <is>
          <t>Invoiced</t>
        </is>
      </c>
      <c r="U105" s="14" t="inlineStr">
        <is>
          <t>Production portion of this invoice</t>
        </is>
      </c>
      <c r="V105" s="1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row>
    <row r="106" ht="15" customHeight="1">
      <c r="A106" s="12" t="n">
        <v>46259</v>
      </c>
      <c r="B106" s="13">
        <f>IF(A106="","",EOMONTH(A106,0))</f>
        <v/>
      </c>
      <c r="C106" s="14" t="inlineStr">
        <is>
          <t>INV-10591</t>
        </is>
      </c>
      <c r="D106" s="14" t="inlineStr">
        <is>
          <t>TLC -  Melbourne</t>
        </is>
      </c>
      <c r="E106" s="14" t="inlineStr">
        <is>
          <t>26061106</t>
        </is>
      </c>
      <c r="F106" s="15">
        <f>IF(E106="","",IF(COUNTIF(lst_Jobs,E106&amp;"")&gt;0,"OK","CHECK"))</f>
        <v/>
      </c>
      <c r="G106" s="14" t="inlineStr">
        <is>
          <t>TLC Full Year Results</t>
        </is>
      </c>
      <c r="H106" s="14" t="inlineStr">
        <is>
          <t>Production</t>
        </is>
      </c>
      <c r="I106" s="14" t="inlineStr">
        <is>
          <t>VIDEO</t>
        </is>
      </c>
      <c r="J106" s="14" t="inlineStr">
        <is>
          <t>Project</t>
        </is>
      </c>
      <c r="K106" s="14" t="inlineStr">
        <is>
          <t>GST 10%</t>
        </is>
      </c>
      <c r="L106" s="16" t="n">
        <v>674</v>
      </c>
      <c r="M106" s="17">
        <f>IF(L106="","",IF(K106="GST 10%",ROUND(L106*set_GSTRate,2),0))</f>
        <v/>
      </c>
      <c r="N106" s="17">
        <f>IF(L106="","",L106+M106)</f>
        <v/>
      </c>
      <c r="O106" s="14" t="inlineStr">
        <is>
          <t>42150</t>
        </is>
      </c>
      <c r="P106" s="14" t="inlineStr">
        <is>
          <t>Y</t>
        </is>
      </c>
      <c r="Q106" s="14" t="inlineStr">
        <is>
          <t>N</t>
        </is>
      </c>
      <c r="R106" s="12" t="n"/>
      <c r="S106" s="12" t="n"/>
      <c r="T106" s="14" t="inlineStr">
        <is>
          <t>Invoiced</t>
        </is>
      </c>
      <c r="U106" s="14" t="inlineStr">
        <is>
          <t>Video portion of this invoice</t>
        </is>
      </c>
      <c r="V106" s="1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row>
    <row r="107" ht="15" customHeight="1">
      <c r="A107" s="12" t="n">
        <v>46259</v>
      </c>
      <c r="B107" s="13">
        <f>IF(A107="","",EOMONTH(A107,0))</f>
        <v/>
      </c>
      <c r="C107" s="14" t="inlineStr">
        <is>
          <t>INV-10587</t>
        </is>
      </c>
      <c r="D107" s="14" t="inlineStr">
        <is>
          <t>Downer</t>
        </is>
      </c>
      <c r="E107" s="14" t="inlineStr">
        <is>
          <t>26061107</t>
        </is>
      </c>
      <c r="F107" s="15">
        <f>IF(E107="","",IF(COUNTIF(lst_Jobs,E107&amp;"")&gt;0,"OK","CHECK"))</f>
        <v/>
      </c>
      <c r="G107" s="14" t="inlineStr">
        <is>
          <t>Downer FYR26 20.8.26</t>
        </is>
      </c>
      <c r="H107" s="14" t="inlineStr">
        <is>
          <t>Production</t>
        </is>
      </c>
      <c r="I107" s="14" t="inlineStr">
        <is>
          <t>PRODUCTION</t>
        </is>
      </c>
      <c r="J107" s="14" t="inlineStr">
        <is>
          <t>Project</t>
        </is>
      </c>
      <c r="K107" s="14" t="inlineStr">
        <is>
          <t>GST 10%</t>
        </is>
      </c>
      <c r="L107" s="16" t="n">
        <v>11380.75</v>
      </c>
      <c r="M107" s="17">
        <f>IF(L107="","",IF(K107="GST 10%",ROUND(L107*set_GSTRate,2),0))</f>
        <v/>
      </c>
      <c r="N107" s="17">
        <f>IF(L107="","",L107+M107)</f>
        <v/>
      </c>
      <c r="O107" s="14" t="inlineStr">
        <is>
          <t>42100</t>
        </is>
      </c>
      <c r="P107" s="14" t="inlineStr">
        <is>
          <t>Y</t>
        </is>
      </c>
      <c r="Q107" s="14" t="inlineStr">
        <is>
          <t>N</t>
        </is>
      </c>
      <c r="R107" s="12" t="n"/>
      <c r="S107" s="12" t="n"/>
      <c r="T107" s="14" t="inlineStr">
        <is>
          <t>Invoiced</t>
        </is>
      </c>
      <c r="U107" s="14" t="inlineStr">
        <is>
          <t>Production portion of this invoice</t>
        </is>
      </c>
      <c r="V107" s="1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row>
    <row r="108" ht="15" customHeight="1">
      <c r="A108" s="12" t="n">
        <v>46259</v>
      </c>
      <c r="B108" s="13">
        <f>IF(A108="","",EOMONTH(A108,0))</f>
        <v/>
      </c>
      <c r="C108" s="14" t="inlineStr">
        <is>
          <t>INV-10587</t>
        </is>
      </c>
      <c r="D108" s="14" t="inlineStr">
        <is>
          <t>Downer</t>
        </is>
      </c>
      <c r="E108" s="14" t="inlineStr">
        <is>
          <t>26061107</t>
        </is>
      </c>
      <c r="F108" s="15">
        <f>IF(E108="","",IF(COUNTIF(lst_Jobs,E108&amp;"")&gt;0,"OK","CHECK"))</f>
        <v/>
      </c>
      <c r="G108" s="14" t="inlineStr">
        <is>
          <t>Downer FYR26 20.8.26</t>
        </is>
      </c>
      <c r="H108" s="14" t="inlineStr">
        <is>
          <t>Production</t>
        </is>
      </c>
      <c r="I108" s="14" t="inlineStr">
        <is>
          <t>VIDEO</t>
        </is>
      </c>
      <c r="J108" s="14" t="inlineStr">
        <is>
          <t>Project</t>
        </is>
      </c>
      <c r="K108" s="14" t="inlineStr">
        <is>
          <t>GST 10%</t>
        </is>
      </c>
      <c r="L108" s="16" t="n">
        <v>263.5</v>
      </c>
      <c r="M108" s="17">
        <f>IF(L108="","",IF(K108="GST 10%",ROUND(L108*set_GSTRate,2),0))</f>
        <v/>
      </c>
      <c r="N108" s="17">
        <f>IF(L108="","",L108+M108)</f>
        <v/>
      </c>
      <c r="O108" s="14" t="inlineStr">
        <is>
          <t>42150</t>
        </is>
      </c>
      <c r="P108" s="14" t="inlineStr">
        <is>
          <t>Y</t>
        </is>
      </c>
      <c r="Q108" s="14" t="inlineStr">
        <is>
          <t>N</t>
        </is>
      </c>
      <c r="R108" s="12" t="n"/>
      <c r="S108" s="12" t="n"/>
      <c r="T108" s="14" t="inlineStr">
        <is>
          <t>Invoiced</t>
        </is>
      </c>
      <c r="U108" s="14" t="inlineStr">
        <is>
          <t>Video portion of this invoice</t>
        </is>
      </c>
      <c r="V108" s="1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row>
    <row r="109" ht="15" customHeight="1">
      <c r="A109" s="12" t="n">
        <v>46260</v>
      </c>
      <c r="B109" s="13">
        <f>IF(A109="","",EOMONTH(A109,0))</f>
        <v/>
      </c>
      <c r="C109" s="14" t="inlineStr">
        <is>
          <t>INV-10586</t>
        </is>
      </c>
      <c r="D109" s="14" t="inlineStr">
        <is>
          <t>Garvan</t>
        </is>
      </c>
      <c r="E109" s="14" t="inlineStr">
        <is>
          <t>26073110</t>
        </is>
      </c>
      <c r="F109" s="15">
        <f>IF(E109="","",IF(COUNTIF(lst_Jobs,E109&amp;"")&gt;0,"OK","CHECK"))</f>
        <v/>
      </c>
      <c r="G109" s="14" t="inlineStr">
        <is>
          <t>Garvan - Weizmann Dinner Event</t>
        </is>
      </c>
      <c r="H109" s="14" t="inlineStr">
        <is>
          <t>Production</t>
        </is>
      </c>
      <c r="I109" s="14" t="inlineStr">
        <is>
          <t>PRODUCTION</t>
        </is>
      </c>
      <c r="J109" s="14" t="inlineStr">
        <is>
          <t>Project</t>
        </is>
      </c>
      <c r="K109" s="14" t="inlineStr">
        <is>
          <t>GST 10%</t>
        </is>
      </c>
      <c r="L109" s="16" t="n">
        <v>1055</v>
      </c>
      <c r="M109" s="17">
        <f>IF(L109="","",IF(K109="GST 10%",ROUND(L109*set_GSTRate,2),0))</f>
        <v/>
      </c>
      <c r="N109" s="17">
        <f>IF(L109="","",L109+M109)</f>
        <v/>
      </c>
      <c r="O109" s="14" t="inlineStr">
        <is>
          <t>42100</t>
        </is>
      </c>
      <c r="P109" s="14" t="inlineStr">
        <is>
          <t>Y</t>
        </is>
      </c>
      <c r="Q109" s="14" t="inlineStr">
        <is>
          <t>N</t>
        </is>
      </c>
      <c r="R109" s="12" t="n"/>
      <c r="S109" s="12" t="n"/>
      <c r="T109" s="14" t="inlineStr">
        <is>
          <t>Invoiced</t>
        </is>
      </c>
      <c r="U109" s="14" t="n"/>
      <c r="V109" s="1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row>
    <row r="110" ht="15" customHeight="1">
      <c r="A110" s="12" t="n"/>
      <c r="B110" s="13">
        <f>IF(A110="","",EOMONTH(A110,0))</f>
        <v/>
      </c>
      <c r="C110" s="14" t="inlineStr">
        <is>
          <t>Package</t>
        </is>
      </c>
      <c r="D110" s="14" t="inlineStr">
        <is>
          <t>APA</t>
        </is>
      </c>
      <c r="E110" s="14" t="inlineStr">
        <is>
          <t>25121208</t>
        </is>
      </c>
      <c r="F110" s="15">
        <f>IF(E110="","",IF(COUNTIF(lst_Jobs,E110&amp;"")&gt;0,"OK","CHECK"))</f>
        <v/>
      </c>
      <c r="G110" s="14" t="inlineStr">
        <is>
          <t>APA FYR Investor Briefing 20.8.26</t>
        </is>
      </c>
      <c r="H110" s="14" t="inlineStr">
        <is>
          <t>Production</t>
        </is>
      </c>
      <c r="I110" s="14" t="inlineStr">
        <is>
          <t>PRODUCTION</t>
        </is>
      </c>
      <c r="J110" s="14" t="inlineStr">
        <is>
          <t>Project</t>
        </is>
      </c>
      <c r="K110" s="14" t="inlineStr">
        <is>
          <t>GST 10%</t>
        </is>
      </c>
      <c r="L110" s="16" t="n">
        <v>8472.5</v>
      </c>
      <c r="M110" s="17">
        <f>IF(L110="","",IF(K110="GST 10%",ROUND(L110*set_GSTRate,2),0))</f>
        <v/>
      </c>
      <c r="N110" s="17">
        <f>IF(L110="","",L110+M110)</f>
        <v/>
      </c>
      <c r="O110" s="14" t="inlineStr">
        <is>
          <t>42100</t>
        </is>
      </c>
      <c r="P110" s="14" t="inlineStr">
        <is>
          <t>Y</t>
        </is>
      </c>
      <c r="Q110" s="14" t="inlineStr">
        <is>
          <t>N</t>
        </is>
      </c>
      <c r="R110" s="12" t="n"/>
      <c r="S110" s="12" t="n"/>
      <c r="T110" s="14" t="inlineStr">
        <is>
          <t>Invoiced</t>
        </is>
      </c>
      <c r="U110" s="14" t="n"/>
      <c r="V110" s="1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row>
    <row r="111" ht="15" customHeight="1">
      <c r="A111" s="12" t="n"/>
      <c r="B111" s="13">
        <f>IF(A111="","",EOMONTH(A111,0))</f>
        <v/>
      </c>
      <c r="C111" s="14" t="inlineStr">
        <is>
          <t>Package</t>
        </is>
      </c>
      <c r="D111" s="14" t="inlineStr">
        <is>
          <t>APA</t>
        </is>
      </c>
      <c r="E111" s="14" t="inlineStr">
        <is>
          <t>26061108</t>
        </is>
      </c>
      <c r="F111" s="15">
        <f>IF(E111="","",IF(COUNTIF(lst_Jobs,E111&amp;"")&gt;0,"OK","CHECK"))</f>
        <v/>
      </c>
      <c r="G111" s="14" t="inlineStr">
        <is>
          <t>APA FYR Town Hall 20.8.26</t>
        </is>
      </c>
      <c r="H111" s="14" t="inlineStr">
        <is>
          <t>Production</t>
        </is>
      </c>
      <c r="I111" s="14" t="inlineStr">
        <is>
          <t>PRODUCTION</t>
        </is>
      </c>
      <c r="J111" s="14" t="inlineStr">
        <is>
          <t>Project</t>
        </is>
      </c>
      <c r="K111" s="14" t="inlineStr">
        <is>
          <t>GST 10%</t>
        </is>
      </c>
      <c r="L111" s="16" t="n">
        <v>11339</v>
      </c>
      <c r="M111" s="17">
        <f>IF(L111="","",IF(K111="GST 10%",ROUND(L111*set_GSTRate,2),0))</f>
        <v/>
      </c>
      <c r="N111" s="17">
        <f>IF(L111="","",L111+M111)</f>
        <v/>
      </c>
      <c r="O111" s="14" t="inlineStr">
        <is>
          <t>42100</t>
        </is>
      </c>
      <c r="P111" s="14" t="inlineStr">
        <is>
          <t>Y</t>
        </is>
      </c>
      <c r="Q111" s="14" t="inlineStr">
        <is>
          <t>N</t>
        </is>
      </c>
      <c r="R111" s="12" t="n"/>
      <c r="S111" s="12" t="n"/>
      <c r="T111" s="14" t="inlineStr">
        <is>
          <t>Invoiced</t>
        </is>
      </c>
      <c r="U111" s="14" t="inlineStr">
        <is>
          <t>Production portion of this invoice</t>
        </is>
      </c>
      <c r="V111" s="1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row>
    <row r="112" ht="15" customHeight="1">
      <c r="A112" s="12" t="n"/>
      <c r="B112" s="13">
        <f>IF(A112="","",EOMONTH(A112,0))</f>
        <v/>
      </c>
      <c r="C112" s="14" t="inlineStr">
        <is>
          <t>Package</t>
        </is>
      </c>
      <c r="D112" s="14" t="inlineStr">
        <is>
          <t>APA</t>
        </is>
      </c>
      <c r="E112" s="14" t="inlineStr">
        <is>
          <t>26061108</t>
        </is>
      </c>
      <c r="F112" s="15">
        <f>IF(E112="","",IF(COUNTIF(lst_Jobs,E112&amp;"")&gt;0,"OK","CHECK"))</f>
        <v/>
      </c>
      <c r="G112" s="14" t="inlineStr">
        <is>
          <t>APA FYR Town Hall 20.8.26</t>
        </is>
      </c>
      <c r="H112" s="14" t="inlineStr">
        <is>
          <t>Production</t>
        </is>
      </c>
      <c r="I112" s="14" t="inlineStr">
        <is>
          <t>VIDEO</t>
        </is>
      </c>
      <c r="J112" s="14" t="inlineStr">
        <is>
          <t>Project</t>
        </is>
      </c>
      <c r="K112" s="14" t="inlineStr">
        <is>
          <t>GST 10%</t>
        </is>
      </c>
      <c r="L112" s="16" t="n">
        <v>1261.6</v>
      </c>
      <c r="M112" s="17">
        <f>IF(L112="","",IF(K112="GST 10%",ROUND(L112*set_GSTRate,2),0))</f>
        <v/>
      </c>
      <c r="N112" s="17">
        <f>IF(L112="","",L112+M112)</f>
        <v/>
      </c>
      <c r="O112" s="14" t="inlineStr">
        <is>
          <t>42150</t>
        </is>
      </c>
      <c r="P112" s="14" t="inlineStr">
        <is>
          <t>Y</t>
        </is>
      </c>
      <c r="Q112" s="14" t="inlineStr">
        <is>
          <t>N</t>
        </is>
      </c>
      <c r="R112" s="12" t="n"/>
      <c r="S112" s="12" t="n"/>
      <c r="T112" s="14" t="inlineStr">
        <is>
          <t>Invoiced</t>
        </is>
      </c>
      <c r="U112" s="14" t="inlineStr">
        <is>
          <t>Video portion of this invoice</t>
        </is>
      </c>
      <c r="V112" s="1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row>
    <row r="113" ht="15" customHeight="1">
      <c r="A113" s="12" t="n">
        <v>46265</v>
      </c>
      <c r="B113" s="13">
        <f>IF(A113="","",EOMONTH(A113,0))</f>
        <v/>
      </c>
      <c r="C113" s="14" t="inlineStr">
        <is>
          <t>INV-10593</t>
        </is>
      </c>
      <c r="D113" s="14" t="inlineStr">
        <is>
          <t>Ventia</t>
        </is>
      </c>
      <c r="E113" s="14" t="inlineStr">
        <is>
          <t>26061109</t>
        </is>
      </c>
      <c r="F113" s="15">
        <f>IF(E113="","",IF(COUNTIF(lst_Jobs,E113&amp;"")&gt;0,"OK","CHECK"))</f>
        <v/>
      </c>
      <c r="G113" s="14" t="inlineStr">
        <is>
          <t>Ventia HYR Employee Town Hall 24.8.26 (PO 4701366307)</t>
        </is>
      </c>
      <c r="H113" s="14" t="inlineStr">
        <is>
          <t>Production</t>
        </is>
      </c>
      <c r="I113" s="14" t="inlineStr">
        <is>
          <t>PRODUCTION</t>
        </is>
      </c>
      <c r="J113" s="14" t="inlineStr">
        <is>
          <t>Project</t>
        </is>
      </c>
      <c r="K113" s="14" t="inlineStr">
        <is>
          <t>GST 10%</t>
        </is>
      </c>
      <c r="L113" s="16" t="n">
        <v>11630.5</v>
      </c>
      <c r="M113" s="17">
        <f>IF(L113="","",IF(K113="GST 10%",ROUND(L113*set_GSTRate,2),0))</f>
        <v/>
      </c>
      <c r="N113" s="17">
        <f>IF(L113="","",L113+M113)</f>
        <v/>
      </c>
      <c r="O113" s="14" t="inlineStr">
        <is>
          <t>42100</t>
        </is>
      </c>
      <c r="P113" s="14" t="inlineStr">
        <is>
          <t>Y</t>
        </is>
      </c>
      <c r="Q113" s="14" t="inlineStr">
        <is>
          <t>N</t>
        </is>
      </c>
      <c r="R113" s="12" t="n"/>
      <c r="S113" s="12" t="n"/>
      <c r="T113" s="14" t="inlineStr">
        <is>
          <t>Invoiced</t>
        </is>
      </c>
      <c r="U113" s="14" t="inlineStr">
        <is>
          <t>Production portion of this invoice</t>
        </is>
      </c>
      <c r="V113" s="1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row>
    <row r="114" ht="15" customHeight="1">
      <c r="A114" s="12" t="n">
        <v>46265</v>
      </c>
      <c r="B114" s="13">
        <f>IF(A114="","",EOMONTH(A114,0))</f>
        <v/>
      </c>
      <c r="C114" s="14" t="inlineStr">
        <is>
          <t>INV-10593</t>
        </is>
      </c>
      <c r="D114" s="14" t="inlineStr">
        <is>
          <t>Ventia</t>
        </is>
      </c>
      <c r="E114" s="14" t="inlineStr">
        <is>
          <t>26061109</t>
        </is>
      </c>
      <c r="F114" s="15">
        <f>IF(E114="","",IF(COUNTIF(lst_Jobs,E114&amp;"")&gt;0,"OK","CHECK"))</f>
        <v/>
      </c>
      <c r="G114" s="14" t="inlineStr">
        <is>
          <t>Ventia HYR Employee Town Hall 24.8.26 (PO 4701366307)</t>
        </is>
      </c>
      <c r="H114" s="14" t="inlineStr">
        <is>
          <t>Production</t>
        </is>
      </c>
      <c r="I114" s="14" t="inlineStr">
        <is>
          <t>VIDEO</t>
        </is>
      </c>
      <c r="J114" s="14" t="inlineStr">
        <is>
          <t>Project</t>
        </is>
      </c>
      <c r="K114" s="14" t="inlineStr">
        <is>
          <t>GST 10%</t>
        </is>
      </c>
      <c r="L114" s="16" t="n">
        <v>1771</v>
      </c>
      <c r="M114" s="17">
        <f>IF(L114="","",IF(K114="GST 10%",ROUND(L114*set_GSTRate,2),0))</f>
        <v/>
      </c>
      <c r="N114" s="17">
        <f>IF(L114="","",L114+M114)</f>
        <v/>
      </c>
      <c r="O114" s="14" t="inlineStr">
        <is>
          <t>42150</t>
        </is>
      </c>
      <c r="P114" s="14" t="inlineStr">
        <is>
          <t>Y</t>
        </is>
      </c>
      <c r="Q114" s="14" t="inlineStr">
        <is>
          <t>N</t>
        </is>
      </c>
      <c r="R114" s="12" t="n"/>
      <c r="S114" s="12" t="n"/>
      <c r="T114" s="14" t="inlineStr">
        <is>
          <t>Invoiced</t>
        </is>
      </c>
      <c r="U114" s="14" t="inlineStr">
        <is>
          <t>Video portion of this invoice</t>
        </is>
      </c>
      <c r="V114" s="1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row>
    <row r="115" ht="15" customHeight="1">
      <c r="A115" s="12" t="n">
        <v>46265</v>
      </c>
      <c r="B115" s="13">
        <f>IF(A115="","",EOMONTH(A115,0))</f>
        <v/>
      </c>
      <c r="C115" s="14" t="inlineStr">
        <is>
          <t>INV-10612</t>
        </is>
      </c>
      <c r="D115" s="14" t="inlineStr">
        <is>
          <t>Ventia</t>
        </is>
      </c>
      <c r="E115" s="14" t="inlineStr">
        <is>
          <t>26071501</t>
        </is>
      </c>
      <c r="F115" s="15">
        <f>IF(E115="","",IF(COUNTIF(lst_Jobs,E115&amp;"")&gt;0,"OK","CHECK"))</f>
        <v/>
      </c>
      <c r="G115" s="14" t="inlineStr">
        <is>
          <t>Ventia Half Year Results Briefing</t>
        </is>
      </c>
      <c r="H115" s="14" t="inlineStr">
        <is>
          <t>Production</t>
        </is>
      </c>
      <c r="I115" s="14" t="inlineStr">
        <is>
          <t>PRODUCTION</t>
        </is>
      </c>
      <c r="J115" s="14" t="inlineStr">
        <is>
          <t>Project</t>
        </is>
      </c>
      <c r="K115" s="14" t="inlineStr">
        <is>
          <t>GST 10%</t>
        </is>
      </c>
      <c r="L115" s="16" t="n">
        <v>10835.49</v>
      </c>
      <c r="M115" s="17">
        <f>IF(L115="","",IF(K115="GST 10%",ROUND(L115*set_GSTRate,2),0))</f>
        <v/>
      </c>
      <c r="N115" s="17">
        <f>IF(L115="","",L115+M115)</f>
        <v/>
      </c>
      <c r="O115" s="14" t="inlineStr">
        <is>
          <t>42100</t>
        </is>
      </c>
      <c r="P115" s="14" t="inlineStr">
        <is>
          <t>Y</t>
        </is>
      </c>
      <c r="Q115" s="14" t="inlineStr">
        <is>
          <t>N</t>
        </is>
      </c>
      <c r="R115" s="12" t="n"/>
      <c r="S115" s="12" t="n"/>
      <c r="T115" s="14" t="inlineStr">
        <is>
          <t>Invoiced</t>
        </is>
      </c>
      <c r="U115" s="14" t="n"/>
      <c r="V115" s="1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row>
    <row r="116" ht="15" customHeight="1">
      <c r="A116" s="12" t="n">
        <v>46265</v>
      </c>
      <c r="B116" s="13">
        <f>IF(A116="","",EOMONTH(A116,0))</f>
        <v/>
      </c>
      <c r="C116" s="14" t="inlineStr">
        <is>
          <t>INV-10611</t>
        </is>
      </c>
      <c r="D116" s="14" t="inlineStr">
        <is>
          <t>Downer - Melbourne</t>
        </is>
      </c>
      <c r="E116" s="14" t="inlineStr">
        <is>
          <t>26073111</t>
        </is>
      </c>
      <c r="F116" s="15">
        <f>IF(E116="","",IF(COUNTIF(lst_Jobs,E116&amp;"")&gt;0,"OK","CHECK"))</f>
        <v/>
      </c>
      <c r="G116" s="14" t="inlineStr">
        <is>
          <t>Employee Results Briefing</t>
        </is>
      </c>
      <c r="H116" s="14" t="inlineStr">
        <is>
          <t>Production</t>
        </is>
      </c>
      <c r="I116" s="14" t="inlineStr">
        <is>
          <t>PRODUCTION</t>
        </is>
      </c>
      <c r="J116" s="14" t="inlineStr">
        <is>
          <t>Project</t>
        </is>
      </c>
      <c r="K116" s="14" t="inlineStr">
        <is>
          <t>GST 10%</t>
        </is>
      </c>
      <c r="L116" s="16" t="n">
        <v>22628.75</v>
      </c>
      <c r="M116" s="17">
        <f>IF(L116="","",IF(K116="GST 10%",ROUND(L116*set_GSTRate,2),0))</f>
        <v/>
      </c>
      <c r="N116" s="17">
        <f>IF(L116="","",L116+M116)</f>
        <v/>
      </c>
      <c r="O116" s="14" t="inlineStr">
        <is>
          <t>42100</t>
        </is>
      </c>
      <c r="P116" s="14" t="inlineStr">
        <is>
          <t>Y</t>
        </is>
      </c>
      <c r="Q116" s="14" t="inlineStr">
        <is>
          <t>N</t>
        </is>
      </c>
      <c r="R116" s="12" t="n"/>
      <c r="S116" s="12" t="n"/>
      <c r="T116" s="14" t="inlineStr">
        <is>
          <t>Invoiced</t>
        </is>
      </c>
      <c r="U116" s="14" t="inlineStr">
        <is>
          <t>Production portion of this invoice</t>
        </is>
      </c>
      <c r="V116" s="1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row>
    <row r="117" ht="15" customHeight="1">
      <c r="A117" s="12" t="n">
        <v>46265</v>
      </c>
      <c r="B117" s="13">
        <f>IF(A117="","",EOMONTH(A117,0))</f>
        <v/>
      </c>
      <c r="C117" s="14" t="inlineStr">
        <is>
          <t>INV-10611</t>
        </is>
      </c>
      <c r="D117" s="14" t="inlineStr">
        <is>
          <t>Downer - Melbourne</t>
        </is>
      </c>
      <c r="E117" s="14" t="inlineStr">
        <is>
          <t>26073111</t>
        </is>
      </c>
      <c r="F117" s="15">
        <f>IF(E117="","",IF(COUNTIF(lst_Jobs,E117&amp;"")&gt;0,"OK","CHECK"))</f>
        <v/>
      </c>
      <c r="G117" s="14" t="inlineStr">
        <is>
          <t>Employee Results Briefing</t>
        </is>
      </c>
      <c r="H117" s="14" t="inlineStr">
        <is>
          <t>Production</t>
        </is>
      </c>
      <c r="I117" s="14" t="inlineStr">
        <is>
          <t>VIDEO</t>
        </is>
      </c>
      <c r="J117" s="14" t="inlineStr">
        <is>
          <t>Project</t>
        </is>
      </c>
      <c r="K117" s="14" t="inlineStr">
        <is>
          <t>GST 10%</t>
        </is>
      </c>
      <c r="L117" s="16" t="n">
        <v>1785</v>
      </c>
      <c r="M117" s="17">
        <f>IF(L117="","",IF(K117="GST 10%",ROUND(L117*set_GSTRate,2),0))</f>
        <v/>
      </c>
      <c r="N117" s="17">
        <f>IF(L117="","",L117+M117)</f>
        <v/>
      </c>
      <c r="O117" s="14" t="inlineStr">
        <is>
          <t>42150</t>
        </is>
      </c>
      <c r="P117" s="14" t="inlineStr">
        <is>
          <t>Y</t>
        </is>
      </c>
      <c r="Q117" s="14" t="inlineStr">
        <is>
          <t>N</t>
        </is>
      </c>
      <c r="R117" s="12" t="n"/>
      <c r="S117" s="12" t="n"/>
      <c r="T117" s="14" t="inlineStr">
        <is>
          <t>Invoiced</t>
        </is>
      </c>
      <c r="U117" s="14" t="inlineStr">
        <is>
          <t>Video portion of this invoice</t>
        </is>
      </c>
      <c r="V117" s="1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row>
    <row r="118" ht="15" customHeight="1">
      <c r="A118" s="12" t="n">
        <v>46253</v>
      </c>
      <c r="B118" s="13">
        <f>IF(A118="","",EOMONTH(A118,0))</f>
        <v/>
      </c>
      <c r="C118" s="14" t="inlineStr">
        <is>
          <t>INV10567</t>
        </is>
      </c>
      <c r="D118" s="14" t="inlineStr">
        <is>
          <t>Symal - Melbourne</t>
        </is>
      </c>
      <c r="E118" s="14" t="inlineStr">
        <is>
          <t>2606904</t>
        </is>
      </c>
      <c r="F118" s="15">
        <f>IF(E118="","",IF(COUNTIF(lst_Jobs,E118&amp;"")&gt;0,"OK","CHECK"))</f>
        <v/>
      </c>
      <c r="G118" s="14" t="inlineStr">
        <is>
          <t>Symal FYR 2026</t>
        </is>
      </c>
      <c r="H118" s="14" t="inlineStr">
        <is>
          <t>Production</t>
        </is>
      </c>
      <c r="I118" s="14" t="inlineStr">
        <is>
          <t>PRODUCTION</t>
        </is>
      </c>
      <c r="J118" s="14" t="inlineStr">
        <is>
          <t>Project</t>
        </is>
      </c>
      <c r="K118" s="14" t="inlineStr">
        <is>
          <t>GST 10%</t>
        </is>
      </c>
      <c r="L118" s="16" t="n">
        <v>13260.5</v>
      </c>
      <c r="M118" s="17">
        <f>IF(L118="","",IF(K118="GST 10%",ROUND(L118*set_GSTRate,2),0))</f>
        <v/>
      </c>
      <c r="N118" s="17">
        <f>IF(L118="","",L118+M118)</f>
        <v/>
      </c>
      <c r="O118" s="14" t="inlineStr">
        <is>
          <t>42100</t>
        </is>
      </c>
      <c r="P118" s="14" t="inlineStr">
        <is>
          <t>Y</t>
        </is>
      </c>
      <c r="Q118" s="14" t="inlineStr">
        <is>
          <t>N</t>
        </is>
      </c>
      <c r="R118" s="12" t="n"/>
      <c r="S118" s="12" t="n"/>
      <c r="T118" s="14" t="inlineStr">
        <is>
          <t>Invoiced</t>
        </is>
      </c>
      <c r="U118" s="14" t="inlineStr">
        <is>
          <t>Production portion of this invoice</t>
        </is>
      </c>
      <c r="V118" s="1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row>
    <row r="119" ht="15" customHeight="1">
      <c r="A119" s="12" t="n">
        <v>46253</v>
      </c>
      <c r="B119" s="13">
        <f>IF(A119="","",EOMONTH(A119,0))</f>
        <v/>
      </c>
      <c r="C119" s="14" t="inlineStr">
        <is>
          <t>INV10567</t>
        </is>
      </c>
      <c r="D119" s="14" t="inlineStr">
        <is>
          <t>Symal - Melbourne</t>
        </is>
      </c>
      <c r="E119" s="14" t="inlineStr">
        <is>
          <t>2606904</t>
        </is>
      </c>
      <c r="F119" s="15">
        <f>IF(E119="","",IF(COUNTIF(lst_Jobs,E119&amp;"")&gt;0,"OK","CHECK"))</f>
        <v/>
      </c>
      <c r="G119" s="14" t="inlineStr">
        <is>
          <t>Symal FYR 2026</t>
        </is>
      </c>
      <c r="H119" s="14" t="inlineStr">
        <is>
          <t>Production</t>
        </is>
      </c>
      <c r="I119" s="14" t="inlineStr">
        <is>
          <t>VIDEO</t>
        </is>
      </c>
      <c r="J119" s="14" t="inlineStr">
        <is>
          <t>Project</t>
        </is>
      </c>
      <c r="K119" s="14" t="inlineStr">
        <is>
          <t>GST 10%</t>
        </is>
      </c>
      <c r="L119" s="16" t="n">
        <v>86.5</v>
      </c>
      <c r="M119" s="17">
        <f>IF(L119="","",IF(K119="GST 10%",ROUND(L119*set_GSTRate,2),0))</f>
        <v/>
      </c>
      <c r="N119" s="17">
        <f>IF(L119="","",L119+M119)</f>
        <v/>
      </c>
      <c r="O119" s="14" t="inlineStr">
        <is>
          <t>42150</t>
        </is>
      </c>
      <c r="P119" s="14" t="inlineStr">
        <is>
          <t>Y</t>
        </is>
      </c>
      <c r="Q119" s="14" t="inlineStr">
        <is>
          <t>N</t>
        </is>
      </c>
      <c r="R119" s="12" t="n"/>
      <c r="S119" s="12" t="n"/>
      <c r="T119" s="14" t="inlineStr">
        <is>
          <t>Invoiced</t>
        </is>
      </c>
      <c r="U119" s="14" t="inlineStr">
        <is>
          <t>Video portion of this invoice</t>
        </is>
      </c>
      <c r="V119" s="1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row>
    <row r="120" ht="15" customHeight="1">
      <c r="A120" s="12" t="n">
        <v>46261</v>
      </c>
      <c r="B120" s="13">
        <f>IF(A120="","",EOMONTH(A120,0))</f>
        <v/>
      </c>
      <c r="C120" s="14" t="inlineStr">
        <is>
          <t>INV-10595</t>
        </is>
      </c>
      <c r="D120" s="14" t="inlineStr">
        <is>
          <t>Garvan</t>
        </is>
      </c>
      <c r="E120" s="14" t="inlineStr">
        <is>
          <t>26061001</t>
        </is>
      </c>
      <c r="F120" s="15">
        <f>IF(E120="","",IF(COUNTIF(lst_Jobs,E120&amp;"")&gt;0,"OK","CHECK"))</f>
        <v/>
      </c>
      <c r="G120" s="14" t="inlineStr">
        <is>
          <t>Garvan August All Clear Event 25.8.26</t>
        </is>
      </c>
      <c r="H120" s="14" t="inlineStr">
        <is>
          <t>Production</t>
        </is>
      </c>
      <c r="I120" s="14" t="inlineStr">
        <is>
          <t>PRODUCTION</t>
        </is>
      </c>
      <c r="J120" s="14" t="inlineStr">
        <is>
          <t>Project</t>
        </is>
      </c>
      <c r="K120" s="14" t="inlineStr">
        <is>
          <t>GST 10%</t>
        </is>
      </c>
      <c r="L120" s="16" t="n">
        <v>770</v>
      </c>
      <c r="M120" s="17">
        <f>IF(L120="","",IF(K120="GST 10%",ROUND(L120*set_GSTRate,2),0))</f>
        <v/>
      </c>
      <c r="N120" s="17">
        <f>IF(L120="","",L120+M120)</f>
        <v/>
      </c>
      <c r="O120" s="14" t="inlineStr">
        <is>
          <t>42100</t>
        </is>
      </c>
      <c r="P120" s="14" t="inlineStr">
        <is>
          <t>Y</t>
        </is>
      </c>
      <c r="Q120" s="14" t="inlineStr">
        <is>
          <t>N</t>
        </is>
      </c>
      <c r="R120" s="12" t="n"/>
      <c r="S120" s="12" t="n"/>
      <c r="T120" s="14" t="inlineStr">
        <is>
          <t>Invoiced</t>
        </is>
      </c>
      <c r="U120" s="14" t="n"/>
      <c r="V120" s="1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row>
    <row r="121" ht="15" customHeight="1">
      <c r="A121" s="12" t="n">
        <v>46260</v>
      </c>
      <c r="B121" s="13">
        <f>IF(A121="","",EOMONTH(A121,0))</f>
        <v/>
      </c>
      <c r="C121" s="14" t="inlineStr">
        <is>
          <t>INV-10594</t>
        </is>
      </c>
      <c r="D121" s="14" t="inlineStr">
        <is>
          <t>Elkiem</t>
        </is>
      </c>
      <c r="E121" s="14" t="inlineStr">
        <is>
          <t>26073105</t>
        </is>
      </c>
      <c r="F121" s="15">
        <f>IF(E121="","",IF(COUNTIF(lst_Jobs,E121&amp;"")&gt;0,"OK","CHECK"))</f>
        <v/>
      </c>
      <c r="G121" s="14" t="inlineStr">
        <is>
          <t>Studio Support 25.8.26</t>
        </is>
      </c>
      <c r="H121" s="14" t="inlineStr">
        <is>
          <t>Production</t>
        </is>
      </c>
      <c r="I121" s="14" t="inlineStr">
        <is>
          <t>PRODUCTION</t>
        </is>
      </c>
      <c r="J121" s="14" t="inlineStr">
        <is>
          <t>Project</t>
        </is>
      </c>
      <c r="K121" s="14" t="inlineStr">
        <is>
          <t>GST 10%</t>
        </is>
      </c>
      <c r="L121" s="16" t="n">
        <v>380</v>
      </c>
      <c r="M121" s="17">
        <f>IF(L121="","",IF(K121="GST 10%",ROUND(L121*set_GSTRate,2),0))</f>
        <v/>
      </c>
      <c r="N121" s="17">
        <f>IF(L121="","",L121+M121)</f>
        <v/>
      </c>
      <c r="O121" s="14" t="inlineStr">
        <is>
          <t>42100</t>
        </is>
      </c>
      <c r="P121" s="14" t="inlineStr">
        <is>
          <t>Y</t>
        </is>
      </c>
      <c r="Q121" s="14" t="inlineStr">
        <is>
          <t>N</t>
        </is>
      </c>
      <c r="R121" s="12" t="n"/>
      <c r="S121" s="12" t="n"/>
      <c r="T121" s="14" t="inlineStr">
        <is>
          <t>Invoiced</t>
        </is>
      </c>
      <c r="U121" s="14" t="n"/>
      <c r="V121" s="1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row>
    <row r="122" ht="15" customHeight="1">
      <c r="A122" s="12" t="n">
        <v>46265</v>
      </c>
      <c r="B122" s="13">
        <f>IF(A122="","",EOMONTH(A122,0))</f>
        <v/>
      </c>
      <c r="C122" s="14" t="inlineStr">
        <is>
          <t>INV-10592</t>
        </is>
      </c>
      <c r="D122" s="14" t="inlineStr">
        <is>
          <t>APA</t>
        </is>
      </c>
      <c r="E122" s="14" t="inlineStr">
        <is>
          <t>2608702</t>
        </is>
      </c>
      <c r="F122" s="15">
        <f>IF(E122="","",IF(COUNTIF(lst_Jobs,E122&amp;"")&gt;0,"OK","CHECK"))</f>
        <v/>
      </c>
      <c r="G122" s="14" t="inlineStr">
        <is>
          <t>APA FYR Town Hall Screen Hire 20.8.26</t>
        </is>
      </c>
      <c r="H122" s="14" t="inlineStr">
        <is>
          <t>Production</t>
        </is>
      </c>
      <c r="I122" s="14" t="inlineStr">
        <is>
          <t>PRODUCTION</t>
        </is>
      </c>
      <c r="J122" s="14" t="inlineStr">
        <is>
          <t>Project</t>
        </is>
      </c>
      <c r="K122" s="14" t="inlineStr">
        <is>
          <t>GST 10%</t>
        </is>
      </c>
      <c r="L122" s="16" t="n">
        <v>830</v>
      </c>
      <c r="M122" s="17">
        <f>IF(L122="","",IF(K122="GST 10%",ROUND(L122*set_GSTRate,2),0))</f>
        <v/>
      </c>
      <c r="N122" s="17">
        <f>IF(L122="","",L122+M122)</f>
        <v/>
      </c>
      <c r="O122" s="14" t="inlineStr">
        <is>
          <t>42100</t>
        </is>
      </c>
      <c r="P122" s="14" t="inlineStr">
        <is>
          <t>Y</t>
        </is>
      </c>
      <c r="Q122" s="14" t="inlineStr">
        <is>
          <t>N</t>
        </is>
      </c>
      <c r="R122" s="12" t="n"/>
      <c r="S122" s="12" t="n"/>
      <c r="T122" s="14" t="inlineStr">
        <is>
          <t>Invoiced</t>
        </is>
      </c>
      <c r="U122" s="14" t="n"/>
      <c r="V122" s="1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row>
    <row r="123" ht="15" customHeight="1">
      <c r="A123" s="12" t="n">
        <v>46265</v>
      </c>
      <c r="B123" s="13">
        <f>IF(A123="","",EOMONTH(A123,0))</f>
        <v/>
      </c>
      <c r="C123" s="14" t="inlineStr">
        <is>
          <t>INV-10617</t>
        </is>
      </c>
      <c r="D123" s="14" t="inlineStr">
        <is>
          <t>Virgin - BNE</t>
        </is>
      </c>
      <c r="E123" s="14" t="inlineStr">
        <is>
          <t>2606903</t>
        </is>
      </c>
      <c r="F123" s="15">
        <f>IF(E123="","",IF(COUNTIF(lst_Jobs,E123&amp;"")&gt;0,"OK","CHECK"))</f>
        <v/>
      </c>
      <c r="G123" s="14" t="inlineStr">
        <is>
          <t>FY26 Results - 28.8.26</t>
        </is>
      </c>
      <c r="H123" s="14" t="inlineStr">
        <is>
          <t>Production</t>
        </is>
      </c>
      <c r="I123" s="14" t="inlineStr">
        <is>
          <t>PRODUCTION</t>
        </is>
      </c>
      <c r="J123" s="14" t="inlineStr">
        <is>
          <t>Project</t>
        </is>
      </c>
      <c r="K123" s="14" t="inlineStr">
        <is>
          <t>GST 10%</t>
        </is>
      </c>
      <c r="L123" s="16" t="n">
        <v>13389.5</v>
      </c>
      <c r="M123" s="17">
        <f>IF(L123="","",IF(K123="GST 10%",ROUND(L123*set_GSTRate,2),0))</f>
        <v/>
      </c>
      <c r="N123" s="17">
        <f>IF(L123="","",L123+M123)</f>
        <v/>
      </c>
      <c r="O123" s="14" t="inlineStr">
        <is>
          <t>42100</t>
        </is>
      </c>
      <c r="P123" s="14" t="inlineStr">
        <is>
          <t>Y</t>
        </is>
      </c>
      <c r="Q123" s="14" t="inlineStr">
        <is>
          <t>N</t>
        </is>
      </c>
      <c r="R123" s="12" t="n"/>
      <c r="S123" s="12" t="n"/>
      <c r="T123" s="14" t="inlineStr">
        <is>
          <t>Invoiced</t>
        </is>
      </c>
      <c r="U123" s="14" t="n"/>
      <c r="V123" s="1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row>
    <row r="124" ht="15" customHeight="1">
      <c r="A124" s="12" t="n">
        <v>46265</v>
      </c>
      <c r="B124" s="13">
        <f>IF(A124="","",EOMONTH(A124,0))</f>
        <v/>
      </c>
      <c r="C124" s="14" t="inlineStr">
        <is>
          <t>INV-10616</t>
        </is>
      </c>
      <c r="D124" s="14" t="inlineStr">
        <is>
          <t>CBA</t>
        </is>
      </c>
      <c r="E124" s="14" t="inlineStr">
        <is>
          <t>26072003</t>
        </is>
      </c>
      <c r="F124" s="15">
        <f>IF(E124="","",IF(COUNTIF(lst_Jobs,E124&amp;"")&gt;0,"OK","CHECK"))</f>
        <v/>
      </c>
      <c r="G124" s="14" t="inlineStr">
        <is>
          <t>CBA - Live Event Support - August</t>
        </is>
      </c>
      <c r="H124" s="14" t="inlineStr">
        <is>
          <t>Production</t>
        </is>
      </c>
      <c r="I124" s="14" t="inlineStr">
        <is>
          <t>PRODUCTION</t>
        </is>
      </c>
      <c r="J124" s="14" t="inlineStr">
        <is>
          <t>Project</t>
        </is>
      </c>
      <c r="K124" s="14" t="inlineStr">
        <is>
          <t>GST 10%</t>
        </is>
      </c>
      <c r="L124" s="16" t="n">
        <v>3990</v>
      </c>
      <c r="M124" s="17">
        <f>IF(L124="","",IF(K124="GST 10%",ROUND(L124*set_GSTRate,2),0))</f>
        <v/>
      </c>
      <c r="N124" s="17">
        <f>IF(L124="","",L124+M124)</f>
        <v/>
      </c>
      <c r="O124" s="14" t="inlineStr">
        <is>
          <t>42100</t>
        </is>
      </c>
      <c r="P124" s="14" t="inlineStr">
        <is>
          <t>Y</t>
        </is>
      </c>
      <c r="Q124" s="14" t="inlineStr">
        <is>
          <t>N</t>
        </is>
      </c>
      <c r="R124" s="12" t="n"/>
      <c r="S124" s="12" t="n"/>
      <c r="T124" s="14" t="inlineStr">
        <is>
          <t>Invoiced</t>
        </is>
      </c>
      <c r="U124" s="14" t="n"/>
      <c r="V124" s="1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row>
    <row r="125" ht="15" customHeight="1">
      <c r="A125" s="12" t="n">
        <v>46218</v>
      </c>
      <c r="B125" s="13">
        <f>IF(A125="","",EOMONTH(A125,0))</f>
        <v/>
      </c>
      <c r="C125" s="14" t="inlineStr">
        <is>
          <t>INV-10521</t>
        </is>
      </c>
      <c r="D125" s="14" t="inlineStr">
        <is>
          <t>APA</t>
        </is>
      </c>
      <c r="E125" s="14" t="inlineStr">
        <is>
          <t>26061609/26061608/26061607/26061108</t>
        </is>
      </c>
      <c r="F125" s="15">
        <f>IF(E125="","",IF(COUNTIF(lst_Jobs,E125&amp;"")&gt;0,"OK","CHECK"))</f>
        <v/>
      </c>
      <c r="G125" s="14" t="inlineStr">
        <is>
          <t>APA - All Hands Package FY27 (PO-00030766)</t>
        </is>
      </c>
      <c r="H125" s="14" t="inlineStr">
        <is>
          <t>Production</t>
        </is>
      </c>
      <c r="I125" s="14" t="inlineStr">
        <is>
          <t>PRODUCTION</t>
        </is>
      </c>
      <c r="J125" s="14" t="inlineStr">
        <is>
          <t>Project</t>
        </is>
      </c>
      <c r="K125" s="14" t="inlineStr">
        <is>
          <t>GST 10%</t>
        </is>
      </c>
      <c r="L125" s="16" t="n">
        <v>49743.4</v>
      </c>
      <c r="M125" s="17">
        <f>IF(L125="","",IF(K125="GST 10%",ROUND(L125*set_GSTRate,2),0))</f>
        <v/>
      </c>
      <c r="N125" s="17">
        <f>IF(L125="","",L125+M125)</f>
        <v/>
      </c>
      <c r="O125" s="14" t="inlineStr">
        <is>
          <t>42100</t>
        </is>
      </c>
      <c r="P125" s="14" t="inlineStr">
        <is>
          <t>Y</t>
        </is>
      </c>
      <c r="Q125" s="14" t="inlineStr">
        <is>
          <t>N</t>
        </is>
      </c>
      <c r="R125" s="12" t="n"/>
      <c r="S125" s="12" t="n"/>
      <c r="T125" s="14" t="inlineStr">
        <is>
          <t>Invoiced</t>
        </is>
      </c>
      <c r="U125" s="14" t="inlineStr">
        <is>
          <t>Production portion of this invoice</t>
        </is>
      </c>
      <c r="V125" s="1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row>
    <row r="126" ht="15" customHeight="1">
      <c r="A126" s="12" t="n">
        <v>46218</v>
      </c>
      <c r="B126" s="13">
        <f>IF(A126="","",EOMONTH(A126,0))</f>
        <v/>
      </c>
      <c r="C126" s="14" t="inlineStr">
        <is>
          <t>INV-10521</t>
        </is>
      </c>
      <c r="D126" s="14" t="inlineStr">
        <is>
          <t>APA</t>
        </is>
      </c>
      <c r="E126" s="14" t="inlineStr">
        <is>
          <t>26061609/26061608/26061607/26061108</t>
        </is>
      </c>
      <c r="F126" s="15">
        <f>IF(E126="","",IF(COUNTIF(lst_Jobs,E126&amp;"")&gt;0,"OK","CHECK"))</f>
        <v/>
      </c>
      <c r="G126" s="14" t="inlineStr">
        <is>
          <t>APA - All Hands Package FY27 (PO-00030766)</t>
        </is>
      </c>
      <c r="H126" s="14" t="inlineStr">
        <is>
          <t>Production</t>
        </is>
      </c>
      <c r="I126" s="14" t="inlineStr">
        <is>
          <t>VIDEO</t>
        </is>
      </c>
      <c r="J126" s="14" t="inlineStr">
        <is>
          <t>Project</t>
        </is>
      </c>
      <c r="K126" s="14" t="inlineStr">
        <is>
          <t>GST 10%</t>
        </is>
      </c>
      <c r="L126" s="16" t="n">
        <v>4308</v>
      </c>
      <c r="M126" s="17">
        <f>IF(L126="","",IF(K126="GST 10%",ROUND(L126*set_GSTRate,2),0))</f>
        <v/>
      </c>
      <c r="N126" s="17">
        <f>IF(L126="","",L126+M126)</f>
        <v/>
      </c>
      <c r="O126" s="14" t="inlineStr">
        <is>
          <t>42150</t>
        </is>
      </c>
      <c r="P126" s="14" t="inlineStr">
        <is>
          <t>Y</t>
        </is>
      </c>
      <c r="Q126" s="14" t="inlineStr">
        <is>
          <t>N</t>
        </is>
      </c>
      <c r="R126" s="12" t="n"/>
      <c r="S126" s="12" t="n"/>
      <c r="T126" s="14" t="inlineStr">
        <is>
          <t>Invoiced</t>
        </is>
      </c>
      <c r="U126" s="14" t="inlineStr">
        <is>
          <t>Video portion of this invoice</t>
        </is>
      </c>
      <c r="V126" s="1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row>
    <row r="127" ht="15" customHeight="1">
      <c r="A127" s="12" t="n">
        <v>46216</v>
      </c>
      <c r="B127" s="13">
        <f>IF(A127="","",EOMONTH(A127,0))</f>
        <v/>
      </c>
      <c r="C127" s="14" t="inlineStr">
        <is>
          <t>INV-10523</t>
        </is>
      </c>
      <c r="D127" s="14" t="inlineStr">
        <is>
          <t>Jaaz Salanoa</t>
        </is>
      </c>
      <c r="E127" s="14" t="inlineStr">
        <is>
          <t>9100</t>
        </is>
      </c>
      <c r="F127" s="15">
        <f>IF(E127="","",IF(COUNTIF(lst_Jobs,E127&amp;"")&gt;0,"OK","CHECK"))</f>
        <v/>
      </c>
      <c r="G127" s="14" t="inlineStr">
        <is>
          <t>Jaaz - Goget Hire</t>
        </is>
      </c>
      <c r="H127" s="14" t="inlineStr">
        <is>
          <t>Production</t>
        </is>
      </c>
      <c r="I127" s="14" t="inlineStr">
        <is>
          <t>CTS</t>
        </is>
      </c>
      <c r="J127" s="14" t="inlineStr">
        <is>
          <t>Project</t>
        </is>
      </c>
      <c r="K127" s="14" t="inlineStr">
        <is>
          <t>GST 10%</t>
        </is>
      </c>
      <c r="L127" s="16" t="n"/>
      <c r="M127" s="17">
        <f>IF(L127="","",IF(K127="GST 10%",ROUND(L127*set_GSTRate,2),0))</f>
        <v/>
      </c>
      <c r="N127" s="17">
        <f>IF(L127="","",L127+M127)</f>
        <v/>
      </c>
      <c r="O127" s="14" t="inlineStr">
        <is>
          <t>42100</t>
        </is>
      </c>
      <c r="P127" s="14" t="inlineStr">
        <is>
          <t>Y</t>
        </is>
      </c>
      <c r="Q127" s="14" t="inlineStr">
        <is>
          <t>N</t>
        </is>
      </c>
      <c r="R127" s="12" t="n"/>
      <c r="S127" s="12" t="n"/>
      <c r="T127" s="14" t="inlineStr">
        <is>
          <t>Invoiced</t>
        </is>
      </c>
      <c r="U127" s="14" t="n"/>
      <c r="V127" s="1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row>
    <row r="128" ht="15" customHeight="1">
      <c r="A128" s="12" t="n">
        <v>46265</v>
      </c>
      <c r="B128" s="13">
        <f>IF(A128="","",EOMONTH(A128,0))</f>
        <v/>
      </c>
      <c r="C128" s="14" t="inlineStr">
        <is>
          <t>INV-10621</t>
        </is>
      </c>
      <c r="D128" s="14" t="inlineStr">
        <is>
          <t>Jaaz Salanoa</t>
        </is>
      </c>
      <c r="E128" s="14" t="inlineStr">
        <is>
          <t>9100</t>
        </is>
      </c>
      <c r="F128" s="15">
        <f>IF(E128="","",IF(COUNTIF(lst_Jobs,E128&amp;"")&gt;0,"OK","CHECK"))</f>
        <v/>
      </c>
      <c r="G128" s="14" t="inlineStr">
        <is>
          <t>Jaaz - Goget Hire</t>
        </is>
      </c>
      <c r="H128" s="14" t="inlineStr">
        <is>
          <t>Production</t>
        </is>
      </c>
      <c r="I128" s="14" t="inlineStr">
        <is>
          <t>CTS</t>
        </is>
      </c>
      <c r="J128" s="14" t="inlineStr">
        <is>
          <t>Project</t>
        </is>
      </c>
      <c r="K128" s="14" t="inlineStr">
        <is>
          <t>GST 10%</t>
        </is>
      </c>
      <c r="L128" s="16" t="n"/>
      <c r="M128" s="17">
        <f>IF(L128="","",IF(K128="GST 10%",ROUND(L128*set_GSTRate,2),0))</f>
        <v/>
      </c>
      <c r="N128" s="17">
        <f>IF(L128="","",L128+M128)</f>
        <v/>
      </c>
      <c r="O128" s="14" t="inlineStr">
        <is>
          <t>42100</t>
        </is>
      </c>
      <c r="P128" s="14" t="inlineStr">
        <is>
          <t>Y</t>
        </is>
      </c>
      <c r="Q128" s="14" t="inlineStr">
        <is>
          <t>N</t>
        </is>
      </c>
      <c r="R128" s="12" t="n"/>
      <c r="S128" s="12" t="n"/>
      <c r="T128" s="14" t="inlineStr">
        <is>
          <t>Invoiced</t>
        </is>
      </c>
      <c r="U128" s="14" t="n"/>
      <c r="V128" s="1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row>
    <row r="129" ht="15" customHeight="1">
      <c r="A129" s="12" t="n"/>
      <c r="B129" s="13">
        <f>IF(A129="","",EOMONTH(A129,0))</f>
        <v/>
      </c>
      <c r="C129" s="14" t="n"/>
      <c r="D129" s="14" t="inlineStr">
        <is>
          <t>ASX</t>
        </is>
      </c>
      <c r="E129" s="14" t="inlineStr">
        <is>
          <t>26061602</t>
        </is>
      </c>
      <c r="F129" s="15">
        <f>IF(E129="","",IF(COUNTIF(lst_Jobs,E129&amp;"")&gt;0,"OK","CHECK"))</f>
        <v/>
      </c>
      <c r="G129" s="14" t="inlineStr">
        <is>
          <t>CEO Connect (Extended Results)</t>
        </is>
      </c>
      <c r="H129" s="14" t="inlineStr">
        <is>
          <t>Production</t>
        </is>
      </c>
      <c r="I129" s="14" t="inlineStr">
        <is>
          <t>PRODUCTION</t>
        </is>
      </c>
      <c r="J129" s="14" t="inlineStr">
        <is>
          <t>Project</t>
        </is>
      </c>
      <c r="K129" s="14" t="inlineStr">
        <is>
          <t>GST 10%</t>
        </is>
      </c>
      <c r="L129" s="16" t="n">
        <v>2674</v>
      </c>
      <c r="M129" s="17">
        <f>IF(L129="","",IF(K129="GST 10%",ROUND(L129*set_GSTRate,2),0))</f>
        <v/>
      </c>
      <c r="N129" s="17">
        <f>IF(L129="","",L129+M129)</f>
        <v/>
      </c>
      <c r="O129" s="14" t="inlineStr">
        <is>
          <t>42100</t>
        </is>
      </c>
      <c r="P129" s="14" t="inlineStr">
        <is>
          <t>Y</t>
        </is>
      </c>
      <c r="Q129" s="14" t="inlineStr">
        <is>
          <t>N</t>
        </is>
      </c>
      <c r="R129" s="12" t="n"/>
      <c r="S129" s="12" t="n"/>
      <c r="T129" s="14" t="inlineStr">
        <is>
          <t>To Invoice</t>
        </is>
      </c>
      <c r="U129" s="14" t="inlineStr">
        <is>
          <t>Production portion of this invoice</t>
        </is>
      </c>
      <c r="V129" s="1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row>
    <row r="130" ht="15" customHeight="1">
      <c r="A130" s="12" t="n"/>
      <c r="B130" s="13">
        <f>IF(A130="","",EOMONTH(A130,0))</f>
        <v/>
      </c>
      <c r="C130" s="14" t="n"/>
      <c r="D130" s="14" t="inlineStr">
        <is>
          <t>ASX</t>
        </is>
      </c>
      <c r="E130" s="14" t="inlineStr">
        <is>
          <t>26061602</t>
        </is>
      </c>
      <c r="F130" s="15">
        <f>IF(E130="","",IF(COUNTIF(lst_Jobs,E130&amp;"")&gt;0,"OK","CHECK"))</f>
        <v/>
      </c>
      <c r="G130" s="14" t="inlineStr">
        <is>
          <t>CEO Connect (Extended Results)</t>
        </is>
      </c>
      <c r="H130" s="14" t="inlineStr">
        <is>
          <t>Production</t>
        </is>
      </c>
      <c r="I130" s="14" t="inlineStr">
        <is>
          <t>VIDEO</t>
        </is>
      </c>
      <c r="J130" s="14" t="inlineStr">
        <is>
          <t>Project</t>
        </is>
      </c>
      <c r="K130" s="14" t="inlineStr">
        <is>
          <t>GST 10%</t>
        </is>
      </c>
      <c r="L130" s="16" t="n">
        <v>1500</v>
      </c>
      <c r="M130" s="17">
        <f>IF(L130="","",IF(K130="GST 10%",ROUND(L130*set_GSTRate,2),0))</f>
        <v/>
      </c>
      <c r="N130" s="17">
        <f>IF(L130="","",L130+M130)</f>
        <v/>
      </c>
      <c r="O130" s="14" t="inlineStr">
        <is>
          <t>42150</t>
        </is>
      </c>
      <c r="P130" s="14" t="inlineStr">
        <is>
          <t>Y</t>
        </is>
      </c>
      <c r="Q130" s="14" t="inlineStr">
        <is>
          <t>N</t>
        </is>
      </c>
      <c r="R130" s="12" t="n"/>
      <c r="S130" s="12" t="n"/>
      <c r="T130" s="14" t="inlineStr">
        <is>
          <t>To Invoice</t>
        </is>
      </c>
      <c r="U130" s="14" t="inlineStr">
        <is>
          <t>Video portion of this invoice</t>
        </is>
      </c>
      <c r="V130" s="1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row>
    <row r="131" ht="15" customHeight="1">
      <c r="A131" s="12" t="n"/>
      <c r="B131" s="13">
        <f>IF(A131="","",EOMONTH(A131,0))</f>
        <v/>
      </c>
      <c r="C131" s="14" t="n"/>
      <c r="D131" s="14" t="inlineStr">
        <is>
          <t>ASX</t>
        </is>
      </c>
      <c r="E131" s="14" t="inlineStr">
        <is>
          <t>26071701</t>
        </is>
      </c>
      <c r="F131" s="15">
        <f>IF(E131="","",IF(COUNTIF(lst_Jobs,E131&amp;"")&gt;0,"OK","CHECK"))</f>
        <v/>
      </c>
      <c r="G131" s="14" t="inlineStr">
        <is>
          <t>ASX Live 1.9.26</t>
        </is>
      </c>
      <c r="H131" s="14" t="inlineStr">
        <is>
          <t>Production</t>
        </is>
      </c>
      <c r="I131" s="14" t="inlineStr">
        <is>
          <t>PRODUCTION</t>
        </is>
      </c>
      <c r="J131" s="14" t="inlineStr">
        <is>
          <t>Project</t>
        </is>
      </c>
      <c r="K131" s="14" t="inlineStr">
        <is>
          <t>GST 10%</t>
        </is>
      </c>
      <c r="L131" s="16" t="n">
        <v>6260</v>
      </c>
      <c r="M131" s="17">
        <f>IF(L131="","",IF(K131="GST 10%",ROUND(L131*set_GSTRate,2),0))</f>
        <v/>
      </c>
      <c r="N131" s="17">
        <f>IF(L131="","",L131+M131)</f>
        <v/>
      </c>
      <c r="O131" s="14" t="inlineStr">
        <is>
          <t>42100</t>
        </is>
      </c>
      <c r="P131" s="14" t="inlineStr">
        <is>
          <t>Y</t>
        </is>
      </c>
      <c r="Q131" s="14" t="inlineStr">
        <is>
          <t>N</t>
        </is>
      </c>
      <c r="R131" s="12" t="n"/>
      <c r="S131" s="12" t="n"/>
      <c r="T131" s="14" t="inlineStr">
        <is>
          <t>To Invoice</t>
        </is>
      </c>
      <c r="U131" s="14" t="inlineStr">
        <is>
          <t>Production portion of this invoice</t>
        </is>
      </c>
      <c r="V131" s="1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row>
    <row r="132" ht="15" customHeight="1">
      <c r="A132" s="12" t="n"/>
      <c r="B132" s="13">
        <f>IF(A132="","",EOMONTH(A132,0))</f>
        <v/>
      </c>
      <c r="C132" s="14" t="n"/>
      <c r="D132" s="14" t="inlineStr">
        <is>
          <t>ASX</t>
        </is>
      </c>
      <c r="E132" s="14" t="inlineStr">
        <is>
          <t>26071701</t>
        </is>
      </c>
      <c r="F132" s="15">
        <f>IF(E132="","",IF(COUNTIF(lst_Jobs,E132&amp;"")&gt;0,"OK","CHECK"))</f>
        <v/>
      </c>
      <c r="G132" s="14" t="inlineStr">
        <is>
          <t>ASX Live 1.9.26</t>
        </is>
      </c>
      <c r="H132" s="14" t="inlineStr">
        <is>
          <t>Production</t>
        </is>
      </c>
      <c r="I132" s="14" t="inlineStr">
        <is>
          <t>VIDEO</t>
        </is>
      </c>
      <c r="J132" s="14" t="inlineStr">
        <is>
          <t>Project</t>
        </is>
      </c>
      <c r="K132" s="14" t="inlineStr">
        <is>
          <t>GST 10%</t>
        </is>
      </c>
      <c r="L132" s="16" t="n">
        <v>1508</v>
      </c>
      <c r="M132" s="17">
        <f>IF(L132="","",IF(K132="GST 10%",ROUND(L132*set_GSTRate,2),0))</f>
        <v/>
      </c>
      <c r="N132" s="17">
        <f>IF(L132="","",L132+M132)</f>
        <v/>
      </c>
      <c r="O132" s="14" t="inlineStr">
        <is>
          <t>42150</t>
        </is>
      </c>
      <c r="P132" s="14" t="inlineStr">
        <is>
          <t>Y</t>
        </is>
      </c>
      <c r="Q132" s="14" t="inlineStr">
        <is>
          <t>N</t>
        </is>
      </c>
      <c r="R132" s="12" t="n"/>
      <c r="S132" s="12" t="n"/>
      <c r="T132" s="14" t="inlineStr">
        <is>
          <t>To Invoice</t>
        </is>
      </c>
      <c r="U132" s="14" t="inlineStr">
        <is>
          <t>Video portion of this invoice</t>
        </is>
      </c>
      <c r="V132" s="1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row>
    <row r="133" ht="15" customHeight="1">
      <c r="A133" s="12" t="n"/>
      <c r="B133" s="13">
        <f>IF(A133="","",EOMONTH(A133,0))</f>
        <v/>
      </c>
      <c r="C133" s="14" t="n"/>
      <c r="D133" s="14" t="inlineStr">
        <is>
          <t>SVHS</t>
        </is>
      </c>
      <c r="E133" s="14" t="inlineStr">
        <is>
          <t>2608404</t>
        </is>
      </c>
      <c r="F133" s="15">
        <f>IF(E133="","",IF(COUNTIF(lst_Jobs,E133&amp;"")&gt;0,"OK","CHECK"))</f>
        <v/>
      </c>
      <c r="G133" s="14" t="inlineStr">
        <is>
          <t>St Vincent's Hospital - Award Ceremony 2.9.26</t>
        </is>
      </c>
      <c r="H133" s="14" t="inlineStr">
        <is>
          <t>Production</t>
        </is>
      </c>
      <c r="I133" s="14" t="inlineStr">
        <is>
          <t>PRODUCTION</t>
        </is>
      </c>
      <c r="J133" s="14" t="inlineStr">
        <is>
          <t>Project</t>
        </is>
      </c>
      <c r="K133" s="14" t="inlineStr">
        <is>
          <t>GST 10%</t>
        </is>
      </c>
      <c r="L133" s="16" t="n">
        <v>495</v>
      </c>
      <c r="M133" s="17">
        <f>IF(L133="","",IF(K133="GST 10%",ROUND(L133*set_GSTRate,2),0))</f>
        <v/>
      </c>
      <c r="N133" s="17">
        <f>IF(L133="","",L133+M133)</f>
        <v/>
      </c>
      <c r="O133" s="14" t="inlineStr">
        <is>
          <t>42100</t>
        </is>
      </c>
      <c r="P133" s="14" t="inlineStr">
        <is>
          <t>Y</t>
        </is>
      </c>
      <c r="Q133" s="14" t="inlineStr">
        <is>
          <t>N</t>
        </is>
      </c>
      <c r="R133" s="12" t="n"/>
      <c r="S133" s="12" t="n"/>
      <c r="T133" s="14" t="inlineStr">
        <is>
          <t>To Invoice</t>
        </is>
      </c>
      <c r="U133" s="14" t="n"/>
      <c r="V133" s="1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row>
    <row r="134" ht="15" customHeight="1">
      <c r="A134" s="12" t="n"/>
      <c r="B134" s="13">
        <f>IF(A134="","",EOMONTH(A134,0))</f>
        <v/>
      </c>
      <c r="C134" s="14" t="n"/>
      <c r="D134" s="14" t="inlineStr">
        <is>
          <t>Garvan</t>
        </is>
      </c>
      <c r="E134" s="14" t="inlineStr">
        <is>
          <t>26081904</t>
        </is>
      </c>
      <c r="F134" s="15">
        <f>IF(E134="","",IF(COUNTIF(lst_Jobs,E134&amp;"")&gt;0,"OK","CHECK"))</f>
        <v/>
      </c>
      <c r="G134" s="14" t="inlineStr">
        <is>
          <t>AllClear Program Meeting - 2.9.26</t>
        </is>
      </c>
      <c r="H134" s="14" t="inlineStr">
        <is>
          <t>Production</t>
        </is>
      </c>
      <c r="I134" s="14" t="inlineStr">
        <is>
          <t>PRODUCTION</t>
        </is>
      </c>
      <c r="J134" s="14" t="inlineStr">
        <is>
          <t>Project</t>
        </is>
      </c>
      <c r="K134" s="14" t="inlineStr">
        <is>
          <t>GST 10%</t>
        </is>
      </c>
      <c r="L134" s="16" t="n">
        <v>865</v>
      </c>
      <c r="M134" s="17">
        <f>IF(L134="","",IF(K134="GST 10%",ROUND(L134*set_GSTRate,2),0))</f>
        <v/>
      </c>
      <c r="N134" s="17">
        <f>IF(L134="","",L134+M134)</f>
        <v/>
      </c>
      <c r="O134" s="14" t="inlineStr">
        <is>
          <t>42100</t>
        </is>
      </c>
      <c r="P134" s="14" t="inlineStr">
        <is>
          <t>Y</t>
        </is>
      </c>
      <c r="Q134" s="14" t="inlineStr">
        <is>
          <t>N</t>
        </is>
      </c>
      <c r="R134" s="12" t="n"/>
      <c r="S134" s="12" t="n"/>
      <c r="T134" s="14" t="inlineStr">
        <is>
          <t>To Invoice</t>
        </is>
      </c>
      <c r="U134" s="14" t="n"/>
      <c r="V134" s="1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row>
    <row r="135" ht="15" customHeight="1">
      <c r="A135" s="12" t="n"/>
      <c r="B135" s="13">
        <f>IF(A135="","",EOMONTH(A135,0))</f>
        <v/>
      </c>
      <c r="C135" s="14" t="n"/>
      <c r="D135" s="14" t="inlineStr">
        <is>
          <t>RSNSW</t>
        </is>
      </c>
      <c r="E135" s="14" t="inlineStr">
        <is>
          <t>26032302</t>
        </is>
      </c>
      <c r="F135" s="15">
        <f>IF(E135="","",IF(COUNTIF(lst_Jobs,E135&amp;"")&gt;0,"OK","CHECK"))</f>
        <v/>
      </c>
      <c r="G135" s="14" t="inlineStr">
        <is>
          <t>Ordinary General Meeting 2.9.26</t>
        </is>
      </c>
      <c r="H135" s="14" t="inlineStr">
        <is>
          <t>Production</t>
        </is>
      </c>
      <c r="I135" s="14" t="inlineStr">
        <is>
          <t>PRODUCTION</t>
        </is>
      </c>
      <c r="J135" s="14" t="inlineStr">
        <is>
          <t>Project</t>
        </is>
      </c>
      <c r="K135" s="14" t="inlineStr">
        <is>
          <t>GST 10%</t>
        </is>
      </c>
      <c r="L135" s="16" t="n">
        <v>2232</v>
      </c>
      <c r="M135" s="17">
        <f>IF(L135="","",IF(K135="GST 10%",ROUND(L135*set_GSTRate,2),0))</f>
        <v/>
      </c>
      <c r="N135" s="17">
        <f>IF(L135="","",L135+M135)</f>
        <v/>
      </c>
      <c r="O135" s="14" t="inlineStr">
        <is>
          <t>42100</t>
        </is>
      </c>
      <c r="P135" s="14" t="inlineStr">
        <is>
          <t>Y</t>
        </is>
      </c>
      <c r="Q135" s="14" t="inlineStr">
        <is>
          <t>N</t>
        </is>
      </c>
      <c r="R135" s="12" t="n"/>
      <c r="S135" s="12" t="n"/>
      <c r="T135" s="14" t="inlineStr">
        <is>
          <t>To Invoice</t>
        </is>
      </c>
      <c r="U135" s="14" t="inlineStr">
        <is>
          <t>Production portion of this invoice</t>
        </is>
      </c>
      <c r="V135" s="1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row>
    <row r="136" ht="15" customHeight="1">
      <c r="A136" s="12" t="n"/>
      <c r="B136" s="13">
        <f>IF(A136="","",EOMONTH(A136,0))</f>
        <v/>
      </c>
      <c r="C136" s="14" t="n"/>
      <c r="D136" s="14" t="inlineStr">
        <is>
          <t>RSNSW</t>
        </is>
      </c>
      <c r="E136" s="14" t="inlineStr">
        <is>
          <t>26032302</t>
        </is>
      </c>
      <c r="F136" s="15">
        <f>IF(E136="","",IF(COUNTIF(lst_Jobs,E136&amp;"")&gt;0,"OK","CHECK"))</f>
        <v/>
      </c>
      <c r="G136" s="14" t="inlineStr">
        <is>
          <t>Ordinary General Meeting 2.9.26</t>
        </is>
      </c>
      <c r="H136" s="14" t="inlineStr">
        <is>
          <t>Production</t>
        </is>
      </c>
      <c r="I136" s="14" t="inlineStr">
        <is>
          <t>VIDEO</t>
        </is>
      </c>
      <c r="J136" s="14" t="inlineStr">
        <is>
          <t>Project</t>
        </is>
      </c>
      <c r="K136" s="14" t="inlineStr">
        <is>
          <t>GST 10%</t>
        </is>
      </c>
      <c r="L136" s="16" t="n">
        <v>1029</v>
      </c>
      <c r="M136" s="17">
        <f>IF(L136="","",IF(K136="GST 10%",ROUND(L136*set_GSTRate,2),0))</f>
        <v/>
      </c>
      <c r="N136" s="17">
        <f>IF(L136="","",L136+M136)</f>
        <v/>
      </c>
      <c r="O136" s="14" t="inlineStr">
        <is>
          <t>42150</t>
        </is>
      </c>
      <c r="P136" s="14" t="inlineStr">
        <is>
          <t>Y</t>
        </is>
      </c>
      <c r="Q136" s="14" t="inlineStr">
        <is>
          <t>N</t>
        </is>
      </c>
      <c r="R136" s="12" t="n"/>
      <c r="S136" s="12" t="n"/>
      <c r="T136" s="14" t="inlineStr">
        <is>
          <t>To Invoice</t>
        </is>
      </c>
      <c r="U136" s="14" t="inlineStr">
        <is>
          <t>Video portion of this invoice</t>
        </is>
      </c>
      <c r="V136" s="1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row>
    <row r="137" ht="15" customHeight="1">
      <c r="A137" s="12" t="n"/>
      <c r="B137" s="13">
        <f>IF(A137="","",EOMONTH(A137,0))</f>
        <v/>
      </c>
      <c r="C137" s="14" t="n"/>
      <c r="D137" s="14" t="inlineStr">
        <is>
          <t>Ventia</t>
        </is>
      </c>
      <c r="E137" s="14" t="inlineStr">
        <is>
          <t>26072102</t>
        </is>
      </c>
      <c r="F137" s="15">
        <f>IF(E137="","",IF(COUNTIF(lst_Jobs,E137&amp;"")&gt;0,"OK","CHECK"))</f>
        <v/>
      </c>
      <c r="G137" s="14" t="inlineStr">
        <is>
          <t>RUOK? Day 10.9.26</t>
        </is>
      </c>
      <c r="H137" s="14" t="inlineStr">
        <is>
          <t>Production</t>
        </is>
      </c>
      <c r="I137" s="14" t="inlineStr">
        <is>
          <t>PRODUCTION</t>
        </is>
      </c>
      <c r="J137" s="14" t="inlineStr">
        <is>
          <t>Project</t>
        </is>
      </c>
      <c r="K137" s="14" t="inlineStr">
        <is>
          <t>GST 10%</t>
        </is>
      </c>
      <c r="L137" s="16" t="n">
        <v>8437.790000000001</v>
      </c>
      <c r="M137" s="17">
        <f>IF(L137="","",IF(K137="GST 10%",ROUND(L137*set_GSTRate,2),0))</f>
        <v/>
      </c>
      <c r="N137" s="17">
        <f>IF(L137="","",L137+M137)</f>
        <v/>
      </c>
      <c r="O137" s="14" t="inlineStr">
        <is>
          <t>42100</t>
        </is>
      </c>
      <c r="P137" s="14" t="inlineStr">
        <is>
          <t>Y</t>
        </is>
      </c>
      <c r="Q137" s="14" t="inlineStr">
        <is>
          <t>N</t>
        </is>
      </c>
      <c r="R137" s="12" t="n"/>
      <c r="S137" s="12" t="n"/>
      <c r="T137" s="14" t="inlineStr">
        <is>
          <t>To Invoice</t>
        </is>
      </c>
      <c r="U137" s="14" t="inlineStr">
        <is>
          <t>Production portion of this invoice</t>
        </is>
      </c>
      <c r="V137" s="1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row>
    <row r="138" ht="15" customHeight="1">
      <c r="A138" s="12" t="n"/>
      <c r="B138" s="13">
        <f>IF(A138="","",EOMONTH(A138,0))</f>
        <v/>
      </c>
      <c r="C138" s="14" t="n"/>
      <c r="D138" s="14" t="inlineStr">
        <is>
          <t>Ventia</t>
        </is>
      </c>
      <c r="E138" s="14" t="inlineStr">
        <is>
          <t>26072102</t>
        </is>
      </c>
      <c r="F138" s="15">
        <f>IF(E138="","",IF(COUNTIF(lst_Jobs,E138&amp;"")&gt;0,"OK","CHECK"))</f>
        <v/>
      </c>
      <c r="G138" s="14" t="inlineStr">
        <is>
          <t>RUOK? Day 10.9.26</t>
        </is>
      </c>
      <c r="H138" s="14" t="inlineStr">
        <is>
          <t>Production</t>
        </is>
      </c>
      <c r="I138" s="14" t="inlineStr">
        <is>
          <t>VIDEO</t>
        </is>
      </c>
      <c r="J138" s="14" t="inlineStr">
        <is>
          <t>Project</t>
        </is>
      </c>
      <c r="K138" s="14" t="inlineStr">
        <is>
          <t>GST 10%</t>
        </is>
      </c>
      <c r="L138" s="16" t="n">
        <v>1578.1</v>
      </c>
      <c r="M138" s="17">
        <f>IF(L138="","",IF(K138="GST 10%",ROUND(L138*set_GSTRate,2),0))</f>
        <v/>
      </c>
      <c r="N138" s="17">
        <f>IF(L138="","",L138+M138)</f>
        <v/>
      </c>
      <c r="O138" s="14" t="inlineStr">
        <is>
          <t>42150</t>
        </is>
      </c>
      <c r="P138" s="14" t="inlineStr">
        <is>
          <t>Y</t>
        </is>
      </c>
      <c r="Q138" s="14" t="inlineStr">
        <is>
          <t>N</t>
        </is>
      </c>
      <c r="R138" s="12" t="n"/>
      <c r="S138" s="12" t="n"/>
      <c r="T138" s="14" t="inlineStr">
        <is>
          <t>To Invoice</t>
        </is>
      </c>
      <c r="U138" s="14" t="inlineStr">
        <is>
          <t>Video portion of this invoice</t>
        </is>
      </c>
      <c r="V138" s="1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row>
    <row r="139" ht="15" customHeight="1">
      <c r="A139" s="12" t="n"/>
      <c r="B139" s="13">
        <f>IF(A139="","",EOMONTH(A139,0))</f>
        <v/>
      </c>
      <c r="C139" s="14" t="n"/>
      <c r="D139" s="14" t="inlineStr">
        <is>
          <t>APA</t>
        </is>
      </c>
      <c r="E139" s="14" t="inlineStr">
        <is>
          <t>26082703</t>
        </is>
      </c>
      <c r="F139" s="15">
        <f>IF(E139="","",IF(COUNTIF(lst_Jobs,E139&amp;"")&gt;0,"OK","CHECK"))</f>
        <v/>
      </c>
      <c r="G139" s="14" t="inlineStr">
        <is>
          <t>RUOK? Day 10.9.26</t>
        </is>
      </c>
      <c r="H139" s="14" t="inlineStr">
        <is>
          <t>Production</t>
        </is>
      </c>
      <c r="I139" s="14" t="inlineStr">
        <is>
          <t>PRODUCTION</t>
        </is>
      </c>
      <c r="J139" s="14" t="inlineStr">
        <is>
          <t>Project</t>
        </is>
      </c>
      <c r="K139" s="14" t="inlineStr">
        <is>
          <t>GST 10%</t>
        </is>
      </c>
      <c r="L139" s="16" t="n">
        <v>570</v>
      </c>
      <c r="M139" s="17">
        <f>IF(L139="","",IF(K139="GST 10%",ROUND(L139*set_GSTRate,2),0))</f>
        <v/>
      </c>
      <c r="N139" s="17">
        <f>IF(L139="","",L139+M139)</f>
        <v/>
      </c>
      <c r="O139" s="14" t="inlineStr">
        <is>
          <t>42100</t>
        </is>
      </c>
      <c r="P139" s="14" t="inlineStr">
        <is>
          <t>Y</t>
        </is>
      </c>
      <c r="Q139" s="14" t="inlineStr">
        <is>
          <t>N</t>
        </is>
      </c>
      <c r="R139" s="12" t="n"/>
      <c r="S139" s="12" t="n"/>
      <c r="T139" s="14" t="inlineStr">
        <is>
          <t>To Invoice</t>
        </is>
      </c>
      <c r="U139" s="14" t="n"/>
      <c r="V139" s="1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row>
    <row r="140" ht="15" customHeight="1">
      <c r="A140" s="12" t="n"/>
      <c r="B140" s="13">
        <f>IF(A140="","",EOMONTH(A140,0))</f>
        <v/>
      </c>
      <c r="C140" s="14" t="n"/>
      <c r="D140" s="14" t="inlineStr">
        <is>
          <t>Ventia</t>
        </is>
      </c>
      <c r="E140" s="14" t="inlineStr">
        <is>
          <t>2608701</t>
        </is>
      </c>
      <c r="F140" s="15">
        <f>IF(E140="","",IF(COUNTIF(lst_Jobs,E140&amp;"")&gt;0,"OK","CHECK"))</f>
        <v/>
      </c>
      <c r="G140" s="14" t="inlineStr">
        <is>
          <t>Elkiem Studio Support 10.9.26</t>
        </is>
      </c>
      <c r="H140" s="14" t="inlineStr">
        <is>
          <t>Production</t>
        </is>
      </c>
      <c r="I140" s="14" t="inlineStr">
        <is>
          <t>PRODUCTION</t>
        </is>
      </c>
      <c r="J140" s="14" t="inlineStr">
        <is>
          <t>Project</t>
        </is>
      </c>
      <c r="K140" s="14" t="inlineStr">
        <is>
          <t>GST 10%</t>
        </is>
      </c>
      <c r="L140" s="16" t="n">
        <v>380</v>
      </c>
      <c r="M140" s="17">
        <f>IF(L140="","",IF(K140="GST 10%",ROUND(L140*set_GSTRate,2),0))</f>
        <v/>
      </c>
      <c r="N140" s="17">
        <f>IF(L140="","",L140+M140)</f>
        <v/>
      </c>
      <c r="O140" s="14" t="inlineStr">
        <is>
          <t>42100</t>
        </is>
      </c>
      <c r="P140" s="14" t="inlineStr">
        <is>
          <t>Y</t>
        </is>
      </c>
      <c r="Q140" s="14" t="inlineStr">
        <is>
          <t>N</t>
        </is>
      </c>
      <c r="R140" s="12" t="n"/>
      <c r="S140" s="12" t="n"/>
      <c r="T140" s="14" t="inlineStr">
        <is>
          <t>To Invoice</t>
        </is>
      </c>
      <c r="U140" s="14" t="n"/>
      <c r="V140" s="1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row>
    <row r="141" ht="15" customHeight="1">
      <c r="A141" s="12" t="n"/>
      <c r="B141" s="13">
        <f>IF(A141="","",EOMONTH(A141,0))</f>
        <v/>
      </c>
      <c r="C141" s="14" t="n"/>
      <c r="D141" s="14" t="inlineStr">
        <is>
          <t>Elkeim</t>
        </is>
      </c>
      <c r="E141" s="14" t="inlineStr">
        <is>
          <t>2609801</t>
        </is>
      </c>
      <c r="F141" s="15">
        <f>IF(E141="","",IF(COUNTIF(lst_Jobs,E141&amp;"")&gt;0,"OK","CHECK"))</f>
        <v/>
      </c>
      <c r="G141" s="14" t="inlineStr">
        <is>
          <t>Elkiem Studio Support 16.9.26</t>
        </is>
      </c>
      <c r="H141" s="14" t="inlineStr">
        <is>
          <t>Production</t>
        </is>
      </c>
      <c r="I141" s="14" t="inlineStr">
        <is>
          <t>PRODUCTION</t>
        </is>
      </c>
      <c r="J141" s="14" t="inlineStr">
        <is>
          <t>Project</t>
        </is>
      </c>
      <c r="K141" s="14" t="inlineStr">
        <is>
          <t>GST 10%</t>
        </is>
      </c>
      <c r="L141" s="16" t="n">
        <v>380</v>
      </c>
      <c r="M141" s="17">
        <f>IF(L141="","",IF(K141="GST 10%",ROUND(L141*set_GSTRate,2),0))</f>
        <v/>
      </c>
      <c r="N141" s="17">
        <f>IF(L141="","",L141+M141)</f>
        <v/>
      </c>
      <c r="O141" s="14" t="inlineStr">
        <is>
          <t>42100</t>
        </is>
      </c>
      <c r="P141" s="14" t="inlineStr">
        <is>
          <t>Y</t>
        </is>
      </c>
      <c r="Q141" s="14" t="inlineStr">
        <is>
          <t>N</t>
        </is>
      </c>
      <c r="R141" s="12" t="n"/>
      <c r="S141" s="12" t="n"/>
      <c r="T141" s="14" t="inlineStr">
        <is>
          <t>To Invoice</t>
        </is>
      </c>
      <c r="U141" s="14" t="n"/>
      <c r="V141" s="1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row>
    <row r="142" ht="15" customHeight="1">
      <c r="A142" s="12" t="n"/>
      <c r="B142" s="13">
        <f>IF(A142="","",EOMONTH(A142,0))</f>
        <v/>
      </c>
      <c r="C142" s="14" t="n"/>
      <c r="D142" s="14" t="inlineStr">
        <is>
          <t>ICC</t>
        </is>
      </c>
      <c r="E142" s="14" t="inlineStr">
        <is>
          <t>26082502</t>
        </is>
      </c>
      <c r="F142" s="15">
        <f>IF(E142="","",IF(COUNTIF(lst_Jobs,E142&amp;"")&gt;0,"OK","CHECK"))</f>
        <v/>
      </c>
      <c r="G142" s="14" t="inlineStr">
        <is>
          <t>ICC - September Presenter Support Presentations - ISE</t>
        </is>
      </c>
      <c r="H142" s="14" t="inlineStr">
        <is>
          <t>Production</t>
        </is>
      </c>
      <c r="I142" s="14" t="inlineStr">
        <is>
          <t>PRODUCTION</t>
        </is>
      </c>
      <c r="J142" s="14" t="inlineStr">
        <is>
          <t>Project</t>
        </is>
      </c>
      <c r="K142" s="14" t="inlineStr">
        <is>
          <t>GST 10%</t>
        </is>
      </c>
      <c r="L142" s="16" t="n">
        <v>4729</v>
      </c>
      <c r="M142" s="17">
        <f>IF(L142="","",IF(K142="GST 10%",ROUND(L142*set_GSTRate,2),0))</f>
        <v/>
      </c>
      <c r="N142" s="17">
        <f>IF(L142="","",L142+M142)</f>
        <v/>
      </c>
      <c r="O142" s="14" t="inlineStr">
        <is>
          <t>42100</t>
        </is>
      </c>
      <c r="P142" s="14" t="inlineStr">
        <is>
          <t>Y</t>
        </is>
      </c>
      <c r="Q142" s="14" t="inlineStr">
        <is>
          <t>N</t>
        </is>
      </c>
      <c r="R142" s="12" t="n"/>
      <c r="S142" s="12" t="n"/>
      <c r="T142" s="14" t="inlineStr">
        <is>
          <t>To Invoice</t>
        </is>
      </c>
      <c r="U142" s="14" t="n"/>
      <c r="V142" s="1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row>
    <row r="143" ht="15" customHeight="1">
      <c r="A143" s="12" t="n"/>
      <c r="B143" s="13">
        <f>IF(A143="","",EOMONTH(A143,0))</f>
        <v/>
      </c>
      <c r="C143" s="14" t="n"/>
      <c r="D143" s="14" t="inlineStr">
        <is>
          <t>ICC</t>
        </is>
      </c>
      <c r="E143" s="14" t="inlineStr">
        <is>
          <t>26082503</t>
        </is>
      </c>
      <c r="F143" s="15">
        <f>IF(E143="","",IF(COUNTIF(lst_Jobs,E143&amp;"")&gt;0,"OK","CHECK"))</f>
        <v/>
      </c>
      <c r="G143" s="14" t="inlineStr">
        <is>
          <t>ICC - September Presenter Support Presentations - ICAS</t>
        </is>
      </c>
      <c r="H143" s="14" t="inlineStr">
        <is>
          <t>Production</t>
        </is>
      </c>
      <c r="I143" s="14" t="inlineStr">
        <is>
          <t>PRODUCTION</t>
        </is>
      </c>
      <c r="J143" s="14" t="inlineStr">
        <is>
          <t>Project</t>
        </is>
      </c>
      <c r="K143" s="14" t="inlineStr">
        <is>
          <t>GST 10%</t>
        </is>
      </c>
      <c r="L143" s="16" t="n">
        <v>946</v>
      </c>
      <c r="M143" s="17">
        <f>IF(L143="","",IF(K143="GST 10%",ROUND(L143*set_GSTRate,2),0))</f>
        <v/>
      </c>
      <c r="N143" s="17">
        <f>IF(L143="","",L143+M143)</f>
        <v/>
      </c>
      <c r="O143" s="14" t="inlineStr">
        <is>
          <t>42100</t>
        </is>
      </c>
      <c r="P143" s="14" t="inlineStr">
        <is>
          <t>Y</t>
        </is>
      </c>
      <c r="Q143" s="14" t="inlineStr">
        <is>
          <t>N</t>
        </is>
      </c>
      <c r="R143" s="12" t="n"/>
      <c r="S143" s="12" t="n"/>
      <c r="T143" s="14" t="inlineStr">
        <is>
          <t>To Invoice</t>
        </is>
      </c>
      <c r="U143" s="14" t="n"/>
      <c r="V143" s="1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row>
    <row r="144" ht="15" customHeight="1">
      <c r="A144" s="12" t="n">
        <v>45805</v>
      </c>
      <c r="B144" s="13">
        <f>IF(A144="","",EOMONTH(A144,0))</f>
        <v/>
      </c>
      <c r="C144" s="14" t="inlineStr">
        <is>
          <t>INV-9860</t>
        </is>
      </c>
      <c r="D144" s="14" t="inlineStr">
        <is>
          <t>DAFF</t>
        </is>
      </c>
      <c r="E144" s="14" t="inlineStr">
        <is>
          <t>25021901</t>
        </is>
      </c>
      <c r="F144" s="15">
        <f>IF(E144="","",IF(COUNTIF(lst_Jobs,E144&amp;"")&gt;0,"OK","CHECK"))</f>
        <v/>
      </c>
      <c r="G144" s="14" t="inlineStr">
        <is>
          <t>Technology Standards Evaluation</t>
        </is>
      </c>
      <c r="H144" s="14" t="inlineStr">
        <is>
          <t>Consulting</t>
        </is>
      </c>
      <c r="I144" s="14" t="inlineStr">
        <is>
          <t>CONSULTING</t>
        </is>
      </c>
      <c r="J144" s="14" t="inlineStr">
        <is>
          <t>Project</t>
        </is>
      </c>
      <c r="K144" s="14" t="inlineStr">
        <is>
          <t>GST 10%</t>
        </is>
      </c>
      <c r="L144" s="16" t="n">
        <v>9875</v>
      </c>
      <c r="M144" s="17">
        <f>IF(L144="","",IF(K144="GST 10%",ROUND(L144*set_GSTRate,2),0))</f>
        <v/>
      </c>
      <c r="N144" s="17">
        <f>IF(L144="","",L144+M144)</f>
        <v/>
      </c>
      <c r="O144" s="14" t="inlineStr">
        <is>
          <t>42800</t>
        </is>
      </c>
      <c r="P144" s="14" t="inlineStr">
        <is>
          <t>Y</t>
        </is>
      </c>
      <c r="Q144" s="14" t="inlineStr">
        <is>
          <t>N</t>
        </is>
      </c>
      <c r="R144" s="12" t="n"/>
      <c r="S144" s="12" t="n"/>
      <c r="T144" s="14" t="inlineStr">
        <is>
          <t>Invoiced</t>
        </is>
      </c>
      <c r="U144" s="14" t="inlineStr">
        <is>
          <t>Revenue still in WIP</t>
        </is>
      </c>
      <c r="V144" s="1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row>
    <row r="145" ht="15" customHeight="1">
      <c r="A145" s="12" t="n">
        <v>46101</v>
      </c>
      <c r="B145" s="13">
        <f>IF(A145="","",EOMONTH(A145,0))</f>
        <v/>
      </c>
      <c r="C145" s="14" t="inlineStr">
        <is>
          <t>INV-10319</t>
        </is>
      </c>
      <c r="D145" s="14" t="inlineStr">
        <is>
          <t>DEWR</t>
        </is>
      </c>
      <c r="E145" s="14" t="inlineStr">
        <is>
          <t>25102701</t>
        </is>
      </c>
      <c r="F145" s="15">
        <f>IF(E145="","",IF(COUNTIF(lst_Jobs,E145&amp;"")&gt;0,"OK","CHECK"))</f>
        <v/>
      </c>
      <c r="G145" s="14" t="inlineStr">
        <is>
          <t>DEWR Studio Upgrade</t>
        </is>
      </c>
      <c r="H145" s="14" t="inlineStr">
        <is>
          <t>Consulting</t>
        </is>
      </c>
      <c r="I145" s="14" t="inlineStr">
        <is>
          <t>CONSULTING</t>
        </is>
      </c>
      <c r="J145" s="14" t="inlineStr">
        <is>
          <t>Project</t>
        </is>
      </c>
      <c r="K145" s="14" t="inlineStr">
        <is>
          <t>GST 10%</t>
        </is>
      </c>
      <c r="L145" s="16" t="n">
        <v>23050</v>
      </c>
      <c r="M145" s="17">
        <f>IF(L145="","",IF(K145="GST 10%",ROUND(L145*set_GSTRate,2),0))</f>
        <v/>
      </c>
      <c r="N145" s="17">
        <f>IF(L145="","",L145+M145)</f>
        <v/>
      </c>
      <c r="O145" s="14" t="inlineStr">
        <is>
          <t>42800</t>
        </is>
      </c>
      <c r="P145" s="14" t="inlineStr">
        <is>
          <t>Y</t>
        </is>
      </c>
      <c r="Q145" s="14" t="inlineStr">
        <is>
          <t>N</t>
        </is>
      </c>
      <c r="R145" s="12" t="n"/>
      <c r="S145" s="12" t="n"/>
      <c r="T145" s="14" t="inlineStr">
        <is>
          <t>To Invoice</t>
        </is>
      </c>
      <c r="U145" s="14" t="inlineStr">
        <is>
          <t>Progress Claim 01</t>
        </is>
      </c>
      <c r="V145" s="1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row>
    <row r="146" ht="15" customHeight="1">
      <c r="A146" s="12" t="n">
        <v>46104</v>
      </c>
      <c r="B146" s="13">
        <f>IF(A146="","",EOMONTH(A146,0))</f>
        <v/>
      </c>
      <c r="C146" s="14" t="inlineStr">
        <is>
          <t>INV-10320</t>
        </is>
      </c>
      <c r="D146" s="14" t="inlineStr">
        <is>
          <t>DEWR</t>
        </is>
      </c>
      <c r="E146" s="14" t="inlineStr">
        <is>
          <t>25102701</t>
        </is>
      </c>
      <c r="F146" s="15">
        <f>IF(E146="","",IF(COUNTIF(lst_Jobs,E146&amp;"")&gt;0,"OK","CHECK"))</f>
        <v/>
      </c>
      <c r="G146" s="14" t="inlineStr">
        <is>
          <t>DEWR Studio Upgrade</t>
        </is>
      </c>
      <c r="H146" s="14" t="inlineStr">
        <is>
          <t>Consulting</t>
        </is>
      </c>
      <c r="I146" s="14" t="inlineStr">
        <is>
          <t>CONSULTING</t>
        </is>
      </c>
      <c r="J146" s="14" t="inlineStr">
        <is>
          <t>Project</t>
        </is>
      </c>
      <c r="K146" s="14" t="inlineStr">
        <is>
          <t>GST 10%</t>
        </is>
      </c>
      <c r="L146" s="16" t="n">
        <v>13250</v>
      </c>
      <c r="M146" s="17">
        <f>IF(L146="","",IF(K146="GST 10%",ROUND(L146*set_GSTRate,2),0))</f>
        <v/>
      </c>
      <c r="N146" s="17">
        <f>IF(L146="","",L146+M146)</f>
        <v/>
      </c>
      <c r="O146" s="14" t="inlineStr">
        <is>
          <t>42800</t>
        </is>
      </c>
      <c r="P146" s="14" t="inlineStr">
        <is>
          <t>Y</t>
        </is>
      </c>
      <c r="Q146" s="14" t="inlineStr">
        <is>
          <t>N</t>
        </is>
      </c>
      <c r="R146" s="12" t="n"/>
      <c r="S146" s="12" t="n"/>
      <c r="T146" s="14" t="inlineStr">
        <is>
          <t>To Invoice</t>
        </is>
      </c>
      <c r="U146" s="14" t="inlineStr">
        <is>
          <t>Progress Claim 02</t>
        </is>
      </c>
      <c r="V146" s="1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row>
    <row r="147" ht="15" customHeight="1">
      <c r="A147" s="12" t="n">
        <v>46128</v>
      </c>
      <c r="B147" s="13">
        <f>IF(A147="","",EOMONTH(A147,0))</f>
        <v/>
      </c>
      <c r="C147" s="14" t="inlineStr">
        <is>
          <t>INV-10353</t>
        </is>
      </c>
      <c r="D147" s="14" t="inlineStr">
        <is>
          <t>DEWR</t>
        </is>
      </c>
      <c r="E147" s="14" t="inlineStr">
        <is>
          <t>25102701</t>
        </is>
      </c>
      <c r="F147" s="15">
        <f>IF(E147="","",IF(COUNTIF(lst_Jobs,E147&amp;"")&gt;0,"OK","CHECK"))</f>
        <v/>
      </c>
      <c r="G147" s="14" t="inlineStr">
        <is>
          <t>DEWR Studio Upgrade</t>
        </is>
      </c>
      <c r="H147" s="14" t="inlineStr">
        <is>
          <t>Consulting</t>
        </is>
      </c>
      <c r="I147" s="14" t="inlineStr">
        <is>
          <t>CONSULTING</t>
        </is>
      </c>
      <c r="J147" s="14" t="inlineStr">
        <is>
          <t>Project</t>
        </is>
      </c>
      <c r="K147" s="14" t="inlineStr">
        <is>
          <t>GST 10%</t>
        </is>
      </c>
      <c r="L147" s="16" t="n">
        <v>24410</v>
      </c>
      <c r="M147" s="17">
        <f>IF(L147="","",IF(K147="GST 10%",ROUND(L147*set_GSTRate,2),0))</f>
        <v/>
      </c>
      <c r="N147" s="17">
        <f>IF(L147="","",L147+M147)</f>
        <v/>
      </c>
      <c r="O147" s="14" t="inlineStr">
        <is>
          <t>42800</t>
        </is>
      </c>
      <c r="P147" s="14" t="inlineStr">
        <is>
          <t>Y</t>
        </is>
      </c>
      <c r="Q147" s="14" t="inlineStr">
        <is>
          <t>N</t>
        </is>
      </c>
      <c r="R147" s="12" t="n"/>
      <c r="S147" s="12" t="n"/>
      <c r="T147" s="14" t="inlineStr">
        <is>
          <t>To Invoice</t>
        </is>
      </c>
      <c r="U147" s="14" t="inlineStr">
        <is>
          <t>Progress Claim 03</t>
        </is>
      </c>
      <c r="V147" s="1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row>
    <row r="148" ht="15" customHeight="1">
      <c r="A148" s="12" t="n">
        <v>46162</v>
      </c>
      <c r="B148" s="13">
        <f>IF(A148="","",EOMONTH(A148,0))</f>
        <v/>
      </c>
      <c r="C148" s="14" t="inlineStr">
        <is>
          <t>INV-10425</t>
        </is>
      </c>
      <c r="D148" s="14" t="inlineStr">
        <is>
          <t>DTTL</t>
        </is>
      </c>
      <c r="E148" s="14" t="inlineStr">
        <is>
          <t>26052002</t>
        </is>
      </c>
      <c r="F148" s="15">
        <f>IF(E148="","",IF(COUNTIF(lst_Jobs,E148&amp;"")&gt;0,"OK","CHECK"))</f>
        <v/>
      </c>
      <c r="G148" s="14" t="inlineStr">
        <is>
          <t>BNE ​L23 Training Rooms Upgrade</t>
        </is>
      </c>
      <c r="H148" s="14" t="inlineStr">
        <is>
          <t>Consulting</t>
        </is>
      </c>
      <c r="I148" s="14" t="inlineStr">
        <is>
          <t>INTEGRATION</t>
        </is>
      </c>
      <c r="J148" s="14" t="inlineStr">
        <is>
          <t>Project</t>
        </is>
      </c>
      <c r="K148" s="14" t="inlineStr">
        <is>
          <t>GST 10%</t>
        </is>
      </c>
      <c r="L148" s="16" t="n">
        <v>57706</v>
      </c>
      <c r="M148" s="17">
        <f>IF(L148="","",IF(K148="GST 10%",ROUND(L148*set_GSTRate,2),0))</f>
        <v/>
      </c>
      <c r="N148" s="17">
        <f>IF(L148="","",L148+M148)</f>
        <v/>
      </c>
      <c r="O148" s="14" t="inlineStr">
        <is>
          <t>42300</t>
        </is>
      </c>
      <c r="P148" s="14" t="inlineStr">
        <is>
          <t>Y</t>
        </is>
      </c>
      <c r="Q148" s="14" t="inlineStr">
        <is>
          <t>N</t>
        </is>
      </c>
      <c r="R148" s="12" t="n"/>
      <c r="S148" s="12" t="n"/>
      <c r="T148" s="14" t="inlineStr">
        <is>
          <t>To Invoice</t>
        </is>
      </c>
      <c r="U148" s="14" t="n"/>
      <c r="V148" s="1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row>
    <row r="149" ht="15" customHeight="1">
      <c r="A149" s="12" t="n">
        <v>46163</v>
      </c>
      <c r="B149" s="13">
        <f>IF(A149="","",EOMONTH(A149,0))</f>
        <v/>
      </c>
      <c r="C149" s="14" t="inlineStr">
        <is>
          <t>INV-10426</t>
        </is>
      </c>
      <c r="D149" s="14" t="inlineStr">
        <is>
          <t>DTTL</t>
        </is>
      </c>
      <c r="E149" s="14" t="inlineStr">
        <is>
          <t>26052003</t>
        </is>
      </c>
      <c r="F149" s="15">
        <f>IF(E149="","",IF(COUNTIF(lst_Jobs,E149&amp;"")&gt;0,"OK","CHECK"))</f>
        <v/>
      </c>
      <c r="G149" s="14" t="inlineStr">
        <is>
          <t>SYD Mobile Display Supply</t>
        </is>
      </c>
      <c r="H149" s="14" t="inlineStr">
        <is>
          <t>Consulting</t>
        </is>
      </c>
      <c r="I149" s="14" t="inlineStr">
        <is>
          <t>INTEGRATION</t>
        </is>
      </c>
      <c r="J149" s="14" t="inlineStr">
        <is>
          <t>Project</t>
        </is>
      </c>
      <c r="K149" s="14" t="inlineStr">
        <is>
          <t>GST 10%</t>
        </is>
      </c>
      <c r="L149" s="16" t="n">
        <v>26234</v>
      </c>
      <c r="M149" s="17">
        <f>IF(L149="","",IF(K149="GST 10%",ROUND(L149*set_GSTRate,2),0))</f>
        <v/>
      </c>
      <c r="N149" s="17">
        <f>IF(L149="","",L149+M149)</f>
        <v/>
      </c>
      <c r="O149" s="14" t="inlineStr">
        <is>
          <t>42300</t>
        </is>
      </c>
      <c r="P149" s="14" t="inlineStr">
        <is>
          <t>Y</t>
        </is>
      </c>
      <c r="Q149" s="14" t="inlineStr">
        <is>
          <t>N</t>
        </is>
      </c>
      <c r="R149" s="12" t="n"/>
      <c r="S149" s="12" t="n"/>
      <c r="T149" s="14" t="inlineStr">
        <is>
          <t>Paid</t>
        </is>
      </c>
      <c r="U149" s="14" t="n"/>
      <c r="V149" s="1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row>
    <row r="150" ht="15" customHeight="1">
      <c r="A150" s="12" t="n">
        <v>46171</v>
      </c>
      <c r="B150" s="13">
        <f>IF(A150="","",EOMONTH(A150,0))</f>
        <v/>
      </c>
      <c r="C150" s="14" t="inlineStr">
        <is>
          <t>INV-10442</t>
        </is>
      </c>
      <c r="D150" s="14" t="inlineStr">
        <is>
          <t>DEWR</t>
        </is>
      </c>
      <c r="E150" s="14" t="inlineStr">
        <is>
          <t>25102701</t>
        </is>
      </c>
      <c r="F150" s="15">
        <f>IF(E150="","",IF(COUNTIF(lst_Jobs,E150&amp;"")&gt;0,"OK","CHECK"))</f>
        <v/>
      </c>
      <c r="G150" s="14" t="inlineStr">
        <is>
          <t>DEWR Studio Upgrade</t>
        </is>
      </c>
      <c r="H150" s="14" t="inlineStr">
        <is>
          <t>Consulting</t>
        </is>
      </c>
      <c r="I150" s="14" t="inlineStr">
        <is>
          <t>CONSULTING</t>
        </is>
      </c>
      <c r="J150" s="14" t="inlineStr">
        <is>
          <t>Project</t>
        </is>
      </c>
      <c r="K150" s="14" t="inlineStr">
        <is>
          <t>GST 10%</t>
        </is>
      </c>
      <c r="L150" s="16" t="n">
        <v>7563</v>
      </c>
      <c r="M150" s="17">
        <f>IF(L150="","",IF(K150="GST 10%",ROUND(L150*set_GSTRate,2),0))</f>
        <v/>
      </c>
      <c r="N150" s="17">
        <f>IF(L150="","",L150+M150)</f>
        <v/>
      </c>
      <c r="O150" s="14" t="inlineStr">
        <is>
          <t>42800</t>
        </is>
      </c>
      <c r="P150" s="14" t="inlineStr">
        <is>
          <t>Y</t>
        </is>
      </c>
      <c r="Q150" s="14" t="inlineStr">
        <is>
          <t>N</t>
        </is>
      </c>
      <c r="R150" s="12" t="n"/>
      <c r="S150" s="12" t="n"/>
      <c r="T150" s="14" t="inlineStr">
        <is>
          <t>To Invoice</t>
        </is>
      </c>
      <c r="U150" s="14" t="inlineStr">
        <is>
          <t>Progress Claim 04</t>
        </is>
      </c>
      <c r="V150" s="1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row>
    <row r="151" ht="15" customHeight="1">
      <c r="A151" s="12" t="n">
        <v>46190</v>
      </c>
      <c r="B151" s="13">
        <f>IF(A151="","",EOMONTH(A151,0))</f>
        <v/>
      </c>
      <c r="C151" s="14" t="inlineStr">
        <is>
          <t>INV-10462</t>
        </is>
      </c>
      <c r="D151" s="14" t="inlineStr">
        <is>
          <t>PwC</t>
        </is>
      </c>
      <c r="E151" s="14" t="inlineStr">
        <is>
          <t>26051801</t>
        </is>
      </c>
      <c r="F151" s="15">
        <f>IF(E151="","",IF(COUNTIF(lst_Jobs,E151&amp;"")&gt;0,"OK","CHECK"))</f>
        <v/>
      </c>
      <c r="G151" s="14" t="inlineStr">
        <is>
          <t>Mel Studio Equipment</t>
        </is>
      </c>
      <c r="H151" s="14" t="inlineStr">
        <is>
          <t>Consulting</t>
        </is>
      </c>
      <c r="I151" s="14" t="inlineStr">
        <is>
          <t>INTEGRATION</t>
        </is>
      </c>
      <c r="J151" s="14" t="inlineStr">
        <is>
          <t>Project</t>
        </is>
      </c>
      <c r="K151" s="14" t="inlineStr">
        <is>
          <t>GST 10%</t>
        </is>
      </c>
      <c r="L151" s="16" t="n">
        <v>12039</v>
      </c>
      <c r="M151" s="17">
        <f>IF(L151="","",IF(K151="GST 10%",ROUND(L151*set_GSTRate,2),0))</f>
        <v/>
      </c>
      <c r="N151" s="17">
        <f>IF(L151="","",L151+M151)</f>
        <v/>
      </c>
      <c r="O151" s="14" t="inlineStr">
        <is>
          <t>42300</t>
        </is>
      </c>
      <c r="P151" s="14" t="inlineStr">
        <is>
          <t>Y</t>
        </is>
      </c>
      <c r="Q151" s="14" t="inlineStr">
        <is>
          <t>N</t>
        </is>
      </c>
      <c r="R151" s="12" t="n"/>
      <c r="S151" s="12" t="n"/>
      <c r="T151" s="14" t="inlineStr">
        <is>
          <t>Invoiced</t>
        </is>
      </c>
      <c r="U151" s="14" t="n"/>
      <c r="V151" s="1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row>
    <row r="152" ht="15" customHeight="1">
      <c r="A152" s="12" t="n">
        <v>46190</v>
      </c>
      <c r="B152" s="13">
        <f>IF(A152="","",EOMONTH(A152,0))</f>
        <v/>
      </c>
      <c r="C152" s="14" t="inlineStr">
        <is>
          <t>INV-10461</t>
        </is>
      </c>
      <c r="D152" s="14" t="inlineStr">
        <is>
          <t>PwC</t>
        </is>
      </c>
      <c r="E152" s="14" t="inlineStr">
        <is>
          <t>26043003</t>
        </is>
      </c>
      <c r="F152" s="15">
        <f>IF(E152="","",IF(COUNTIF(lst_Jobs,E152&amp;"")&gt;0,"OK","CHECK"))</f>
        <v/>
      </c>
      <c r="G152" s="14" t="inlineStr">
        <is>
          <t>Screen Replacements (SYD/MEL)</t>
        </is>
      </c>
      <c r="H152" s="14" t="inlineStr">
        <is>
          <t>Consulting</t>
        </is>
      </c>
      <c r="I152" s="14" t="inlineStr">
        <is>
          <t>INTEGRATION</t>
        </is>
      </c>
      <c r="J152" s="14" t="inlineStr">
        <is>
          <t>Project</t>
        </is>
      </c>
      <c r="K152" s="14" t="inlineStr">
        <is>
          <t>GST 10%</t>
        </is>
      </c>
      <c r="L152" s="16" t="n">
        <v>96068</v>
      </c>
      <c r="M152" s="17">
        <f>IF(L152="","",IF(K152="GST 10%",ROUND(L152*set_GSTRate,2),0))</f>
        <v/>
      </c>
      <c r="N152" s="17">
        <f>IF(L152="","",L152+M152)</f>
        <v/>
      </c>
      <c r="O152" s="14" t="inlineStr">
        <is>
          <t>42300</t>
        </is>
      </c>
      <c r="P152" s="14" t="inlineStr">
        <is>
          <t>Y</t>
        </is>
      </c>
      <c r="Q152" s="14" t="inlineStr">
        <is>
          <t>N</t>
        </is>
      </c>
      <c r="R152" s="12" t="n"/>
      <c r="S152" s="12" t="n"/>
      <c r="T152" s="14" t="inlineStr">
        <is>
          <t>Paid</t>
        </is>
      </c>
      <c r="U152" s="14" t="n"/>
      <c r="V152" s="1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row>
    <row r="153" ht="15" customHeight="1">
      <c r="A153" s="12" t="n">
        <v>46198</v>
      </c>
      <c r="B153" s="13">
        <f>IF(A153="","",EOMONTH(A153,0))</f>
        <v/>
      </c>
      <c r="C153" s="14" t="inlineStr">
        <is>
          <t>INV-10500</t>
        </is>
      </c>
      <c r="D153" s="14" t="inlineStr">
        <is>
          <t>PwC</t>
        </is>
      </c>
      <c r="E153" s="14" t="inlineStr">
        <is>
          <t>2606901</t>
        </is>
      </c>
      <c r="F153" s="15">
        <f>IF(E153="","",IF(COUNTIF(lst_Jobs,E153&amp;"")&gt;0,"OK","CHECK"))</f>
        <v/>
      </c>
      <c r="G153" s="14" t="inlineStr">
        <is>
          <t>Sydney Office box drop</t>
        </is>
      </c>
      <c r="H153" s="14" t="inlineStr">
        <is>
          <t>Consulting</t>
        </is>
      </c>
      <c r="I153" s="14" t="inlineStr">
        <is>
          <t>INTEGRATION</t>
        </is>
      </c>
      <c r="J153" s="14" t="inlineStr">
        <is>
          <t>Project</t>
        </is>
      </c>
      <c r="K153" s="14" t="inlineStr">
        <is>
          <t>GST 10%</t>
        </is>
      </c>
      <c r="L153" s="16" t="n">
        <v>561</v>
      </c>
      <c r="M153" s="17">
        <f>IF(L153="","",IF(K153="GST 10%",ROUND(L153*set_GSTRate,2),0))</f>
        <v/>
      </c>
      <c r="N153" s="17">
        <f>IF(L153="","",L153+M153)</f>
        <v/>
      </c>
      <c r="O153" s="14" t="inlineStr">
        <is>
          <t>42300</t>
        </is>
      </c>
      <c r="P153" s="14" t="inlineStr">
        <is>
          <t>Y</t>
        </is>
      </c>
      <c r="Q153" s="14" t="inlineStr">
        <is>
          <t>N</t>
        </is>
      </c>
      <c r="R153" s="12" t="n"/>
      <c r="S153" s="12" t="n"/>
      <c r="T153" s="14" t="inlineStr">
        <is>
          <t>Paid</t>
        </is>
      </c>
      <c r="U153" s="14" t="n"/>
      <c r="V153" s="1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row>
    <row r="154" ht="15" customHeight="1">
      <c r="A154" s="12" t="n">
        <v>46198</v>
      </c>
      <c r="B154" s="13">
        <f>IF(A154="","",EOMONTH(A154,0))</f>
        <v/>
      </c>
      <c r="C154" s="14" t="inlineStr">
        <is>
          <t>INV-10499</t>
        </is>
      </c>
      <c r="D154" s="14" t="inlineStr">
        <is>
          <t>YSG Studio</t>
        </is>
      </c>
      <c r="E154" s="14" t="inlineStr">
        <is>
          <t>2602203</t>
        </is>
      </c>
      <c r="F154" s="15">
        <f>IF(E154="","",IF(COUNTIF(lst_Jobs,E154&amp;"")&gt;0,"OK","CHECK"))</f>
        <v/>
      </c>
      <c r="G154" s="14" t="inlineStr">
        <is>
          <t>Orange Room Upgrade CONS</t>
        </is>
      </c>
      <c r="H154" s="14" t="inlineStr">
        <is>
          <t>Consulting</t>
        </is>
      </c>
      <c r="I154" s="14" t="inlineStr">
        <is>
          <t>CONSULTING</t>
        </is>
      </c>
      <c r="J154" s="14" t="inlineStr">
        <is>
          <t>Project</t>
        </is>
      </c>
      <c r="K154" s="14" t="inlineStr">
        <is>
          <t>GST 10%</t>
        </is>
      </c>
      <c r="L154" s="16" t="n">
        <v>2247.5</v>
      </c>
      <c r="M154" s="17">
        <f>IF(L154="","",IF(K154="GST 10%",ROUND(L154*set_GSTRate,2),0))</f>
        <v/>
      </c>
      <c r="N154" s="17">
        <f>IF(L154="","",L154+M154)</f>
        <v/>
      </c>
      <c r="O154" s="14" t="inlineStr">
        <is>
          <t>42800</t>
        </is>
      </c>
      <c r="P154" s="14" t="inlineStr">
        <is>
          <t>Y</t>
        </is>
      </c>
      <c r="Q154" s="14" t="inlineStr">
        <is>
          <t>N</t>
        </is>
      </c>
      <c r="R154" s="12" t="n"/>
      <c r="S154" s="12" t="n"/>
      <c r="T154" s="14" t="inlineStr">
        <is>
          <t>To Invoice</t>
        </is>
      </c>
      <c r="U154" s="14" t="inlineStr">
        <is>
          <t>Progress Claim 03</t>
        </is>
      </c>
      <c r="V154" s="1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row>
    <row r="155" ht="15" customHeight="1">
      <c r="A155" s="12" t="n">
        <v>46203</v>
      </c>
      <c r="B155" s="13">
        <f>IF(A155="","",EOMONTH(A155,0))</f>
        <v/>
      </c>
      <c r="C155" s="14" t="inlineStr">
        <is>
          <t>INV-10510</t>
        </is>
      </c>
      <c r="D155" s="14" t="inlineStr">
        <is>
          <t>CoS</t>
        </is>
      </c>
      <c r="E155" s="14" t="inlineStr">
        <is>
          <t>25111203</t>
        </is>
      </c>
      <c r="F155" s="15">
        <f>IF(E155="","",IF(COUNTIF(lst_Jobs,E155&amp;"")&gt;0,"OK","CHECK"))</f>
        <v/>
      </c>
      <c r="G155" s="14" t="inlineStr">
        <is>
          <t>Barco E3 Sale</t>
        </is>
      </c>
      <c r="H155" s="14" t="inlineStr">
        <is>
          <t>Consulting</t>
        </is>
      </c>
      <c r="I155" s="14" t="inlineStr">
        <is>
          <t>INTEGRATION</t>
        </is>
      </c>
      <c r="J155" s="14" t="inlineStr">
        <is>
          <t>Project</t>
        </is>
      </c>
      <c r="K155" s="14" t="inlineStr">
        <is>
          <t>GST 10%</t>
        </is>
      </c>
      <c r="L155" s="16" t="n">
        <v>159150</v>
      </c>
      <c r="M155" s="17">
        <f>IF(L155="","",IF(K155="GST 10%",ROUND(L155*set_GSTRate,2),0))</f>
        <v/>
      </c>
      <c r="N155" s="17">
        <f>IF(L155="","",L155+M155)</f>
        <v/>
      </c>
      <c r="O155" s="14" t="inlineStr">
        <is>
          <t>42300</t>
        </is>
      </c>
      <c r="P155" s="14" t="inlineStr">
        <is>
          <t>Y</t>
        </is>
      </c>
      <c r="Q155" s="14" t="inlineStr">
        <is>
          <t>N</t>
        </is>
      </c>
      <c r="R155" s="12" t="n"/>
      <c r="S155" s="12" t="n"/>
      <c r="T155" s="14" t="inlineStr">
        <is>
          <t>Paid</t>
        </is>
      </c>
      <c r="U155" s="14" t="n"/>
      <c r="V155" s="1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row>
    <row r="156" ht="15" customHeight="1">
      <c r="A156" s="12" t="n">
        <v>46203</v>
      </c>
      <c r="B156" s="13">
        <f>IF(A156="","",EOMONTH(A156,0))</f>
        <v/>
      </c>
      <c r="C156" s="14" t="inlineStr">
        <is>
          <t>INV-10355</t>
        </is>
      </c>
      <c r="D156" s="14" t="inlineStr">
        <is>
          <t>DTTL</t>
        </is>
      </c>
      <c r="E156" s="14" t="inlineStr">
        <is>
          <t>26033003</t>
        </is>
      </c>
      <c r="F156" s="15">
        <f>IF(E156="","",IF(COUNTIF(lst_Jobs,E156&amp;"")&gt;0,"OK","CHECK"))</f>
        <v/>
      </c>
      <c r="G156" s="14" t="inlineStr">
        <is>
          <t>8PSQ-Dream-Big-Microphones</t>
        </is>
      </c>
      <c r="H156" s="14" t="inlineStr">
        <is>
          <t>Consulting</t>
        </is>
      </c>
      <c r="I156" s="14" t="inlineStr">
        <is>
          <t>INTEGRATION</t>
        </is>
      </c>
      <c r="J156" s="14" t="inlineStr">
        <is>
          <t>Project</t>
        </is>
      </c>
      <c r="K156" s="14" t="inlineStr">
        <is>
          <t>GST 10%</t>
        </is>
      </c>
      <c r="L156" s="16" t="n">
        <v>27408</v>
      </c>
      <c r="M156" s="17">
        <f>IF(L156="","",IF(K156="GST 10%",ROUND(L156*set_GSTRate,2),0))</f>
        <v/>
      </c>
      <c r="N156" s="17">
        <f>IF(L156="","",L156+M156)</f>
        <v/>
      </c>
      <c r="O156" s="14" t="inlineStr">
        <is>
          <t>42300</t>
        </is>
      </c>
      <c r="P156" s="14" t="inlineStr">
        <is>
          <t>Y</t>
        </is>
      </c>
      <c r="Q156" s="14" t="inlineStr">
        <is>
          <t>N</t>
        </is>
      </c>
      <c r="R156" s="12" t="n"/>
      <c r="S156" s="12" t="n"/>
      <c r="T156" s="14" t="inlineStr">
        <is>
          <t>Paid</t>
        </is>
      </c>
      <c r="U156" s="14" t="inlineStr">
        <is>
          <t>Invoiced in DTTL Additionals</t>
        </is>
      </c>
      <c r="V156" s="1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row>
    <row r="157" ht="15" customHeight="1">
      <c r="A157" s="12" t="n">
        <v>46203</v>
      </c>
      <c r="B157" s="13">
        <f>IF(A157="","",EOMONTH(A157,0))</f>
        <v/>
      </c>
      <c r="C157" s="14" t="inlineStr">
        <is>
          <t>INV-10355</t>
        </is>
      </c>
      <c r="D157" s="14" t="inlineStr">
        <is>
          <t>DTTL</t>
        </is>
      </c>
      <c r="E157" s="14" t="inlineStr">
        <is>
          <t>26033005</t>
        </is>
      </c>
      <c r="F157" s="15">
        <f>IF(E157="","",IF(COUNTIF(lst_Jobs,E157&amp;"")&gt;0,"OK","CHECK"))</f>
        <v/>
      </c>
      <c r="G157" s="14" t="inlineStr">
        <is>
          <t>QQT &amp; 8PSQ_Crestron Connect Adaptor</t>
        </is>
      </c>
      <c r="H157" s="14" t="inlineStr">
        <is>
          <t>Consulting</t>
        </is>
      </c>
      <c r="I157" s="14" t="inlineStr">
        <is>
          <t>INTEGRATION</t>
        </is>
      </c>
      <c r="J157" s="14" t="inlineStr">
        <is>
          <t>Project</t>
        </is>
      </c>
      <c r="K157" s="14" t="inlineStr">
        <is>
          <t>GST 10%</t>
        </is>
      </c>
      <c r="L157" s="16" t="n">
        <v>20128</v>
      </c>
      <c r="M157" s="17">
        <f>IF(L157="","",IF(K157="GST 10%",ROUND(L157*set_GSTRate,2),0))</f>
        <v/>
      </c>
      <c r="N157" s="17">
        <f>IF(L157="","",L157+M157)</f>
        <v/>
      </c>
      <c r="O157" s="14" t="inlineStr">
        <is>
          <t>42300</t>
        </is>
      </c>
      <c r="P157" s="14" t="inlineStr">
        <is>
          <t>Y</t>
        </is>
      </c>
      <c r="Q157" s="14" t="inlineStr">
        <is>
          <t>N</t>
        </is>
      </c>
      <c r="R157" s="12" t="n"/>
      <c r="S157" s="12" t="n"/>
      <c r="T157" s="14" t="inlineStr">
        <is>
          <t>To Invoice</t>
        </is>
      </c>
      <c r="U157" s="14" t="n"/>
      <c r="V157" s="1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row>
    <row r="158" ht="15" customHeight="1">
      <c r="A158" s="12" t="n">
        <v>46203</v>
      </c>
      <c r="B158" s="13">
        <f>IF(A158="","",EOMONTH(A158,0))</f>
        <v/>
      </c>
      <c r="C158" s="14" t="inlineStr">
        <is>
          <t>INV-10355</t>
        </is>
      </c>
      <c r="D158" s="14" t="inlineStr">
        <is>
          <t>DTTL</t>
        </is>
      </c>
      <c r="E158" s="14" t="inlineStr">
        <is>
          <t>26033006</t>
        </is>
      </c>
      <c r="F158" s="15">
        <f>IF(E158="","",IF(COUNTIF(lst_Jobs,E158&amp;"")&gt;0,"OK","CHECK"))</f>
        <v/>
      </c>
      <c r="G158" s="14" t="inlineStr">
        <is>
          <t>8PSQ_Bluetooth Audio</t>
        </is>
      </c>
      <c r="H158" s="14" t="inlineStr">
        <is>
          <t>Consulting</t>
        </is>
      </c>
      <c r="I158" s="14" t="inlineStr">
        <is>
          <t>INTEGRATION</t>
        </is>
      </c>
      <c r="J158" s="14" t="inlineStr">
        <is>
          <t>Project</t>
        </is>
      </c>
      <c r="K158" s="14" t="inlineStr">
        <is>
          <t>GST 10%</t>
        </is>
      </c>
      <c r="L158" s="16" t="n">
        <v>5065</v>
      </c>
      <c r="M158" s="17">
        <f>IF(L158="","",IF(K158="GST 10%",ROUND(L158*set_GSTRate,2),0))</f>
        <v/>
      </c>
      <c r="N158" s="17">
        <f>IF(L158="","",L158+M158)</f>
        <v/>
      </c>
      <c r="O158" s="14" t="inlineStr">
        <is>
          <t>42300</t>
        </is>
      </c>
      <c r="P158" s="14" t="inlineStr">
        <is>
          <t>Y</t>
        </is>
      </c>
      <c r="Q158" s="14" t="inlineStr">
        <is>
          <t>N</t>
        </is>
      </c>
      <c r="R158" s="12" t="n"/>
      <c r="S158" s="12" t="n"/>
      <c r="T158" s="14" t="inlineStr">
        <is>
          <t>To Invoice</t>
        </is>
      </c>
      <c r="U158" s="14" t="n"/>
      <c r="V158" s="1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row>
    <row r="159" ht="15" customHeight="1">
      <c r="A159" s="12" t="n">
        <v>46203</v>
      </c>
      <c r="B159" s="13">
        <f>IF(A159="","",EOMONTH(A159,0))</f>
        <v/>
      </c>
      <c r="C159" s="14" t="inlineStr">
        <is>
          <t>INV-10355</t>
        </is>
      </c>
      <c r="D159" s="14" t="inlineStr">
        <is>
          <t>DTTL</t>
        </is>
      </c>
      <c r="E159" s="14" t="inlineStr">
        <is>
          <t>26033007</t>
        </is>
      </c>
      <c r="F159" s="15">
        <f>IF(E159="","",IF(COUNTIF(lst_Jobs,E159&amp;"")&gt;0,"OK","CHECK"))</f>
        <v/>
      </c>
      <c r="G159" s="14" t="inlineStr">
        <is>
          <t>QQT_Lv45 Seminar-Wheels repair</t>
        </is>
      </c>
      <c r="H159" s="14" t="inlineStr">
        <is>
          <t>Consulting</t>
        </is>
      </c>
      <c r="I159" s="14" t="inlineStr">
        <is>
          <t>INTEGRATION</t>
        </is>
      </c>
      <c r="J159" s="14" t="inlineStr">
        <is>
          <t>Project</t>
        </is>
      </c>
      <c r="K159" s="14" t="inlineStr">
        <is>
          <t>GST 10%</t>
        </is>
      </c>
      <c r="L159" s="16" t="n">
        <v>354</v>
      </c>
      <c r="M159" s="17">
        <f>IF(L159="","",IF(K159="GST 10%",ROUND(L159*set_GSTRate,2),0))</f>
        <v/>
      </c>
      <c r="N159" s="17">
        <f>IF(L159="","",L159+M159)</f>
        <v/>
      </c>
      <c r="O159" s="14" t="inlineStr">
        <is>
          <t>42300</t>
        </is>
      </c>
      <c r="P159" s="14" t="inlineStr">
        <is>
          <t>Y</t>
        </is>
      </c>
      <c r="Q159" s="14" t="inlineStr">
        <is>
          <t>N</t>
        </is>
      </c>
      <c r="R159" s="12" t="n"/>
      <c r="S159" s="12" t="n"/>
      <c r="T159" s="14" t="inlineStr">
        <is>
          <t>To Invoice</t>
        </is>
      </c>
      <c r="U159" s="14" t="n"/>
      <c r="V159" s="1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row>
    <row r="160" ht="15" customHeight="1">
      <c r="A160" s="12" t="n">
        <v>46209</v>
      </c>
      <c r="B160" s="13">
        <f>IF(A160="","",EOMONTH(A160,0))</f>
        <v/>
      </c>
      <c r="C160" s="14" t="inlineStr">
        <is>
          <t>INV-10516</t>
        </is>
      </c>
      <c r="D160" s="14" t="inlineStr">
        <is>
          <t>HP Poly - BAE</t>
        </is>
      </c>
      <c r="E160" s="14" t="inlineStr">
        <is>
          <t>26051301</t>
        </is>
      </c>
      <c r="F160" s="15">
        <f>IF(E160="","",IF(COUNTIF(lst_Jobs,E160&amp;"")&gt;0,"OK","CHECK"))</f>
        <v/>
      </c>
      <c r="G160" s="14" t="inlineStr">
        <is>
          <t>Phone Mod</t>
        </is>
      </c>
      <c r="H160" s="14" t="inlineStr">
        <is>
          <t>Consulting</t>
        </is>
      </c>
      <c r="I160" s="14" t="inlineStr">
        <is>
          <t>INTEGRATION</t>
        </is>
      </c>
      <c r="J160" s="14" t="inlineStr">
        <is>
          <t>Project</t>
        </is>
      </c>
      <c r="K160" s="14" t="inlineStr">
        <is>
          <t>GST 10%</t>
        </is>
      </c>
      <c r="L160" s="16" t="n">
        <v>1161</v>
      </c>
      <c r="M160" s="17">
        <f>IF(L160="","",IF(K160="GST 10%",ROUND(L160*set_GSTRate,2),0))</f>
        <v/>
      </c>
      <c r="N160" s="17">
        <f>IF(L160="","",L160+M160)</f>
        <v/>
      </c>
      <c r="O160" s="14" t="inlineStr">
        <is>
          <t>42300</t>
        </is>
      </c>
      <c r="P160" s="14" t="inlineStr">
        <is>
          <t>Y</t>
        </is>
      </c>
      <c r="Q160" s="14" t="inlineStr">
        <is>
          <t>N</t>
        </is>
      </c>
      <c r="R160" s="12" t="n"/>
      <c r="S160" s="12" t="n"/>
      <c r="T160" s="14" t="inlineStr">
        <is>
          <t>Paid</t>
        </is>
      </c>
      <c r="U160" s="14" t="n"/>
      <c r="V160" s="1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row>
    <row r="161" ht="15" customHeight="1">
      <c r="A161" s="12" t="n">
        <v>46233</v>
      </c>
      <c r="B161" s="13">
        <f>IF(A161="","",EOMONTH(A161,0))</f>
        <v/>
      </c>
      <c r="C161" s="14" t="inlineStr">
        <is>
          <t>INV-10546</t>
        </is>
      </c>
      <c r="D161" s="14" t="inlineStr">
        <is>
          <t>DTTL</t>
        </is>
      </c>
      <c r="E161" s="14" t="inlineStr">
        <is>
          <t>26061501</t>
        </is>
      </c>
      <c r="F161" s="15">
        <f>IF(E161="","",IF(COUNTIF(lst_Jobs,E161&amp;"")&gt;0,"OK","CHECK"))</f>
        <v/>
      </c>
      <c r="G161" s="14" t="inlineStr">
        <is>
          <t>MEL Lv29 Display Supply</t>
        </is>
      </c>
      <c r="H161" s="14" t="inlineStr">
        <is>
          <t>Consulting</t>
        </is>
      </c>
      <c r="I161" s="14" t="inlineStr">
        <is>
          <t>INTEGRATION</t>
        </is>
      </c>
      <c r="J161" s="14" t="inlineStr">
        <is>
          <t>Project</t>
        </is>
      </c>
      <c r="K161" s="14" t="inlineStr">
        <is>
          <t>GST 10%</t>
        </is>
      </c>
      <c r="L161" s="16" t="n">
        <v>3890</v>
      </c>
      <c r="M161" s="17">
        <f>IF(L161="","",IF(K161="GST 10%",ROUND(L161*set_GSTRate,2),0))</f>
        <v/>
      </c>
      <c r="N161" s="17">
        <f>IF(L161="","",L161+M161)</f>
        <v/>
      </c>
      <c r="O161" s="14" t="inlineStr">
        <is>
          <t>42300</t>
        </is>
      </c>
      <c r="P161" s="14" t="inlineStr">
        <is>
          <t>Y</t>
        </is>
      </c>
      <c r="Q161" s="14" t="inlineStr">
        <is>
          <t>N</t>
        </is>
      </c>
      <c r="R161" s="12" t="n"/>
      <c r="S161" s="12" t="n"/>
      <c r="T161" s="14" t="inlineStr">
        <is>
          <t>Paid</t>
        </is>
      </c>
      <c r="U161" s="14" t="n"/>
      <c r="V161" s="1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row>
    <row r="162" ht="15" customHeight="1">
      <c r="A162" s="12" t="n">
        <v>46233</v>
      </c>
      <c r="B162" s="13">
        <f>IF(A162="","",EOMONTH(A162,0))</f>
        <v/>
      </c>
      <c r="C162" s="14" t="inlineStr">
        <is>
          <t>INV-10546</t>
        </is>
      </c>
      <c r="D162" s="14" t="inlineStr">
        <is>
          <t>DTTL</t>
        </is>
      </c>
      <c r="E162" s="14" t="inlineStr">
        <is>
          <t>2605605</t>
        </is>
      </c>
      <c r="F162" s="15">
        <f>IF(E162="","",IF(COUNTIF(lst_Jobs,E162&amp;"")&gt;0,"OK","CHECK"))</f>
        <v/>
      </c>
      <c r="G162" s="14" t="inlineStr">
        <is>
          <t>HBA AV Fitout</t>
        </is>
      </c>
      <c r="H162" s="14" t="inlineStr">
        <is>
          <t>Consulting</t>
        </is>
      </c>
      <c r="I162" s="14" t="inlineStr">
        <is>
          <t>INTEGRATION</t>
        </is>
      </c>
      <c r="J162" s="14" t="inlineStr">
        <is>
          <t>Project</t>
        </is>
      </c>
      <c r="K162" s="14" t="inlineStr">
        <is>
          <t>GST 10%</t>
        </is>
      </c>
      <c r="L162" s="16" t="n">
        <v>60348</v>
      </c>
      <c r="M162" s="17">
        <f>IF(L162="","",IF(K162="GST 10%",ROUND(L162*set_GSTRate,2),0))</f>
        <v/>
      </c>
      <c r="N162" s="17">
        <f>IF(L162="","",L162+M162)</f>
        <v/>
      </c>
      <c r="O162" s="14" t="inlineStr">
        <is>
          <t>42300</t>
        </is>
      </c>
      <c r="P162" s="14" t="inlineStr">
        <is>
          <t>Y</t>
        </is>
      </c>
      <c r="Q162" s="14" t="inlineStr">
        <is>
          <t>N</t>
        </is>
      </c>
      <c r="R162" s="12" t="n"/>
      <c r="S162" s="12" t="n"/>
      <c r="T162" s="14" t="inlineStr">
        <is>
          <t>To Invoice</t>
        </is>
      </c>
      <c r="U162" s="14" t="n"/>
      <c r="V162" s="1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row>
    <row r="163" ht="15" customHeight="1">
      <c r="A163" s="12" t="n">
        <v>46233</v>
      </c>
      <c r="B163" s="13">
        <f>IF(A163="","",EOMONTH(A163,0))</f>
        <v/>
      </c>
      <c r="C163" s="14" t="inlineStr">
        <is>
          <t>INV-10546</t>
        </is>
      </c>
      <c r="D163" s="14" t="inlineStr">
        <is>
          <t>DTTL</t>
        </is>
      </c>
      <c r="E163" s="14" t="inlineStr">
        <is>
          <t>26052003</t>
        </is>
      </c>
      <c r="F163" s="15">
        <f>IF(E163="","",IF(COUNTIF(lst_Jobs,E163&amp;"")&gt;0,"OK","CHECK"))</f>
        <v/>
      </c>
      <c r="G163" s="14" t="inlineStr">
        <is>
          <t>SYD Mobile Display Supply</t>
        </is>
      </c>
      <c r="H163" s="14" t="inlineStr">
        <is>
          <t>Consulting</t>
        </is>
      </c>
      <c r="I163" s="14" t="inlineStr">
        <is>
          <t>INTEGRATION</t>
        </is>
      </c>
      <c r="J163" s="14" t="inlineStr">
        <is>
          <t>Project</t>
        </is>
      </c>
      <c r="K163" s="14" t="inlineStr">
        <is>
          <t>GST 10%</t>
        </is>
      </c>
      <c r="L163" s="16" t="n">
        <v>7705</v>
      </c>
      <c r="M163" s="17">
        <f>IF(L163="","",IF(K163="GST 10%",ROUND(L163*set_GSTRate,2),0))</f>
        <v/>
      </c>
      <c r="N163" s="17">
        <f>IF(L163="","",L163+M163)</f>
        <v/>
      </c>
      <c r="O163" s="14" t="inlineStr">
        <is>
          <t>42300</t>
        </is>
      </c>
      <c r="P163" s="14" t="inlineStr">
        <is>
          <t>Y</t>
        </is>
      </c>
      <c r="Q163" s="14" t="inlineStr">
        <is>
          <t>N</t>
        </is>
      </c>
      <c r="R163" s="12" t="n"/>
      <c r="S163" s="12" t="n"/>
      <c r="T163" s="14" t="inlineStr">
        <is>
          <t>Paid</t>
        </is>
      </c>
      <c r="U163" s="14" t="inlineStr">
        <is>
          <t>Variation for slot in PC's</t>
        </is>
      </c>
      <c r="V163" s="1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row>
    <row r="164" ht="15" customHeight="1">
      <c r="A164" s="12" t="n">
        <v>46234</v>
      </c>
      <c r="B164" s="13">
        <f>IF(A164="","",EOMONTH(A164,0))</f>
        <v/>
      </c>
      <c r="C164" s="14" t="inlineStr">
        <is>
          <t>INV-10549</t>
        </is>
      </c>
      <c r="D164" s="14" t="inlineStr">
        <is>
          <t>Aware Super</t>
        </is>
      </c>
      <c r="E164" s="14" t="inlineStr">
        <is>
          <t>26072101</t>
        </is>
      </c>
      <c r="F164" s="15">
        <f>IF(E164="","",IF(COUNTIF(lst_Jobs,E164&amp;"")&gt;0,"OK","CHECK"))</f>
        <v/>
      </c>
      <c r="G164" s="14" t="inlineStr">
        <is>
          <t>MEL 17.02 Amp Replacement</t>
        </is>
      </c>
      <c r="H164" s="14" t="inlineStr">
        <is>
          <t>Consulting</t>
        </is>
      </c>
      <c r="I164" s="14" t="inlineStr">
        <is>
          <t>INTEGRATION</t>
        </is>
      </c>
      <c r="J164" s="14" t="inlineStr">
        <is>
          <t>Project</t>
        </is>
      </c>
      <c r="K164" s="14" t="inlineStr">
        <is>
          <t>GST 10%</t>
        </is>
      </c>
      <c r="L164" s="16" t="n">
        <v>6137</v>
      </c>
      <c r="M164" s="17">
        <f>IF(L164="","",IF(K164="GST 10%",ROUND(L164*set_GSTRate,2),0))</f>
        <v/>
      </c>
      <c r="N164" s="17">
        <f>IF(L164="","",L164+M164)</f>
        <v/>
      </c>
      <c r="O164" s="14" t="inlineStr">
        <is>
          <t>42300</t>
        </is>
      </c>
      <c r="P164" s="14" t="inlineStr">
        <is>
          <t>Y</t>
        </is>
      </c>
      <c r="Q164" s="14" t="inlineStr">
        <is>
          <t>N</t>
        </is>
      </c>
      <c r="R164" s="12" t="n"/>
      <c r="S164" s="12" t="n"/>
      <c r="T164" s="14" t="inlineStr">
        <is>
          <t>Paid</t>
        </is>
      </c>
      <c r="U164" s="14" t="n"/>
      <c r="V164" s="1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row>
    <row r="165" ht="15" customHeight="1">
      <c r="A165" s="12" t="n">
        <v>46234</v>
      </c>
      <c r="B165" s="13">
        <f>IF(A165="","",EOMONTH(A165,0))</f>
        <v/>
      </c>
      <c r="C165" s="14" t="inlineStr">
        <is>
          <t>INV-10548</t>
        </is>
      </c>
      <c r="D165" s="14" t="inlineStr">
        <is>
          <t>APA</t>
        </is>
      </c>
      <c r="E165" s="14" t="inlineStr">
        <is>
          <t>2606101</t>
        </is>
      </c>
      <c r="F165" s="15">
        <f>IF(E165="","",IF(COUNTIF(lst_Jobs,E165&amp;"")&gt;0,"OK","CHECK"))</f>
        <v/>
      </c>
      <c r="G165" s="14" t="inlineStr">
        <is>
          <t>Young Eptura Proxyclick Licence Renewal</t>
        </is>
      </c>
      <c r="H165" s="14" t="inlineStr">
        <is>
          <t>Consulting</t>
        </is>
      </c>
      <c r="I165" s="14" t="inlineStr">
        <is>
          <t>INTEGRATION</t>
        </is>
      </c>
      <c r="J165" s="14" t="inlineStr">
        <is>
          <t>Project</t>
        </is>
      </c>
      <c r="K165" s="14" t="inlineStr">
        <is>
          <t>GST 10%</t>
        </is>
      </c>
      <c r="L165" s="16" t="n">
        <v>4205</v>
      </c>
      <c r="M165" s="17">
        <f>IF(L165="","",IF(K165="GST 10%",ROUND(L165*set_GSTRate,2),0))</f>
        <v/>
      </c>
      <c r="N165" s="17">
        <f>IF(L165="","",L165+M165)</f>
        <v/>
      </c>
      <c r="O165" s="14" t="inlineStr">
        <is>
          <t>42300</t>
        </is>
      </c>
      <c r="P165" s="14" t="inlineStr">
        <is>
          <t>Y</t>
        </is>
      </c>
      <c r="Q165" s="14" t="inlineStr">
        <is>
          <t>N</t>
        </is>
      </c>
      <c r="R165" s="12" t="n"/>
      <c r="S165" s="12" t="n"/>
      <c r="T165" s="14" t="inlineStr">
        <is>
          <t>Paid</t>
        </is>
      </c>
      <c r="U165" s="14" t="inlineStr">
        <is>
          <t>01/03/2027 to 29/02/2028</t>
        </is>
      </c>
      <c r="V165" s="1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row>
    <row r="166" ht="15" customHeight="1">
      <c r="A166" s="12" t="n">
        <v>46234</v>
      </c>
      <c r="B166" s="13">
        <f>IF(A166="","",EOMONTH(A166,0))</f>
        <v/>
      </c>
      <c r="C166" s="14" t="inlineStr">
        <is>
          <t>INV-10547</t>
        </is>
      </c>
      <c r="D166" s="14" t="inlineStr">
        <is>
          <t>YSG Studio</t>
        </is>
      </c>
      <c r="E166" s="14" t="inlineStr">
        <is>
          <t>26071304</t>
        </is>
      </c>
      <c r="F166" s="15">
        <f>IF(E166="","",IF(COUNTIF(lst_Jobs,E166&amp;"")&gt;0,"OK","CHECK"))</f>
        <v/>
      </c>
      <c r="G166" s="14" t="inlineStr">
        <is>
          <t>Orange Room Upgrade INT</t>
        </is>
      </c>
      <c r="H166" s="14" t="inlineStr">
        <is>
          <t>Consulting</t>
        </is>
      </c>
      <c r="I166" s="14" t="inlineStr">
        <is>
          <t>INTEGRATION</t>
        </is>
      </c>
      <c r="J166" s="14" t="inlineStr">
        <is>
          <t>Project</t>
        </is>
      </c>
      <c r="K166" s="14" t="inlineStr">
        <is>
          <t>GST 10%</t>
        </is>
      </c>
      <c r="L166" s="16" t="n">
        <v>4702</v>
      </c>
      <c r="M166" s="17">
        <f>IF(L166="","",IF(K166="GST 10%",ROUND(L166*set_GSTRate,2),0))</f>
        <v/>
      </c>
      <c r="N166" s="17">
        <f>IF(L166="","",L166+M166)</f>
        <v/>
      </c>
      <c r="O166" s="14" t="inlineStr">
        <is>
          <t>42300</t>
        </is>
      </c>
      <c r="P166" s="14" t="inlineStr">
        <is>
          <t>Y</t>
        </is>
      </c>
      <c r="Q166" s="14" t="inlineStr">
        <is>
          <t>N</t>
        </is>
      </c>
      <c r="R166" s="12" t="n"/>
      <c r="S166" s="12" t="n"/>
      <c r="T166" s="14" t="inlineStr">
        <is>
          <t>Paid</t>
        </is>
      </c>
      <c r="U166" s="14" t="inlineStr">
        <is>
          <t>Invoice 1/2 Equipment only</t>
        </is>
      </c>
      <c r="V166" s="1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row>
    <row r="167" ht="15" customHeight="1">
      <c r="A167" s="12" t="n">
        <v>46274</v>
      </c>
      <c r="B167" s="13">
        <f>IF(A167="","",EOMONTH(A167,0))</f>
        <v/>
      </c>
      <c r="C167" s="14" t="inlineStr">
        <is>
          <t>To be invoiced 9th Sept 26</t>
        </is>
      </c>
      <c r="D167" s="14" t="inlineStr">
        <is>
          <t>Aware Super</t>
        </is>
      </c>
      <c r="E167" s="14" t="inlineStr">
        <is>
          <t>2604704</t>
        </is>
      </c>
      <c r="F167" s="15">
        <f>IF(E167="","",IF(COUNTIF(lst_Jobs,E167&amp;"")&gt;0,"OK","CHECK"))</f>
        <v/>
      </c>
      <c r="G167" s="14" t="inlineStr">
        <is>
          <t>SYD Seminar Room Audio Upgrade</t>
        </is>
      </c>
      <c r="H167" s="14" t="inlineStr">
        <is>
          <t>Consulting</t>
        </is>
      </c>
      <c r="I167" s="14" t="inlineStr">
        <is>
          <t>INTEGRATION</t>
        </is>
      </c>
      <c r="J167" s="14" t="inlineStr">
        <is>
          <t>Project</t>
        </is>
      </c>
      <c r="K167" s="14" t="inlineStr">
        <is>
          <t>GST 10%</t>
        </is>
      </c>
      <c r="L167" s="16" t="n">
        <v>202647</v>
      </c>
      <c r="M167" s="17">
        <f>IF(L167="","",IF(K167="GST 10%",ROUND(L167*set_GSTRate,2),0))</f>
        <v/>
      </c>
      <c r="N167" s="17">
        <f>IF(L167="","",L167+M167)</f>
        <v/>
      </c>
      <c r="O167" s="14" t="inlineStr">
        <is>
          <t>42300</t>
        </is>
      </c>
      <c r="P167" s="14" t="inlineStr">
        <is>
          <t>Y</t>
        </is>
      </c>
      <c r="Q167" s="14" t="inlineStr">
        <is>
          <t>N</t>
        </is>
      </c>
      <c r="R167" s="12" t="n"/>
      <c r="S167" s="12" t="n"/>
      <c r="T167" s="14" t="inlineStr">
        <is>
          <t>Invoiced</t>
        </is>
      </c>
      <c r="U167" s="14" t="n"/>
      <c r="V167" s="1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row>
    <row r="168" ht="15" customHeight="1">
      <c r="A168" s="12" t="n">
        <v>46254</v>
      </c>
      <c r="B168" s="13">
        <f>IF(A168="","",EOMONTH(A168,0))</f>
        <v/>
      </c>
      <c r="C168" s="14" t="inlineStr">
        <is>
          <t>INV-10575</t>
        </is>
      </c>
      <c r="D168" s="14" t="inlineStr">
        <is>
          <t>HP Poly - Data#3</t>
        </is>
      </c>
      <c r="E168" s="14" t="inlineStr">
        <is>
          <t>26052102</t>
        </is>
      </c>
      <c r="F168" s="15">
        <f>IF(E168="","",IF(COUNTIF(lst_Jobs,E168&amp;"")&gt;0,"OK","CHECK"))</f>
        <v/>
      </c>
      <c r="G168" s="14" t="inlineStr">
        <is>
          <t>AUSTRAC Phone Mods</t>
        </is>
      </c>
      <c r="H168" s="14" t="inlineStr">
        <is>
          <t>Consulting</t>
        </is>
      </c>
      <c r="I168" s="14" t="inlineStr">
        <is>
          <t>INTEGRATION</t>
        </is>
      </c>
      <c r="J168" s="14" t="inlineStr">
        <is>
          <t>Project</t>
        </is>
      </c>
      <c r="K168" s="14" t="inlineStr">
        <is>
          <t>GST 10%</t>
        </is>
      </c>
      <c r="L168" s="16" t="n">
        <v>45909</v>
      </c>
      <c r="M168" s="17">
        <f>IF(L168="","",IF(K168="GST 10%",ROUND(L168*set_GSTRate,2),0))</f>
        <v/>
      </c>
      <c r="N168" s="17">
        <f>IF(L168="","",L168+M168)</f>
        <v/>
      </c>
      <c r="O168" s="14" t="inlineStr">
        <is>
          <t>42300</t>
        </is>
      </c>
      <c r="P168" s="14" t="inlineStr">
        <is>
          <t>Y</t>
        </is>
      </c>
      <c r="Q168" s="14" t="inlineStr">
        <is>
          <t>N</t>
        </is>
      </c>
      <c r="R168" s="12" t="n"/>
      <c r="S168" s="12" t="n"/>
      <c r="T168" s="14" t="inlineStr">
        <is>
          <t>Paid</t>
        </is>
      </c>
      <c r="U168" s="14" t="n"/>
      <c r="V168" s="1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row>
    <row r="169" ht="15" customHeight="1">
      <c r="A169" s="12" t="n">
        <v>46237</v>
      </c>
      <c r="B169" s="13">
        <f>IF(A169="","",EOMONTH(A169,0))</f>
        <v/>
      </c>
      <c r="C169" s="14" t="inlineStr">
        <is>
          <t>INV-10553</t>
        </is>
      </c>
      <c r="D169" s="14" t="inlineStr">
        <is>
          <t>Aware Super</t>
        </is>
      </c>
      <c r="E169" s="14" t="inlineStr">
        <is>
          <t>26052701</t>
        </is>
      </c>
      <c r="F169" s="15">
        <f>IF(E169="","",IF(COUNTIF(lst_Jobs,E169&amp;"")&gt;0,"OK","CHECK"))</f>
        <v/>
      </c>
      <c r="G169" s="14" t="inlineStr">
        <is>
          <t>SYD 28.06 Equipment</t>
        </is>
      </c>
      <c r="H169" s="14" t="inlineStr">
        <is>
          <t>Consulting</t>
        </is>
      </c>
      <c r="I169" s="14" t="inlineStr">
        <is>
          <t>INTEGRATION</t>
        </is>
      </c>
      <c r="J169" s="14" t="inlineStr">
        <is>
          <t>Project</t>
        </is>
      </c>
      <c r="K169" s="14" t="inlineStr">
        <is>
          <t>GST 10%</t>
        </is>
      </c>
      <c r="L169" s="16" t="n">
        <v>12271</v>
      </c>
      <c r="M169" s="17">
        <f>IF(L169="","",IF(K169="GST 10%",ROUND(L169*set_GSTRate,2),0))</f>
        <v/>
      </c>
      <c r="N169" s="17">
        <f>IF(L169="","",L169+M169)</f>
        <v/>
      </c>
      <c r="O169" s="14" t="inlineStr">
        <is>
          <t>42300</t>
        </is>
      </c>
      <c r="P169" s="14" t="inlineStr">
        <is>
          <t>Y</t>
        </is>
      </c>
      <c r="Q169" s="14" t="inlineStr">
        <is>
          <t>N</t>
        </is>
      </c>
      <c r="R169" s="12" t="n"/>
      <c r="S169" s="12" t="n"/>
      <c r="T169" s="14" t="inlineStr">
        <is>
          <t>Invoiced</t>
        </is>
      </c>
      <c r="U169" s="14" t="n"/>
      <c r="V169" s="1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row>
    <row r="170" ht="15" customHeight="1">
      <c r="A170" s="12" t="n">
        <v>46261</v>
      </c>
      <c r="B170" s="13">
        <f>IF(A170="","",EOMONTH(A170,0))</f>
        <v/>
      </c>
      <c r="C170" s="14" t="inlineStr">
        <is>
          <t>INV-10601</t>
        </is>
      </c>
      <c r="D170" s="14" t="inlineStr">
        <is>
          <t>YSG Studio</t>
        </is>
      </c>
      <c r="E170" s="14" t="inlineStr">
        <is>
          <t>26071304</t>
        </is>
      </c>
      <c r="F170" s="15">
        <f>IF(E170="","",IF(COUNTIF(lst_Jobs,E170&amp;"")&gt;0,"OK","CHECK"))</f>
        <v/>
      </c>
      <c r="G170" s="14" t="inlineStr">
        <is>
          <t>Orange Room Upgrade INT</t>
        </is>
      </c>
      <c r="H170" s="14" t="inlineStr">
        <is>
          <t>Consulting</t>
        </is>
      </c>
      <c r="I170" s="14" t="inlineStr">
        <is>
          <t>INTEGRATION</t>
        </is>
      </c>
      <c r="J170" s="14" t="inlineStr">
        <is>
          <t>Project</t>
        </is>
      </c>
      <c r="K170" s="14" t="inlineStr">
        <is>
          <t>GST 10%</t>
        </is>
      </c>
      <c r="L170" s="16" t="n">
        <v>4462</v>
      </c>
      <c r="M170" s="17">
        <f>IF(L170="","",IF(K170="GST 10%",ROUND(L170*set_GSTRate,2),0))</f>
        <v/>
      </c>
      <c r="N170" s="17">
        <f>IF(L170="","",L170+M170)</f>
        <v/>
      </c>
      <c r="O170" s="14" t="inlineStr">
        <is>
          <t>42300</t>
        </is>
      </c>
      <c r="P170" s="14" t="inlineStr">
        <is>
          <t>Y</t>
        </is>
      </c>
      <c r="Q170" s="14" t="inlineStr">
        <is>
          <t>N</t>
        </is>
      </c>
      <c r="R170" s="12" t="n"/>
      <c r="S170" s="12" t="n"/>
      <c r="T170" s="14" t="inlineStr">
        <is>
          <t>Paid</t>
        </is>
      </c>
      <c r="U170" s="14" t="inlineStr">
        <is>
          <t>2/2 Labour only</t>
        </is>
      </c>
      <c r="V170" s="1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row>
    <row r="171" ht="15" customHeight="1">
      <c r="A171" s="12" t="n">
        <v>46253</v>
      </c>
      <c r="B171" s="13">
        <f>IF(A171="","",EOMONTH(A171,0))</f>
        <v/>
      </c>
      <c r="C171" s="14" t="inlineStr">
        <is>
          <t>INV-10564</t>
        </is>
      </c>
      <c r="D171" s="14" t="inlineStr">
        <is>
          <t>Aware Super</t>
        </is>
      </c>
      <c r="E171" s="14" t="inlineStr">
        <is>
          <t>26062902</t>
        </is>
      </c>
      <c r="F171" s="15">
        <f>IF(E171="","",IF(COUNTIF(lst_Jobs,E171&amp;"")&gt;0,"OK","CHECK"))</f>
        <v/>
      </c>
      <c r="G171" s="14" t="inlineStr">
        <is>
          <t>SYD Occupancy Sensors</t>
        </is>
      </c>
      <c r="H171" s="14" t="inlineStr">
        <is>
          <t>Consulting</t>
        </is>
      </c>
      <c r="I171" s="14" t="inlineStr">
        <is>
          <t>INTEGRATION</t>
        </is>
      </c>
      <c r="J171" s="14" t="inlineStr">
        <is>
          <t>Project</t>
        </is>
      </c>
      <c r="K171" s="14" t="inlineStr">
        <is>
          <t>GST 10%</t>
        </is>
      </c>
      <c r="L171" s="16" t="n">
        <v>3489</v>
      </c>
      <c r="M171" s="17">
        <f>IF(L171="","",IF(K171="GST 10%",ROUND(L171*set_GSTRate,2),0))</f>
        <v/>
      </c>
      <c r="N171" s="17">
        <f>IF(L171="","",L171+M171)</f>
        <v/>
      </c>
      <c r="O171" s="14" t="inlineStr">
        <is>
          <t>42300</t>
        </is>
      </c>
      <c r="P171" s="14" t="inlineStr">
        <is>
          <t>Y</t>
        </is>
      </c>
      <c r="Q171" s="14" t="inlineStr">
        <is>
          <t>N</t>
        </is>
      </c>
      <c r="R171" s="12" t="n"/>
      <c r="S171" s="12" t="n"/>
      <c r="T171" s="14" t="inlineStr">
        <is>
          <t>Paid</t>
        </is>
      </c>
      <c r="U171" s="14" t="inlineStr">
        <is>
          <t>Invoice 1/2 Equipment only</t>
        </is>
      </c>
      <c r="V171" s="1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row>
    <row r="172" ht="15" customHeight="1">
      <c r="A172" s="12" t="n"/>
      <c r="B172" s="13">
        <f>IF(A172="","",EOMONTH(A172,0))</f>
        <v/>
      </c>
      <c r="C172" s="14" t="n"/>
      <c r="D172" s="14" t="inlineStr">
        <is>
          <t>Aware Super</t>
        </is>
      </c>
      <c r="E172" s="14" t="inlineStr">
        <is>
          <t>26062902</t>
        </is>
      </c>
      <c r="F172" s="15">
        <f>IF(E172="","",IF(COUNTIF(lst_Jobs,E172&amp;"")&gt;0,"OK","CHECK"))</f>
        <v/>
      </c>
      <c r="G172" s="14" t="inlineStr">
        <is>
          <t>SYD Occupancy Sensors</t>
        </is>
      </c>
      <c r="H172" s="14" t="inlineStr">
        <is>
          <t>Consulting</t>
        </is>
      </c>
      <c r="I172" s="14" t="inlineStr">
        <is>
          <t>INTEGRATION</t>
        </is>
      </c>
      <c r="J172" s="14" t="inlineStr">
        <is>
          <t>Project</t>
        </is>
      </c>
      <c r="K172" s="14" t="inlineStr">
        <is>
          <t>GST 10%</t>
        </is>
      </c>
      <c r="L172" s="16" t="n">
        <v>2707</v>
      </c>
      <c r="M172" s="17">
        <f>IF(L172="","",IF(K172="GST 10%",ROUND(L172*set_GSTRate,2),0))</f>
        <v/>
      </c>
      <c r="N172" s="17">
        <f>IF(L172="","",L172+M172)</f>
        <v/>
      </c>
      <c r="O172" s="14" t="inlineStr">
        <is>
          <t>42300</t>
        </is>
      </c>
      <c r="P172" s="14" t="inlineStr">
        <is>
          <t>N</t>
        </is>
      </c>
      <c r="Q172" s="14" t="inlineStr">
        <is>
          <t>N</t>
        </is>
      </c>
      <c r="R172" s="12" t="n"/>
      <c r="S172" s="12" t="n"/>
      <c r="T172" s="14" t="inlineStr">
        <is>
          <t>To Invoice</t>
        </is>
      </c>
      <c r="U172" s="14" t="inlineStr">
        <is>
          <t>2/2 Labour only; Not invoiced yet</t>
        </is>
      </c>
      <c r="V172" s="1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row>
    <row r="173" ht="15" customHeight="1">
      <c r="A173" s="12" t="n"/>
      <c r="B173" s="13">
        <f>IF(A173="","",EOMONTH(A173,0))</f>
        <v/>
      </c>
      <c r="C173" s="14" t="n"/>
      <c r="D173" s="14" t="inlineStr">
        <is>
          <t>Aware Super</t>
        </is>
      </c>
      <c r="E173" s="14" t="inlineStr">
        <is>
          <t>26062901</t>
        </is>
      </c>
      <c r="F173" s="15">
        <f>IF(E173="","",IF(COUNTIF(lst_Jobs,E173&amp;"")&gt;0,"OK","CHECK"))</f>
        <v/>
      </c>
      <c r="G173" s="14" t="inlineStr">
        <is>
          <t>Aware | SYD 28.06 Services</t>
        </is>
      </c>
      <c r="H173" s="14" t="inlineStr">
        <is>
          <t>Consulting</t>
        </is>
      </c>
      <c r="I173" s="14" t="inlineStr">
        <is>
          <t>INTEGRATION</t>
        </is>
      </c>
      <c r="J173" s="14" t="inlineStr">
        <is>
          <t>Project</t>
        </is>
      </c>
      <c r="K173" s="14" t="inlineStr">
        <is>
          <t>GST 10%</t>
        </is>
      </c>
      <c r="L173" s="16" t="n">
        <v>4631</v>
      </c>
      <c r="M173" s="17">
        <f>IF(L173="","",IF(K173="GST 10%",ROUND(L173*set_GSTRate,2),0))</f>
        <v/>
      </c>
      <c r="N173" s="17">
        <f>IF(L173="","",L173+M173)</f>
        <v/>
      </c>
      <c r="O173" s="14" t="inlineStr">
        <is>
          <t>42300</t>
        </is>
      </c>
      <c r="P173" s="14" t="inlineStr">
        <is>
          <t>N</t>
        </is>
      </c>
      <c r="Q173" s="14" t="inlineStr">
        <is>
          <t>N</t>
        </is>
      </c>
      <c r="R173" s="12" t="n"/>
      <c r="S173" s="12" t="n"/>
      <c r="T173" s="14" t="inlineStr">
        <is>
          <t>To Invoice</t>
        </is>
      </c>
      <c r="U173" s="14" t="n"/>
      <c r="V173" s="1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row>
    <row r="174" ht="15" customHeight="1">
      <c r="A174" s="12" t="n">
        <v>46254</v>
      </c>
      <c r="B174" s="13">
        <f>IF(A174="","",EOMONTH(A174,0))</f>
        <v/>
      </c>
      <c r="C174" s="14" t="inlineStr">
        <is>
          <t>INV-10574</t>
        </is>
      </c>
      <c r="D174" s="14" t="inlineStr">
        <is>
          <t>AusPayNet</t>
        </is>
      </c>
      <c r="E174" s="14" t="inlineStr">
        <is>
          <t>26081901</t>
        </is>
      </c>
      <c r="F174" s="15">
        <f>IF(E174="","",IF(COUNTIF(lst_Jobs,E174&amp;"")&gt;0,"OK","CHECK"))</f>
        <v/>
      </c>
      <c r="G174" s="14" t="inlineStr">
        <is>
          <t>Logi Subscription</t>
        </is>
      </c>
      <c r="H174" s="14" t="inlineStr">
        <is>
          <t>Consulting</t>
        </is>
      </c>
      <c r="I174" s="14" t="inlineStr">
        <is>
          <t>INTEGRATION</t>
        </is>
      </c>
      <c r="J174" s="14" t="inlineStr">
        <is>
          <t>Project</t>
        </is>
      </c>
      <c r="K174" s="14" t="inlineStr">
        <is>
          <t>GST 10%</t>
        </is>
      </c>
      <c r="L174" s="16" t="n">
        <v>993</v>
      </c>
      <c r="M174" s="17">
        <f>IF(L174="","",IF(K174="GST 10%",ROUND(L174*set_GSTRate,2),0))</f>
        <v/>
      </c>
      <c r="N174" s="17">
        <f>IF(L174="","",L174+M174)</f>
        <v/>
      </c>
      <c r="O174" s="14" t="inlineStr">
        <is>
          <t>42300</t>
        </is>
      </c>
      <c r="P174" s="14" t="inlineStr">
        <is>
          <t>Y</t>
        </is>
      </c>
      <c r="Q174" s="14" t="inlineStr">
        <is>
          <t>N</t>
        </is>
      </c>
      <c r="R174" s="12" t="n"/>
      <c r="S174" s="12" t="n"/>
      <c r="T174" s="14" t="inlineStr">
        <is>
          <t>Paid</t>
        </is>
      </c>
      <c r="U174" s="14" t="n"/>
      <c r="V174" s="1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row>
    <row r="175" ht="15" customHeight="1">
      <c r="A175" s="12" t="n"/>
      <c r="B175" s="13">
        <f>IF(A175="","",EOMONTH(A175,0))</f>
        <v/>
      </c>
      <c r="C175" s="14" t="n"/>
      <c r="D175" s="14" t="inlineStr">
        <is>
          <t>Aware Super</t>
        </is>
      </c>
      <c r="E175" s="14" t="inlineStr">
        <is>
          <t>26071601</t>
        </is>
      </c>
      <c r="F175" s="15">
        <f>IF(E175="","",IF(COUNTIF(lst_Jobs,E175&amp;"")&gt;0,"OK","CHECK"))</f>
        <v/>
      </c>
      <c r="G175" s="14" t="inlineStr">
        <is>
          <t>PER USB-C Cable Replacement</t>
        </is>
      </c>
      <c r="H175" s="14" t="inlineStr">
        <is>
          <t>Consulting</t>
        </is>
      </c>
      <c r="I175" s="14" t="inlineStr">
        <is>
          <t>INTEGRATION</t>
        </is>
      </c>
      <c r="J175" s="14" t="inlineStr">
        <is>
          <t>Project</t>
        </is>
      </c>
      <c r="K175" s="14" t="inlineStr">
        <is>
          <t>GST 10%</t>
        </is>
      </c>
      <c r="L175" s="16" t="n">
        <v>2957</v>
      </c>
      <c r="M175" s="17">
        <f>IF(L175="","",IF(K175="GST 10%",ROUND(L175*set_GSTRate,2),0))</f>
        <v/>
      </c>
      <c r="N175" s="17">
        <f>IF(L175="","",L175+M175)</f>
        <v/>
      </c>
      <c r="O175" s="14" t="inlineStr">
        <is>
          <t>42300</t>
        </is>
      </c>
      <c r="P175" s="14" t="inlineStr">
        <is>
          <t>N</t>
        </is>
      </c>
      <c r="Q175" s="14" t="inlineStr">
        <is>
          <t>N</t>
        </is>
      </c>
      <c r="R175" s="12" t="n"/>
      <c r="S175" s="12" t="n"/>
      <c r="T175" s="14" t="inlineStr">
        <is>
          <t>To Invoice</t>
        </is>
      </c>
      <c r="U175" s="14" t="n"/>
      <c r="V175" s="1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row>
    <row r="176" ht="15" customHeight="1">
      <c r="A176" s="12" t="n">
        <v>46267</v>
      </c>
      <c r="B176" s="13">
        <f>IF(A176="","",EOMONTH(A176,0))</f>
        <v/>
      </c>
      <c r="C176" s="14" t="inlineStr">
        <is>
          <t>INV-10619</t>
        </is>
      </c>
      <c r="D176" s="14" t="inlineStr">
        <is>
          <t>Aware Super</t>
        </is>
      </c>
      <c r="E176" s="14" t="inlineStr">
        <is>
          <t>26062503</t>
        </is>
      </c>
      <c r="F176" s="15">
        <f>IF(E176="","",IF(COUNTIF(lst_Jobs,E176&amp;"")&gt;0,"OK","CHECK"))</f>
        <v/>
      </c>
      <c r="G176" s="14" t="inlineStr">
        <is>
          <t>24.16 UC Engine Reimaging</t>
        </is>
      </c>
      <c r="H176" s="14" t="inlineStr">
        <is>
          <t>Consulting</t>
        </is>
      </c>
      <c r="I176" s="14" t="inlineStr">
        <is>
          <t>INTEGRATION</t>
        </is>
      </c>
      <c r="J176" s="14" t="inlineStr">
        <is>
          <t>Project</t>
        </is>
      </c>
      <c r="K176" s="14" t="inlineStr">
        <is>
          <t>GST 10%</t>
        </is>
      </c>
      <c r="L176" s="16" t="n">
        <v>671</v>
      </c>
      <c r="M176" s="17">
        <f>IF(L176="","",IF(K176="GST 10%",ROUND(L176*set_GSTRate,2),0))</f>
        <v/>
      </c>
      <c r="N176" s="17">
        <f>IF(L176="","",L176+M176)</f>
        <v/>
      </c>
      <c r="O176" s="14" t="inlineStr">
        <is>
          <t>42300</t>
        </is>
      </c>
      <c r="P176" s="14" t="inlineStr">
        <is>
          <t>Y</t>
        </is>
      </c>
      <c r="Q176" s="14" t="inlineStr">
        <is>
          <t>N</t>
        </is>
      </c>
      <c r="R176" s="12" t="n"/>
      <c r="S176" s="12" t="n"/>
      <c r="T176" s="14" t="inlineStr">
        <is>
          <t>To Invoice</t>
        </is>
      </c>
      <c r="U176" s="14" t="n"/>
      <c r="V176" s="1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row>
    <row r="177" ht="15" customHeight="1">
      <c r="A177" s="12" t="n">
        <v>46275</v>
      </c>
      <c r="B177" s="13">
        <f>IF(A177="","",EOMONTH(A177,0))</f>
        <v/>
      </c>
      <c r="C177" s="14" t="inlineStr">
        <is>
          <t>INV-10622</t>
        </is>
      </c>
      <c r="D177" s="14" t="inlineStr">
        <is>
          <t>APA</t>
        </is>
      </c>
      <c r="E177" s="14" t="inlineStr">
        <is>
          <t>25070702</t>
        </is>
      </c>
      <c r="F177" s="15">
        <f>IF(E177="","",IF(COUNTIF(lst_Jobs,E177&amp;"")&gt;0,"OK","CHECK"))</f>
        <v/>
      </c>
      <c r="G177" s="14" t="inlineStr">
        <is>
          <t>APA BNE &amp; NT Year 2 license</t>
        </is>
      </c>
      <c r="H177" s="14" t="inlineStr">
        <is>
          <t>Consulting</t>
        </is>
      </c>
      <c r="I177" s="14" t="inlineStr">
        <is>
          <t>INTEGRATION</t>
        </is>
      </c>
      <c r="J177" s="14" t="inlineStr">
        <is>
          <t>Project</t>
        </is>
      </c>
      <c r="K177" s="14" t="inlineStr">
        <is>
          <t>GST 10%</t>
        </is>
      </c>
      <c r="L177" s="16" t="n">
        <v>3956.77</v>
      </c>
      <c r="M177" s="17">
        <f>IF(L177="","",IF(K177="GST 10%",ROUND(L177*set_GSTRate,2),0))</f>
        <v/>
      </c>
      <c r="N177" s="17">
        <f>IF(L177="","",L177+M177)</f>
        <v/>
      </c>
      <c r="O177" s="14" t="inlineStr">
        <is>
          <t>42300</t>
        </is>
      </c>
      <c r="P177" s="14" t="inlineStr">
        <is>
          <t>Y</t>
        </is>
      </c>
      <c r="Q177" s="14" t="inlineStr">
        <is>
          <t>N</t>
        </is>
      </c>
      <c r="R177" s="12" t="n"/>
      <c r="S177" s="12" t="n"/>
      <c r="T177" s="14" t="inlineStr">
        <is>
          <t>Paid</t>
        </is>
      </c>
      <c r="U177" s="14" t="n"/>
      <c r="V177" s="1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row>
    <row r="178" ht="15" customHeight="1">
      <c r="A178" s="12" t="n"/>
      <c r="B178" s="13">
        <f>IF(A178="","",EOMONTH(A178,0))</f>
        <v/>
      </c>
      <c r="C178" s="14" t="n"/>
      <c r="D178" s="14" t="n"/>
      <c r="E178" s="14" t="n"/>
      <c r="F178" s="15">
        <f>IF(E178="","",IF(COUNTIF(lst_Jobs,E178&amp;"")&gt;0,"OK","CHECK"))</f>
        <v/>
      </c>
      <c r="G178" s="14" t="n"/>
      <c r="H178" s="14" t="n"/>
      <c r="I178" s="14" t="n"/>
      <c r="J178" s="14" t="n"/>
      <c r="K178" s="14" t="n"/>
      <c r="L178" s="16" t="n"/>
      <c r="M178" s="17">
        <f>IF(L178="","",IF(K178="GST 10%",ROUND(L178*set_GSTRate,2),0))</f>
        <v/>
      </c>
      <c r="N178" s="17">
        <f>IF(L178="","",L178+M178)</f>
        <v/>
      </c>
      <c r="O178" s="14" t="n"/>
      <c r="P178" s="14" t="n"/>
      <c r="Q178" s="14" t="n"/>
      <c r="R178" s="12" t="n"/>
      <c r="S178" s="12" t="n"/>
      <c r="T178" s="14" t="n"/>
      <c r="U178" s="14" t="n"/>
      <c r="V178" s="1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row>
    <row r="179" ht="15" customHeight="1">
      <c r="A179" s="12" t="n"/>
      <c r="B179" s="13">
        <f>IF(A179="","",EOMONTH(A179,0))</f>
        <v/>
      </c>
      <c r="C179" s="14" t="n"/>
      <c r="D179" s="14" t="n"/>
      <c r="E179" s="14" t="n"/>
      <c r="F179" s="15">
        <f>IF(E179="","",IF(COUNTIF(lst_Jobs,E179&amp;"")&gt;0,"OK","CHECK"))</f>
        <v/>
      </c>
      <c r="G179" s="14" t="n"/>
      <c r="H179" s="14" t="n"/>
      <c r="I179" s="14" t="n"/>
      <c r="J179" s="14" t="n"/>
      <c r="K179" s="14" t="n"/>
      <c r="L179" s="16" t="n"/>
      <c r="M179" s="17">
        <f>IF(L179="","",IF(K179="GST 10%",ROUND(L179*set_GSTRate,2),0))</f>
        <v/>
      </c>
      <c r="N179" s="17">
        <f>IF(L179="","",L179+M179)</f>
        <v/>
      </c>
      <c r="O179" s="14" t="n"/>
      <c r="P179" s="14" t="n"/>
      <c r="Q179" s="14" t="n"/>
      <c r="R179" s="12" t="n"/>
      <c r="S179" s="12" t="n"/>
      <c r="T179" s="14" t="n"/>
      <c r="U179" s="14" t="n"/>
      <c r="V179" s="1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row>
    <row r="180" ht="15" customHeight="1">
      <c r="A180" s="12" t="n"/>
      <c r="B180" s="13">
        <f>IF(A180="","",EOMONTH(A180,0))</f>
        <v/>
      </c>
      <c r="C180" s="14" t="n"/>
      <c r="D180" s="14" t="n"/>
      <c r="E180" s="14" t="n"/>
      <c r="F180" s="15">
        <f>IF(E180="","",IF(COUNTIF(lst_Jobs,E180&amp;"")&gt;0,"OK","CHECK"))</f>
        <v/>
      </c>
      <c r="G180" s="14" t="n"/>
      <c r="H180" s="14" t="n"/>
      <c r="I180" s="14" t="n"/>
      <c r="J180" s="14" t="n"/>
      <c r="K180" s="14" t="n"/>
      <c r="L180" s="16" t="n"/>
      <c r="M180" s="17">
        <f>IF(L180="","",IF(K180="GST 10%",ROUND(L180*set_GSTRate,2),0))</f>
        <v/>
      </c>
      <c r="N180" s="17">
        <f>IF(L180="","",L180+M180)</f>
        <v/>
      </c>
      <c r="O180" s="14" t="n"/>
      <c r="P180" s="14" t="n"/>
      <c r="Q180" s="14" t="n"/>
      <c r="R180" s="12" t="n"/>
      <c r="S180" s="12" t="n"/>
      <c r="T180" s="14" t="n"/>
      <c r="U180" s="14" t="n"/>
      <c r="V180" s="1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row>
    <row r="181" ht="15" customHeight="1">
      <c r="A181" s="12" t="n"/>
      <c r="B181" s="13">
        <f>IF(A181="","",EOMONTH(A181,0))</f>
        <v/>
      </c>
      <c r="C181" s="14" t="n"/>
      <c r="D181" s="14" t="n"/>
      <c r="E181" s="14" t="n"/>
      <c r="F181" s="15">
        <f>IF(E181="","",IF(COUNTIF(lst_Jobs,E181&amp;"")&gt;0,"OK","CHECK"))</f>
        <v/>
      </c>
      <c r="G181" s="14" t="n"/>
      <c r="H181" s="14" t="n"/>
      <c r="I181" s="14" t="n"/>
      <c r="J181" s="14" t="n"/>
      <c r="K181" s="14" t="n"/>
      <c r="L181" s="16" t="n"/>
      <c r="M181" s="17">
        <f>IF(L181="","",IF(K181="GST 10%",ROUND(L181*set_GSTRate,2),0))</f>
        <v/>
      </c>
      <c r="N181" s="17">
        <f>IF(L181="","",L181+M181)</f>
        <v/>
      </c>
      <c r="O181" s="14" t="n"/>
      <c r="P181" s="14" t="n"/>
      <c r="Q181" s="14" t="n"/>
      <c r="R181" s="12" t="n"/>
      <c r="S181" s="12" t="n"/>
      <c r="T181" s="14" t="n"/>
      <c r="U181" s="14" t="n"/>
      <c r="V181" s="1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row>
    <row r="182" ht="15" customHeight="1">
      <c r="A182" s="12" t="n"/>
      <c r="B182" s="13">
        <f>IF(A182="","",EOMONTH(A182,0))</f>
        <v/>
      </c>
      <c r="C182" s="14" t="n"/>
      <c r="D182" s="14" t="n"/>
      <c r="E182" s="14" t="n"/>
      <c r="F182" s="15">
        <f>IF(E182="","",IF(COUNTIF(lst_Jobs,E182&amp;"")&gt;0,"OK","CHECK"))</f>
        <v/>
      </c>
      <c r="G182" s="14" t="n"/>
      <c r="H182" s="14" t="n"/>
      <c r="I182" s="14" t="n"/>
      <c r="J182" s="14" t="n"/>
      <c r="K182" s="14" t="n"/>
      <c r="L182" s="16" t="n"/>
      <c r="M182" s="17">
        <f>IF(L182="","",IF(K182="GST 10%",ROUND(L182*set_GSTRate,2),0))</f>
        <v/>
      </c>
      <c r="N182" s="17">
        <f>IF(L182="","",L182+M182)</f>
        <v/>
      </c>
      <c r="O182" s="14" t="n"/>
      <c r="P182" s="14" t="n"/>
      <c r="Q182" s="14" t="n"/>
      <c r="R182" s="12" t="n"/>
      <c r="S182" s="12" t="n"/>
      <c r="T182" s="14" t="n"/>
      <c r="U182" s="14" t="n"/>
      <c r="V182" s="1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row>
    <row r="183" ht="15" customHeight="1">
      <c r="A183" s="12" t="n"/>
      <c r="B183" s="13">
        <f>IF(A183="","",EOMONTH(A183,0))</f>
        <v/>
      </c>
      <c r="C183" s="14" t="n"/>
      <c r="D183" s="14" t="n"/>
      <c r="E183" s="14" t="n"/>
      <c r="F183" s="15">
        <f>IF(E183="","",IF(COUNTIF(lst_Jobs,E183&amp;"")&gt;0,"OK","CHECK"))</f>
        <v/>
      </c>
      <c r="G183" s="14" t="n"/>
      <c r="H183" s="14" t="n"/>
      <c r="I183" s="14" t="n"/>
      <c r="J183" s="14" t="n"/>
      <c r="K183" s="14" t="n"/>
      <c r="L183" s="16" t="n"/>
      <c r="M183" s="17">
        <f>IF(L183="","",IF(K183="GST 10%",ROUND(L183*set_GSTRate,2),0))</f>
        <v/>
      </c>
      <c r="N183" s="17">
        <f>IF(L183="","",L183+M183)</f>
        <v/>
      </c>
      <c r="O183" s="14" t="n"/>
      <c r="P183" s="14" t="n"/>
      <c r="Q183" s="14" t="n"/>
      <c r="R183" s="12" t="n"/>
      <c r="S183" s="12" t="n"/>
      <c r="T183" s="14" t="n"/>
      <c r="U183" s="14" t="n"/>
      <c r="V183" s="1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row>
    <row r="184" ht="15" customHeight="1">
      <c r="A184" s="12" t="n"/>
      <c r="B184" s="13">
        <f>IF(A184="","",EOMONTH(A184,0))</f>
        <v/>
      </c>
      <c r="C184" s="14" t="n"/>
      <c r="D184" s="14" t="n"/>
      <c r="E184" s="14" t="n"/>
      <c r="F184" s="15">
        <f>IF(E184="","",IF(COUNTIF(lst_Jobs,E184&amp;"")&gt;0,"OK","CHECK"))</f>
        <v/>
      </c>
      <c r="G184" s="14" t="n"/>
      <c r="H184" s="14" t="n"/>
      <c r="I184" s="14" t="n"/>
      <c r="J184" s="14" t="n"/>
      <c r="K184" s="14" t="n"/>
      <c r="L184" s="16" t="n"/>
      <c r="M184" s="17">
        <f>IF(L184="","",IF(K184="GST 10%",ROUND(L184*set_GSTRate,2),0))</f>
        <v/>
      </c>
      <c r="N184" s="17">
        <f>IF(L184="","",L184+M184)</f>
        <v/>
      </c>
      <c r="O184" s="14" t="n"/>
      <c r="P184" s="14" t="n"/>
      <c r="Q184" s="14" t="n"/>
      <c r="R184" s="12" t="n"/>
      <c r="S184" s="12" t="n"/>
      <c r="T184" s="14" t="n"/>
      <c r="U184" s="14" t="n"/>
      <c r="V184" s="1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row>
    <row r="185" ht="15" customHeight="1">
      <c r="A185" s="12" t="n"/>
      <c r="B185" s="13">
        <f>IF(A185="","",EOMONTH(A185,0))</f>
        <v/>
      </c>
      <c r="C185" s="14" t="n"/>
      <c r="D185" s="14" t="n"/>
      <c r="E185" s="14" t="n"/>
      <c r="F185" s="15">
        <f>IF(E185="","",IF(COUNTIF(lst_Jobs,E185&amp;"")&gt;0,"OK","CHECK"))</f>
        <v/>
      </c>
      <c r="G185" s="14" t="n"/>
      <c r="H185" s="14" t="n"/>
      <c r="I185" s="14" t="n"/>
      <c r="J185" s="14" t="n"/>
      <c r="K185" s="14" t="n"/>
      <c r="L185" s="16" t="n"/>
      <c r="M185" s="17">
        <f>IF(L185="","",IF(K185="GST 10%",ROUND(L185*set_GSTRate,2),0))</f>
        <v/>
      </c>
      <c r="N185" s="17">
        <f>IF(L185="","",L185+M185)</f>
        <v/>
      </c>
      <c r="O185" s="14" t="n"/>
      <c r="P185" s="14" t="n"/>
      <c r="Q185" s="14" t="n"/>
      <c r="R185" s="12" t="n"/>
      <c r="S185" s="12" t="n"/>
      <c r="T185" s="14" t="n"/>
      <c r="U185" s="14" t="n"/>
      <c r="V185" s="1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row>
    <row r="186" ht="15" customHeight="1">
      <c r="A186" s="12" t="n"/>
      <c r="B186" s="13">
        <f>IF(A186="","",EOMONTH(A186,0))</f>
        <v/>
      </c>
      <c r="C186" s="14" t="n"/>
      <c r="D186" s="14" t="n"/>
      <c r="E186" s="14" t="n"/>
      <c r="F186" s="15">
        <f>IF(E186="","",IF(COUNTIF(lst_Jobs,E186&amp;"")&gt;0,"OK","CHECK"))</f>
        <v/>
      </c>
      <c r="G186" s="14" t="n"/>
      <c r="H186" s="14" t="n"/>
      <c r="I186" s="14" t="n"/>
      <c r="J186" s="14" t="n"/>
      <c r="K186" s="14" t="n"/>
      <c r="L186" s="16" t="n"/>
      <c r="M186" s="17">
        <f>IF(L186="","",IF(K186="GST 10%",ROUND(L186*set_GSTRate,2),0))</f>
        <v/>
      </c>
      <c r="N186" s="17">
        <f>IF(L186="","",L186+M186)</f>
        <v/>
      </c>
      <c r="O186" s="14" t="n"/>
      <c r="P186" s="14" t="n"/>
      <c r="Q186" s="14" t="n"/>
      <c r="R186" s="12" t="n"/>
      <c r="S186" s="12" t="n"/>
      <c r="T186" s="14" t="n"/>
      <c r="U186" s="14" t="n"/>
      <c r="V186" s="1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row>
    <row r="187" ht="15" customHeight="1">
      <c r="A187" s="12" t="n"/>
      <c r="B187" s="13">
        <f>IF(A187="","",EOMONTH(A187,0))</f>
        <v/>
      </c>
      <c r="C187" s="14" t="n"/>
      <c r="D187" s="14" t="n"/>
      <c r="E187" s="14" t="n"/>
      <c r="F187" s="15">
        <f>IF(E187="","",IF(COUNTIF(lst_Jobs,E187&amp;"")&gt;0,"OK","CHECK"))</f>
        <v/>
      </c>
      <c r="G187" s="14" t="n"/>
      <c r="H187" s="14" t="n"/>
      <c r="I187" s="14" t="n"/>
      <c r="J187" s="14" t="n"/>
      <c r="K187" s="14" t="n"/>
      <c r="L187" s="16" t="n"/>
      <c r="M187" s="17">
        <f>IF(L187="","",IF(K187="GST 10%",ROUND(L187*set_GSTRate,2),0))</f>
        <v/>
      </c>
      <c r="N187" s="17">
        <f>IF(L187="","",L187+M187)</f>
        <v/>
      </c>
      <c r="O187" s="14" t="n"/>
      <c r="P187" s="14" t="n"/>
      <c r="Q187" s="14" t="n"/>
      <c r="R187" s="12" t="n"/>
      <c r="S187" s="12" t="n"/>
      <c r="T187" s="14" t="n"/>
      <c r="U187" s="14" t="n"/>
      <c r="V187" s="1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row>
    <row r="188" ht="15" customHeight="1">
      <c r="A188" s="12" t="n"/>
      <c r="B188" s="13">
        <f>IF(A188="","",EOMONTH(A188,0))</f>
        <v/>
      </c>
      <c r="C188" s="14" t="n"/>
      <c r="D188" s="14" t="n"/>
      <c r="E188" s="14" t="n"/>
      <c r="F188" s="15">
        <f>IF(E188="","",IF(COUNTIF(lst_Jobs,E188&amp;"")&gt;0,"OK","CHECK"))</f>
        <v/>
      </c>
      <c r="G188" s="14" t="n"/>
      <c r="H188" s="14" t="n"/>
      <c r="I188" s="14" t="n"/>
      <c r="J188" s="14" t="n"/>
      <c r="K188" s="14" t="n"/>
      <c r="L188" s="16" t="n"/>
      <c r="M188" s="17">
        <f>IF(L188="","",IF(K188="GST 10%",ROUND(L188*set_GSTRate,2),0))</f>
        <v/>
      </c>
      <c r="N188" s="17">
        <f>IF(L188="","",L188+M188)</f>
        <v/>
      </c>
      <c r="O188" s="14" t="n"/>
      <c r="P188" s="14" t="n"/>
      <c r="Q188" s="14" t="n"/>
      <c r="R188" s="12" t="n"/>
      <c r="S188" s="12" t="n"/>
      <c r="T188" s="14" t="n"/>
      <c r="U188" s="14" t="n"/>
      <c r="V188" s="1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row>
    <row r="189" ht="15" customHeight="1">
      <c r="A189" s="12" t="n"/>
      <c r="B189" s="13">
        <f>IF(A189="","",EOMONTH(A189,0))</f>
        <v/>
      </c>
      <c r="C189" s="14" t="n"/>
      <c r="D189" s="14" t="n"/>
      <c r="E189" s="14" t="n"/>
      <c r="F189" s="15">
        <f>IF(E189="","",IF(COUNTIF(lst_Jobs,E189&amp;"")&gt;0,"OK","CHECK"))</f>
        <v/>
      </c>
      <c r="G189" s="14" t="n"/>
      <c r="H189" s="14" t="n"/>
      <c r="I189" s="14" t="n"/>
      <c r="J189" s="14" t="n"/>
      <c r="K189" s="14" t="n"/>
      <c r="L189" s="16" t="n"/>
      <c r="M189" s="17">
        <f>IF(L189="","",IF(K189="GST 10%",ROUND(L189*set_GSTRate,2),0))</f>
        <v/>
      </c>
      <c r="N189" s="17">
        <f>IF(L189="","",L189+M189)</f>
        <v/>
      </c>
      <c r="O189" s="14" t="n"/>
      <c r="P189" s="14" t="n"/>
      <c r="Q189" s="14" t="n"/>
      <c r="R189" s="12" t="n"/>
      <c r="S189" s="12" t="n"/>
      <c r="T189" s="14" t="n"/>
      <c r="U189" s="14" t="n"/>
      <c r="V189" s="1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row>
    <row r="190" ht="15" customHeight="1">
      <c r="A190" s="12" t="n"/>
      <c r="B190" s="13">
        <f>IF(A190="","",EOMONTH(A190,0))</f>
        <v/>
      </c>
      <c r="C190" s="14" t="n"/>
      <c r="D190" s="14" t="n"/>
      <c r="E190" s="14" t="n"/>
      <c r="F190" s="15">
        <f>IF(E190="","",IF(COUNTIF(lst_Jobs,E190&amp;"")&gt;0,"OK","CHECK"))</f>
        <v/>
      </c>
      <c r="G190" s="14" t="n"/>
      <c r="H190" s="14" t="n"/>
      <c r="I190" s="14" t="n"/>
      <c r="J190" s="14" t="n"/>
      <c r="K190" s="14" t="n"/>
      <c r="L190" s="16" t="n"/>
      <c r="M190" s="17">
        <f>IF(L190="","",IF(K190="GST 10%",ROUND(L190*set_GSTRate,2),0))</f>
        <v/>
      </c>
      <c r="N190" s="17">
        <f>IF(L190="","",L190+M190)</f>
        <v/>
      </c>
      <c r="O190" s="14" t="n"/>
      <c r="P190" s="14" t="n"/>
      <c r="Q190" s="14" t="n"/>
      <c r="R190" s="12" t="n"/>
      <c r="S190" s="12" t="n"/>
      <c r="T190" s="14" t="n"/>
      <c r="U190" s="14" t="n"/>
      <c r="V190" s="1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row>
    <row r="191" ht="15" customHeight="1">
      <c r="A191" s="12" t="n"/>
      <c r="B191" s="13">
        <f>IF(A191="","",EOMONTH(A191,0))</f>
        <v/>
      </c>
      <c r="C191" s="14" t="n"/>
      <c r="D191" s="14" t="n"/>
      <c r="E191" s="14" t="n"/>
      <c r="F191" s="15">
        <f>IF(E191="","",IF(COUNTIF(lst_Jobs,E191&amp;"")&gt;0,"OK","CHECK"))</f>
        <v/>
      </c>
      <c r="G191" s="14" t="n"/>
      <c r="H191" s="14" t="n"/>
      <c r="I191" s="14" t="n"/>
      <c r="J191" s="14" t="n"/>
      <c r="K191" s="14" t="n"/>
      <c r="L191" s="16" t="n"/>
      <c r="M191" s="17">
        <f>IF(L191="","",IF(K191="GST 10%",ROUND(L191*set_GSTRate,2),0))</f>
        <v/>
      </c>
      <c r="N191" s="17">
        <f>IF(L191="","",L191+M191)</f>
        <v/>
      </c>
      <c r="O191" s="14" t="n"/>
      <c r="P191" s="14" t="n"/>
      <c r="Q191" s="14" t="n"/>
      <c r="R191" s="12" t="n"/>
      <c r="S191" s="12" t="n"/>
      <c r="T191" s="14" t="n"/>
      <c r="U191" s="14" t="n"/>
      <c r="V191" s="1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row>
    <row r="192" ht="15" customHeight="1">
      <c r="A192" s="12" t="n"/>
      <c r="B192" s="13">
        <f>IF(A192="","",EOMONTH(A192,0))</f>
        <v/>
      </c>
      <c r="C192" s="14" t="n"/>
      <c r="D192" s="14" t="n"/>
      <c r="E192" s="14" t="n"/>
      <c r="F192" s="15">
        <f>IF(E192="","",IF(COUNTIF(lst_Jobs,E192&amp;"")&gt;0,"OK","CHECK"))</f>
        <v/>
      </c>
      <c r="G192" s="14" t="n"/>
      <c r="H192" s="14" t="n"/>
      <c r="I192" s="14" t="n"/>
      <c r="J192" s="14" t="n"/>
      <c r="K192" s="14" t="n"/>
      <c r="L192" s="16" t="n"/>
      <c r="M192" s="17">
        <f>IF(L192="","",IF(K192="GST 10%",ROUND(L192*set_GSTRate,2),0))</f>
        <v/>
      </c>
      <c r="N192" s="17">
        <f>IF(L192="","",L192+M192)</f>
        <v/>
      </c>
      <c r="O192" s="14" t="n"/>
      <c r="P192" s="14" t="n"/>
      <c r="Q192" s="14" t="n"/>
      <c r="R192" s="12" t="n"/>
      <c r="S192" s="12" t="n"/>
      <c r="T192" s="14" t="n"/>
      <c r="U192" s="14" t="n"/>
      <c r="V192" s="1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row>
    <row r="193" ht="15" customHeight="1">
      <c r="A193" s="12" t="n"/>
      <c r="B193" s="13">
        <f>IF(A193="","",EOMONTH(A193,0))</f>
        <v/>
      </c>
      <c r="C193" s="14" t="n"/>
      <c r="D193" s="14" t="n"/>
      <c r="E193" s="14" t="n"/>
      <c r="F193" s="15">
        <f>IF(E193="","",IF(COUNTIF(lst_Jobs,E193&amp;"")&gt;0,"OK","CHECK"))</f>
        <v/>
      </c>
      <c r="G193" s="14" t="n"/>
      <c r="H193" s="14" t="n"/>
      <c r="I193" s="14" t="n"/>
      <c r="J193" s="14" t="n"/>
      <c r="K193" s="14" t="n"/>
      <c r="L193" s="16" t="n"/>
      <c r="M193" s="17">
        <f>IF(L193="","",IF(K193="GST 10%",ROUND(L193*set_GSTRate,2),0))</f>
        <v/>
      </c>
      <c r="N193" s="17">
        <f>IF(L193="","",L193+M193)</f>
        <v/>
      </c>
      <c r="O193" s="14" t="n"/>
      <c r="P193" s="14" t="n"/>
      <c r="Q193" s="14" t="n"/>
      <c r="R193" s="12" t="n"/>
      <c r="S193" s="12" t="n"/>
      <c r="T193" s="14" t="n"/>
      <c r="U193" s="14" t="n"/>
      <c r="V193" s="1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row>
    <row r="194" ht="15" customHeight="1">
      <c r="A194" s="12" t="n"/>
      <c r="B194" s="13">
        <f>IF(A194="","",EOMONTH(A194,0))</f>
        <v/>
      </c>
      <c r="C194" s="14" t="n"/>
      <c r="D194" s="14" t="n"/>
      <c r="E194" s="14" t="n"/>
      <c r="F194" s="15">
        <f>IF(E194="","",IF(COUNTIF(lst_Jobs,E194&amp;"")&gt;0,"OK","CHECK"))</f>
        <v/>
      </c>
      <c r="G194" s="14" t="n"/>
      <c r="H194" s="14" t="n"/>
      <c r="I194" s="14" t="n"/>
      <c r="J194" s="14" t="n"/>
      <c r="K194" s="14" t="n"/>
      <c r="L194" s="16" t="n"/>
      <c r="M194" s="17">
        <f>IF(L194="","",IF(K194="GST 10%",ROUND(L194*set_GSTRate,2),0))</f>
        <v/>
      </c>
      <c r="N194" s="17">
        <f>IF(L194="","",L194+M194)</f>
        <v/>
      </c>
      <c r="O194" s="14" t="n"/>
      <c r="P194" s="14" t="n"/>
      <c r="Q194" s="14" t="n"/>
      <c r="R194" s="12" t="n"/>
      <c r="S194" s="12" t="n"/>
      <c r="T194" s="14" t="n"/>
      <c r="U194" s="14" t="n"/>
      <c r="V194" s="1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row>
    <row r="195" ht="15" customHeight="1">
      <c r="A195" s="12" t="n"/>
      <c r="B195" s="13">
        <f>IF(A195="","",EOMONTH(A195,0))</f>
        <v/>
      </c>
      <c r="C195" s="14" t="n"/>
      <c r="D195" s="14" t="n"/>
      <c r="E195" s="14" t="n"/>
      <c r="F195" s="15">
        <f>IF(E195="","",IF(COUNTIF(lst_Jobs,E195&amp;"")&gt;0,"OK","CHECK"))</f>
        <v/>
      </c>
      <c r="G195" s="14" t="n"/>
      <c r="H195" s="14" t="n"/>
      <c r="I195" s="14" t="n"/>
      <c r="J195" s="14" t="n"/>
      <c r="K195" s="14" t="n"/>
      <c r="L195" s="16" t="n"/>
      <c r="M195" s="17">
        <f>IF(L195="","",IF(K195="GST 10%",ROUND(L195*set_GSTRate,2),0))</f>
        <v/>
      </c>
      <c r="N195" s="17">
        <f>IF(L195="","",L195+M195)</f>
        <v/>
      </c>
      <c r="O195" s="14" t="n"/>
      <c r="P195" s="14" t="n"/>
      <c r="Q195" s="14" t="n"/>
      <c r="R195" s="12" t="n"/>
      <c r="S195" s="12" t="n"/>
      <c r="T195" s="14" t="n"/>
      <c r="U195" s="14" t="n"/>
      <c r="V195" s="1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row>
    <row r="196" ht="15" customHeight="1">
      <c r="A196" s="12" t="n"/>
      <c r="B196" s="13">
        <f>IF(A196="","",EOMONTH(A196,0))</f>
        <v/>
      </c>
      <c r="C196" s="14" t="n"/>
      <c r="D196" s="14" t="n"/>
      <c r="E196" s="14" t="n"/>
      <c r="F196" s="15">
        <f>IF(E196="","",IF(COUNTIF(lst_Jobs,E196&amp;"")&gt;0,"OK","CHECK"))</f>
        <v/>
      </c>
      <c r="G196" s="14" t="n"/>
      <c r="H196" s="14" t="n"/>
      <c r="I196" s="14" t="n"/>
      <c r="J196" s="14" t="n"/>
      <c r="K196" s="14" t="n"/>
      <c r="L196" s="16" t="n"/>
      <c r="M196" s="17">
        <f>IF(L196="","",IF(K196="GST 10%",ROUND(L196*set_GSTRate,2),0))</f>
        <v/>
      </c>
      <c r="N196" s="17">
        <f>IF(L196="","",L196+M196)</f>
        <v/>
      </c>
      <c r="O196" s="14" t="n"/>
      <c r="P196" s="14" t="n"/>
      <c r="Q196" s="14" t="n"/>
      <c r="R196" s="12" t="n"/>
      <c r="S196" s="12" t="n"/>
      <c r="T196" s="14" t="n"/>
      <c r="U196" s="14" t="n"/>
      <c r="V196" s="1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row>
    <row r="197" ht="15" customHeight="1">
      <c r="A197" s="12" t="n"/>
      <c r="B197" s="13">
        <f>IF(A197="","",EOMONTH(A197,0))</f>
        <v/>
      </c>
      <c r="C197" s="14" t="n"/>
      <c r="D197" s="14" t="n"/>
      <c r="E197" s="14" t="n"/>
      <c r="F197" s="15">
        <f>IF(E197="","",IF(COUNTIF(lst_Jobs,E197&amp;"")&gt;0,"OK","CHECK"))</f>
        <v/>
      </c>
      <c r="G197" s="14" t="n"/>
      <c r="H197" s="14" t="n"/>
      <c r="I197" s="14" t="n"/>
      <c r="J197" s="14" t="n"/>
      <c r="K197" s="14" t="n"/>
      <c r="L197" s="16" t="n"/>
      <c r="M197" s="17">
        <f>IF(L197="","",IF(K197="GST 10%",ROUND(L197*set_GSTRate,2),0))</f>
        <v/>
      </c>
      <c r="N197" s="17">
        <f>IF(L197="","",L197+M197)</f>
        <v/>
      </c>
      <c r="O197" s="14" t="n"/>
      <c r="P197" s="14" t="n"/>
      <c r="Q197" s="14" t="n"/>
      <c r="R197" s="12" t="n"/>
      <c r="S197" s="12" t="n"/>
      <c r="T197" s="14" t="n"/>
      <c r="U197" s="14" t="n"/>
      <c r="V197" s="1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row>
    <row r="198" ht="15" customHeight="1">
      <c r="A198" s="12" t="n"/>
      <c r="B198" s="13">
        <f>IF(A198="","",EOMONTH(A198,0))</f>
        <v/>
      </c>
      <c r="C198" s="14" t="n"/>
      <c r="D198" s="14" t="n"/>
      <c r="E198" s="14" t="n"/>
      <c r="F198" s="15">
        <f>IF(E198="","",IF(COUNTIF(lst_Jobs,E198&amp;"")&gt;0,"OK","CHECK"))</f>
        <v/>
      </c>
      <c r="G198" s="14" t="n"/>
      <c r="H198" s="14" t="n"/>
      <c r="I198" s="14" t="n"/>
      <c r="J198" s="14" t="n"/>
      <c r="K198" s="14" t="n"/>
      <c r="L198" s="16" t="n"/>
      <c r="M198" s="17">
        <f>IF(L198="","",IF(K198="GST 10%",ROUND(L198*set_GSTRate,2),0))</f>
        <v/>
      </c>
      <c r="N198" s="17">
        <f>IF(L198="","",L198+M198)</f>
        <v/>
      </c>
      <c r="O198" s="14" t="n"/>
      <c r="P198" s="14" t="n"/>
      <c r="Q198" s="14" t="n"/>
      <c r="R198" s="12" t="n"/>
      <c r="S198" s="12" t="n"/>
      <c r="T198" s="14" t="n"/>
      <c r="U198" s="14" t="n"/>
      <c r="V198" s="1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row>
    <row r="199" ht="15" customHeight="1">
      <c r="A199" s="12" t="n"/>
      <c r="B199" s="13">
        <f>IF(A199="","",EOMONTH(A199,0))</f>
        <v/>
      </c>
      <c r="C199" s="14" t="n"/>
      <c r="D199" s="14" t="n"/>
      <c r="E199" s="14" t="n"/>
      <c r="F199" s="15">
        <f>IF(E199="","",IF(COUNTIF(lst_Jobs,E199&amp;"")&gt;0,"OK","CHECK"))</f>
        <v/>
      </c>
      <c r="G199" s="14" t="n"/>
      <c r="H199" s="14" t="n"/>
      <c r="I199" s="14" t="n"/>
      <c r="J199" s="14" t="n"/>
      <c r="K199" s="14" t="n"/>
      <c r="L199" s="16" t="n"/>
      <c r="M199" s="17">
        <f>IF(L199="","",IF(K199="GST 10%",ROUND(L199*set_GSTRate,2),0))</f>
        <v/>
      </c>
      <c r="N199" s="17">
        <f>IF(L199="","",L199+M199)</f>
        <v/>
      </c>
      <c r="O199" s="14" t="n"/>
      <c r="P199" s="14" t="n"/>
      <c r="Q199" s="14" t="n"/>
      <c r="R199" s="12" t="n"/>
      <c r="S199" s="12" t="n"/>
      <c r="T199" s="14" t="n"/>
      <c r="U199" s="14" t="n"/>
      <c r="V199" s="1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row>
    <row r="200" ht="15" customHeight="1">
      <c r="A200" s="12" t="n"/>
      <c r="B200" s="13">
        <f>IF(A200="","",EOMONTH(A200,0))</f>
        <v/>
      </c>
      <c r="C200" s="14" t="n"/>
      <c r="D200" s="14" t="n"/>
      <c r="E200" s="14" t="n"/>
      <c r="F200" s="15">
        <f>IF(E200="","",IF(COUNTIF(lst_Jobs,E200&amp;"")&gt;0,"OK","CHECK"))</f>
        <v/>
      </c>
      <c r="G200" s="14" t="n"/>
      <c r="H200" s="14" t="n"/>
      <c r="I200" s="14" t="n"/>
      <c r="J200" s="14" t="n"/>
      <c r="K200" s="14" t="n"/>
      <c r="L200" s="16" t="n"/>
      <c r="M200" s="17">
        <f>IF(L200="","",IF(K200="GST 10%",ROUND(L200*set_GSTRate,2),0))</f>
        <v/>
      </c>
      <c r="N200" s="17">
        <f>IF(L200="","",L200+M200)</f>
        <v/>
      </c>
      <c r="O200" s="14" t="n"/>
      <c r="P200" s="14" t="n"/>
      <c r="Q200" s="14" t="n"/>
      <c r="R200" s="12" t="n"/>
      <c r="S200" s="12" t="n"/>
      <c r="T200" s="14" t="n"/>
      <c r="U200" s="14" t="n"/>
      <c r="V200" s="1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row>
    <row r="201" ht="15" customHeight="1">
      <c r="A201" s="12" t="n"/>
      <c r="B201" s="13">
        <f>IF(A201="","",EOMONTH(A201,0))</f>
        <v/>
      </c>
      <c r="C201" s="14" t="n"/>
      <c r="D201" s="14" t="n"/>
      <c r="E201" s="14" t="n"/>
      <c r="F201" s="15">
        <f>IF(E201="","",IF(COUNTIF(lst_Jobs,E201&amp;"")&gt;0,"OK","CHECK"))</f>
        <v/>
      </c>
      <c r="G201" s="14" t="n"/>
      <c r="H201" s="14" t="n"/>
      <c r="I201" s="14" t="n"/>
      <c r="J201" s="14" t="n"/>
      <c r="K201" s="14" t="n"/>
      <c r="L201" s="16" t="n"/>
      <c r="M201" s="17">
        <f>IF(L201="","",IF(K201="GST 10%",ROUND(L201*set_GSTRate,2),0))</f>
        <v/>
      </c>
      <c r="N201" s="17">
        <f>IF(L201="","",L201+M201)</f>
        <v/>
      </c>
      <c r="O201" s="14" t="n"/>
      <c r="P201" s="14" t="n"/>
      <c r="Q201" s="14" t="n"/>
      <c r="R201" s="12" t="n"/>
      <c r="S201" s="12" t="n"/>
      <c r="T201" s="14" t="n"/>
      <c r="U201" s="14" t="n"/>
      <c r="V201" s="1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row>
    <row r="202" ht="15" customHeight="1">
      <c r="A202" s="12" t="n"/>
      <c r="B202" s="13">
        <f>IF(A202="","",EOMONTH(A202,0))</f>
        <v/>
      </c>
      <c r="C202" s="14" t="n"/>
      <c r="D202" s="14" t="n"/>
      <c r="E202" s="14" t="n"/>
      <c r="F202" s="15">
        <f>IF(E202="","",IF(COUNTIF(lst_Jobs,E202&amp;"")&gt;0,"OK","CHECK"))</f>
        <v/>
      </c>
      <c r="G202" s="14" t="n"/>
      <c r="H202" s="14" t="n"/>
      <c r="I202" s="14" t="n"/>
      <c r="J202" s="14" t="n"/>
      <c r="K202" s="14" t="n"/>
      <c r="L202" s="16" t="n"/>
      <c r="M202" s="17">
        <f>IF(L202="","",IF(K202="GST 10%",ROUND(L202*set_GSTRate,2),0))</f>
        <v/>
      </c>
      <c r="N202" s="17">
        <f>IF(L202="","",L202+M202)</f>
        <v/>
      </c>
      <c r="O202" s="14" t="n"/>
      <c r="P202" s="14" t="n"/>
      <c r="Q202" s="14" t="n"/>
      <c r="R202" s="12" t="n"/>
      <c r="S202" s="12" t="n"/>
      <c r="T202" s="14" t="n"/>
      <c r="U202" s="14" t="n"/>
      <c r="V202" s="1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row>
    <row r="203" ht="15" customHeight="1">
      <c r="A203" s="12" t="n"/>
      <c r="B203" s="13">
        <f>IF(A203="","",EOMONTH(A203,0))</f>
        <v/>
      </c>
      <c r="C203" s="14" t="n"/>
      <c r="D203" s="14" t="n"/>
      <c r="E203" s="14" t="n"/>
      <c r="F203" s="15">
        <f>IF(E203="","",IF(COUNTIF(lst_Jobs,E203&amp;"")&gt;0,"OK","CHECK"))</f>
        <v/>
      </c>
      <c r="G203" s="14" t="n"/>
      <c r="H203" s="14" t="n"/>
      <c r="I203" s="14" t="n"/>
      <c r="J203" s="14" t="n"/>
      <c r="K203" s="14" t="n"/>
      <c r="L203" s="16" t="n"/>
      <c r="M203" s="17">
        <f>IF(L203="","",IF(K203="GST 10%",ROUND(L203*set_GSTRate,2),0))</f>
        <v/>
      </c>
      <c r="N203" s="17">
        <f>IF(L203="","",L203+M203)</f>
        <v/>
      </c>
      <c r="O203" s="14" t="n"/>
      <c r="P203" s="14" t="n"/>
      <c r="Q203" s="14" t="n"/>
      <c r="R203" s="12" t="n"/>
      <c r="S203" s="12" t="n"/>
      <c r="T203" s="14" t="n"/>
      <c r="U203" s="14" t="n"/>
      <c r="V203" s="1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row>
    <row r="204" ht="15" customHeight="1">
      <c r="A204" s="12" t="n"/>
      <c r="B204" s="13">
        <f>IF(A204="","",EOMONTH(A204,0))</f>
        <v/>
      </c>
      <c r="C204" s="14" t="n"/>
      <c r="D204" s="14" t="n"/>
      <c r="E204" s="14" t="n"/>
      <c r="F204" s="15">
        <f>IF(E204="","",IF(COUNTIF(lst_Jobs,E204&amp;"")&gt;0,"OK","CHECK"))</f>
        <v/>
      </c>
      <c r="G204" s="14" t="n"/>
      <c r="H204" s="14" t="n"/>
      <c r="I204" s="14" t="n"/>
      <c r="J204" s="14" t="n"/>
      <c r="K204" s="14" t="n"/>
      <c r="L204" s="16" t="n"/>
      <c r="M204" s="17">
        <f>IF(L204="","",IF(K204="GST 10%",ROUND(L204*set_GSTRate,2),0))</f>
        <v/>
      </c>
      <c r="N204" s="17">
        <f>IF(L204="","",L204+M204)</f>
        <v/>
      </c>
      <c r="O204" s="14" t="n"/>
      <c r="P204" s="14" t="n"/>
      <c r="Q204" s="14" t="n"/>
      <c r="R204" s="12" t="n"/>
      <c r="S204" s="12" t="n"/>
      <c r="T204" s="14" t="n"/>
      <c r="U204" s="14" t="n"/>
      <c r="V204" s="1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row>
    <row r="205" ht="15" customHeight="1">
      <c r="A205" s="12" t="n"/>
      <c r="B205" s="13">
        <f>IF(A205="","",EOMONTH(A205,0))</f>
        <v/>
      </c>
      <c r="C205" s="14" t="n"/>
      <c r="D205" s="14" t="n"/>
      <c r="E205" s="14" t="n"/>
      <c r="F205" s="15">
        <f>IF(E205="","",IF(COUNTIF(lst_Jobs,E205&amp;"")&gt;0,"OK","CHECK"))</f>
        <v/>
      </c>
      <c r="G205" s="14" t="n"/>
      <c r="H205" s="14" t="n"/>
      <c r="I205" s="14" t="n"/>
      <c r="J205" s="14" t="n"/>
      <c r="K205" s="14" t="n"/>
      <c r="L205" s="16" t="n"/>
      <c r="M205" s="17">
        <f>IF(L205="","",IF(K205="GST 10%",ROUND(L205*set_GSTRate,2),0))</f>
        <v/>
      </c>
      <c r="N205" s="17">
        <f>IF(L205="","",L205+M205)</f>
        <v/>
      </c>
      <c r="O205" s="14" t="n"/>
      <c r="P205" s="14" t="n"/>
      <c r="Q205" s="14" t="n"/>
      <c r="R205" s="12" t="n"/>
      <c r="S205" s="12" t="n"/>
      <c r="T205" s="14" t="n"/>
      <c r="U205" s="14" t="n"/>
      <c r="V205" s="1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row>
    <row r="206" ht="15" customHeight="1">
      <c r="A206" s="12" t="n"/>
      <c r="B206" s="13">
        <f>IF(A206="","",EOMONTH(A206,0))</f>
        <v/>
      </c>
      <c r="C206" s="14" t="n"/>
      <c r="D206" s="14" t="n"/>
      <c r="E206" s="14" t="n"/>
      <c r="F206" s="15">
        <f>IF(E206="","",IF(COUNTIF(lst_Jobs,E206&amp;"")&gt;0,"OK","CHECK"))</f>
        <v/>
      </c>
      <c r="G206" s="14" t="n"/>
      <c r="H206" s="14" t="n"/>
      <c r="I206" s="14" t="n"/>
      <c r="J206" s="14" t="n"/>
      <c r="K206" s="14" t="n"/>
      <c r="L206" s="16" t="n"/>
      <c r="M206" s="17">
        <f>IF(L206="","",IF(K206="GST 10%",ROUND(L206*set_GSTRate,2),0))</f>
        <v/>
      </c>
      <c r="N206" s="17">
        <f>IF(L206="","",L206+M206)</f>
        <v/>
      </c>
      <c r="O206" s="14" t="n"/>
      <c r="P206" s="14" t="n"/>
      <c r="Q206" s="14" t="n"/>
      <c r="R206" s="12" t="n"/>
      <c r="S206" s="12" t="n"/>
      <c r="T206" s="14" t="n"/>
      <c r="U206" s="14" t="n"/>
      <c r="V206" s="1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row>
    <row r="207" ht="15" customHeight="1">
      <c r="A207" s="12" t="n"/>
      <c r="B207" s="13">
        <f>IF(A207="","",EOMONTH(A207,0))</f>
        <v/>
      </c>
      <c r="C207" s="14" t="n"/>
      <c r="D207" s="14" t="n"/>
      <c r="E207" s="14" t="n"/>
      <c r="F207" s="15">
        <f>IF(E207="","",IF(COUNTIF(lst_Jobs,E207&amp;"")&gt;0,"OK","CHECK"))</f>
        <v/>
      </c>
      <c r="G207" s="14" t="n"/>
      <c r="H207" s="14" t="n"/>
      <c r="I207" s="14" t="n"/>
      <c r="J207" s="14" t="n"/>
      <c r="K207" s="14" t="n"/>
      <c r="L207" s="16" t="n"/>
      <c r="M207" s="17">
        <f>IF(L207="","",IF(K207="GST 10%",ROUND(L207*set_GSTRate,2),0))</f>
        <v/>
      </c>
      <c r="N207" s="17">
        <f>IF(L207="","",L207+M207)</f>
        <v/>
      </c>
      <c r="O207" s="14" t="n"/>
      <c r="P207" s="14" t="n"/>
      <c r="Q207" s="14" t="n"/>
      <c r="R207" s="12" t="n"/>
      <c r="S207" s="12" t="n"/>
      <c r="T207" s="14" t="n"/>
      <c r="U207" s="14" t="n"/>
      <c r="V207" s="1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row>
    <row r="208" ht="15" customHeight="1">
      <c r="A208" s="12" t="n"/>
      <c r="B208" s="13">
        <f>IF(A208="","",EOMONTH(A208,0))</f>
        <v/>
      </c>
      <c r="C208" s="14" t="n"/>
      <c r="D208" s="14" t="n"/>
      <c r="E208" s="14" t="n"/>
      <c r="F208" s="15">
        <f>IF(E208="","",IF(COUNTIF(lst_Jobs,E208&amp;"")&gt;0,"OK","CHECK"))</f>
        <v/>
      </c>
      <c r="G208" s="14" t="n"/>
      <c r="H208" s="14" t="n"/>
      <c r="I208" s="14" t="n"/>
      <c r="J208" s="14" t="n"/>
      <c r="K208" s="14" t="n"/>
      <c r="L208" s="16" t="n"/>
      <c r="M208" s="17">
        <f>IF(L208="","",IF(K208="GST 10%",ROUND(L208*set_GSTRate,2),0))</f>
        <v/>
      </c>
      <c r="N208" s="17">
        <f>IF(L208="","",L208+M208)</f>
        <v/>
      </c>
      <c r="O208" s="14" t="n"/>
      <c r="P208" s="14" t="n"/>
      <c r="Q208" s="14" t="n"/>
      <c r="R208" s="12" t="n"/>
      <c r="S208" s="12" t="n"/>
      <c r="T208" s="14" t="n"/>
      <c r="U208" s="14" t="n"/>
      <c r="V208" s="1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row>
    <row r="209" ht="15" customHeight="1">
      <c r="A209" s="12" t="n"/>
      <c r="B209" s="13">
        <f>IF(A209="","",EOMONTH(A209,0))</f>
        <v/>
      </c>
      <c r="C209" s="14" t="n"/>
      <c r="D209" s="14" t="n"/>
      <c r="E209" s="14" t="n"/>
      <c r="F209" s="15">
        <f>IF(E209="","",IF(COUNTIF(lst_Jobs,E209&amp;"")&gt;0,"OK","CHECK"))</f>
        <v/>
      </c>
      <c r="G209" s="14" t="n"/>
      <c r="H209" s="14" t="n"/>
      <c r="I209" s="14" t="n"/>
      <c r="J209" s="14" t="n"/>
      <c r="K209" s="14" t="n"/>
      <c r="L209" s="16" t="n"/>
      <c r="M209" s="17">
        <f>IF(L209="","",IF(K209="GST 10%",ROUND(L209*set_GSTRate,2),0))</f>
        <v/>
      </c>
      <c r="N209" s="17">
        <f>IF(L209="","",L209+M209)</f>
        <v/>
      </c>
      <c r="O209" s="14" t="n"/>
      <c r="P209" s="14" t="n"/>
      <c r="Q209" s="14" t="n"/>
      <c r="R209" s="12" t="n"/>
      <c r="S209" s="12" t="n"/>
      <c r="T209" s="14" t="n"/>
      <c r="U209" s="14" t="n"/>
      <c r="V209" s="1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row>
    <row r="210" ht="15" customHeight="1">
      <c r="A210" s="12" t="n"/>
      <c r="B210" s="13">
        <f>IF(A210="","",EOMONTH(A210,0))</f>
        <v/>
      </c>
      <c r="C210" s="14" t="n"/>
      <c r="D210" s="14" t="n"/>
      <c r="E210" s="14" t="n"/>
      <c r="F210" s="15">
        <f>IF(E210="","",IF(COUNTIF(lst_Jobs,E210&amp;"")&gt;0,"OK","CHECK"))</f>
        <v/>
      </c>
      <c r="G210" s="14" t="n"/>
      <c r="H210" s="14" t="n"/>
      <c r="I210" s="14" t="n"/>
      <c r="J210" s="14" t="n"/>
      <c r="K210" s="14" t="n"/>
      <c r="L210" s="16" t="n"/>
      <c r="M210" s="17">
        <f>IF(L210="","",IF(K210="GST 10%",ROUND(L210*set_GSTRate,2),0))</f>
        <v/>
      </c>
      <c r="N210" s="17">
        <f>IF(L210="","",L210+M210)</f>
        <v/>
      </c>
      <c r="O210" s="14" t="n"/>
      <c r="P210" s="14" t="n"/>
      <c r="Q210" s="14" t="n"/>
      <c r="R210" s="12" t="n"/>
      <c r="S210" s="12" t="n"/>
      <c r="T210" s="14" t="n"/>
      <c r="U210" s="14" t="n"/>
      <c r="V210" s="1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row>
    <row r="211" ht="15" customHeight="1">
      <c r="A211" s="12" t="n"/>
      <c r="B211" s="13">
        <f>IF(A211="","",EOMONTH(A211,0))</f>
        <v/>
      </c>
      <c r="C211" s="14" t="n"/>
      <c r="D211" s="14" t="n"/>
      <c r="E211" s="14" t="n"/>
      <c r="F211" s="15">
        <f>IF(E211="","",IF(COUNTIF(lst_Jobs,E211&amp;"")&gt;0,"OK","CHECK"))</f>
        <v/>
      </c>
      <c r="G211" s="14" t="n"/>
      <c r="H211" s="14" t="n"/>
      <c r="I211" s="14" t="n"/>
      <c r="J211" s="14" t="n"/>
      <c r="K211" s="14" t="n"/>
      <c r="L211" s="16" t="n"/>
      <c r="M211" s="17">
        <f>IF(L211="","",IF(K211="GST 10%",ROUND(L211*set_GSTRate,2),0))</f>
        <v/>
      </c>
      <c r="N211" s="17">
        <f>IF(L211="","",L211+M211)</f>
        <v/>
      </c>
      <c r="O211" s="14" t="n"/>
      <c r="P211" s="14" t="n"/>
      <c r="Q211" s="14" t="n"/>
      <c r="R211" s="12" t="n"/>
      <c r="S211" s="12" t="n"/>
      <c r="T211" s="14" t="n"/>
      <c r="U211" s="14" t="n"/>
      <c r="V211" s="1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row>
    <row r="212" ht="15" customHeight="1">
      <c r="A212" s="12" t="n"/>
      <c r="B212" s="13">
        <f>IF(A212="","",EOMONTH(A212,0))</f>
        <v/>
      </c>
      <c r="C212" s="14" t="n"/>
      <c r="D212" s="14" t="n"/>
      <c r="E212" s="14" t="n"/>
      <c r="F212" s="15">
        <f>IF(E212="","",IF(COUNTIF(lst_Jobs,E212&amp;"")&gt;0,"OK","CHECK"))</f>
        <v/>
      </c>
      <c r="G212" s="14" t="n"/>
      <c r="H212" s="14" t="n"/>
      <c r="I212" s="14" t="n"/>
      <c r="J212" s="14" t="n"/>
      <c r="K212" s="14" t="n"/>
      <c r="L212" s="16" t="n"/>
      <c r="M212" s="17">
        <f>IF(L212="","",IF(K212="GST 10%",ROUND(L212*set_GSTRate,2),0))</f>
        <v/>
      </c>
      <c r="N212" s="17">
        <f>IF(L212="","",L212+M212)</f>
        <v/>
      </c>
      <c r="O212" s="14" t="n"/>
      <c r="P212" s="14" t="n"/>
      <c r="Q212" s="14" t="n"/>
      <c r="R212" s="12" t="n"/>
      <c r="S212" s="12" t="n"/>
      <c r="T212" s="14" t="n"/>
      <c r="U212" s="14" t="n"/>
      <c r="V212" s="1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row>
    <row r="213" ht="15" customHeight="1">
      <c r="A213" s="12" t="n"/>
      <c r="B213" s="13">
        <f>IF(A213="","",EOMONTH(A213,0))</f>
        <v/>
      </c>
      <c r="C213" s="14" t="n"/>
      <c r="D213" s="14" t="n"/>
      <c r="E213" s="14" t="n"/>
      <c r="F213" s="15">
        <f>IF(E213="","",IF(COUNTIF(lst_Jobs,E213&amp;"")&gt;0,"OK","CHECK"))</f>
        <v/>
      </c>
      <c r="G213" s="14" t="n"/>
      <c r="H213" s="14" t="n"/>
      <c r="I213" s="14" t="n"/>
      <c r="J213" s="14" t="n"/>
      <c r="K213" s="14" t="n"/>
      <c r="L213" s="16" t="n"/>
      <c r="M213" s="17">
        <f>IF(L213="","",IF(K213="GST 10%",ROUND(L213*set_GSTRate,2),0))</f>
        <v/>
      </c>
      <c r="N213" s="17">
        <f>IF(L213="","",L213+M213)</f>
        <v/>
      </c>
      <c r="O213" s="14" t="n"/>
      <c r="P213" s="14" t="n"/>
      <c r="Q213" s="14" t="n"/>
      <c r="R213" s="12" t="n"/>
      <c r="S213" s="12" t="n"/>
      <c r="T213" s="14" t="n"/>
      <c r="U213" s="14" t="n"/>
      <c r="V213" s="1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row>
    <row r="214" ht="15" customHeight="1">
      <c r="A214" s="12" t="n"/>
      <c r="B214" s="13">
        <f>IF(A214="","",EOMONTH(A214,0))</f>
        <v/>
      </c>
      <c r="C214" s="14" t="n"/>
      <c r="D214" s="14" t="n"/>
      <c r="E214" s="14" t="n"/>
      <c r="F214" s="15">
        <f>IF(E214="","",IF(COUNTIF(lst_Jobs,E214&amp;"")&gt;0,"OK","CHECK"))</f>
        <v/>
      </c>
      <c r="G214" s="14" t="n"/>
      <c r="H214" s="14" t="n"/>
      <c r="I214" s="14" t="n"/>
      <c r="J214" s="14" t="n"/>
      <c r="K214" s="14" t="n"/>
      <c r="L214" s="16" t="n"/>
      <c r="M214" s="17">
        <f>IF(L214="","",IF(K214="GST 10%",ROUND(L214*set_GSTRate,2),0))</f>
        <v/>
      </c>
      <c r="N214" s="17">
        <f>IF(L214="","",L214+M214)</f>
        <v/>
      </c>
      <c r="O214" s="14" t="n"/>
      <c r="P214" s="14" t="n"/>
      <c r="Q214" s="14" t="n"/>
      <c r="R214" s="12" t="n"/>
      <c r="S214" s="12" t="n"/>
      <c r="T214" s="14" t="n"/>
      <c r="U214" s="14" t="n"/>
      <c r="V214" s="1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row>
    <row r="215" ht="15" customHeight="1">
      <c r="A215" s="12" t="n"/>
      <c r="B215" s="13">
        <f>IF(A215="","",EOMONTH(A215,0))</f>
        <v/>
      </c>
      <c r="C215" s="14" t="n"/>
      <c r="D215" s="14" t="n"/>
      <c r="E215" s="14" t="n"/>
      <c r="F215" s="15">
        <f>IF(E215="","",IF(COUNTIF(lst_Jobs,E215&amp;"")&gt;0,"OK","CHECK"))</f>
        <v/>
      </c>
      <c r="G215" s="14" t="n"/>
      <c r="H215" s="14" t="n"/>
      <c r="I215" s="14" t="n"/>
      <c r="J215" s="14" t="n"/>
      <c r="K215" s="14" t="n"/>
      <c r="L215" s="16" t="n"/>
      <c r="M215" s="17">
        <f>IF(L215="","",IF(K215="GST 10%",ROUND(L215*set_GSTRate,2),0))</f>
        <v/>
      </c>
      <c r="N215" s="17">
        <f>IF(L215="","",L215+M215)</f>
        <v/>
      </c>
      <c r="O215" s="14" t="n"/>
      <c r="P215" s="14" t="n"/>
      <c r="Q215" s="14" t="n"/>
      <c r="R215" s="12" t="n"/>
      <c r="S215" s="12" t="n"/>
      <c r="T215" s="14" t="n"/>
      <c r="U215" s="14" t="n"/>
      <c r="V215" s="1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row>
    <row r="216" ht="15" customHeight="1">
      <c r="A216" s="12" t="n"/>
      <c r="B216" s="13">
        <f>IF(A216="","",EOMONTH(A216,0))</f>
        <v/>
      </c>
      <c r="C216" s="14" t="n"/>
      <c r="D216" s="14" t="n"/>
      <c r="E216" s="14" t="n"/>
      <c r="F216" s="15">
        <f>IF(E216="","",IF(COUNTIF(lst_Jobs,E216&amp;"")&gt;0,"OK","CHECK"))</f>
        <v/>
      </c>
      <c r="G216" s="14" t="n"/>
      <c r="H216" s="14" t="n"/>
      <c r="I216" s="14" t="n"/>
      <c r="J216" s="14" t="n"/>
      <c r="K216" s="14" t="n"/>
      <c r="L216" s="16" t="n"/>
      <c r="M216" s="17">
        <f>IF(L216="","",IF(K216="GST 10%",ROUND(L216*set_GSTRate,2),0))</f>
        <v/>
      </c>
      <c r="N216" s="17">
        <f>IF(L216="","",L216+M216)</f>
        <v/>
      </c>
      <c r="O216" s="14" t="n"/>
      <c r="P216" s="14" t="n"/>
      <c r="Q216" s="14" t="n"/>
      <c r="R216" s="12" t="n"/>
      <c r="S216" s="12" t="n"/>
      <c r="T216" s="14" t="n"/>
      <c r="U216" s="14" t="n"/>
      <c r="V216" s="1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row>
    <row r="217" ht="15" customHeight="1">
      <c r="A217" s="12" t="n"/>
      <c r="B217" s="13">
        <f>IF(A217="","",EOMONTH(A217,0))</f>
        <v/>
      </c>
      <c r="C217" s="14" t="n"/>
      <c r="D217" s="14" t="n"/>
      <c r="E217" s="14" t="n"/>
      <c r="F217" s="15">
        <f>IF(E217="","",IF(COUNTIF(lst_Jobs,E217&amp;"")&gt;0,"OK","CHECK"))</f>
        <v/>
      </c>
      <c r="G217" s="14" t="n"/>
      <c r="H217" s="14" t="n"/>
      <c r="I217" s="14" t="n"/>
      <c r="J217" s="14" t="n"/>
      <c r="K217" s="14" t="n"/>
      <c r="L217" s="16" t="n"/>
      <c r="M217" s="17">
        <f>IF(L217="","",IF(K217="GST 10%",ROUND(L217*set_GSTRate,2),0))</f>
        <v/>
      </c>
      <c r="N217" s="17">
        <f>IF(L217="","",L217+M217)</f>
        <v/>
      </c>
      <c r="O217" s="14" t="n"/>
      <c r="P217" s="14" t="n"/>
      <c r="Q217" s="14" t="n"/>
      <c r="R217" s="12" t="n"/>
      <c r="S217" s="12" t="n"/>
      <c r="T217" s="14" t="n"/>
      <c r="U217" s="14" t="n"/>
      <c r="V217" s="1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row>
    <row r="218" ht="15" customHeight="1">
      <c r="A218" s="12" t="n"/>
      <c r="B218" s="13">
        <f>IF(A218="","",EOMONTH(A218,0))</f>
        <v/>
      </c>
      <c r="C218" s="14" t="n"/>
      <c r="D218" s="14" t="n"/>
      <c r="E218" s="14" t="n"/>
      <c r="F218" s="15">
        <f>IF(E218="","",IF(COUNTIF(lst_Jobs,E218&amp;"")&gt;0,"OK","CHECK"))</f>
        <v/>
      </c>
      <c r="G218" s="14" t="n"/>
      <c r="H218" s="14" t="n"/>
      <c r="I218" s="14" t="n"/>
      <c r="J218" s="14" t="n"/>
      <c r="K218" s="14" t="n"/>
      <c r="L218" s="16" t="n"/>
      <c r="M218" s="17">
        <f>IF(L218="","",IF(K218="GST 10%",ROUND(L218*set_GSTRate,2),0))</f>
        <v/>
      </c>
      <c r="N218" s="17">
        <f>IF(L218="","",L218+M218)</f>
        <v/>
      </c>
      <c r="O218" s="14" t="n"/>
      <c r="P218" s="14" t="n"/>
      <c r="Q218" s="14" t="n"/>
      <c r="R218" s="12" t="n"/>
      <c r="S218" s="12" t="n"/>
      <c r="T218" s="14" t="n"/>
      <c r="U218" s="14" t="n"/>
      <c r="V218" s="1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row>
    <row r="219" ht="15" customHeight="1">
      <c r="A219" s="12" t="n"/>
      <c r="B219" s="13">
        <f>IF(A219="","",EOMONTH(A219,0))</f>
        <v/>
      </c>
      <c r="C219" s="14" t="n"/>
      <c r="D219" s="14" t="n"/>
      <c r="E219" s="14" t="n"/>
      <c r="F219" s="15">
        <f>IF(E219="","",IF(COUNTIF(lst_Jobs,E219&amp;"")&gt;0,"OK","CHECK"))</f>
        <v/>
      </c>
      <c r="G219" s="14" t="n"/>
      <c r="H219" s="14" t="n"/>
      <c r="I219" s="14" t="n"/>
      <c r="J219" s="14" t="n"/>
      <c r="K219" s="14" t="n"/>
      <c r="L219" s="16" t="n"/>
      <c r="M219" s="17">
        <f>IF(L219="","",IF(K219="GST 10%",ROUND(L219*set_GSTRate,2),0))</f>
        <v/>
      </c>
      <c r="N219" s="17">
        <f>IF(L219="","",L219+M219)</f>
        <v/>
      </c>
      <c r="O219" s="14" t="n"/>
      <c r="P219" s="14" t="n"/>
      <c r="Q219" s="14" t="n"/>
      <c r="R219" s="12" t="n"/>
      <c r="S219" s="12" t="n"/>
      <c r="T219" s="14" t="n"/>
      <c r="U219" s="14" t="n"/>
      <c r="V219" s="1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row>
    <row r="220" ht="15" customHeight="1">
      <c r="A220" s="12" t="n"/>
      <c r="B220" s="13">
        <f>IF(A220="","",EOMONTH(A220,0))</f>
        <v/>
      </c>
      <c r="C220" s="14" t="n"/>
      <c r="D220" s="14" t="n"/>
      <c r="E220" s="14" t="n"/>
      <c r="F220" s="15">
        <f>IF(E220="","",IF(COUNTIF(lst_Jobs,E220&amp;"")&gt;0,"OK","CHECK"))</f>
        <v/>
      </c>
      <c r="G220" s="14" t="n"/>
      <c r="H220" s="14" t="n"/>
      <c r="I220" s="14" t="n"/>
      <c r="J220" s="14" t="n"/>
      <c r="K220" s="14" t="n"/>
      <c r="L220" s="16" t="n"/>
      <c r="M220" s="17">
        <f>IF(L220="","",IF(K220="GST 10%",ROUND(L220*set_GSTRate,2),0))</f>
        <v/>
      </c>
      <c r="N220" s="17">
        <f>IF(L220="","",L220+M220)</f>
        <v/>
      </c>
      <c r="O220" s="14" t="n"/>
      <c r="P220" s="14" t="n"/>
      <c r="Q220" s="14" t="n"/>
      <c r="R220" s="12" t="n"/>
      <c r="S220" s="12" t="n"/>
      <c r="T220" s="14" t="n"/>
      <c r="U220" s="14" t="n"/>
      <c r="V220" s="1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row>
    <row r="221" ht="15" customHeight="1">
      <c r="A221" s="12" t="n"/>
      <c r="B221" s="13">
        <f>IF(A221="","",EOMONTH(A221,0))</f>
        <v/>
      </c>
      <c r="C221" s="14" t="n"/>
      <c r="D221" s="14" t="n"/>
      <c r="E221" s="14" t="n"/>
      <c r="F221" s="15">
        <f>IF(E221="","",IF(COUNTIF(lst_Jobs,E221&amp;"")&gt;0,"OK","CHECK"))</f>
        <v/>
      </c>
      <c r="G221" s="14" t="n"/>
      <c r="H221" s="14" t="n"/>
      <c r="I221" s="14" t="n"/>
      <c r="J221" s="14" t="n"/>
      <c r="K221" s="14" t="n"/>
      <c r="L221" s="16" t="n"/>
      <c r="M221" s="17">
        <f>IF(L221="","",IF(K221="GST 10%",ROUND(L221*set_GSTRate,2),0))</f>
        <v/>
      </c>
      <c r="N221" s="17">
        <f>IF(L221="","",L221+M221)</f>
        <v/>
      </c>
      <c r="O221" s="14" t="n"/>
      <c r="P221" s="14" t="n"/>
      <c r="Q221" s="14" t="n"/>
      <c r="R221" s="12" t="n"/>
      <c r="S221" s="12" t="n"/>
      <c r="T221" s="14" t="n"/>
      <c r="U221" s="14" t="n"/>
      <c r="V221" s="1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row>
    <row r="222" ht="15" customHeight="1">
      <c r="A222" s="12" t="n"/>
      <c r="B222" s="13">
        <f>IF(A222="","",EOMONTH(A222,0))</f>
        <v/>
      </c>
      <c r="C222" s="14" t="n"/>
      <c r="D222" s="14" t="n"/>
      <c r="E222" s="14" t="n"/>
      <c r="F222" s="15">
        <f>IF(E222="","",IF(COUNTIF(lst_Jobs,E222&amp;"")&gt;0,"OK","CHECK"))</f>
        <v/>
      </c>
      <c r="G222" s="14" t="n"/>
      <c r="H222" s="14" t="n"/>
      <c r="I222" s="14" t="n"/>
      <c r="J222" s="14" t="n"/>
      <c r="K222" s="14" t="n"/>
      <c r="L222" s="16" t="n"/>
      <c r="M222" s="17">
        <f>IF(L222="","",IF(K222="GST 10%",ROUND(L222*set_GSTRate,2),0))</f>
        <v/>
      </c>
      <c r="N222" s="17">
        <f>IF(L222="","",L222+M222)</f>
        <v/>
      </c>
      <c r="O222" s="14" t="n"/>
      <c r="P222" s="14" t="n"/>
      <c r="Q222" s="14" t="n"/>
      <c r="R222" s="12" t="n"/>
      <c r="S222" s="12" t="n"/>
      <c r="T222" s="14" t="n"/>
      <c r="U222" s="14" t="n"/>
      <c r="V222" s="1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row>
    <row r="223" ht="15" customHeight="1">
      <c r="A223" s="12" t="n"/>
      <c r="B223" s="13">
        <f>IF(A223="","",EOMONTH(A223,0))</f>
        <v/>
      </c>
      <c r="C223" s="14" t="n"/>
      <c r="D223" s="14" t="n"/>
      <c r="E223" s="14" t="n"/>
      <c r="F223" s="15">
        <f>IF(E223="","",IF(COUNTIF(lst_Jobs,E223&amp;"")&gt;0,"OK","CHECK"))</f>
        <v/>
      </c>
      <c r="G223" s="14" t="n"/>
      <c r="H223" s="14" t="n"/>
      <c r="I223" s="14" t="n"/>
      <c r="J223" s="14" t="n"/>
      <c r="K223" s="14" t="n"/>
      <c r="L223" s="16" t="n"/>
      <c r="M223" s="17">
        <f>IF(L223="","",IF(K223="GST 10%",ROUND(L223*set_GSTRate,2),0))</f>
        <v/>
      </c>
      <c r="N223" s="17">
        <f>IF(L223="","",L223+M223)</f>
        <v/>
      </c>
      <c r="O223" s="14" t="n"/>
      <c r="P223" s="14" t="n"/>
      <c r="Q223" s="14" t="n"/>
      <c r="R223" s="12" t="n"/>
      <c r="S223" s="12" t="n"/>
      <c r="T223" s="14" t="n"/>
      <c r="U223" s="14" t="n"/>
      <c r="V223" s="1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row>
    <row r="224" ht="15" customHeight="1">
      <c r="A224" s="12" t="n"/>
      <c r="B224" s="13">
        <f>IF(A224="","",EOMONTH(A224,0))</f>
        <v/>
      </c>
      <c r="C224" s="14" t="n"/>
      <c r="D224" s="14" t="n"/>
      <c r="E224" s="14" t="n"/>
      <c r="F224" s="15">
        <f>IF(E224="","",IF(COUNTIF(lst_Jobs,E224&amp;"")&gt;0,"OK","CHECK"))</f>
        <v/>
      </c>
      <c r="G224" s="14" t="n"/>
      <c r="H224" s="14" t="n"/>
      <c r="I224" s="14" t="n"/>
      <c r="J224" s="14" t="n"/>
      <c r="K224" s="14" t="n"/>
      <c r="L224" s="16" t="n"/>
      <c r="M224" s="17">
        <f>IF(L224="","",IF(K224="GST 10%",ROUND(L224*set_GSTRate,2),0))</f>
        <v/>
      </c>
      <c r="N224" s="17">
        <f>IF(L224="","",L224+M224)</f>
        <v/>
      </c>
      <c r="O224" s="14" t="n"/>
      <c r="P224" s="14" t="n"/>
      <c r="Q224" s="14" t="n"/>
      <c r="R224" s="12" t="n"/>
      <c r="S224" s="12" t="n"/>
      <c r="T224" s="14" t="n"/>
      <c r="U224" s="14" t="n"/>
      <c r="V224" s="1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row>
    <row r="225" ht="15" customHeight="1">
      <c r="A225" s="12" t="n"/>
      <c r="B225" s="13">
        <f>IF(A225="","",EOMONTH(A225,0))</f>
        <v/>
      </c>
      <c r="C225" s="14" t="n"/>
      <c r="D225" s="14" t="n"/>
      <c r="E225" s="14" t="n"/>
      <c r="F225" s="15">
        <f>IF(E225="","",IF(COUNTIF(lst_Jobs,E225&amp;"")&gt;0,"OK","CHECK"))</f>
        <v/>
      </c>
      <c r="G225" s="14" t="n"/>
      <c r="H225" s="14" t="n"/>
      <c r="I225" s="14" t="n"/>
      <c r="J225" s="14" t="n"/>
      <c r="K225" s="14" t="n"/>
      <c r="L225" s="16" t="n"/>
      <c r="M225" s="17">
        <f>IF(L225="","",IF(K225="GST 10%",ROUND(L225*set_GSTRate,2),0))</f>
        <v/>
      </c>
      <c r="N225" s="17">
        <f>IF(L225="","",L225+M225)</f>
        <v/>
      </c>
      <c r="O225" s="14" t="n"/>
      <c r="P225" s="14" t="n"/>
      <c r="Q225" s="14" t="n"/>
      <c r="R225" s="12" t="n"/>
      <c r="S225" s="12" t="n"/>
      <c r="T225" s="14" t="n"/>
      <c r="U225" s="14" t="n"/>
      <c r="V225" s="1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row>
    <row r="226" ht="15" customHeight="1">
      <c r="A226" s="12" t="n"/>
      <c r="B226" s="13">
        <f>IF(A226="","",EOMONTH(A226,0))</f>
        <v/>
      </c>
      <c r="C226" s="14" t="n"/>
      <c r="D226" s="14" t="n"/>
      <c r="E226" s="14" t="n"/>
      <c r="F226" s="15">
        <f>IF(E226="","",IF(COUNTIF(lst_Jobs,E226&amp;"")&gt;0,"OK","CHECK"))</f>
        <v/>
      </c>
      <c r="G226" s="14" t="n"/>
      <c r="H226" s="14" t="n"/>
      <c r="I226" s="14" t="n"/>
      <c r="J226" s="14" t="n"/>
      <c r="K226" s="14" t="n"/>
      <c r="L226" s="16" t="n"/>
      <c r="M226" s="17">
        <f>IF(L226="","",IF(K226="GST 10%",ROUND(L226*set_GSTRate,2),0))</f>
        <v/>
      </c>
      <c r="N226" s="17">
        <f>IF(L226="","",L226+M226)</f>
        <v/>
      </c>
      <c r="O226" s="14" t="n"/>
      <c r="P226" s="14" t="n"/>
      <c r="Q226" s="14" t="n"/>
      <c r="R226" s="12" t="n"/>
      <c r="S226" s="12" t="n"/>
      <c r="T226" s="14" t="n"/>
      <c r="U226" s="14" t="n"/>
      <c r="V226" s="1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row>
    <row r="227" ht="15" customHeight="1">
      <c r="A227" s="12" t="n"/>
      <c r="B227" s="13">
        <f>IF(A227="","",EOMONTH(A227,0))</f>
        <v/>
      </c>
      <c r="C227" s="14" t="n"/>
      <c r="D227" s="14" t="n"/>
      <c r="E227" s="14" t="n"/>
      <c r="F227" s="15">
        <f>IF(E227="","",IF(COUNTIF(lst_Jobs,E227&amp;"")&gt;0,"OK","CHECK"))</f>
        <v/>
      </c>
      <c r="G227" s="14" t="n"/>
      <c r="H227" s="14" t="n"/>
      <c r="I227" s="14" t="n"/>
      <c r="J227" s="14" t="n"/>
      <c r="K227" s="14" t="n"/>
      <c r="L227" s="16" t="n"/>
      <c r="M227" s="17">
        <f>IF(L227="","",IF(K227="GST 10%",ROUND(L227*set_GSTRate,2),0))</f>
        <v/>
      </c>
      <c r="N227" s="17">
        <f>IF(L227="","",L227+M227)</f>
        <v/>
      </c>
      <c r="O227" s="14" t="n"/>
      <c r="P227" s="14" t="n"/>
      <c r="Q227" s="14" t="n"/>
      <c r="R227" s="12" t="n"/>
      <c r="S227" s="12" t="n"/>
      <c r="T227" s="14" t="n"/>
      <c r="U227" s="14" t="n"/>
      <c r="V227" s="1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row>
    <row r="228" ht="15" customHeight="1">
      <c r="A228" s="12" t="n"/>
      <c r="B228" s="13">
        <f>IF(A228="","",EOMONTH(A228,0))</f>
        <v/>
      </c>
      <c r="C228" s="14" t="n"/>
      <c r="D228" s="14" t="n"/>
      <c r="E228" s="14" t="n"/>
      <c r="F228" s="15">
        <f>IF(E228="","",IF(COUNTIF(lst_Jobs,E228&amp;"")&gt;0,"OK","CHECK"))</f>
        <v/>
      </c>
      <c r="G228" s="14" t="n"/>
      <c r="H228" s="14" t="n"/>
      <c r="I228" s="14" t="n"/>
      <c r="J228" s="14" t="n"/>
      <c r="K228" s="14" t="n"/>
      <c r="L228" s="16" t="n"/>
      <c r="M228" s="17">
        <f>IF(L228="","",IF(K228="GST 10%",ROUND(L228*set_GSTRate,2),0))</f>
        <v/>
      </c>
      <c r="N228" s="17">
        <f>IF(L228="","",L228+M228)</f>
        <v/>
      </c>
      <c r="O228" s="14" t="n"/>
      <c r="P228" s="14" t="n"/>
      <c r="Q228" s="14" t="n"/>
      <c r="R228" s="12" t="n"/>
      <c r="S228" s="12" t="n"/>
      <c r="T228" s="14" t="n"/>
      <c r="U228" s="14" t="n"/>
      <c r="V228" s="1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row>
    <row r="229" ht="15" customHeight="1">
      <c r="A229" s="12" t="n"/>
      <c r="B229" s="13">
        <f>IF(A229="","",EOMONTH(A229,0))</f>
        <v/>
      </c>
      <c r="C229" s="14" t="n"/>
      <c r="D229" s="14" t="n"/>
      <c r="E229" s="14" t="n"/>
      <c r="F229" s="15">
        <f>IF(E229="","",IF(COUNTIF(lst_Jobs,E229&amp;"")&gt;0,"OK","CHECK"))</f>
        <v/>
      </c>
      <c r="G229" s="14" t="n"/>
      <c r="H229" s="14" t="n"/>
      <c r="I229" s="14" t="n"/>
      <c r="J229" s="14" t="n"/>
      <c r="K229" s="14" t="n"/>
      <c r="L229" s="16" t="n"/>
      <c r="M229" s="17">
        <f>IF(L229="","",IF(K229="GST 10%",ROUND(L229*set_GSTRate,2),0))</f>
        <v/>
      </c>
      <c r="N229" s="17">
        <f>IF(L229="","",L229+M229)</f>
        <v/>
      </c>
      <c r="O229" s="14" t="n"/>
      <c r="P229" s="14" t="n"/>
      <c r="Q229" s="14" t="n"/>
      <c r="R229" s="12" t="n"/>
      <c r="S229" s="12" t="n"/>
      <c r="T229" s="14" t="n"/>
      <c r="U229" s="14" t="n"/>
      <c r="V229" s="1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row>
    <row r="230" ht="15" customHeight="1">
      <c r="A230" s="12" t="n"/>
      <c r="B230" s="13">
        <f>IF(A230="","",EOMONTH(A230,0))</f>
        <v/>
      </c>
      <c r="C230" s="14" t="n"/>
      <c r="D230" s="14" t="n"/>
      <c r="E230" s="14" t="n"/>
      <c r="F230" s="15">
        <f>IF(E230="","",IF(COUNTIF(lst_Jobs,E230&amp;"")&gt;0,"OK","CHECK"))</f>
        <v/>
      </c>
      <c r="G230" s="14" t="n"/>
      <c r="H230" s="14" t="n"/>
      <c r="I230" s="14" t="n"/>
      <c r="J230" s="14" t="n"/>
      <c r="K230" s="14" t="n"/>
      <c r="L230" s="16" t="n"/>
      <c r="M230" s="17">
        <f>IF(L230="","",IF(K230="GST 10%",ROUND(L230*set_GSTRate,2),0))</f>
        <v/>
      </c>
      <c r="N230" s="17">
        <f>IF(L230="","",L230+M230)</f>
        <v/>
      </c>
      <c r="O230" s="14" t="n"/>
      <c r="P230" s="14" t="n"/>
      <c r="Q230" s="14" t="n"/>
      <c r="R230" s="12" t="n"/>
      <c r="S230" s="12" t="n"/>
      <c r="T230" s="14" t="n"/>
      <c r="U230" s="14" t="n"/>
      <c r="V230" s="1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row>
    <row r="231" ht="15" customHeight="1">
      <c r="A231" s="12" t="n"/>
      <c r="B231" s="13">
        <f>IF(A231="","",EOMONTH(A231,0))</f>
        <v/>
      </c>
      <c r="C231" s="14" t="n"/>
      <c r="D231" s="14" t="n"/>
      <c r="E231" s="14" t="n"/>
      <c r="F231" s="15">
        <f>IF(E231="","",IF(COUNTIF(lst_Jobs,E231&amp;"")&gt;0,"OK","CHECK"))</f>
        <v/>
      </c>
      <c r="G231" s="14" t="n"/>
      <c r="H231" s="14" t="n"/>
      <c r="I231" s="14" t="n"/>
      <c r="J231" s="14" t="n"/>
      <c r="K231" s="14" t="n"/>
      <c r="L231" s="16" t="n"/>
      <c r="M231" s="17">
        <f>IF(L231="","",IF(K231="GST 10%",ROUND(L231*set_GSTRate,2),0))</f>
        <v/>
      </c>
      <c r="N231" s="17">
        <f>IF(L231="","",L231+M231)</f>
        <v/>
      </c>
      <c r="O231" s="14" t="n"/>
      <c r="P231" s="14" t="n"/>
      <c r="Q231" s="14" t="n"/>
      <c r="R231" s="12" t="n"/>
      <c r="S231" s="12" t="n"/>
      <c r="T231" s="14" t="n"/>
      <c r="U231" s="14" t="n"/>
      <c r="V231" s="1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row>
    <row r="232" ht="15" customHeight="1">
      <c r="A232" s="12" t="n"/>
      <c r="B232" s="13">
        <f>IF(A232="","",EOMONTH(A232,0))</f>
        <v/>
      </c>
      <c r="C232" s="14" t="n"/>
      <c r="D232" s="14" t="n"/>
      <c r="E232" s="14" t="n"/>
      <c r="F232" s="15">
        <f>IF(E232="","",IF(COUNTIF(lst_Jobs,E232&amp;"")&gt;0,"OK","CHECK"))</f>
        <v/>
      </c>
      <c r="G232" s="14" t="n"/>
      <c r="H232" s="14" t="n"/>
      <c r="I232" s="14" t="n"/>
      <c r="J232" s="14" t="n"/>
      <c r="K232" s="14" t="n"/>
      <c r="L232" s="16" t="n"/>
      <c r="M232" s="17">
        <f>IF(L232="","",IF(K232="GST 10%",ROUND(L232*set_GSTRate,2),0))</f>
        <v/>
      </c>
      <c r="N232" s="17">
        <f>IF(L232="","",L232+M232)</f>
        <v/>
      </c>
      <c r="O232" s="14" t="n"/>
      <c r="P232" s="14" t="n"/>
      <c r="Q232" s="14" t="n"/>
      <c r="R232" s="12" t="n"/>
      <c r="S232" s="12" t="n"/>
      <c r="T232" s="14" t="n"/>
      <c r="U232" s="14" t="n"/>
      <c r="V232" s="1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row>
    <row r="233" ht="15" customHeight="1">
      <c r="A233" s="12" t="n"/>
      <c r="B233" s="13">
        <f>IF(A233="","",EOMONTH(A233,0))</f>
        <v/>
      </c>
      <c r="C233" s="14" t="n"/>
      <c r="D233" s="14" t="n"/>
      <c r="E233" s="14" t="n"/>
      <c r="F233" s="15">
        <f>IF(E233="","",IF(COUNTIF(lst_Jobs,E233&amp;"")&gt;0,"OK","CHECK"))</f>
        <v/>
      </c>
      <c r="G233" s="14" t="n"/>
      <c r="H233" s="14" t="n"/>
      <c r="I233" s="14" t="n"/>
      <c r="J233" s="14" t="n"/>
      <c r="K233" s="14" t="n"/>
      <c r="L233" s="16" t="n"/>
      <c r="M233" s="17">
        <f>IF(L233="","",IF(K233="GST 10%",ROUND(L233*set_GSTRate,2),0))</f>
        <v/>
      </c>
      <c r="N233" s="17">
        <f>IF(L233="","",L233+M233)</f>
        <v/>
      </c>
      <c r="O233" s="14" t="n"/>
      <c r="P233" s="14" t="n"/>
      <c r="Q233" s="14" t="n"/>
      <c r="R233" s="12" t="n"/>
      <c r="S233" s="12" t="n"/>
      <c r="T233" s="14" t="n"/>
      <c r="U233" s="14" t="n"/>
      <c r="V233" s="1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row>
    <row r="234" ht="15" customHeight="1">
      <c r="A234" s="12" t="n"/>
      <c r="B234" s="13">
        <f>IF(A234="","",EOMONTH(A234,0))</f>
        <v/>
      </c>
      <c r="C234" s="14" t="n"/>
      <c r="D234" s="14" t="n"/>
      <c r="E234" s="14" t="n"/>
      <c r="F234" s="15">
        <f>IF(E234="","",IF(COUNTIF(lst_Jobs,E234&amp;"")&gt;0,"OK","CHECK"))</f>
        <v/>
      </c>
      <c r="G234" s="14" t="n"/>
      <c r="H234" s="14" t="n"/>
      <c r="I234" s="14" t="n"/>
      <c r="J234" s="14" t="n"/>
      <c r="K234" s="14" t="n"/>
      <c r="L234" s="16" t="n"/>
      <c r="M234" s="17">
        <f>IF(L234="","",IF(K234="GST 10%",ROUND(L234*set_GSTRate,2),0))</f>
        <v/>
      </c>
      <c r="N234" s="17">
        <f>IF(L234="","",L234+M234)</f>
        <v/>
      </c>
      <c r="O234" s="14" t="n"/>
      <c r="P234" s="14" t="n"/>
      <c r="Q234" s="14" t="n"/>
      <c r="R234" s="12" t="n"/>
      <c r="S234" s="12" t="n"/>
      <c r="T234" s="14" t="n"/>
      <c r="U234" s="14" t="n"/>
      <c r="V234" s="1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row>
    <row r="235" ht="15" customHeight="1">
      <c r="A235" s="12" t="n"/>
      <c r="B235" s="13">
        <f>IF(A235="","",EOMONTH(A235,0))</f>
        <v/>
      </c>
      <c r="C235" s="14" t="n"/>
      <c r="D235" s="14" t="n"/>
      <c r="E235" s="14" t="n"/>
      <c r="F235" s="15">
        <f>IF(E235="","",IF(COUNTIF(lst_Jobs,E235&amp;"")&gt;0,"OK","CHECK"))</f>
        <v/>
      </c>
      <c r="G235" s="14" t="n"/>
      <c r="H235" s="14" t="n"/>
      <c r="I235" s="14" t="n"/>
      <c r="J235" s="14" t="n"/>
      <c r="K235" s="14" t="n"/>
      <c r="L235" s="16" t="n"/>
      <c r="M235" s="17">
        <f>IF(L235="","",IF(K235="GST 10%",ROUND(L235*set_GSTRate,2),0))</f>
        <v/>
      </c>
      <c r="N235" s="17">
        <f>IF(L235="","",L235+M235)</f>
        <v/>
      </c>
      <c r="O235" s="14" t="n"/>
      <c r="P235" s="14" t="n"/>
      <c r="Q235" s="14" t="n"/>
      <c r="R235" s="12" t="n"/>
      <c r="S235" s="12" t="n"/>
      <c r="T235" s="14" t="n"/>
      <c r="U235" s="14" t="n"/>
      <c r="V235" s="1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row>
    <row r="236" ht="15" customHeight="1">
      <c r="A236" s="12" t="n"/>
      <c r="B236" s="13">
        <f>IF(A236="","",EOMONTH(A236,0))</f>
        <v/>
      </c>
      <c r="C236" s="14" t="n"/>
      <c r="D236" s="14" t="n"/>
      <c r="E236" s="14" t="n"/>
      <c r="F236" s="15">
        <f>IF(E236="","",IF(COUNTIF(lst_Jobs,E236&amp;"")&gt;0,"OK","CHECK"))</f>
        <v/>
      </c>
      <c r="G236" s="14" t="n"/>
      <c r="H236" s="14" t="n"/>
      <c r="I236" s="14" t="n"/>
      <c r="J236" s="14" t="n"/>
      <c r="K236" s="14" t="n"/>
      <c r="L236" s="16" t="n"/>
      <c r="M236" s="17">
        <f>IF(L236="","",IF(K236="GST 10%",ROUND(L236*set_GSTRate,2),0))</f>
        <v/>
      </c>
      <c r="N236" s="17">
        <f>IF(L236="","",L236+M236)</f>
        <v/>
      </c>
      <c r="O236" s="14" t="n"/>
      <c r="P236" s="14" t="n"/>
      <c r="Q236" s="14" t="n"/>
      <c r="R236" s="12" t="n"/>
      <c r="S236" s="12" t="n"/>
      <c r="T236" s="14" t="n"/>
      <c r="U236" s="14" t="n"/>
      <c r="V236" s="1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row>
    <row r="237" ht="15" customHeight="1">
      <c r="A237" s="12" t="n"/>
      <c r="B237" s="13">
        <f>IF(A237="","",EOMONTH(A237,0))</f>
        <v/>
      </c>
      <c r="C237" s="14" t="n"/>
      <c r="D237" s="14" t="n"/>
      <c r="E237" s="14" t="n"/>
      <c r="F237" s="15">
        <f>IF(E237="","",IF(COUNTIF(lst_Jobs,E237&amp;"")&gt;0,"OK","CHECK"))</f>
        <v/>
      </c>
      <c r="G237" s="14" t="n"/>
      <c r="H237" s="14" t="n"/>
      <c r="I237" s="14" t="n"/>
      <c r="J237" s="14" t="n"/>
      <c r="K237" s="14" t="n"/>
      <c r="L237" s="16" t="n"/>
      <c r="M237" s="17">
        <f>IF(L237="","",IF(K237="GST 10%",ROUND(L237*set_GSTRate,2),0))</f>
        <v/>
      </c>
      <c r="N237" s="17">
        <f>IF(L237="","",L237+M237)</f>
        <v/>
      </c>
      <c r="O237" s="14" t="n"/>
      <c r="P237" s="14" t="n"/>
      <c r="Q237" s="14" t="n"/>
      <c r="R237" s="12" t="n"/>
      <c r="S237" s="12" t="n"/>
      <c r="T237" s="14" t="n"/>
      <c r="U237" s="14" t="n"/>
      <c r="V237" s="1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row>
    <row r="238" ht="15" customHeight="1">
      <c r="A238" s="12" t="n"/>
      <c r="B238" s="13">
        <f>IF(A238="","",EOMONTH(A238,0))</f>
        <v/>
      </c>
      <c r="C238" s="14" t="n"/>
      <c r="D238" s="14" t="n"/>
      <c r="E238" s="14" t="n"/>
      <c r="F238" s="15">
        <f>IF(E238="","",IF(COUNTIF(lst_Jobs,E238&amp;"")&gt;0,"OK","CHECK"))</f>
        <v/>
      </c>
      <c r="G238" s="14" t="n"/>
      <c r="H238" s="14" t="n"/>
      <c r="I238" s="14" t="n"/>
      <c r="J238" s="14" t="n"/>
      <c r="K238" s="14" t="n"/>
      <c r="L238" s="16" t="n"/>
      <c r="M238" s="17">
        <f>IF(L238="","",IF(K238="GST 10%",ROUND(L238*set_GSTRate,2),0))</f>
        <v/>
      </c>
      <c r="N238" s="17">
        <f>IF(L238="","",L238+M238)</f>
        <v/>
      </c>
      <c r="O238" s="14" t="n"/>
      <c r="P238" s="14" t="n"/>
      <c r="Q238" s="14" t="n"/>
      <c r="R238" s="12" t="n"/>
      <c r="S238" s="12" t="n"/>
      <c r="T238" s="14" t="n"/>
      <c r="U238" s="14" t="n"/>
      <c r="V238" s="1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row>
    <row r="239" ht="15" customHeight="1">
      <c r="A239" s="12" t="n"/>
      <c r="B239" s="13">
        <f>IF(A239="","",EOMONTH(A239,0))</f>
        <v/>
      </c>
      <c r="C239" s="14" t="n"/>
      <c r="D239" s="14" t="n"/>
      <c r="E239" s="14" t="n"/>
      <c r="F239" s="15">
        <f>IF(E239="","",IF(COUNTIF(lst_Jobs,E239&amp;"")&gt;0,"OK","CHECK"))</f>
        <v/>
      </c>
      <c r="G239" s="14" t="n"/>
      <c r="H239" s="14" t="n"/>
      <c r="I239" s="14" t="n"/>
      <c r="J239" s="14" t="n"/>
      <c r="K239" s="14" t="n"/>
      <c r="L239" s="16" t="n"/>
      <c r="M239" s="17">
        <f>IF(L239="","",IF(K239="GST 10%",ROUND(L239*set_GSTRate,2),0))</f>
        <v/>
      </c>
      <c r="N239" s="17">
        <f>IF(L239="","",L239+M239)</f>
        <v/>
      </c>
      <c r="O239" s="14" t="n"/>
      <c r="P239" s="14" t="n"/>
      <c r="Q239" s="14" t="n"/>
      <c r="R239" s="12" t="n"/>
      <c r="S239" s="12" t="n"/>
      <c r="T239" s="14" t="n"/>
      <c r="U239" s="14" t="n"/>
      <c r="V239" s="1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row>
    <row r="240" ht="15" customHeight="1">
      <c r="A240" s="12" t="n"/>
      <c r="B240" s="13">
        <f>IF(A240="","",EOMONTH(A240,0))</f>
        <v/>
      </c>
      <c r="C240" s="14" t="n"/>
      <c r="D240" s="14" t="n"/>
      <c r="E240" s="14" t="n"/>
      <c r="F240" s="15">
        <f>IF(E240="","",IF(COUNTIF(lst_Jobs,E240&amp;"")&gt;0,"OK","CHECK"))</f>
        <v/>
      </c>
      <c r="G240" s="14" t="n"/>
      <c r="H240" s="14" t="n"/>
      <c r="I240" s="14" t="n"/>
      <c r="J240" s="14" t="n"/>
      <c r="K240" s="14" t="n"/>
      <c r="L240" s="16" t="n"/>
      <c r="M240" s="17">
        <f>IF(L240="","",IF(K240="GST 10%",ROUND(L240*set_GSTRate,2),0))</f>
        <v/>
      </c>
      <c r="N240" s="17">
        <f>IF(L240="","",L240+M240)</f>
        <v/>
      </c>
      <c r="O240" s="14" t="n"/>
      <c r="P240" s="14" t="n"/>
      <c r="Q240" s="14" t="n"/>
      <c r="R240" s="12" t="n"/>
      <c r="S240" s="12" t="n"/>
      <c r="T240" s="14" t="n"/>
      <c r="U240" s="14" t="n"/>
      <c r="V240" s="1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row>
    <row r="241" ht="15" customHeight="1">
      <c r="A241" s="12" t="n"/>
      <c r="B241" s="13">
        <f>IF(A241="","",EOMONTH(A241,0))</f>
        <v/>
      </c>
      <c r="C241" s="14" t="n"/>
      <c r="D241" s="14" t="n"/>
      <c r="E241" s="14" t="n"/>
      <c r="F241" s="15">
        <f>IF(E241="","",IF(COUNTIF(lst_Jobs,E241&amp;"")&gt;0,"OK","CHECK"))</f>
        <v/>
      </c>
      <c r="G241" s="14" t="n"/>
      <c r="H241" s="14" t="n"/>
      <c r="I241" s="14" t="n"/>
      <c r="J241" s="14" t="n"/>
      <c r="K241" s="14" t="n"/>
      <c r="L241" s="16" t="n"/>
      <c r="M241" s="17">
        <f>IF(L241="","",IF(K241="GST 10%",ROUND(L241*set_GSTRate,2),0))</f>
        <v/>
      </c>
      <c r="N241" s="17">
        <f>IF(L241="","",L241+M241)</f>
        <v/>
      </c>
      <c r="O241" s="14" t="n"/>
      <c r="P241" s="14" t="n"/>
      <c r="Q241" s="14" t="n"/>
      <c r="R241" s="12" t="n"/>
      <c r="S241" s="12" t="n"/>
      <c r="T241" s="14" t="n"/>
      <c r="U241" s="14" t="n"/>
      <c r="V241" s="1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row>
    <row r="242" ht="15" customHeight="1">
      <c r="A242" s="12" t="n"/>
      <c r="B242" s="13">
        <f>IF(A242="","",EOMONTH(A242,0))</f>
        <v/>
      </c>
      <c r="C242" s="14" t="n"/>
      <c r="D242" s="14" t="n"/>
      <c r="E242" s="14" t="n"/>
      <c r="F242" s="15">
        <f>IF(E242="","",IF(COUNTIF(lst_Jobs,E242&amp;"")&gt;0,"OK","CHECK"))</f>
        <v/>
      </c>
      <c r="G242" s="14" t="n"/>
      <c r="H242" s="14" t="n"/>
      <c r="I242" s="14" t="n"/>
      <c r="J242" s="14" t="n"/>
      <c r="K242" s="14" t="n"/>
      <c r="L242" s="16" t="n"/>
      <c r="M242" s="17">
        <f>IF(L242="","",IF(K242="GST 10%",ROUND(L242*set_GSTRate,2),0))</f>
        <v/>
      </c>
      <c r="N242" s="17">
        <f>IF(L242="","",L242+M242)</f>
        <v/>
      </c>
      <c r="O242" s="14" t="n"/>
      <c r="P242" s="14" t="n"/>
      <c r="Q242" s="14" t="n"/>
      <c r="R242" s="12" t="n"/>
      <c r="S242" s="12" t="n"/>
      <c r="T242" s="14" t="n"/>
      <c r="U242" s="14" t="n"/>
      <c r="V242" s="1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row>
    <row r="243" ht="15" customHeight="1">
      <c r="A243" s="12" t="n"/>
      <c r="B243" s="13">
        <f>IF(A243="","",EOMONTH(A243,0))</f>
        <v/>
      </c>
      <c r="C243" s="14" t="n"/>
      <c r="D243" s="14" t="n"/>
      <c r="E243" s="14" t="n"/>
      <c r="F243" s="15">
        <f>IF(E243="","",IF(COUNTIF(lst_Jobs,E243&amp;"")&gt;0,"OK","CHECK"))</f>
        <v/>
      </c>
      <c r="G243" s="14" t="n"/>
      <c r="H243" s="14" t="n"/>
      <c r="I243" s="14" t="n"/>
      <c r="J243" s="14" t="n"/>
      <c r="K243" s="14" t="n"/>
      <c r="L243" s="16" t="n"/>
      <c r="M243" s="17">
        <f>IF(L243="","",IF(K243="GST 10%",ROUND(L243*set_GSTRate,2),0))</f>
        <v/>
      </c>
      <c r="N243" s="17">
        <f>IF(L243="","",L243+M243)</f>
        <v/>
      </c>
      <c r="O243" s="14" t="n"/>
      <c r="P243" s="14" t="n"/>
      <c r="Q243" s="14" t="n"/>
      <c r="R243" s="12" t="n"/>
      <c r="S243" s="12" t="n"/>
      <c r="T243" s="14" t="n"/>
      <c r="U243" s="14" t="n"/>
      <c r="V243" s="1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row>
    <row r="244" ht="15" customHeight="1">
      <c r="A244" s="12" t="n"/>
      <c r="B244" s="13">
        <f>IF(A244="","",EOMONTH(A244,0))</f>
        <v/>
      </c>
      <c r="C244" s="14" t="n"/>
      <c r="D244" s="14" t="n"/>
      <c r="E244" s="14" t="n"/>
      <c r="F244" s="15">
        <f>IF(E244="","",IF(COUNTIF(lst_Jobs,E244&amp;"")&gt;0,"OK","CHECK"))</f>
        <v/>
      </c>
      <c r="G244" s="14" t="n"/>
      <c r="H244" s="14" t="n"/>
      <c r="I244" s="14" t="n"/>
      <c r="J244" s="14" t="n"/>
      <c r="K244" s="14" t="n"/>
      <c r="L244" s="16" t="n"/>
      <c r="M244" s="17">
        <f>IF(L244="","",IF(K244="GST 10%",ROUND(L244*set_GSTRate,2),0))</f>
        <v/>
      </c>
      <c r="N244" s="17">
        <f>IF(L244="","",L244+M244)</f>
        <v/>
      </c>
      <c r="O244" s="14" t="n"/>
      <c r="P244" s="14" t="n"/>
      <c r="Q244" s="14" t="n"/>
      <c r="R244" s="12" t="n"/>
      <c r="S244" s="12" t="n"/>
      <c r="T244" s="14" t="n"/>
      <c r="U244" s="14" t="n"/>
      <c r="V244" s="1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row>
    <row r="245" ht="15" customHeight="1">
      <c r="A245" s="12" t="n"/>
      <c r="B245" s="13">
        <f>IF(A245="","",EOMONTH(A245,0))</f>
        <v/>
      </c>
      <c r="C245" s="14" t="n"/>
      <c r="D245" s="14" t="n"/>
      <c r="E245" s="14" t="n"/>
      <c r="F245" s="15">
        <f>IF(E245="","",IF(COUNTIF(lst_Jobs,E245&amp;"")&gt;0,"OK","CHECK"))</f>
        <v/>
      </c>
      <c r="G245" s="14" t="n"/>
      <c r="H245" s="14" t="n"/>
      <c r="I245" s="14" t="n"/>
      <c r="J245" s="14" t="n"/>
      <c r="K245" s="14" t="n"/>
      <c r="L245" s="16" t="n"/>
      <c r="M245" s="17">
        <f>IF(L245="","",IF(K245="GST 10%",ROUND(L245*set_GSTRate,2),0))</f>
        <v/>
      </c>
      <c r="N245" s="17">
        <f>IF(L245="","",L245+M245)</f>
        <v/>
      </c>
      <c r="O245" s="14" t="n"/>
      <c r="P245" s="14" t="n"/>
      <c r="Q245" s="14" t="n"/>
      <c r="R245" s="12" t="n"/>
      <c r="S245" s="12" t="n"/>
      <c r="T245" s="14" t="n"/>
      <c r="U245" s="14" t="n"/>
      <c r="V245" s="1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row>
    <row r="246" ht="15" customHeight="1">
      <c r="A246" s="12" t="n"/>
      <c r="B246" s="13">
        <f>IF(A246="","",EOMONTH(A246,0))</f>
        <v/>
      </c>
      <c r="C246" s="14" t="n"/>
      <c r="D246" s="14" t="n"/>
      <c r="E246" s="14" t="n"/>
      <c r="F246" s="15">
        <f>IF(E246="","",IF(COUNTIF(lst_Jobs,E246&amp;"")&gt;0,"OK","CHECK"))</f>
        <v/>
      </c>
      <c r="G246" s="14" t="n"/>
      <c r="H246" s="14" t="n"/>
      <c r="I246" s="14" t="n"/>
      <c r="J246" s="14" t="n"/>
      <c r="K246" s="14" t="n"/>
      <c r="L246" s="16" t="n"/>
      <c r="M246" s="17">
        <f>IF(L246="","",IF(K246="GST 10%",ROUND(L246*set_GSTRate,2),0))</f>
        <v/>
      </c>
      <c r="N246" s="17">
        <f>IF(L246="","",L246+M246)</f>
        <v/>
      </c>
      <c r="O246" s="14" t="n"/>
      <c r="P246" s="14" t="n"/>
      <c r="Q246" s="14" t="n"/>
      <c r="R246" s="12" t="n"/>
      <c r="S246" s="12" t="n"/>
      <c r="T246" s="14" t="n"/>
      <c r="U246" s="14" t="n"/>
      <c r="V246" s="1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row>
    <row r="247" ht="15" customHeight="1">
      <c r="A247" s="12" t="n"/>
      <c r="B247" s="13">
        <f>IF(A247="","",EOMONTH(A247,0))</f>
        <v/>
      </c>
      <c r="C247" s="14" t="n"/>
      <c r="D247" s="14" t="n"/>
      <c r="E247" s="14" t="n"/>
      <c r="F247" s="15">
        <f>IF(E247="","",IF(COUNTIF(lst_Jobs,E247&amp;"")&gt;0,"OK","CHECK"))</f>
        <v/>
      </c>
      <c r="G247" s="14" t="n"/>
      <c r="H247" s="14" t="n"/>
      <c r="I247" s="14" t="n"/>
      <c r="J247" s="14" t="n"/>
      <c r="K247" s="14" t="n"/>
      <c r="L247" s="16" t="n"/>
      <c r="M247" s="17">
        <f>IF(L247="","",IF(K247="GST 10%",ROUND(L247*set_GSTRate,2),0))</f>
        <v/>
      </c>
      <c r="N247" s="17">
        <f>IF(L247="","",L247+M247)</f>
        <v/>
      </c>
      <c r="O247" s="14" t="n"/>
      <c r="P247" s="14" t="n"/>
      <c r="Q247" s="14" t="n"/>
      <c r="R247" s="12" t="n"/>
      <c r="S247" s="12" t="n"/>
      <c r="T247" s="14" t="n"/>
      <c r="U247" s="14" t="n"/>
      <c r="V247" s="1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row>
    <row r="248" ht="15" customHeight="1">
      <c r="A248" s="12" t="n"/>
      <c r="B248" s="13">
        <f>IF(A248="","",EOMONTH(A248,0))</f>
        <v/>
      </c>
      <c r="C248" s="14" t="n"/>
      <c r="D248" s="14" t="n"/>
      <c r="E248" s="14" t="n"/>
      <c r="F248" s="15">
        <f>IF(E248="","",IF(COUNTIF(lst_Jobs,E248&amp;"")&gt;0,"OK","CHECK"))</f>
        <v/>
      </c>
      <c r="G248" s="14" t="n"/>
      <c r="H248" s="14" t="n"/>
      <c r="I248" s="14" t="n"/>
      <c r="J248" s="14" t="n"/>
      <c r="K248" s="14" t="n"/>
      <c r="L248" s="16" t="n"/>
      <c r="M248" s="17">
        <f>IF(L248="","",IF(K248="GST 10%",ROUND(L248*set_GSTRate,2),0))</f>
        <v/>
      </c>
      <c r="N248" s="17">
        <f>IF(L248="","",L248+M248)</f>
        <v/>
      </c>
      <c r="O248" s="14" t="n"/>
      <c r="P248" s="14" t="n"/>
      <c r="Q248" s="14" t="n"/>
      <c r="R248" s="12" t="n"/>
      <c r="S248" s="12" t="n"/>
      <c r="T248" s="14" t="n"/>
      <c r="U248" s="14" t="n"/>
      <c r="V248" s="1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row>
    <row r="249" ht="15" customHeight="1">
      <c r="A249" s="12" t="n"/>
      <c r="B249" s="13">
        <f>IF(A249="","",EOMONTH(A249,0))</f>
        <v/>
      </c>
      <c r="C249" s="14" t="n"/>
      <c r="D249" s="14" t="n"/>
      <c r="E249" s="14" t="n"/>
      <c r="F249" s="15">
        <f>IF(E249="","",IF(COUNTIF(lst_Jobs,E249&amp;"")&gt;0,"OK","CHECK"))</f>
        <v/>
      </c>
      <c r="G249" s="14" t="n"/>
      <c r="H249" s="14" t="n"/>
      <c r="I249" s="14" t="n"/>
      <c r="J249" s="14" t="n"/>
      <c r="K249" s="14" t="n"/>
      <c r="L249" s="16" t="n"/>
      <c r="M249" s="17">
        <f>IF(L249="","",IF(K249="GST 10%",ROUND(L249*set_GSTRate,2),0))</f>
        <v/>
      </c>
      <c r="N249" s="17">
        <f>IF(L249="","",L249+M249)</f>
        <v/>
      </c>
      <c r="O249" s="14" t="n"/>
      <c r="P249" s="14" t="n"/>
      <c r="Q249" s="14" t="n"/>
      <c r="R249" s="12" t="n"/>
      <c r="S249" s="12" t="n"/>
      <c r="T249" s="14" t="n"/>
      <c r="U249" s="14" t="n"/>
      <c r="V249" s="1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row>
    <row r="250" ht="15" customHeight="1">
      <c r="A250" s="12" t="n"/>
      <c r="B250" s="13">
        <f>IF(A250="","",EOMONTH(A250,0))</f>
        <v/>
      </c>
      <c r="C250" s="14" t="n"/>
      <c r="D250" s="14" t="n"/>
      <c r="E250" s="14" t="n"/>
      <c r="F250" s="15">
        <f>IF(E250="","",IF(COUNTIF(lst_Jobs,E250&amp;"")&gt;0,"OK","CHECK"))</f>
        <v/>
      </c>
      <c r="G250" s="14" t="n"/>
      <c r="H250" s="14" t="n"/>
      <c r="I250" s="14" t="n"/>
      <c r="J250" s="14" t="n"/>
      <c r="K250" s="14" t="n"/>
      <c r="L250" s="16" t="n"/>
      <c r="M250" s="17">
        <f>IF(L250="","",IF(K250="GST 10%",ROUND(L250*set_GSTRate,2),0))</f>
        <v/>
      </c>
      <c r="N250" s="17">
        <f>IF(L250="","",L250+M250)</f>
        <v/>
      </c>
      <c r="O250" s="14" t="n"/>
      <c r="P250" s="14" t="n"/>
      <c r="Q250" s="14" t="n"/>
      <c r="R250" s="12" t="n"/>
      <c r="S250" s="12" t="n"/>
      <c r="T250" s="14" t="n"/>
      <c r="U250" s="14" t="n"/>
      <c r="V250" s="1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row>
    <row r="251" ht="15" customHeight="1">
      <c r="A251" s="12" t="n"/>
      <c r="B251" s="13">
        <f>IF(A251="","",EOMONTH(A251,0))</f>
        <v/>
      </c>
      <c r="C251" s="14" t="n"/>
      <c r="D251" s="14" t="n"/>
      <c r="E251" s="14" t="n"/>
      <c r="F251" s="15">
        <f>IF(E251="","",IF(COUNTIF(lst_Jobs,E251&amp;"")&gt;0,"OK","CHECK"))</f>
        <v/>
      </c>
      <c r="G251" s="14" t="n"/>
      <c r="H251" s="14" t="n"/>
      <c r="I251" s="14" t="n"/>
      <c r="J251" s="14" t="n"/>
      <c r="K251" s="14" t="n"/>
      <c r="L251" s="16" t="n"/>
      <c r="M251" s="17">
        <f>IF(L251="","",IF(K251="GST 10%",ROUND(L251*set_GSTRate,2),0))</f>
        <v/>
      </c>
      <c r="N251" s="17">
        <f>IF(L251="","",L251+M251)</f>
        <v/>
      </c>
      <c r="O251" s="14" t="n"/>
      <c r="P251" s="14" t="n"/>
      <c r="Q251" s="14" t="n"/>
      <c r="R251" s="12" t="n"/>
      <c r="S251" s="12" t="n"/>
      <c r="T251" s="14" t="n"/>
      <c r="U251" s="14" t="n"/>
      <c r="V251" s="1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row>
    <row r="252" ht="15" customHeight="1">
      <c r="A252" s="12" t="n"/>
      <c r="B252" s="13">
        <f>IF(A252="","",EOMONTH(A252,0))</f>
        <v/>
      </c>
      <c r="C252" s="14" t="n"/>
      <c r="D252" s="14" t="n"/>
      <c r="E252" s="14" t="n"/>
      <c r="F252" s="15">
        <f>IF(E252="","",IF(COUNTIF(lst_Jobs,E252&amp;"")&gt;0,"OK","CHECK"))</f>
        <v/>
      </c>
      <c r="G252" s="14" t="n"/>
      <c r="H252" s="14" t="n"/>
      <c r="I252" s="14" t="n"/>
      <c r="J252" s="14" t="n"/>
      <c r="K252" s="14" t="n"/>
      <c r="L252" s="16" t="n"/>
      <c r="M252" s="17">
        <f>IF(L252="","",IF(K252="GST 10%",ROUND(L252*set_GSTRate,2),0))</f>
        <v/>
      </c>
      <c r="N252" s="17">
        <f>IF(L252="","",L252+M252)</f>
        <v/>
      </c>
      <c r="O252" s="14" t="n"/>
      <c r="P252" s="14" t="n"/>
      <c r="Q252" s="14" t="n"/>
      <c r="R252" s="12" t="n"/>
      <c r="S252" s="12" t="n"/>
      <c r="T252" s="14" t="n"/>
      <c r="U252" s="14" t="n"/>
      <c r="V252" s="1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row>
    <row r="253" ht="15" customHeight="1">
      <c r="A253" s="12" t="n"/>
      <c r="B253" s="13">
        <f>IF(A253="","",EOMONTH(A253,0))</f>
        <v/>
      </c>
      <c r="C253" s="14" t="n"/>
      <c r="D253" s="14" t="n"/>
      <c r="E253" s="14" t="n"/>
      <c r="F253" s="15">
        <f>IF(E253="","",IF(COUNTIF(lst_Jobs,E253&amp;"")&gt;0,"OK","CHECK"))</f>
        <v/>
      </c>
      <c r="G253" s="14" t="n"/>
      <c r="H253" s="14" t="n"/>
      <c r="I253" s="14" t="n"/>
      <c r="J253" s="14" t="n"/>
      <c r="K253" s="14" t="n"/>
      <c r="L253" s="16" t="n"/>
      <c r="M253" s="17">
        <f>IF(L253="","",IF(K253="GST 10%",ROUND(L253*set_GSTRate,2),0))</f>
        <v/>
      </c>
      <c r="N253" s="17">
        <f>IF(L253="","",L253+M253)</f>
        <v/>
      </c>
      <c r="O253" s="14" t="n"/>
      <c r="P253" s="14" t="n"/>
      <c r="Q253" s="14" t="n"/>
      <c r="R253" s="12" t="n"/>
      <c r="S253" s="12" t="n"/>
      <c r="T253" s="14" t="n"/>
      <c r="U253" s="14" t="n"/>
      <c r="V253" s="1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row>
    <row r="254" ht="15" customHeight="1">
      <c r="A254" s="12" t="n"/>
      <c r="B254" s="13">
        <f>IF(A254="","",EOMONTH(A254,0))</f>
        <v/>
      </c>
      <c r="C254" s="14" t="n"/>
      <c r="D254" s="14" t="n"/>
      <c r="E254" s="14" t="n"/>
      <c r="F254" s="15">
        <f>IF(E254="","",IF(COUNTIF(lst_Jobs,E254&amp;"")&gt;0,"OK","CHECK"))</f>
        <v/>
      </c>
      <c r="G254" s="14" t="n"/>
      <c r="H254" s="14" t="n"/>
      <c r="I254" s="14" t="n"/>
      <c r="J254" s="14" t="n"/>
      <c r="K254" s="14" t="n"/>
      <c r="L254" s="16" t="n"/>
      <c r="M254" s="17">
        <f>IF(L254="","",IF(K254="GST 10%",ROUND(L254*set_GSTRate,2),0))</f>
        <v/>
      </c>
      <c r="N254" s="17">
        <f>IF(L254="","",L254+M254)</f>
        <v/>
      </c>
      <c r="O254" s="14" t="n"/>
      <c r="P254" s="14" t="n"/>
      <c r="Q254" s="14" t="n"/>
      <c r="R254" s="12" t="n"/>
      <c r="S254" s="12" t="n"/>
      <c r="T254" s="14" t="n"/>
      <c r="U254" s="14" t="n"/>
      <c r="V254" s="1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row>
    <row r="255" ht="15" customHeight="1">
      <c r="A255" s="12" t="n"/>
      <c r="B255" s="13">
        <f>IF(A255="","",EOMONTH(A255,0))</f>
        <v/>
      </c>
      <c r="C255" s="14" t="n"/>
      <c r="D255" s="14" t="n"/>
      <c r="E255" s="14" t="n"/>
      <c r="F255" s="15">
        <f>IF(E255="","",IF(COUNTIF(lst_Jobs,E255&amp;"")&gt;0,"OK","CHECK"))</f>
        <v/>
      </c>
      <c r="G255" s="14" t="n"/>
      <c r="H255" s="14" t="n"/>
      <c r="I255" s="14" t="n"/>
      <c r="J255" s="14" t="n"/>
      <c r="K255" s="14" t="n"/>
      <c r="L255" s="16" t="n"/>
      <c r="M255" s="17">
        <f>IF(L255="","",IF(K255="GST 10%",ROUND(L255*set_GSTRate,2),0))</f>
        <v/>
      </c>
      <c r="N255" s="17">
        <f>IF(L255="","",L255+M255)</f>
        <v/>
      </c>
      <c r="O255" s="14" t="n"/>
      <c r="P255" s="14" t="n"/>
      <c r="Q255" s="14" t="n"/>
      <c r="R255" s="12" t="n"/>
      <c r="S255" s="12" t="n"/>
      <c r="T255" s="14" t="n"/>
      <c r="U255" s="14" t="n"/>
      <c r="V255" s="1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row>
    <row r="256" ht="15" customHeight="1">
      <c r="A256" s="12" t="n"/>
      <c r="B256" s="13">
        <f>IF(A256="","",EOMONTH(A256,0))</f>
        <v/>
      </c>
      <c r="C256" s="14" t="n"/>
      <c r="D256" s="14" t="n"/>
      <c r="E256" s="14" t="n"/>
      <c r="F256" s="15">
        <f>IF(E256="","",IF(COUNTIF(lst_Jobs,E256&amp;"")&gt;0,"OK","CHECK"))</f>
        <v/>
      </c>
      <c r="G256" s="14" t="n"/>
      <c r="H256" s="14" t="n"/>
      <c r="I256" s="14" t="n"/>
      <c r="J256" s="14" t="n"/>
      <c r="K256" s="14" t="n"/>
      <c r="L256" s="16" t="n"/>
      <c r="M256" s="17">
        <f>IF(L256="","",IF(K256="GST 10%",ROUND(L256*set_GSTRate,2),0))</f>
        <v/>
      </c>
      <c r="N256" s="17">
        <f>IF(L256="","",L256+M256)</f>
        <v/>
      </c>
      <c r="O256" s="14" t="n"/>
      <c r="P256" s="14" t="n"/>
      <c r="Q256" s="14" t="n"/>
      <c r="R256" s="12" t="n"/>
      <c r="S256" s="12" t="n"/>
      <c r="T256" s="14" t="n"/>
      <c r="U256" s="14" t="n"/>
      <c r="V256" s="1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row>
    <row r="257" ht="15" customHeight="1">
      <c r="A257" s="12" t="n"/>
      <c r="B257" s="13">
        <f>IF(A257="","",EOMONTH(A257,0))</f>
        <v/>
      </c>
      <c r="C257" s="14" t="n"/>
      <c r="D257" s="14" t="n"/>
      <c r="E257" s="14" t="n"/>
      <c r="F257" s="15">
        <f>IF(E257="","",IF(COUNTIF(lst_Jobs,E257&amp;"")&gt;0,"OK","CHECK"))</f>
        <v/>
      </c>
      <c r="G257" s="14" t="n"/>
      <c r="H257" s="14" t="n"/>
      <c r="I257" s="14" t="n"/>
      <c r="J257" s="14" t="n"/>
      <c r="K257" s="14" t="n"/>
      <c r="L257" s="16" t="n"/>
      <c r="M257" s="17">
        <f>IF(L257="","",IF(K257="GST 10%",ROUND(L257*set_GSTRate,2),0))</f>
        <v/>
      </c>
      <c r="N257" s="17">
        <f>IF(L257="","",L257+M257)</f>
        <v/>
      </c>
      <c r="O257" s="14" t="n"/>
      <c r="P257" s="14" t="n"/>
      <c r="Q257" s="14" t="n"/>
      <c r="R257" s="12" t="n"/>
      <c r="S257" s="12" t="n"/>
      <c r="T257" s="14" t="n"/>
      <c r="U257" s="14" t="n"/>
      <c r="V257" s="1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row>
    <row r="258" ht="15" customHeight="1">
      <c r="A258" s="12" t="n"/>
      <c r="B258" s="13">
        <f>IF(A258="","",EOMONTH(A258,0))</f>
        <v/>
      </c>
      <c r="C258" s="14" t="n"/>
      <c r="D258" s="14" t="n"/>
      <c r="E258" s="14" t="n"/>
      <c r="F258" s="15">
        <f>IF(E258="","",IF(COUNTIF(lst_Jobs,E258&amp;"")&gt;0,"OK","CHECK"))</f>
        <v/>
      </c>
      <c r="G258" s="14" t="n"/>
      <c r="H258" s="14" t="n"/>
      <c r="I258" s="14" t="n"/>
      <c r="J258" s="14" t="n"/>
      <c r="K258" s="14" t="n"/>
      <c r="L258" s="16" t="n"/>
      <c r="M258" s="17">
        <f>IF(L258="","",IF(K258="GST 10%",ROUND(L258*set_GSTRate,2),0))</f>
        <v/>
      </c>
      <c r="N258" s="17">
        <f>IF(L258="","",L258+M258)</f>
        <v/>
      </c>
      <c r="O258" s="14" t="n"/>
      <c r="P258" s="14" t="n"/>
      <c r="Q258" s="14" t="n"/>
      <c r="R258" s="12" t="n"/>
      <c r="S258" s="12" t="n"/>
      <c r="T258" s="14" t="n"/>
      <c r="U258" s="14" t="n"/>
      <c r="V258" s="1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row>
    <row r="259" ht="15" customHeight="1">
      <c r="A259" s="12" t="n"/>
      <c r="B259" s="13">
        <f>IF(A259="","",EOMONTH(A259,0))</f>
        <v/>
      </c>
      <c r="C259" s="14" t="n"/>
      <c r="D259" s="14" t="n"/>
      <c r="E259" s="14" t="n"/>
      <c r="F259" s="15">
        <f>IF(E259="","",IF(COUNTIF(lst_Jobs,E259&amp;"")&gt;0,"OK","CHECK"))</f>
        <v/>
      </c>
      <c r="G259" s="14" t="n"/>
      <c r="H259" s="14" t="n"/>
      <c r="I259" s="14" t="n"/>
      <c r="J259" s="14" t="n"/>
      <c r="K259" s="14" t="n"/>
      <c r="L259" s="16" t="n"/>
      <c r="M259" s="17">
        <f>IF(L259="","",IF(K259="GST 10%",ROUND(L259*set_GSTRate,2),0))</f>
        <v/>
      </c>
      <c r="N259" s="17">
        <f>IF(L259="","",L259+M259)</f>
        <v/>
      </c>
      <c r="O259" s="14" t="n"/>
      <c r="P259" s="14" t="n"/>
      <c r="Q259" s="14" t="n"/>
      <c r="R259" s="12" t="n"/>
      <c r="S259" s="12" t="n"/>
      <c r="T259" s="14" t="n"/>
      <c r="U259" s="14" t="n"/>
      <c r="V259" s="1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row>
    <row r="260" ht="15" customHeight="1">
      <c r="A260" s="12" t="n"/>
      <c r="B260" s="13">
        <f>IF(A260="","",EOMONTH(A260,0))</f>
        <v/>
      </c>
      <c r="C260" s="14" t="n"/>
      <c r="D260" s="14" t="n"/>
      <c r="E260" s="14" t="n"/>
      <c r="F260" s="15">
        <f>IF(E260="","",IF(COUNTIF(lst_Jobs,E260&amp;"")&gt;0,"OK","CHECK"))</f>
        <v/>
      </c>
      <c r="G260" s="14" t="n"/>
      <c r="H260" s="14" t="n"/>
      <c r="I260" s="14" t="n"/>
      <c r="J260" s="14" t="n"/>
      <c r="K260" s="14" t="n"/>
      <c r="L260" s="16" t="n"/>
      <c r="M260" s="17">
        <f>IF(L260="","",IF(K260="GST 10%",ROUND(L260*set_GSTRate,2),0))</f>
        <v/>
      </c>
      <c r="N260" s="17">
        <f>IF(L260="","",L260+M260)</f>
        <v/>
      </c>
      <c r="O260" s="14" t="n"/>
      <c r="P260" s="14" t="n"/>
      <c r="Q260" s="14" t="n"/>
      <c r="R260" s="12" t="n"/>
      <c r="S260" s="12" t="n"/>
      <c r="T260" s="14" t="n"/>
      <c r="U260" s="14" t="n"/>
      <c r="V260" s="1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row>
    <row r="261" ht="15" customHeight="1">
      <c r="A261" s="12" t="n"/>
      <c r="B261" s="13">
        <f>IF(A261="","",EOMONTH(A261,0))</f>
        <v/>
      </c>
      <c r="C261" s="14" t="n"/>
      <c r="D261" s="14" t="n"/>
      <c r="E261" s="14" t="n"/>
      <c r="F261" s="15">
        <f>IF(E261="","",IF(COUNTIF(lst_Jobs,E261&amp;"")&gt;0,"OK","CHECK"))</f>
        <v/>
      </c>
      <c r="G261" s="14" t="n"/>
      <c r="H261" s="14" t="n"/>
      <c r="I261" s="14" t="n"/>
      <c r="J261" s="14" t="n"/>
      <c r="K261" s="14" t="n"/>
      <c r="L261" s="16" t="n"/>
      <c r="M261" s="17">
        <f>IF(L261="","",IF(K261="GST 10%",ROUND(L261*set_GSTRate,2),0))</f>
        <v/>
      </c>
      <c r="N261" s="17">
        <f>IF(L261="","",L261+M261)</f>
        <v/>
      </c>
      <c r="O261" s="14" t="n"/>
      <c r="P261" s="14" t="n"/>
      <c r="Q261" s="14" t="n"/>
      <c r="R261" s="12" t="n"/>
      <c r="S261" s="12" t="n"/>
      <c r="T261" s="14" t="n"/>
      <c r="U261" s="14" t="n"/>
      <c r="V261" s="1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row>
    <row r="262" ht="15" customHeight="1">
      <c r="A262" s="12" t="n"/>
      <c r="B262" s="13">
        <f>IF(A262="","",EOMONTH(A262,0))</f>
        <v/>
      </c>
      <c r="C262" s="14" t="n"/>
      <c r="D262" s="14" t="n"/>
      <c r="E262" s="14" t="n"/>
      <c r="F262" s="15">
        <f>IF(E262="","",IF(COUNTIF(lst_Jobs,E262&amp;"")&gt;0,"OK","CHECK"))</f>
        <v/>
      </c>
      <c r="G262" s="14" t="n"/>
      <c r="H262" s="14" t="n"/>
      <c r="I262" s="14" t="n"/>
      <c r="J262" s="14" t="n"/>
      <c r="K262" s="14" t="n"/>
      <c r="L262" s="16" t="n"/>
      <c r="M262" s="17">
        <f>IF(L262="","",IF(K262="GST 10%",ROUND(L262*set_GSTRate,2),0))</f>
        <v/>
      </c>
      <c r="N262" s="17">
        <f>IF(L262="","",L262+M262)</f>
        <v/>
      </c>
      <c r="O262" s="14" t="n"/>
      <c r="P262" s="14" t="n"/>
      <c r="Q262" s="14" t="n"/>
      <c r="R262" s="12" t="n"/>
      <c r="S262" s="12" t="n"/>
      <c r="T262" s="14" t="n"/>
      <c r="U262" s="14" t="n"/>
      <c r="V262" s="1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row>
    <row r="263" ht="15" customHeight="1">
      <c r="A263" s="12" t="n"/>
      <c r="B263" s="13">
        <f>IF(A263="","",EOMONTH(A263,0))</f>
        <v/>
      </c>
      <c r="C263" s="14" t="n"/>
      <c r="D263" s="14" t="n"/>
      <c r="E263" s="14" t="n"/>
      <c r="F263" s="15">
        <f>IF(E263="","",IF(COUNTIF(lst_Jobs,E263&amp;"")&gt;0,"OK","CHECK"))</f>
        <v/>
      </c>
      <c r="G263" s="14" t="n"/>
      <c r="H263" s="14" t="n"/>
      <c r="I263" s="14" t="n"/>
      <c r="J263" s="14" t="n"/>
      <c r="K263" s="14" t="n"/>
      <c r="L263" s="16" t="n"/>
      <c r="M263" s="17">
        <f>IF(L263="","",IF(K263="GST 10%",ROUND(L263*set_GSTRate,2),0))</f>
        <v/>
      </c>
      <c r="N263" s="17">
        <f>IF(L263="","",L263+M263)</f>
        <v/>
      </c>
      <c r="O263" s="14" t="n"/>
      <c r="P263" s="14" t="n"/>
      <c r="Q263" s="14" t="n"/>
      <c r="R263" s="12" t="n"/>
      <c r="S263" s="12" t="n"/>
      <c r="T263" s="14" t="n"/>
      <c r="U263" s="14" t="n"/>
      <c r="V263" s="1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row>
    <row r="264" ht="15" customHeight="1">
      <c r="A264" s="12" t="n"/>
      <c r="B264" s="13">
        <f>IF(A264="","",EOMONTH(A264,0))</f>
        <v/>
      </c>
      <c r="C264" s="14" t="n"/>
      <c r="D264" s="14" t="n"/>
      <c r="E264" s="14" t="n"/>
      <c r="F264" s="15">
        <f>IF(E264="","",IF(COUNTIF(lst_Jobs,E264&amp;"")&gt;0,"OK","CHECK"))</f>
        <v/>
      </c>
      <c r="G264" s="14" t="n"/>
      <c r="H264" s="14" t="n"/>
      <c r="I264" s="14" t="n"/>
      <c r="J264" s="14" t="n"/>
      <c r="K264" s="14" t="n"/>
      <c r="L264" s="16" t="n"/>
      <c r="M264" s="17">
        <f>IF(L264="","",IF(K264="GST 10%",ROUND(L264*set_GSTRate,2),0))</f>
        <v/>
      </c>
      <c r="N264" s="17">
        <f>IF(L264="","",L264+M264)</f>
        <v/>
      </c>
      <c r="O264" s="14" t="n"/>
      <c r="P264" s="14" t="n"/>
      <c r="Q264" s="14" t="n"/>
      <c r="R264" s="12" t="n"/>
      <c r="S264" s="12" t="n"/>
      <c r="T264" s="14" t="n"/>
      <c r="U264" s="14" t="n"/>
      <c r="V264" s="1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row>
    <row r="265" ht="15" customHeight="1">
      <c r="A265" s="12" t="n"/>
      <c r="B265" s="13">
        <f>IF(A265="","",EOMONTH(A265,0))</f>
        <v/>
      </c>
      <c r="C265" s="14" t="n"/>
      <c r="D265" s="14" t="n"/>
      <c r="E265" s="14" t="n"/>
      <c r="F265" s="15">
        <f>IF(E265="","",IF(COUNTIF(lst_Jobs,E265&amp;"")&gt;0,"OK","CHECK"))</f>
        <v/>
      </c>
      <c r="G265" s="14" t="n"/>
      <c r="H265" s="14" t="n"/>
      <c r="I265" s="14" t="n"/>
      <c r="J265" s="14" t="n"/>
      <c r="K265" s="14" t="n"/>
      <c r="L265" s="16" t="n"/>
      <c r="M265" s="17">
        <f>IF(L265="","",IF(K265="GST 10%",ROUND(L265*set_GSTRate,2),0))</f>
        <v/>
      </c>
      <c r="N265" s="17">
        <f>IF(L265="","",L265+M265)</f>
        <v/>
      </c>
      <c r="O265" s="14" t="n"/>
      <c r="P265" s="14" t="n"/>
      <c r="Q265" s="14" t="n"/>
      <c r="R265" s="12" t="n"/>
      <c r="S265" s="12" t="n"/>
      <c r="T265" s="14" t="n"/>
      <c r="U265" s="14" t="n"/>
      <c r="V265" s="1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row>
    <row r="266" ht="15" customHeight="1">
      <c r="A266" s="12" t="n"/>
      <c r="B266" s="13">
        <f>IF(A266="","",EOMONTH(A266,0))</f>
        <v/>
      </c>
      <c r="C266" s="14" t="n"/>
      <c r="D266" s="14" t="n"/>
      <c r="E266" s="14" t="n"/>
      <c r="F266" s="15">
        <f>IF(E266="","",IF(COUNTIF(lst_Jobs,E266&amp;"")&gt;0,"OK","CHECK"))</f>
        <v/>
      </c>
      <c r="G266" s="14" t="n"/>
      <c r="H266" s="14" t="n"/>
      <c r="I266" s="14" t="n"/>
      <c r="J266" s="14" t="n"/>
      <c r="K266" s="14" t="n"/>
      <c r="L266" s="16" t="n"/>
      <c r="M266" s="17">
        <f>IF(L266="","",IF(K266="GST 10%",ROUND(L266*set_GSTRate,2),0))</f>
        <v/>
      </c>
      <c r="N266" s="17">
        <f>IF(L266="","",L266+M266)</f>
        <v/>
      </c>
      <c r="O266" s="14" t="n"/>
      <c r="P266" s="14" t="n"/>
      <c r="Q266" s="14" t="n"/>
      <c r="R266" s="12" t="n"/>
      <c r="S266" s="12" t="n"/>
      <c r="T266" s="14" t="n"/>
      <c r="U266" s="14" t="n"/>
      <c r="V266" s="1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row>
    <row r="267" ht="15" customHeight="1">
      <c r="A267" s="12" t="n"/>
      <c r="B267" s="13">
        <f>IF(A267="","",EOMONTH(A267,0))</f>
        <v/>
      </c>
      <c r="C267" s="14" t="n"/>
      <c r="D267" s="14" t="n"/>
      <c r="E267" s="14" t="n"/>
      <c r="F267" s="15">
        <f>IF(E267="","",IF(COUNTIF(lst_Jobs,E267&amp;"")&gt;0,"OK","CHECK"))</f>
        <v/>
      </c>
      <c r="G267" s="14" t="n"/>
      <c r="H267" s="14" t="n"/>
      <c r="I267" s="14" t="n"/>
      <c r="J267" s="14" t="n"/>
      <c r="K267" s="14" t="n"/>
      <c r="L267" s="16" t="n"/>
      <c r="M267" s="17">
        <f>IF(L267="","",IF(K267="GST 10%",ROUND(L267*set_GSTRate,2),0))</f>
        <v/>
      </c>
      <c r="N267" s="17">
        <f>IF(L267="","",L267+M267)</f>
        <v/>
      </c>
      <c r="O267" s="14" t="n"/>
      <c r="P267" s="14" t="n"/>
      <c r="Q267" s="14" t="n"/>
      <c r="R267" s="12" t="n"/>
      <c r="S267" s="12" t="n"/>
      <c r="T267" s="14" t="n"/>
      <c r="U267" s="14" t="n"/>
      <c r="V267" s="1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row>
    <row r="268" ht="15" customHeight="1">
      <c r="A268" s="12" t="n"/>
      <c r="B268" s="13">
        <f>IF(A268="","",EOMONTH(A268,0))</f>
        <v/>
      </c>
      <c r="C268" s="14" t="n"/>
      <c r="D268" s="14" t="n"/>
      <c r="E268" s="14" t="n"/>
      <c r="F268" s="15">
        <f>IF(E268="","",IF(COUNTIF(lst_Jobs,E268&amp;"")&gt;0,"OK","CHECK"))</f>
        <v/>
      </c>
      <c r="G268" s="14" t="n"/>
      <c r="H268" s="14" t="n"/>
      <c r="I268" s="14" t="n"/>
      <c r="J268" s="14" t="n"/>
      <c r="K268" s="14" t="n"/>
      <c r="L268" s="16" t="n"/>
      <c r="M268" s="17">
        <f>IF(L268="","",IF(K268="GST 10%",ROUND(L268*set_GSTRate,2),0))</f>
        <v/>
      </c>
      <c r="N268" s="17">
        <f>IF(L268="","",L268+M268)</f>
        <v/>
      </c>
      <c r="O268" s="14" t="n"/>
      <c r="P268" s="14" t="n"/>
      <c r="Q268" s="14" t="n"/>
      <c r="R268" s="12" t="n"/>
      <c r="S268" s="12" t="n"/>
      <c r="T268" s="14" t="n"/>
      <c r="U268" s="14" t="n"/>
      <c r="V268" s="1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row>
    <row r="269" ht="15" customHeight="1">
      <c r="A269" s="12" t="n"/>
      <c r="B269" s="13">
        <f>IF(A269="","",EOMONTH(A269,0))</f>
        <v/>
      </c>
      <c r="C269" s="14" t="n"/>
      <c r="D269" s="14" t="n"/>
      <c r="E269" s="14" t="n"/>
      <c r="F269" s="15">
        <f>IF(E269="","",IF(COUNTIF(lst_Jobs,E269&amp;"")&gt;0,"OK","CHECK"))</f>
        <v/>
      </c>
      <c r="G269" s="14" t="n"/>
      <c r="H269" s="14" t="n"/>
      <c r="I269" s="14" t="n"/>
      <c r="J269" s="14" t="n"/>
      <c r="K269" s="14" t="n"/>
      <c r="L269" s="16" t="n"/>
      <c r="M269" s="17">
        <f>IF(L269="","",IF(K269="GST 10%",ROUND(L269*set_GSTRate,2),0))</f>
        <v/>
      </c>
      <c r="N269" s="17">
        <f>IF(L269="","",L269+M269)</f>
        <v/>
      </c>
      <c r="O269" s="14" t="n"/>
      <c r="P269" s="14" t="n"/>
      <c r="Q269" s="14" t="n"/>
      <c r="R269" s="12" t="n"/>
      <c r="S269" s="12" t="n"/>
      <c r="T269" s="14" t="n"/>
      <c r="U269" s="14" t="n"/>
      <c r="V269" s="1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row>
    <row r="270" ht="15" customHeight="1">
      <c r="A270" s="12" t="n"/>
      <c r="B270" s="13">
        <f>IF(A270="","",EOMONTH(A270,0))</f>
        <v/>
      </c>
      <c r="C270" s="14" t="n"/>
      <c r="D270" s="14" t="n"/>
      <c r="E270" s="14" t="n"/>
      <c r="F270" s="15">
        <f>IF(E270="","",IF(COUNTIF(lst_Jobs,E270&amp;"")&gt;0,"OK","CHECK"))</f>
        <v/>
      </c>
      <c r="G270" s="14" t="n"/>
      <c r="H270" s="14" t="n"/>
      <c r="I270" s="14" t="n"/>
      <c r="J270" s="14" t="n"/>
      <c r="K270" s="14" t="n"/>
      <c r="L270" s="16" t="n"/>
      <c r="M270" s="17">
        <f>IF(L270="","",IF(K270="GST 10%",ROUND(L270*set_GSTRate,2),0))</f>
        <v/>
      </c>
      <c r="N270" s="17">
        <f>IF(L270="","",L270+M270)</f>
        <v/>
      </c>
      <c r="O270" s="14" t="n"/>
      <c r="P270" s="14" t="n"/>
      <c r="Q270" s="14" t="n"/>
      <c r="R270" s="12" t="n"/>
      <c r="S270" s="12" t="n"/>
      <c r="T270" s="14" t="n"/>
      <c r="U270" s="14" t="n"/>
      <c r="V270" s="1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row>
    <row r="271" ht="15" customHeight="1">
      <c r="A271" s="12" t="n"/>
      <c r="B271" s="13">
        <f>IF(A271="","",EOMONTH(A271,0))</f>
        <v/>
      </c>
      <c r="C271" s="14" t="n"/>
      <c r="D271" s="14" t="n"/>
      <c r="E271" s="14" t="n"/>
      <c r="F271" s="15">
        <f>IF(E271="","",IF(COUNTIF(lst_Jobs,E271&amp;"")&gt;0,"OK","CHECK"))</f>
        <v/>
      </c>
      <c r="G271" s="14" t="n"/>
      <c r="H271" s="14" t="n"/>
      <c r="I271" s="14" t="n"/>
      <c r="J271" s="14" t="n"/>
      <c r="K271" s="14" t="n"/>
      <c r="L271" s="16" t="n"/>
      <c r="M271" s="17">
        <f>IF(L271="","",IF(K271="GST 10%",ROUND(L271*set_GSTRate,2),0))</f>
        <v/>
      </c>
      <c r="N271" s="17">
        <f>IF(L271="","",L271+M271)</f>
        <v/>
      </c>
      <c r="O271" s="14" t="n"/>
      <c r="P271" s="14" t="n"/>
      <c r="Q271" s="14" t="n"/>
      <c r="R271" s="12" t="n"/>
      <c r="S271" s="12" t="n"/>
      <c r="T271" s="14" t="n"/>
      <c r="U271" s="14" t="n"/>
      <c r="V271" s="1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row>
    <row r="272" ht="15" customHeight="1">
      <c r="A272" s="12" t="n"/>
      <c r="B272" s="13">
        <f>IF(A272="","",EOMONTH(A272,0))</f>
        <v/>
      </c>
      <c r="C272" s="14" t="n"/>
      <c r="D272" s="14" t="n"/>
      <c r="E272" s="14" t="n"/>
      <c r="F272" s="15">
        <f>IF(E272="","",IF(COUNTIF(lst_Jobs,E272&amp;"")&gt;0,"OK","CHECK"))</f>
        <v/>
      </c>
      <c r="G272" s="14" t="n"/>
      <c r="H272" s="14" t="n"/>
      <c r="I272" s="14" t="n"/>
      <c r="J272" s="14" t="n"/>
      <c r="K272" s="14" t="n"/>
      <c r="L272" s="16" t="n"/>
      <c r="M272" s="17">
        <f>IF(L272="","",IF(K272="GST 10%",ROUND(L272*set_GSTRate,2),0))</f>
        <v/>
      </c>
      <c r="N272" s="17">
        <f>IF(L272="","",L272+M272)</f>
        <v/>
      </c>
      <c r="O272" s="14" t="n"/>
      <c r="P272" s="14" t="n"/>
      <c r="Q272" s="14" t="n"/>
      <c r="R272" s="12" t="n"/>
      <c r="S272" s="12" t="n"/>
      <c r="T272" s="14" t="n"/>
      <c r="U272" s="14" t="n"/>
      <c r="V272" s="1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row>
    <row r="273" ht="15" customHeight="1">
      <c r="A273" s="12" t="n"/>
      <c r="B273" s="13">
        <f>IF(A273="","",EOMONTH(A273,0))</f>
        <v/>
      </c>
      <c r="C273" s="14" t="n"/>
      <c r="D273" s="14" t="n"/>
      <c r="E273" s="14" t="n"/>
      <c r="F273" s="15">
        <f>IF(E273="","",IF(COUNTIF(lst_Jobs,E273&amp;"")&gt;0,"OK","CHECK"))</f>
        <v/>
      </c>
      <c r="G273" s="14" t="n"/>
      <c r="H273" s="14" t="n"/>
      <c r="I273" s="14" t="n"/>
      <c r="J273" s="14" t="n"/>
      <c r="K273" s="14" t="n"/>
      <c r="L273" s="16" t="n"/>
      <c r="M273" s="17">
        <f>IF(L273="","",IF(K273="GST 10%",ROUND(L273*set_GSTRate,2),0))</f>
        <v/>
      </c>
      <c r="N273" s="17">
        <f>IF(L273="","",L273+M273)</f>
        <v/>
      </c>
      <c r="O273" s="14" t="n"/>
      <c r="P273" s="14" t="n"/>
      <c r="Q273" s="14" t="n"/>
      <c r="R273" s="12" t="n"/>
      <c r="S273" s="12" t="n"/>
      <c r="T273" s="14" t="n"/>
      <c r="U273" s="14" t="n"/>
      <c r="V273" s="1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row>
    <row r="274" ht="15" customHeight="1">
      <c r="A274" s="12" t="n"/>
      <c r="B274" s="13">
        <f>IF(A274="","",EOMONTH(A274,0))</f>
        <v/>
      </c>
      <c r="C274" s="14" t="n"/>
      <c r="D274" s="14" t="n"/>
      <c r="E274" s="14" t="n"/>
      <c r="F274" s="15">
        <f>IF(E274="","",IF(COUNTIF(lst_Jobs,E274&amp;"")&gt;0,"OK","CHECK"))</f>
        <v/>
      </c>
      <c r="G274" s="14" t="n"/>
      <c r="H274" s="14" t="n"/>
      <c r="I274" s="14" t="n"/>
      <c r="J274" s="14" t="n"/>
      <c r="K274" s="14" t="n"/>
      <c r="L274" s="16" t="n"/>
      <c r="M274" s="17">
        <f>IF(L274="","",IF(K274="GST 10%",ROUND(L274*set_GSTRate,2),0))</f>
        <v/>
      </c>
      <c r="N274" s="17">
        <f>IF(L274="","",L274+M274)</f>
        <v/>
      </c>
      <c r="O274" s="14" t="n"/>
      <c r="P274" s="14" t="n"/>
      <c r="Q274" s="14" t="n"/>
      <c r="R274" s="12" t="n"/>
      <c r="S274" s="12" t="n"/>
      <c r="T274" s="14" t="n"/>
      <c r="U274" s="14" t="n"/>
      <c r="V274" s="1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row>
    <row r="275" ht="15" customHeight="1">
      <c r="A275" s="12" t="n"/>
      <c r="B275" s="13">
        <f>IF(A275="","",EOMONTH(A275,0))</f>
        <v/>
      </c>
      <c r="C275" s="14" t="n"/>
      <c r="D275" s="14" t="n"/>
      <c r="E275" s="14" t="n"/>
      <c r="F275" s="15">
        <f>IF(E275="","",IF(COUNTIF(lst_Jobs,E275&amp;"")&gt;0,"OK","CHECK"))</f>
        <v/>
      </c>
      <c r="G275" s="14" t="n"/>
      <c r="H275" s="14" t="n"/>
      <c r="I275" s="14" t="n"/>
      <c r="J275" s="14" t="n"/>
      <c r="K275" s="14" t="n"/>
      <c r="L275" s="16" t="n"/>
      <c r="M275" s="17">
        <f>IF(L275="","",IF(K275="GST 10%",ROUND(L275*set_GSTRate,2),0))</f>
        <v/>
      </c>
      <c r="N275" s="17">
        <f>IF(L275="","",L275+M275)</f>
        <v/>
      </c>
      <c r="O275" s="14" t="n"/>
      <c r="P275" s="14" t="n"/>
      <c r="Q275" s="14" t="n"/>
      <c r="R275" s="12" t="n"/>
      <c r="S275" s="12" t="n"/>
      <c r="T275" s="14" t="n"/>
      <c r="U275" s="14" t="n"/>
      <c r="V275" s="1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row>
    <row r="276" ht="15" customHeight="1">
      <c r="A276" s="12" t="n"/>
      <c r="B276" s="13">
        <f>IF(A276="","",EOMONTH(A276,0))</f>
        <v/>
      </c>
      <c r="C276" s="14" t="n"/>
      <c r="D276" s="14" t="n"/>
      <c r="E276" s="14" t="n"/>
      <c r="F276" s="15">
        <f>IF(E276="","",IF(COUNTIF(lst_Jobs,E276&amp;"")&gt;0,"OK","CHECK"))</f>
        <v/>
      </c>
      <c r="G276" s="14" t="n"/>
      <c r="H276" s="14" t="n"/>
      <c r="I276" s="14" t="n"/>
      <c r="J276" s="14" t="n"/>
      <c r="K276" s="14" t="n"/>
      <c r="L276" s="16" t="n"/>
      <c r="M276" s="17">
        <f>IF(L276="","",IF(K276="GST 10%",ROUND(L276*set_GSTRate,2),0))</f>
        <v/>
      </c>
      <c r="N276" s="17">
        <f>IF(L276="","",L276+M276)</f>
        <v/>
      </c>
      <c r="O276" s="14" t="n"/>
      <c r="P276" s="14" t="n"/>
      <c r="Q276" s="14" t="n"/>
      <c r="R276" s="12" t="n"/>
      <c r="S276" s="12" t="n"/>
      <c r="T276" s="14" t="n"/>
      <c r="U276" s="14" t="n"/>
      <c r="V276" s="1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row>
    <row r="277" ht="15" customHeight="1">
      <c r="A277" s="12" t="n"/>
      <c r="B277" s="13">
        <f>IF(A277="","",EOMONTH(A277,0))</f>
        <v/>
      </c>
      <c r="C277" s="14" t="n"/>
      <c r="D277" s="14" t="n"/>
      <c r="E277" s="14" t="n"/>
      <c r="F277" s="15">
        <f>IF(E277="","",IF(COUNTIF(lst_Jobs,E277&amp;"")&gt;0,"OK","CHECK"))</f>
        <v/>
      </c>
      <c r="G277" s="14" t="n"/>
      <c r="H277" s="14" t="n"/>
      <c r="I277" s="14" t="n"/>
      <c r="J277" s="14" t="n"/>
      <c r="K277" s="14" t="n"/>
      <c r="L277" s="16" t="n"/>
      <c r="M277" s="17">
        <f>IF(L277="","",IF(K277="GST 10%",ROUND(L277*set_GSTRate,2),0))</f>
        <v/>
      </c>
      <c r="N277" s="17">
        <f>IF(L277="","",L277+M277)</f>
        <v/>
      </c>
      <c r="O277" s="14" t="n"/>
      <c r="P277" s="14" t="n"/>
      <c r="Q277" s="14" t="n"/>
      <c r="R277" s="12" t="n"/>
      <c r="S277" s="12" t="n"/>
      <c r="T277" s="14" t="n"/>
      <c r="U277" s="14" t="n"/>
      <c r="V277" s="1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row>
    <row r="278" ht="15" customHeight="1">
      <c r="A278" s="12" t="n"/>
      <c r="B278" s="13">
        <f>IF(A278="","",EOMONTH(A278,0))</f>
        <v/>
      </c>
      <c r="C278" s="14" t="n"/>
      <c r="D278" s="14" t="n"/>
      <c r="E278" s="14" t="n"/>
      <c r="F278" s="15">
        <f>IF(E278="","",IF(COUNTIF(lst_Jobs,E278&amp;"")&gt;0,"OK","CHECK"))</f>
        <v/>
      </c>
      <c r="G278" s="14" t="n"/>
      <c r="H278" s="14" t="n"/>
      <c r="I278" s="14" t="n"/>
      <c r="J278" s="14" t="n"/>
      <c r="K278" s="14" t="n"/>
      <c r="L278" s="16" t="n"/>
      <c r="M278" s="17">
        <f>IF(L278="","",IF(K278="GST 10%",ROUND(L278*set_GSTRate,2),0))</f>
        <v/>
      </c>
      <c r="N278" s="17">
        <f>IF(L278="","",L278+M278)</f>
        <v/>
      </c>
      <c r="O278" s="14" t="n"/>
      <c r="P278" s="14" t="n"/>
      <c r="Q278" s="14" t="n"/>
      <c r="R278" s="12" t="n"/>
      <c r="S278" s="12" t="n"/>
      <c r="T278" s="14" t="n"/>
      <c r="U278" s="14" t="n"/>
      <c r="V278" s="1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row>
    <row r="279" ht="15" customHeight="1">
      <c r="A279" s="12" t="n"/>
      <c r="B279" s="13">
        <f>IF(A279="","",EOMONTH(A279,0))</f>
        <v/>
      </c>
      <c r="C279" s="14" t="n"/>
      <c r="D279" s="14" t="n"/>
      <c r="E279" s="14" t="n"/>
      <c r="F279" s="15">
        <f>IF(E279="","",IF(COUNTIF(lst_Jobs,E279&amp;"")&gt;0,"OK","CHECK"))</f>
        <v/>
      </c>
      <c r="G279" s="14" t="n"/>
      <c r="H279" s="14" t="n"/>
      <c r="I279" s="14" t="n"/>
      <c r="J279" s="14" t="n"/>
      <c r="K279" s="14" t="n"/>
      <c r="L279" s="16" t="n"/>
      <c r="M279" s="17">
        <f>IF(L279="","",IF(K279="GST 10%",ROUND(L279*set_GSTRate,2),0))</f>
        <v/>
      </c>
      <c r="N279" s="17">
        <f>IF(L279="","",L279+M279)</f>
        <v/>
      </c>
      <c r="O279" s="14" t="n"/>
      <c r="P279" s="14" t="n"/>
      <c r="Q279" s="14" t="n"/>
      <c r="R279" s="12" t="n"/>
      <c r="S279" s="12" t="n"/>
      <c r="T279" s="14" t="n"/>
      <c r="U279" s="14" t="n"/>
      <c r="V279" s="1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row>
    <row r="280" ht="15" customHeight="1">
      <c r="A280" s="12" t="n"/>
      <c r="B280" s="13">
        <f>IF(A280="","",EOMONTH(A280,0))</f>
        <v/>
      </c>
      <c r="C280" s="14" t="n"/>
      <c r="D280" s="14" t="n"/>
      <c r="E280" s="14" t="n"/>
      <c r="F280" s="15">
        <f>IF(E280="","",IF(COUNTIF(lst_Jobs,E280&amp;"")&gt;0,"OK","CHECK"))</f>
        <v/>
      </c>
      <c r="G280" s="14" t="n"/>
      <c r="H280" s="14" t="n"/>
      <c r="I280" s="14" t="n"/>
      <c r="J280" s="14" t="n"/>
      <c r="K280" s="14" t="n"/>
      <c r="L280" s="16" t="n"/>
      <c r="M280" s="17">
        <f>IF(L280="","",IF(K280="GST 10%",ROUND(L280*set_GSTRate,2),0))</f>
        <v/>
      </c>
      <c r="N280" s="17">
        <f>IF(L280="","",L280+M280)</f>
        <v/>
      </c>
      <c r="O280" s="14" t="n"/>
      <c r="P280" s="14" t="n"/>
      <c r="Q280" s="14" t="n"/>
      <c r="R280" s="12" t="n"/>
      <c r="S280" s="12" t="n"/>
      <c r="T280" s="14" t="n"/>
      <c r="U280" s="14" t="n"/>
      <c r="V280" s="1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row>
    <row r="281" ht="15" customHeight="1">
      <c r="A281" s="12" t="n"/>
      <c r="B281" s="13">
        <f>IF(A281="","",EOMONTH(A281,0))</f>
        <v/>
      </c>
      <c r="C281" s="14" t="n"/>
      <c r="D281" s="14" t="n"/>
      <c r="E281" s="14" t="n"/>
      <c r="F281" s="15">
        <f>IF(E281="","",IF(COUNTIF(lst_Jobs,E281&amp;"")&gt;0,"OK","CHECK"))</f>
        <v/>
      </c>
      <c r="G281" s="14" t="n"/>
      <c r="H281" s="14" t="n"/>
      <c r="I281" s="14" t="n"/>
      <c r="J281" s="14" t="n"/>
      <c r="K281" s="14" t="n"/>
      <c r="L281" s="16" t="n"/>
      <c r="M281" s="17">
        <f>IF(L281="","",IF(K281="GST 10%",ROUND(L281*set_GSTRate,2),0))</f>
        <v/>
      </c>
      <c r="N281" s="17">
        <f>IF(L281="","",L281+M281)</f>
        <v/>
      </c>
      <c r="O281" s="14" t="n"/>
      <c r="P281" s="14" t="n"/>
      <c r="Q281" s="14" t="n"/>
      <c r="R281" s="12" t="n"/>
      <c r="S281" s="12" t="n"/>
      <c r="T281" s="14" t="n"/>
      <c r="U281" s="14" t="n"/>
      <c r="V281" s="1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row>
    <row r="282" ht="15" customHeight="1">
      <c r="A282" s="12" t="n"/>
      <c r="B282" s="13">
        <f>IF(A282="","",EOMONTH(A282,0))</f>
        <v/>
      </c>
      <c r="C282" s="14" t="n"/>
      <c r="D282" s="14" t="n"/>
      <c r="E282" s="14" t="n"/>
      <c r="F282" s="15">
        <f>IF(E282="","",IF(COUNTIF(lst_Jobs,E282&amp;"")&gt;0,"OK","CHECK"))</f>
        <v/>
      </c>
      <c r="G282" s="14" t="n"/>
      <c r="H282" s="14" t="n"/>
      <c r="I282" s="14" t="n"/>
      <c r="J282" s="14" t="n"/>
      <c r="K282" s="14" t="n"/>
      <c r="L282" s="16" t="n"/>
      <c r="M282" s="17">
        <f>IF(L282="","",IF(K282="GST 10%",ROUND(L282*set_GSTRate,2),0))</f>
        <v/>
      </c>
      <c r="N282" s="17">
        <f>IF(L282="","",L282+M282)</f>
        <v/>
      </c>
      <c r="O282" s="14" t="n"/>
      <c r="P282" s="14" t="n"/>
      <c r="Q282" s="14" t="n"/>
      <c r="R282" s="12" t="n"/>
      <c r="S282" s="12" t="n"/>
      <c r="T282" s="14" t="n"/>
      <c r="U282" s="14" t="n"/>
      <c r="V282" s="1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row>
    <row r="283" ht="15" customHeight="1">
      <c r="A283" s="12" t="n"/>
      <c r="B283" s="13">
        <f>IF(A283="","",EOMONTH(A283,0))</f>
        <v/>
      </c>
      <c r="C283" s="14" t="n"/>
      <c r="D283" s="14" t="n"/>
      <c r="E283" s="14" t="n"/>
      <c r="F283" s="15">
        <f>IF(E283="","",IF(COUNTIF(lst_Jobs,E283&amp;"")&gt;0,"OK","CHECK"))</f>
        <v/>
      </c>
      <c r="G283" s="14" t="n"/>
      <c r="H283" s="14" t="n"/>
      <c r="I283" s="14" t="n"/>
      <c r="J283" s="14" t="n"/>
      <c r="K283" s="14" t="n"/>
      <c r="L283" s="16" t="n"/>
      <c r="M283" s="17">
        <f>IF(L283="","",IF(K283="GST 10%",ROUND(L283*set_GSTRate,2),0))</f>
        <v/>
      </c>
      <c r="N283" s="17">
        <f>IF(L283="","",L283+M283)</f>
        <v/>
      </c>
      <c r="O283" s="14" t="n"/>
      <c r="P283" s="14" t="n"/>
      <c r="Q283" s="14" t="n"/>
      <c r="R283" s="12" t="n"/>
      <c r="S283" s="12" t="n"/>
      <c r="T283" s="14" t="n"/>
      <c r="U283" s="14" t="n"/>
      <c r="V283" s="1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row>
    <row r="284" ht="15" customHeight="1">
      <c r="A284" s="12" t="n"/>
      <c r="B284" s="13">
        <f>IF(A284="","",EOMONTH(A284,0))</f>
        <v/>
      </c>
      <c r="C284" s="14" t="n"/>
      <c r="D284" s="14" t="n"/>
      <c r="E284" s="14" t="n"/>
      <c r="F284" s="15">
        <f>IF(E284="","",IF(COUNTIF(lst_Jobs,E284&amp;"")&gt;0,"OK","CHECK"))</f>
        <v/>
      </c>
      <c r="G284" s="14" t="n"/>
      <c r="H284" s="14" t="n"/>
      <c r="I284" s="14" t="n"/>
      <c r="J284" s="14" t="n"/>
      <c r="K284" s="14" t="n"/>
      <c r="L284" s="16" t="n"/>
      <c r="M284" s="17">
        <f>IF(L284="","",IF(K284="GST 10%",ROUND(L284*set_GSTRate,2),0))</f>
        <v/>
      </c>
      <c r="N284" s="17">
        <f>IF(L284="","",L284+M284)</f>
        <v/>
      </c>
      <c r="O284" s="14" t="n"/>
      <c r="P284" s="14" t="n"/>
      <c r="Q284" s="14" t="n"/>
      <c r="R284" s="12" t="n"/>
      <c r="S284" s="12" t="n"/>
      <c r="T284" s="14" t="n"/>
      <c r="U284" s="14" t="n"/>
      <c r="V284" s="1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row>
    <row r="285" ht="15" customHeight="1">
      <c r="A285" s="12" t="n"/>
      <c r="B285" s="13">
        <f>IF(A285="","",EOMONTH(A285,0))</f>
        <v/>
      </c>
      <c r="C285" s="14" t="n"/>
      <c r="D285" s="14" t="n"/>
      <c r="E285" s="14" t="n"/>
      <c r="F285" s="15">
        <f>IF(E285="","",IF(COUNTIF(lst_Jobs,E285&amp;"")&gt;0,"OK","CHECK"))</f>
        <v/>
      </c>
      <c r="G285" s="14" t="n"/>
      <c r="H285" s="14" t="n"/>
      <c r="I285" s="14" t="n"/>
      <c r="J285" s="14" t="n"/>
      <c r="K285" s="14" t="n"/>
      <c r="L285" s="16" t="n"/>
      <c r="M285" s="17">
        <f>IF(L285="","",IF(K285="GST 10%",ROUND(L285*set_GSTRate,2),0))</f>
        <v/>
      </c>
      <c r="N285" s="17">
        <f>IF(L285="","",L285+M285)</f>
        <v/>
      </c>
      <c r="O285" s="14" t="n"/>
      <c r="P285" s="14" t="n"/>
      <c r="Q285" s="14" t="n"/>
      <c r="R285" s="12" t="n"/>
      <c r="S285" s="12" t="n"/>
      <c r="T285" s="14" t="n"/>
      <c r="U285" s="14" t="n"/>
      <c r="V285" s="1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row>
    <row r="286" ht="15" customHeight="1">
      <c r="A286" s="12" t="n"/>
      <c r="B286" s="13">
        <f>IF(A286="","",EOMONTH(A286,0))</f>
        <v/>
      </c>
      <c r="C286" s="14" t="n"/>
      <c r="D286" s="14" t="n"/>
      <c r="E286" s="14" t="n"/>
      <c r="F286" s="15">
        <f>IF(E286="","",IF(COUNTIF(lst_Jobs,E286&amp;"")&gt;0,"OK","CHECK"))</f>
        <v/>
      </c>
      <c r="G286" s="14" t="n"/>
      <c r="H286" s="14" t="n"/>
      <c r="I286" s="14" t="n"/>
      <c r="J286" s="14" t="n"/>
      <c r="K286" s="14" t="n"/>
      <c r="L286" s="16" t="n"/>
      <c r="M286" s="17">
        <f>IF(L286="","",IF(K286="GST 10%",ROUND(L286*set_GSTRate,2),0))</f>
        <v/>
      </c>
      <c r="N286" s="17">
        <f>IF(L286="","",L286+M286)</f>
        <v/>
      </c>
      <c r="O286" s="14" t="n"/>
      <c r="P286" s="14" t="n"/>
      <c r="Q286" s="14" t="n"/>
      <c r="R286" s="12" t="n"/>
      <c r="S286" s="12" t="n"/>
      <c r="T286" s="14" t="n"/>
      <c r="U286" s="14" t="n"/>
      <c r="V286" s="1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row>
    <row r="287" ht="15" customHeight="1">
      <c r="A287" s="12" t="n"/>
      <c r="B287" s="13">
        <f>IF(A287="","",EOMONTH(A287,0))</f>
        <v/>
      </c>
      <c r="C287" s="14" t="n"/>
      <c r="D287" s="14" t="n"/>
      <c r="E287" s="14" t="n"/>
      <c r="F287" s="15">
        <f>IF(E287="","",IF(COUNTIF(lst_Jobs,E287&amp;"")&gt;0,"OK","CHECK"))</f>
        <v/>
      </c>
      <c r="G287" s="14" t="n"/>
      <c r="H287" s="14" t="n"/>
      <c r="I287" s="14" t="n"/>
      <c r="J287" s="14" t="n"/>
      <c r="K287" s="14" t="n"/>
      <c r="L287" s="16" t="n"/>
      <c r="M287" s="17">
        <f>IF(L287="","",IF(K287="GST 10%",ROUND(L287*set_GSTRate,2),0))</f>
        <v/>
      </c>
      <c r="N287" s="17">
        <f>IF(L287="","",L287+M287)</f>
        <v/>
      </c>
      <c r="O287" s="14" t="n"/>
      <c r="P287" s="14" t="n"/>
      <c r="Q287" s="14" t="n"/>
      <c r="R287" s="12" t="n"/>
      <c r="S287" s="12" t="n"/>
      <c r="T287" s="14" t="n"/>
      <c r="U287" s="14" t="n"/>
      <c r="V287" s="1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row>
    <row r="288" ht="15" customHeight="1">
      <c r="A288" s="12" t="n"/>
      <c r="B288" s="13">
        <f>IF(A288="","",EOMONTH(A288,0))</f>
        <v/>
      </c>
      <c r="C288" s="14" t="n"/>
      <c r="D288" s="14" t="n"/>
      <c r="E288" s="14" t="n"/>
      <c r="F288" s="15">
        <f>IF(E288="","",IF(COUNTIF(lst_Jobs,E288&amp;"")&gt;0,"OK","CHECK"))</f>
        <v/>
      </c>
      <c r="G288" s="14" t="n"/>
      <c r="H288" s="14" t="n"/>
      <c r="I288" s="14" t="n"/>
      <c r="J288" s="14" t="n"/>
      <c r="K288" s="14" t="n"/>
      <c r="L288" s="16" t="n"/>
      <c r="M288" s="17">
        <f>IF(L288="","",IF(K288="GST 10%",ROUND(L288*set_GSTRate,2),0))</f>
        <v/>
      </c>
      <c r="N288" s="17">
        <f>IF(L288="","",L288+M288)</f>
        <v/>
      </c>
      <c r="O288" s="14" t="n"/>
      <c r="P288" s="14" t="n"/>
      <c r="Q288" s="14" t="n"/>
      <c r="R288" s="12" t="n"/>
      <c r="S288" s="12" t="n"/>
      <c r="T288" s="14" t="n"/>
      <c r="U288" s="14" t="n"/>
      <c r="V288" s="1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row>
    <row r="289" ht="15" customHeight="1">
      <c r="A289" s="12" t="n"/>
      <c r="B289" s="13">
        <f>IF(A289="","",EOMONTH(A289,0))</f>
        <v/>
      </c>
      <c r="C289" s="14" t="n"/>
      <c r="D289" s="14" t="n"/>
      <c r="E289" s="14" t="n"/>
      <c r="F289" s="15">
        <f>IF(E289="","",IF(COUNTIF(lst_Jobs,E289&amp;"")&gt;0,"OK","CHECK"))</f>
        <v/>
      </c>
      <c r="G289" s="14" t="n"/>
      <c r="H289" s="14" t="n"/>
      <c r="I289" s="14" t="n"/>
      <c r="J289" s="14" t="n"/>
      <c r="K289" s="14" t="n"/>
      <c r="L289" s="16" t="n"/>
      <c r="M289" s="17">
        <f>IF(L289="","",IF(K289="GST 10%",ROUND(L289*set_GSTRate,2),0))</f>
        <v/>
      </c>
      <c r="N289" s="17">
        <f>IF(L289="","",L289+M289)</f>
        <v/>
      </c>
      <c r="O289" s="14" t="n"/>
      <c r="P289" s="14" t="n"/>
      <c r="Q289" s="14" t="n"/>
      <c r="R289" s="12" t="n"/>
      <c r="S289" s="12" t="n"/>
      <c r="T289" s="14" t="n"/>
      <c r="U289" s="14" t="n"/>
      <c r="V289" s="1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row>
    <row r="290" ht="15" customHeight="1">
      <c r="A290" s="12" t="n"/>
      <c r="B290" s="13">
        <f>IF(A290="","",EOMONTH(A290,0))</f>
        <v/>
      </c>
      <c r="C290" s="14" t="n"/>
      <c r="D290" s="14" t="n"/>
      <c r="E290" s="14" t="n"/>
      <c r="F290" s="15">
        <f>IF(E290="","",IF(COUNTIF(lst_Jobs,E290&amp;"")&gt;0,"OK","CHECK"))</f>
        <v/>
      </c>
      <c r="G290" s="14" t="n"/>
      <c r="H290" s="14" t="n"/>
      <c r="I290" s="14" t="n"/>
      <c r="J290" s="14" t="n"/>
      <c r="K290" s="14" t="n"/>
      <c r="L290" s="16" t="n"/>
      <c r="M290" s="17">
        <f>IF(L290="","",IF(K290="GST 10%",ROUND(L290*set_GSTRate,2),0))</f>
        <v/>
      </c>
      <c r="N290" s="17">
        <f>IF(L290="","",L290+M290)</f>
        <v/>
      </c>
      <c r="O290" s="14" t="n"/>
      <c r="P290" s="14" t="n"/>
      <c r="Q290" s="14" t="n"/>
      <c r="R290" s="12" t="n"/>
      <c r="S290" s="12" t="n"/>
      <c r="T290" s="14" t="n"/>
      <c r="U290" s="14" t="n"/>
      <c r="V290" s="1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row>
    <row r="291" ht="15" customHeight="1">
      <c r="A291" s="12" t="n"/>
      <c r="B291" s="13">
        <f>IF(A291="","",EOMONTH(A291,0))</f>
        <v/>
      </c>
      <c r="C291" s="14" t="n"/>
      <c r="D291" s="14" t="n"/>
      <c r="E291" s="14" t="n"/>
      <c r="F291" s="15">
        <f>IF(E291="","",IF(COUNTIF(lst_Jobs,E291&amp;"")&gt;0,"OK","CHECK"))</f>
        <v/>
      </c>
      <c r="G291" s="14" t="n"/>
      <c r="H291" s="14" t="n"/>
      <c r="I291" s="14" t="n"/>
      <c r="J291" s="14" t="n"/>
      <c r="K291" s="14" t="n"/>
      <c r="L291" s="16" t="n"/>
      <c r="M291" s="17">
        <f>IF(L291="","",IF(K291="GST 10%",ROUND(L291*set_GSTRate,2),0))</f>
        <v/>
      </c>
      <c r="N291" s="17">
        <f>IF(L291="","",L291+M291)</f>
        <v/>
      </c>
      <c r="O291" s="14" t="n"/>
      <c r="P291" s="14" t="n"/>
      <c r="Q291" s="14" t="n"/>
      <c r="R291" s="12" t="n"/>
      <c r="S291" s="12" t="n"/>
      <c r="T291" s="14" t="n"/>
      <c r="U291" s="14" t="n"/>
      <c r="V291" s="1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row>
    <row r="292" ht="15" customHeight="1">
      <c r="A292" s="12" t="n"/>
      <c r="B292" s="13">
        <f>IF(A292="","",EOMONTH(A292,0))</f>
        <v/>
      </c>
      <c r="C292" s="14" t="n"/>
      <c r="D292" s="14" t="n"/>
      <c r="E292" s="14" t="n"/>
      <c r="F292" s="15">
        <f>IF(E292="","",IF(COUNTIF(lst_Jobs,E292&amp;"")&gt;0,"OK","CHECK"))</f>
        <v/>
      </c>
      <c r="G292" s="14" t="n"/>
      <c r="H292" s="14" t="n"/>
      <c r="I292" s="14" t="n"/>
      <c r="J292" s="14" t="n"/>
      <c r="K292" s="14" t="n"/>
      <c r="L292" s="16" t="n"/>
      <c r="M292" s="17">
        <f>IF(L292="","",IF(K292="GST 10%",ROUND(L292*set_GSTRate,2),0))</f>
        <v/>
      </c>
      <c r="N292" s="17">
        <f>IF(L292="","",L292+M292)</f>
        <v/>
      </c>
      <c r="O292" s="14" t="n"/>
      <c r="P292" s="14" t="n"/>
      <c r="Q292" s="14" t="n"/>
      <c r="R292" s="12" t="n"/>
      <c r="S292" s="12" t="n"/>
      <c r="T292" s="14" t="n"/>
      <c r="U292" s="14" t="n"/>
      <c r="V292" s="1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row>
    <row r="293" ht="15" customHeight="1">
      <c r="A293" s="12" t="n"/>
      <c r="B293" s="13">
        <f>IF(A293="","",EOMONTH(A293,0))</f>
        <v/>
      </c>
      <c r="C293" s="14" t="n"/>
      <c r="D293" s="14" t="n"/>
      <c r="E293" s="14" t="n"/>
      <c r="F293" s="15">
        <f>IF(E293="","",IF(COUNTIF(lst_Jobs,E293&amp;"")&gt;0,"OK","CHECK"))</f>
        <v/>
      </c>
      <c r="G293" s="14" t="n"/>
      <c r="H293" s="14" t="n"/>
      <c r="I293" s="14" t="n"/>
      <c r="J293" s="14" t="n"/>
      <c r="K293" s="14" t="n"/>
      <c r="L293" s="16" t="n"/>
      <c r="M293" s="17">
        <f>IF(L293="","",IF(K293="GST 10%",ROUND(L293*set_GSTRate,2),0))</f>
        <v/>
      </c>
      <c r="N293" s="17">
        <f>IF(L293="","",L293+M293)</f>
        <v/>
      </c>
      <c r="O293" s="14" t="n"/>
      <c r="P293" s="14" t="n"/>
      <c r="Q293" s="14" t="n"/>
      <c r="R293" s="12" t="n"/>
      <c r="S293" s="12" t="n"/>
      <c r="T293" s="14" t="n"/>
      <c r="U293" s="14" t="n"/>
      <c r="V293" s="1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row>
    <row r="294" ht="15" customHeight="1">
      <c r="A294" s="12" t="n"/>
      <c r="B294" s="13">
        <f>IF(A294="","",EOMONTH(A294,0))</f>
        <v/>
      </c>
      <c r="C294" s="14" t="n"/>
      <c r="D294" s="14" t="n"/>
      <c r="E294" s="14" t="n"/>
      <c r="F294" s="15">
        <f>IF(E294="","",IF(COUNTIF(lst_Jobs,E294&amp;"")&gt;0,"OK","CHECK"))</f>
        <v/>
      </c>
      <c r="G294" s="14" t="n"/>
      <c r="H294" s="14" t="n"/>
      <c r="I294" s="14" t="n"/>
      <c r="J294" s="14" t="n"/>
      <c r="K294" s="14" t="n"/>
      <c r="L294" s="16" t="n"/>
      <c r="M294" s="17">
        <f>IF(L294="","",IF(K294="GST 10%",ROUND(L294*set_GSTRate,2),0))</f>
        <v/>
      </c>
      <c r="N294" s="17">
        <f>IF(L294="","",L294+M294)</f>
        <v/>
      </c>
      <c r="O294" s="14" t="n"/>
      <c r="P294" s="14" t="n"/>
      <c r="Q294" s="14" t="n"/>
      <c r="R294" s="12" t="n"/>
      <c r="S294" s="12" t="n"/>
      <c r="T294" s="14" t="n"/>
      <c r="U294" s="14" t="n"/>
      <c r="V294" s="1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row>
    <row r="295" ht="15" customHeight="1">
      <c r="A295" s="12" t="n"/>
      <c r="B295" s="13">
        <f>IF(A295="","",EOMONTH(A295,0))</f>
        <v/>
      </c>
      <c r="C295" s="14" t="n"/>
      <c r="D295" s="14" t="n"/>
      <c r="E295" s="14" t="n"/>
      <c r="F295" s="15">
        <f>IF(E295="","",IF(COUNTIF(lst_Jobs,E295&amp;"")&gt;0,"OK","CHECK"))</f>
        <v/>
      </c>
      <c r="G295" s="14" t="n"/>
      <c r="H295" s="14" t="n"/>
      <c r="I295" s="14" t="n"/>
      <c r="J295" s="14" t="n"/>
      <c r="K295" s="14" t="n"/>
      <c r="L295" s="16" t="n"/>
      <c r="M295" s="17">
        <f>IF(L295="","",IF(K295="GST 10%",ROUND(L295*set_GSTRate,2),0))</f>
        <v/>
      </c>
      <c r="N295" s="17">
        <f>IF(L295="","",L295+M295)</f>
        <v/>
      </c>
      <c r="O295" s="14" t="n"/>
      <c r="P295" s="14" t="n"/>
      <c r="Q295" s="14" t="n"/>
      <c r="R295" s="12" t="n"/>
      <c r="S295" s="12" t="n"/>
      <c r="T295" s="14" t="n"/>
      <c r="U295" s="14" t="n"/>
      <c r="V295" s="1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row>
    <row r="296" ht="15" customHeight="1">
      <c r="A296" s="12" t="n"/>
      <c r="B296" s="13">
        <f>IF(A296="","",EOMONTH(A296,0))</f>
        <v/>
      </c>
      <c r="C296" s="14" t="n"/>
      <c r="D296" s="14" t="n"/>
      <c r="E296" s="14" t="n"/>
      <c r="F296" s="15">
        <f>IF(E296="","",IF(COUNTIF(lst_Jobs,E296&amp;"")&gt;0,"OK","CHECK"))</f>
        <v/>
      </c>
      <c r="G296" s="14" t="n"/>
      <c r="H296" s="14" t="n"/>
      <c r="I296" s="14" t="n"/>
      <c r="J296" s="14" t="n"/>
      <c r="K296" s="14" t="n"/>
      <c r="L296" s="16" t="n"/>
      <c r="M296" s="17">
        <f>IF(L296="","",IF(K296="GST 10%",ROUND(L296*set_GSTRate,2),0))</f>
        <v/>
      </c>
      <c r="N296" s="17">
        <f>IF(L296="","",L296+M296)</f>
        <v/>
      </c>
      <c r="O296" s="14" t="n"/>
      <c r="P296" s="14" t="n"/>
      <c r="Q296" s="14" t="n"/>
      <c r="R296" s="12" t="n"/>
      <c r="S296" s="12" t="n"/>
      <c r="T296" s="14" t="n"/>
      <c r="U296" s="14" t="n"/>
      <c r="V296" s="1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row>
    <row r="297" ht="15" customHeight="1">
      <c r="A297" s="12" t="n"/>
      <c r="B297" s="13">
        <f>IF(A297="","",EOMONTH(A297,0))</f>
        <v/>
      </c>
      <c r="C297" s="14" t="n"/>
      <c r="D297" s="14" t="n"/>
      <c r="E297" s="14" t="n"/>
      <c r="F297" s="15">
        <f>IF(E297="","",IF(COUNTIF(lst_Jobs,E297&amp;"")&gt;0,"OK","CHECK"))</f>
        <v/>
      </c>
      <c r="G297" s="14" t="n"/>
      <c r="H297" s="14" t="n"/>
      <c r="I297" s="14" t="n"/>
      <c r="J297" s="14" t="n"/>
      <c r="K297" s="14" t="n"/>
      <c r="L297" s="16" t="n"/>
      <c r="M297" s="17">
        <f>IF(L297="","",IF(K297="GST 10%",ROUND(L297*set_GSTRate,2),0))</f>
        <v/>
      </c>
      <c r="N297" s="17">
        <f>IF(L297="","",L297+M297)</f>
        <v/>
      </c>
      <c r="O297" s="14" t="n"/>
      <c r="P297" s="14" t="n"/>
      <c r="Q297" s="14" t="n"/>
      <c r="R297" s="12" t="n"/>
      <c r="S297" s="12" t="n"/>
      <c r="T297" s="14" t="n"/>
      <c r="U297" s="14" t="n"/>
      <c r="V297" s="1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row>
    <row r="298" ht="15" customHeight="1">
      <c r="A298" s="12" t="n"/>
      <c r="B298" s="13">
        <f>IF(A298="","",EOMONTH(A298,0))</f>
        <v/>
      </c>
      <c r="C298" s="14" t="n"/>
      <c r="D298" s="14" t="n"/>
      <c r="E298" s="14" t="n"/>
      <c r="F298" s="15">
        <f>IF(E298="","",IF(COUNTIF(lst_Jobs,E298&amp;"")&gt;0,"OK","CHECK"))</f>
        <v/>
      </c>
      <c r="G298" s="14" t="n"/>
      <c r="H298" s="14" t="n"/>
      <c r="I298" s="14" t="n"/>
      <c r="J298" s="14" t="n"/>
      <c r="K298" s="14" t="n"/>
      <c r="L298" s="16" t="n"/>
      <c r="M298" s="17">
        <f>IF(L298="","",IF(K298="GST 10%",ROUND(L298*set_GSTRate,2),0))</f>
        <v/>
      </c>
      <c r="N298" s="17">
        <f>IF(L298="","",L298+M298)</f>
        <v/>
      </c>
      <c r="O298" s="14" t="n"/>
      <c r="P298" s="14" t="n"/>
      <c r="Q298" s="14" t="n"/>
      <c r="R298" s="12" t="n"/>
      <c r="S298" s="12" t="n"/>
      <c r="T298" s="14" t="n"/>
      <c r="U298" s="14" t="n"/>
      <c r="V298" s="1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row>
    <row r="299" ht="15" customHeight="1">
      <c r="A299" s="12" t="n"/>
      <c r="B299" s="13">
        <f>IF(A299="","",EOMONTH(A299,0))</f>
        <v/>
      </c>
      <c r="C299" s="14" t="n"/>
      <c r="D299" s="14" t="n"/>
      <c r="E299" s="14" t="n"/>
      <c r="F299" s="15">
        <f>IF(E299="","",IF(COUNTIF(lst_Jobs,E299&amp;"")&gt;0,"OK","CHECK"))</f>
        <v/>
      </c>
      <c r="G299" s="14" t="n"/>
      <c r="H299" s="14" t="n"/>
      <c r="I299" s="14" t="n"/>
      <c r="J299" s="14" t="n"/>
      <c r="K299" s="14" t="n"/>
      <c r="L299" s="16" t="n"/>
      <c r="M299" s="17">
        <f>IF(L299="","",IF(K299="GST 10%",ROUND(L299*set_GSTRate,2),0))</f>
        <v/>
      </c>
      <c r="N299" s="17">
        <f>IF(L299="","",L299+M299)</f>
        <v/>
      </c>
      <c r="O299" s="14" t="n"/>
      <c r="P299" s="14" t="n"/>
      <c r="Q299" s="14" t="n"/>
      <c r="R299" s="12" t="n"/>
      <c r="S299" s="12" t="n"/>
      <c r="T299" s="14" t="n"/>
      <c r="U299" s="14" t="n"/>
      <c r="V299" s="1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row>
    <row r="300" ht="15" customHeight="1">
      <c r="A300" s="12" t="n"/>
      <c r="B300" s="13">
        <f>IF(A300="","",EOMONTH(A300,0))</f>
        <v/>
      </c>
      <c r="C300" s="14" t="n"/>
      <c r="D300" s="14" t="n"/>
      <c r="E300" s="14" t="n"/>
      <c r="F300" s="15">
        <f>IF(E300="","",IF(COUNTIF(lst_Jobs,E300&amp;"")&gt;0,"OK","CHECK"))</f>
        <v/>
      </c>
      <c r="G300" s="14" t="n"/>
      <c r="H300" s="14" t="n"/>
      <c r="I300" s="14" t="n"/>
      <c r="J300" s="14" t="n"/>
      <c r="K300" s="14" t="n"/>
      <c r="L300" s="16" t="n"/>
      <c r="M300" s="17">
        <f>IF(L300="","",IF(K300="GST 10%",ROUND(L300*set_GSTRate,2),0))</f>
        <v/>
      </c>
      <c r="N300" s="17">
        <f>IF(L300="","",L300+M300)</f>
        <v/>
      </c>
      <c r="O300" s="14" t="n"/>
      <c r="P300" s="14" t="n"/>
      <c r="Q300" s="14" t="n"/>
      <c r="R300" s="12" t="n"/>
      <c r="S300" s="12" t="n"/>
      <c r="T300" s="14" t="n"/>
      <c r="U300" s="14" t="n"/>
      <c r="V300" s="1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row>
    <row r="301" ht="15" customHeight="1">
      <c r="A301" s="12" t="n"/>
      <c r="B301" s="13">
        <f>IF(A301="","",EOMONTH(A301,0))</f>
        <v/>
      </c>
      <c r="C301" s="14" t="n"/>
      <c r="D301" s="14" t="n"/>
      <c r="E301" s="14" t="n"/>
      <c r="F301" s="15">
        <f>IF(E301="","",IF(COUNTIF(lst_Jobs,E301&amp;"")&gt;0,"OK","CHECK"))</f>
        <v/>
      </c>
      <c r="G301" s="14" t="n"/>
      <c r="H301" s="14" t="n"/>
      <c r="I301" s="14" t="n"/>
      <c r="J301" s="14" t="n"/>
      <c r="K301" s="14" t="n"/>
      <c r="L301" s="16" t="n"/>
      <c r="M301" s="17">
        <f>IF(L301="","",IF(K301="GST 10%",ROUND(L301*set_GSTRate,2),0))</f>
        <v/>
      </c>
      <c r="N301" s="17">
        <f>IF(L301="","",L301+M301)</f>
        <v/>
      </c>
      <c r="O301" s="14" t="n"/>
      <c r="P301" s="14" t="n"/>
      <c r="Q301" s="14" t="n"/>
      <c r="R301" s="12" t="n"/>
      <c r="S301" s="12" t="n"/>
      <c r="T301" s="14" t="n"/>
      <c r="U301" s="14" t="n"/>
      <c r="V301" s="1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row>
    <row r="302" ht="15" customHeight="1">
      <c r="A302" s="12" t="n"/>
      <c r="B302" s="13">
        <f>IF(A302="","",EOMONTH(A302,0))</f>
        <v/>
      </c>
      <c r="C302" s="14" t="n"/>
      <c r="D302" s="14" t="n"/>
      <c r="E302" s="14" t="n"/>
      <c r="F302" s="15">
        <f>IF(E302="","",IF(COUNTIF(lst_Jobs,E302&amp;"")&gt;0,"OK","CHECK"))</f>
        <v/>
      </c>
      <c r="G302" s="14" t="n"/>
      <c r="H302" s="14" t="n"/>
      <c r="I302" s="14" t="n"/>
      <c r="J302" s="14" t="n"/>
      <c r="K302" s="14" t="n"/>
      <c r="L302" s="16" t="n"/>
      <c r="M302" s="17">
        <f>IF(L302="","",IF(K302="GST 10%",ROUND(L302*set_GSTRate,2),0))</f>
        <v/>
      </c>
      <c r="N302" s="17">
        <f>IF(L302="","",L302+M302)</f>
        <v/>
      </c>
      <c r="O302" s="14" t="n"/>
      <c r="P302" s="14" t="n"/>
      <c r="Q302" s="14" t="n"/>
      <c r="R302" s="12" t="n"/>
      <c r="S302" s="12" t="n"/>
      <c r="T302" s="14" t="n"/>
      <c r="U302" s="14" t="n"/>
      <c r="V302" s="1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row>
    <row r="303" ht="15" customHeight="1">
      <c r="A303" s="12" t="n"/>
      <c r="B303" s="13">
        <f>IF(A303="","",EOMONTH(A303,0))</f>
        <v/>
      </c>
      <c r="C303" s="14" t="n"/>
      <c r="D303" s="14" t="n"/>
      <c r="E303" s="14" t="n"/>
      <c r="F303" s="15">
        <f>IF(E303="","",IF(COUNTIF(lst_Jobs,E303&amp;"")&gt;0,"OK","CHECK"))</f>
        <v/>
      </c>
      <c r="G303" s="14" t="n"/>
      <c r="H303" s="14" t="n"/>
      <c r="I303" s="14" t="n"/>
      <c r="J303" s="14" t="n"/>
      <c r="K303" s="14" t="n"/>
      <c r="L303" s="16" t="n"/>
      <c r="M303" s="17">
        <f>IF(L303="","",IF(K303="GST 10%",ROUND(L303*set_GSTRate,2),0))</f>
        <v/>
      </c>
      <c r="N303" s="17">
        <f>IF(L303="","",L303+M303)</f>
        <v/>
      </c>
      <c r="O303" s="14" t="n"/>
      <c r="P303" s="14" t="n"/>
      <c r="Q303" s="14" t="n"/>
      <c r="R303" s="12" t="n"/>
      <c r="S303" s="12" t="n"/>
      <c r="T303" s="14" t="n"/>
      <c r="U303" s="14" t="n"/>
      <c r="V303" s="1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row>
    <row r="304" ht="15" customHeight="1">
      <c r="A304" s="12" t="n"/>
      <c r="B304" s="13">
        <f>IF(A304="","",EOMONTH(A304,0))</f>
        <v/>
      </c>
      <c r="C304" s="14" t="n"/>
      <c r="D304" s="14" t="n"/>
      <c r="E304" s="14" t="n"/>
      <c r="F304" s="15">
        <f>IF(E304="","",IF(COUNTIF(lst_Jobs,E304&amp;"")&gt;0,"OK","CHECK"))</f>
        <v/>
      </c>
      <c r="G304" s="14" t="n"/>
      <c r="H304" s="14" t="n"/>
      <c r="I304" s="14" t="n"/>
      <c r="J304" s="14" t="n"/>
      <c r="K304" s="14" t="n"/>
      <c r="L304" s="16" t="n"/>
      <c r="M304" s="17">
        <f>IF(L304="","",IF(K304="GST 10%",ROUND(L304*set_GSTRate,2),0))</f>
        <v/>
      </c>
      <c r="N304" s="17">
        <f>IF(L304="","",L304+M304)</f>
        <v/>
      </c>
      <c r="O304" s="14" t="n"/>
      <c r="P304" s="14" t="n"/>
      <c r="Q304" s="14" t="n"/>
      <c r="R304" s="12" t="n"/>
      <c r="S304" s="12" t="n"/>
      <c r="T304" s="14" t="n"/>
      <c r="U304" s="14" t="n"/>
      <c r="V304" s="1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row>
    <row r="305" ht="15" customHeight="1">
      <c r="A305" s="12" t="n"/>
      <c r="B305" s="13">
        <f>IF(A305="","",EOMONTH(A305,0))</f>
        <v/>
      </c>
      <c r="C305" s="14" t="n"/>
      <c r="D305" s="14" t="n"/>
      <c r="E305" s="14" t="n"/>
      <c r="F305" s="15">
        <f>IF(E305="","",IF(COUNTIF(lst_Jobs,E305&amp;"")&gt;0,"OK","CHECK"))</f>
        <v/>
      </c>
      <c r="G305" s="14" t="n"/>
      <c r="H305" s="14" t="n"/>
      <c r="I305" s="14" t="n"/>
      <c r="J305" s="14" t="n"/>
      <c r="K305" s="14" t="n"/>
      <c r="L305" s="16" t="n"/>
      <c r="M305" s="17">
        <f>IF(L305="","",IF(K305="GST 10%",ROUND(L305*set_GSTRate,2),0))</f>
        <v/>
      </c>
      <c r="N305" s="17">
        <f>IF(L305="","",L305+M305)</f>
        <v/>
      </c>
      <c r="O305" s="14" t="n"/>
      <c r="P305" s="14" t="n"/>
      <c r="Q305" s="14" t="n"/>
      <c r="R305" s="12" t="n"/>
      <c r="S305" s="12" t="n"/>
      <c r="T305" s="14" t="n"/>
      <c r="U305" s="14" t="n"/>
      <c r="V305" s="1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row>
    <row r="306" ht="15" customHeight="1">
      <c r="A306" s="12" t="n"/>
      <c r="B306" s="13">
        <f>IF(A306="","",EOMONTH(A306,0))</f>
        <v/>
      </c>
      <c r="C306" s="14" t="n"/>
      <c r="D306" s="14" t="n"/>
      <c r="E306" s="14" t="n"/>
      <c r="F306" s="15">
        <f>IF(E306="","",IF(COUNTIF(lst_Jobs,E306&amp;"")&gt;0,"OK","CHECK"))</f>
        <v/>
      </c>
      <c r="G306" s="14" t="n"/>
      <c r="H306" s="14" t="n"/>
      <c r="I306" s="14" t="n"/>
      <c r="J306" s="14" t="n"/>
      <c r="K306" s="14" t="n"/>
      <c r="L306" s="16" t="n"/>
      <c r="M306" s="17">
        <f>IF(L306="","",IF(K306="GST 10%",ROUND(L306*set_GSTRate,2),0))</f>
        <v/>
      </c>
      <c r="N306" s="17">
        <f>IF(L306="","",L306+M306)</f>
        <v/>
      </c>
      <c r="O306" s="14" t="n"/>
      <c r="P306" s="14" t="n"/>
      <c r="Q306" s="14" t="n"/>
      <c r="R306" s="12" t="n"/>
      <c r="S306" s="12" t="n"/>
      <c r="T306" s="14" t="n"/>
      <c r="U306" s="14" t="n"/>
      <c r="V306" s="1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row>
    <row r="307" ht="15" customHeight="1">
      <c r="A307" s="12" t="n"/>
      <c r="B307" s="13">
        <f>IF(A307="","",EOMONTH(A307,0))</f>
        <v/>
      </c>
      <c r="C307" s="14" t="n"/>
      <c r="D307" s="14" t="n"/>
      <c r="E307" s="14" t="n"/>
      <c r="F307" s="15">
        <f>IF(E307="","",IF(COUNTIF(lst_Jobs,E307&amp;"")&gt;0,"OK","CHECK"))</f>
        <v/>
      </c>
      <c r="G307" s="14" t="n"/>
      <c r="H307" s="14" t="n"/>
      <c r="I307" s="14" t="n"/>
      <c r="J307" s="14" t="n"/>
      <c r="K307" s="14" t="n"/>
      <c r="L307" s="16" t="n"/>
      <c r="M307" s="17">
        <f>IF(L307="","",IF(K307="GST 10%",ROUND(L307*set_GSTRate,2),0))</f>
        <v/>
      </c>
      <c r="N307" s="17">
        <f>IF(L307="","",L307+M307)</f>
        <v/>
      </c>
      <c r="O307" s="14" t="n"/>
      <c r="P307" s="14" t="n"/>
      <c r="Q307" s="14" t="n"/>
      <c r="R307" s="12" t="n"/>
      <c r="S307" s="12" t="n"/>
      <c r="T307" s="14" t="n"/>
      <c r="U307" s="14" t="n"/>
      <c r="V307" s="1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row>
    <row r="308" ht="15" customHeight="1">
      <c r="A308" s="12" t="n"/>
      <c r="B308" s="13">
        <f>IF(A308="","",EOMONTH(A308,0))</f>
        <v/>
      </c>
      <c r="C308" s="14" t="n"/>
      <c r="D308" s="14" t="n"/>
      <c r="E308" s="14" t="n"/>
      <c r="F308" s="15">
        <f>IF(E308="","",IF(COUNTIF(lst_Jobs,E308&amp;"")&gt;0,"OK","CHECK"))</f>
        <v/>
      </c>
      <c r="G308" s="14" t="n"/>
      <c r="H308" s="14" t="n"/>
      <c r="I308" s="14" t="n"/>
      <c r="J308" s="14" t="n"/>
      <c r="K308" s="14" t="n"/>
      <c r="L308" s="16" t="n"/>
      <c r="M308" s="17">
        <f>IF(L308="","",IF(K308="GST 10%",ROUND(L308*set_GSTRate,2),0))</f>
        <v/>
      </c>
      <c r="N308" s="17">
        <f>IF(L308="","",L308+M308)</f>
        <v/>
      </c>
      <c r="O308" s="14" t="n"/>
      <c r="P308" s="14" t="n"/>
      <c r="Q308" s="14" t="n"/>
      <c r="R308" s="12" t="n"/>
      <c r="S308" s="12" t="n"/>
      <c r="T308" s="14" t="n"/>
      <c r="U308" s="14" t="n"/>
      <c r="V308" s="1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row>
    <row r="309" ht="15" customHeight="1">
      <c r="A309" s="12" t="n"/>
      <c r="B309" s="13">
        <f>IF(A309="","",EOMONTH(A309,0))</f>
        <v/>
      </c>
      <c r="C309" s="14" t="n"/>
      <c r="D309" s="14" t="n"/>
      <c r="E309" s="14" t="n"/>
      <c r="F309" s="15">
        <f>IF(E309="","",IF(COUNTIF(lst_Jobs,E309&amp;"")&gt;0,"OK","CHECK"))</f>
        <v/>
      </c>
      <c r="G309" s="14" t="n"/>
      <c r="H309" s="14" t="n"/>
      <c r="I309" s="14" t="n"/>
      <c r="J309" s="14" t="n"/>
      <c r="K309" s="14" t="n"/>
      <c r="L309" s="16" t="n"/>
      <c r="M309" s="17">
        <f>IF(L309="","",IF(K309="GST 10%",ROUND(L309*set_GSTRate,2),0))</f>
        <v/>
      </c>
      <c r="N309" s="17">
        <f>IF(L309="","",L309+M309)</f>
        <v/>
      </c>
      <c r="O309" s="14" t="n"/>
      <c r="P309" s="14" t="n"/>
      <c r="Q309" s="14" t="n"/>
      <c r="R309" s="12" t="n"/>
      <c r="S309" s="12" t="n"/>
      <c r="T309" s="14" t="n"/>
      <c r="U309" s="14" t="n"/>
      <c r="V309" s="1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row>
    <row r="310" ht="15" customHeight="1">
      <c r="A310" s="12" t="n"/>
      <c r="B310" s="13">
        <f>IF(A310="","",EOMONTH(A310,0))</f>
        <v/>
      </c>
      <c r="C310" s="14" t="n"/>
      <c r="D310" s="14" t="n"/>
      <c r="E310" s="14" t="n"/>
      <c r="F310" s="15">
        <f>IF(E310="","",IF(COUNTIF(lst_Jobs,E310&amp;"")&gt;0,"OK","CHECK"))</f>
        <v/>
      </c>
      <c r="G310" s="14" t="n"/>
      <c r="H310" s="14" t="n"/>
      <c r="I310" s="14" t="n"/>
      <c r="J310" s="14" t="n"/>
      <c r="K310" s="14" t="n"/>
      <c r="L310" s="16" t="n"/>
      <c r="M310" s="17">
        <f>IF(L310="","",IF(K310="GST 10%",ROUND(L310*set_GSTRate,2),0))</f>
        <v/>
      </c>
      <c r="N310" s="17">
        <f>IF(L310="","",L310+M310)</f>
        <v/>
      </c>
      <c r="O310" s="14" t="n"/>
      <c r="P310" s="14" t="n"/>
      <c r="Q310" s="14" t="n"/>
      <c r="R310" s="12" t="n"/>
      <c r="S310" s="12" t="n"/>
      <c r="T310" s="14" t="n"/>
      <c r="U310" s="14" t="n"/>
      <c r="V310" s="1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row>
    <row r="311" ht="15" customHeight="1">
      <c r="A311" s="12" t="n"/>
      <c r="B311" s="13">
        <f>IF(A311="","",EOMONTH(A311,0))</f>
        <v/>
      </c>
      <c r="C311" s="14" t="n"/>
      <c r="D311" s="14" t="n"/>
      <c r="E311" s="14" t="n"/>
      <c r="F311" s="15">
        <f>IF(E311="","",IF(COUNTIF(lst_Jobs,E311&amp;"")&gt;0,"OK","CHECK"))</f>
        <v/>
      </c>
      <c r="G311" s="14" t="n"/>
      <c r="H311" s="14" t="n"/>
      <c r="I311" s="14" t="n"/>
      <c r="J311" s="14" t="n"/>
      <c r="K311" s="14" t="n"/>
      <c r="L311" s="16" t="n"/>
      <c r="M311" s="17">
        <f>IF(L311="","",IF(K311="GST 10%",ROUND(L311*set_GSTRate,2),0))</f>
        <v/>
      </c>
      <c r="N311" s="17">
        <f>IF(L311="","",L311+M311)</f>
        <v/>
      </c>
      <c r="O311" s="14" t="n"/>
      <c r="P311" s="14" t="n"/>
      <c r="Q311" s="14" t="n"/>
      <c r="R311" s="12" t="n"/>
      <c r="S311" s="12" t="n"/>
      <c r="T311" s="14" t="n"/>
      <c r="U311" s="14" t="n"/>
      <c r="V311" s="1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row>
    <row r="312" ht="15" customHeight="1">
      <c r="A312" s="12" t="n"/>
      <c r="B312" s="13">
        <f>IF(A312="","",EOMONTH(A312,0))</f>
        <v/>
      </c>
      <c r="C312" s="14" t="n"/>
      <c r="D312" s="14" t="n"/>
      <c r="E312" s="14" t="n"/>
      <c r="F312" s="15">
        <f>IF(E312="","",IF(COUNTIF(lst_Jobs,E312&amp;"")&gt;0,"OK","CHECK"))</f>
        <v/>
      </c>
      <c r="G312" s="14" t="n"/>
      <c r="H312" s="14" t="n"/>
      <c r="I312" s="14" t="n"/>
      <c r="J312" s="14" t="n"/>
      <c r="K312" s="14" t="n"/>
      <c r="L312" s="16" t="n"/>
      <c r="M312" s="17">
        <f>IF(L312="","",IF(K312="GST 10%",ROUND(L312*set_GSTRate,2),0))</f>
        <v/>
      </c>
      <c r="N312" s="17">
        <f>IF(L312="","",L312+M312)</f>
        <v/>
      </c>
      <c r="O312" s="14" t="n"/>
      <c r="P312" s="14" t="n"/>
      <c r="Q312" s="14" t="n"/>
      <c r="R312" s="12" t="n"/>
      <c r="S312" s="12" t="n"/>
      <c r="T312" s="14" t="n"/>
      <c r="U312" s="14" t="n"/>
      <c r="V312" s="1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row>
    <row r="313" ht="15" customHeight="1">
      <c r="A313" s="12" t="n"/>
      <c r="B313" s="13">
        <f>IF(A313="","",EOMONTH(A313,0))</f>
        <v/>
      </c>
      <c r="C313" s="14" t="n"/>
      <c r="D313" s="14" t="n"/>
      <c r="E313" s="14" t="n"/>
      <c r="F313" s="15">
        <f>IF(E313="","",IF(COUNTIF(lst_Jobs,E313&amp;"")&gt;0,"OK","CHECK"))</f>
        <v/>
      </c>
      <c r="G313" s="14" t="n"/>
      <c r="H313" s="14" t="n"/>
      <c r="I313" s="14" t="n"/>
      <c r="J313" s="14" t="n"/>
      <c r="K313" s="14" t="n"/>
      <c r="L313" s="16" t="n"/>
      <c r="M313" s="17">
        <f>IF(L313="","",IF(K313="GST 10%",ROUND(L313*set_GSTRate,2),0))</f>
        <v/>
      </c>
      <c r="N313" s="17">
        <f>IF(L313="","",L313+M313)</f>
        <v/>
      </c>
      <c r="O313" s="14" t="n"/>
      <c r="P313" s="14" t="n"/>
      <c r="Q313" s="14" t="n"/>
      <c r="R313" s="12" t="n"/>
      <c r="S313" s="12" t="n"/>
      <c r="T313" s="14" t="n"/>
      <c r="U313" s="14" t="n"/>
      <c r="V313" s="1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row>
    <row r="314" ht="15" customHeight="1">
      <c r="A314" s="12" t="n"/>
      <c r="B314" s="13">
        <f>IF(A314="","",EOMONTH(A314,0))</f>
        <v/>
      </c>
      <c r="C314" s="14" t="n"/>
      <c r="D314" s="14" t="n"/>
      <c r="E314" s="14" t="n"/>
      <c r="F314" s="15">
        <f>IF(E314="","",IF(COUNTIF(lst_Jobs,E314&amp;"")&gt;0,"OK","CHECK"))</f>
        <v/>
      </c>
      <c r="G314" s="14" t="n"/>
      <c r="H314" s="14" t="n"/>
      <c r="I314" s="14" t="n"/>
      <c r="J314" s="14" t="n"/>
      <c r="K314" s="14" t="n"/>
      <c r="L314" s="16" t="n"/>
      <c r="M314" s="17">
        <f>IF(L314="","",IF(K314="GST 10%",ROUND(L314*set_GSTRate,2),0))</f>
        <v/>
      </c>
      <c r="N314" s="17">
        <f>IF(L314="","",L314+M314)</f>
        <v/>
      </c>
      <c r="O314" s="14" t="n"/>
      <c r="P314" s="14" t="n"/>
      <c r="Q314" s="14" t="n"/>
      <c r="R314" s="12" t="n"/>
      <c r="S314" s="12" t="n"/>
      <c r="T314" s="14" t="n"/>
      <c r="U314" s="14" t="n"/>
      <c r="V314" s="1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row>
    <row r="315" ht="15" customHeight="1">
      <c r="A315" s="12" t="n"/>
      <c r="B315" s="13">
        <f>IF(A315="","",EOMONTH(A315,0))</f>
        <v/>
      </c>
      <c r="C315" s="14" t="n"/>
      <c r="D315" s="14" t="n"/>
      <c r="E315" s="14" t="n"/>
      <c r="F315" s="15">
        <f>IF(E315="","",IF(COUNTIF(lst_Jobs,E315&amp;"")&gt;0,"OK","CHECK"))</f>
        <v/>
      </c>
      <c r="G315" s="14" t="n"/>
      <c r="H315" s="14" t="n"/>
      <c r="I315" s="14" t="n"/>
      <c r="J315" s="14" t="n"/>
      <c r="K315" s="14" t="n"/>
      <c r="L315" s="16" t="n"/>
      <c r="M315" s="17">
        <f>IF(L315="","",IF(K315="GST 10%",ROUND(L315*set_GSTRate,2),0))</f>
        <v/>
      </c>
      <c r="N315" s="17">
        <f>IF(L315="","",L315+M315)</f>
        <v/>
      </c>
      <c r="O315" s="14" t="n"/>
      <c r="P315" s="14" t="n"/>
      <c r="Q315" s="14" t="n"/>
      <c r="R315" s="12" t="n"/>
      <c r="S315" s="12" t="n"/>
      <c r="T315" s="14" t="n"/>
      <c r="U315" s="14" t="n"/>
      <c r="V315" s="1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row>
    <row r="316" ht="15" customHeight="1">
      <c r="A316" s="12" t="n"/>
      <c r="B316" s="13">
        <f>IF(A316="","",EOMONTH(A316,0))</f>
        <v/>
      </c>
      <c r="C316" s="14" t="n"/>
      <c r="D316" s="14" t="n"/>
      <c r="E316" s="14" t="n"/>
      <c r="F316" s="15">
        <f>IF(E316="","",IF(COUNTIF(lst_Jobs,E316&amp;"")&gt;0,"OK","CHECK"))</f>
        <v/>
      </c>
      <c r="G316" s="14" t="n"/>
      <c r="H316" s="14" t="n"/>
      <c r="I316" s="14" t="n"/>
      <c r="J316" s="14" t="n"/>
      <c r="K316" s="14" t="n"/>
      <c r="L316" s="16" t="n"/>
      <c r="M316" s="17">
        <f>IF(L316="","",IF(K316="GST 10%",ROUND(L316*set_GSTRate,2),0))</f>
        <v/>
      </c>
      <c r="N316" s="17">
        <f>IF(L316="","",L316+M316)</f>
        <v/>
      </c>
      <c r="O316" s="14" t="n"/>
      <c r="P316" s="14" t="n"/>
      <c r="Q316" s="14" t="n"/>
      <c r="R316" s="12" t="n"/>
      <c r="S316" s="12" t="n"/>
      <c r="T316" s="14" t="n"/>
      <c r="U316" s="14" t="n"/>
      <c r="V316" s="1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row>
    <row r="317" ht="15" customHeight="1">
      <c r="A317" s="12" t="n"/>
      <c r="B317" s="13">
        <f>IF(A317="","",EOMONTH(A317,0))</f>
        <v/>
      </c>
      <c r="C317" s="14" t="n"/>
      <c r="D317" s="14" t="n"/>
      <c r="E317" s="14" t="n"/>
      <c r="F317" s="15">
        <f>IF(E317="","",IF(COUNTIF(lst_Jobs,E317&amp;"")&gt;0,"OK","CHECK"))</f>
        <v/>
      </c>
      <c r="G317" s="14" t="n"/>
      <c r="H317" s="14" t="n"/>
      <c r="I317" s="14" t="n"/>
      <c r="J317" s="14" t="n"/>
      <c r="K317" s="14" t="n"/>
      <c r="L317" s="16" t="n"/>
      <c r="M317" s="17">
        <f>IF(L317="","",IF(K317="GST 10%",ROUND(L317*set_GSTRate,2),0))</f>
        <v/>
      </c>
      <c r="N317" s="17">
        <f>IF(L317="","",L317+M317)</f>
        <v/>
      </c>
      <c r="O317" s="14" t="n"/>
      <c r="P317" s="14" t="n"/>
      <c r="Q317" s="14" t="n"/>
      <c r="R317" s="12" t="n"/>
      <c r="S317" s="12" t="n"/>
      <c r="T317" s="14" t="n"/>
      <c r="U317" s="14" t="n"/>
      <c r="V317" s="1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row>
    <row r="318" ht="15" customHeight="1">
      <c r="A318" s="12" t="n"/>
      <c r="B318" s="13">
        <f>IF(A318="","",EOMONTH(A318,0))</f>
        <v/>
      </c>
      <c r="C318" s="14" t="n"/>
      <c r="D318" s="14" t="n"/>
      <c r="E318" s="14" t="n"/>
      <c r="F318" s="15">
        <f>IF(E318="","",IF(COUNTIF(lst_Jobs,E318&amp;"")&gt;0,"OK","CHECK"))</f>
        <v/>
      </c>
      <c r="G318" s="14" t="n"/>
      <c r="H318" s="14" t="n"/>
      <c r="I318" s="14" t="n"/>
      <c r="J318" s="14" t="n"/>
      <c r="K318" s="14" t="n"/>
      <c r="L318" s="16" t="n"/>
      <c r="M318" s="17">
        <f>IF(L318="","",IF(K318="GST 10%",ROUND(L318*set_GSTRate,2),0))</f>
        <v/>
      </c>
      <c r="N318" s="17">
        <f>IF(L318="","",L318+M318)</f>
        <v/>
      </c>
      <c r="O318" s="14" t="n"/>
      <c r="P318" s="14" t="n"/>
      <c r="Q318" s="14" t="n"/>
      <c r="R318" s="12" t="n"/>
      <c r="S318" s="12" t="n"/>
      <c r="T318" s="14" t="n"/>
      <c r="U318" s="14" t="n"/>
      <c r="V318" s="1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row>
    <row r="319" ht="15" customHeight="1">
      <c r="A319" s="12" t="n"/>
      <c r="B319" s="13">
        <f>IF(A319="","",EOMONTH(A319,0))</f>
        <v/>
      </c>
      <c r="C319" s="14" t="n"/>
      <c r="D319" s="14" t="n"/>
      <c r="E319" s="14" t="n"/>
      <c r="F319" s="15">
        <f>IF(E319="","",IF(COUNTIF(lst_Jobs,E319&amp;"")&gt;0,"OK","CHECK"))</f>
        <v/>
      </c>
      <c r="G319" s="14" t="n"/>
      <c r="H319" s="14" t="n"/>
      <c r="I319" s="14" t="n"/>
      <c r="J319" s="14" t="n"/>
      <c r="K319" s="14" t="n"/>
      <c r="L319" s="16" t="n"/>
      <c r="M319" s="17">
        <f>IF(L319="","",IF(K319="GST 10%",ROUND(L319*set_GSTRate,2),0))</f>
        <v/>
      </c>
      <c r="N319" s="17">
        <f>IF(L319="","",L319+M319)</f>
        <v/>
      </c>
      <c r="O319" s="14" t="n"/>
      <c r="P319" s="14" t="n"/>
      <c r="Q319" s="14" t="n"/>
      <c r="R319" s="12" t="n"/>
      <c r="S319" s="12" t="n"/>
      <c r="T319" s="14" t="n"/>
      <c r="U319" s="14" t="n"/>
      <c r="V319" s="1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row>
    <row r="320" ht="15" customHeight="1">
      <c r="A320" s="12" t="n"/>
      <c r="B320" s="13">
        <f>IF(A320="","",EOMONTH(A320,0))</f>
        <v/>
      </c>
      <c r="C320" s="14" t="n"/>
      <c r="D320" s="14" t="n"/>
      <c r="E320" s="14" t="n"/>
      <c r="F320" s="15">
        <f>IF(E320="","",IF(COUNTIF(lst_Jobs,E320&amp;"")&gt;0,"OK","CHECK"))</f>
        <v/>
      </c>
      <c r="G320" s="14" t="n"/>
      <c r="H320" s="14" t="n"/>
      <c r="I320" s="14" t="n"/>
      <c r="J320" s="14" t="n"/>
      <c r="K320" s="14" t="n"/>
      <c r="L320" s="16" t="n"/>
      <c r="M320" s="17">
        <f>IF(L320="","",IF(K320="GST 10%",ROUND(L320*set_GSTRate,2),0))</f>
        <v/>
      </c>
      <c r="N320" s="17">
        <f>IF(L320="","",L320+M320)</f>
        <v/>
      </c>
      <c r="O320" s="14" t="n"/>
      <c r="P320" s="14" t="n"/>
      <c r="Q320" s="14" t="n"/>
      <c r="R320" s="12" t="n"/>
      <c r="S320" s="12" t="n"/>
      <c r="T320" s="14" t="n"/>
      <c r="U320" s="14" t="n"/>
      <c r="V320" s="1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row>
    <row r="321" ht="15" customHeight="1">
      <c r="A321" s="12" t="n"/>
      <c r="B321" s="13">
        <f>IF(A321="","",EOMONTH(A321,0))</f>
        <v/>
      </c>
      <c r="C321" s="14" t="n"/>
      <c r="D321" s="14" t="n"/>
      <c r="E321" s="14" t="n"/>
      <c r="F321" s="15">
        <f>IF(E321="","",IF(COUNTIF(lst_Jobs,E321&amp;"")&gt;0,"OK","CHECK"))</f>
        <v/>
      </c>
      <c r="G321" s="14" t="n"/>
      <c r="H321" s="14" t="n"/>
      <c r="I321" s="14" t="n"/>
      <c r="J321" s="14" t="n"/>
      <c r="K321" s="14" t="n"/>
      <c r="L321" s="16" t="n"/>
      <c r="M321" s="17">
        <f>IF(L321="","",IF(K321="GST 10%",ROUND(L321*set_GSTRate,2),0))</f>
        <v/>
      </c>
      <c r="N321" s="17">
        <f>IF(L321="","",L321+M321)</f>
        <v/>
      </c>
      <c r="O321" s="14" t="n"/>
      <c r="P321" s="14" t="n"/>
      <c r="Q321" s="14" t="n"/>
      <c r="R321" s="12" t="n"/>
      <c r="S321" s="12" t="n"/>
      <c r="T321" s="14" t="n"/>
      <c r="U321" s="14" t="n"/>
      <c r="V321" s="1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row>
    <row r="322" ht="15" customHeight="1">
      <c r="A322" s="12" t="n"/>
      <c r="B322" s="13">
        <f>IF(A322="","",EOMONTH(A322,0))</f>
        <v/>
      </c>
      <c r="C322" s="14" t="n"/>
      <c r="D322" s="14" t="n"/>
      <c r="E322" s="14" t="n"/>
      <c r="F322" s="15">
        <f>IF(E322="","",IF(COUNTIF(lst_Jobs,E322&amp;"")&gt;0,"OK","CHECK"))</f>
        <v/>
      </c>
      <c r="G322" s="14" t="n"/>
      <c r="H322" s="14" t="n"/>
      <c r="I322" s="14" t="n"/>
      <c r="J322" s="14" t="n"/>
      <c r="K322" s="14" t="n"/>
      <c r="L322" s="16" t="n"/>
      <c r="M322" s="17">
        <f>IF(L322="","",IF(K322="GST 10%",ROUND(L322*set_GSTRate,2),0))</f>
        <v/>
      </c>
      <c r="N322" s="17">
        <f>IF(L322="","",L322+M322)</f>
        <v/>
      </c>
      <c r="O322" s="14" t="n"/>
      <c r="P322" s="14" t="n"/>
      <c r="Q322" s="14" t="n"/>
      <c r="R322" s="12" t="n"/>
      <c r="S322" s="12" t="n"/>
      <c r="T322" s="14" t="n"/>
      <c r="U322" s="14" t="n"/>
      <c r="V322" s="1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row>
    <row r="323" ht="15" customHeight="1">
      <c r="A323" s="12" t="n"/>
      <c r="B323" s="13">
        <f>IF(A323="","",EOMONTH(A323,0))</f>
        <v/>
      </c>
      <c r="C323" s="14" t="n"/>
      <c r="D323" s="14" t="n"/>
      <c r="E323" s="14" t="n"/>
      <c r="F323" s="15">
        <f>IF(E323="","",IF(COUNTIF(lst_Jobs,E323&amp;"")&gt;0,"OK","CHECK"))</f>
        <v/>
      </c>
      <c r="G323" s="14" t="n"/>
      <c r="H323" s="14" t="n"/>
      <c r="I323" s="14" t="n"/>
      <c r="J323" s="14" t="n"/>
      <c r="K323" s="14" t="n"/>
      <c r="L323" s="16" t="n"/>
      <c r="M323" s="17">
        <f>IF(L323="","",IF(K323="GST 10%",ROUND(L323*set_GSTRate,2),0))</f>
        <v/>
      </c>
      <c r="N323" s="17">
        <f>IF(L323="","",L323+M323)</f>
        <v/>
      </c>
      <c r="O323" s="14" t="n"/>
      <c r="P323" s="14" t="n"/>
      <c r="Q323" s="14" t="n"/>
      <c r="R323" s="12" t="n"/>
      <c r="S323" s="12" t="n"/>
      <c r="T323" s="14" t="n"/>
      <c r="U323" s="14" t="n"/>
      <c r="V323" s="1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row>
    <row r="324" ht="15" customHeight="1">
      <c r="A324" s="12" t="n"/>
      <c r="B324" s="13">
        <f>IF(A324="","",EOMONTH(A324,0))</f>
        <v/>
      </c>
      <c r="C324" s="14" t="n"/>
      <c r="D324" s="14" t="n"/>
      <c r="E324" s="14" t="n"/>
      <c r="F324" s="15">
        <f>IF(E324="","",IF(COUNTIF(lst_Jobs,E324&amp;"")&gt;0,"OK","CHECK"))</f>
        <v/>
      </c>
      <c r="G324" s="14" t="n"/>
      <c r="H324" s="14" t="n"/>
      <c r="I324" s="14" t="n"/>
      <c r="J324" s="14" t="n"/>
      <c r="K324" s="14" t="n"/>
      <c r="L324" s="16" t="n"/>
      <c r="M324" s="17">
        <f>IF(L324="","",IF(K324="GST 10%",ROUND(L324*set_GSTRate,2),0))</f>
        <v/>
      </c>
      <c r="N324" s="17">
        <f>IF(L324="","",L324+M324)</f>
        <v/>
      </c>
      <c r="O324" s="14" t="n"/>
      <c r="P324" s="14" t="n"/>
      <c r="Q324" s="14" t="n"/>
      <c r="R324" s="12" t="n"/>
      <c r="S324" s="12" t="n"/>
      <c r="T324" s="14" t="n"/>
      <c r="U324" s="14" t="n"/>
      <c r="V324" s="1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row>
    <row r="325" ht="15" customHeight="1">
      <c r="A325" s="12" t="n"/>
      <c r="B325" s="13">
        <f>IF(A325="","",EOMONTH(A325,0))</f>
        <v/>
      </c>
      <c r="C325" s="14" t="n"/>
      <c r="D325" s="14" t="n"/>
      <c r="E325" s="14" t="n"/>
      <c r="F325" s="15">
        <f>IF(E325="","",IF(COUNTIF(lst_Jobs,E325&amp;"")&gt;0,"OK","CHECK"))</f>
        <v/>
      </c>
      <c r="G325" s="14" t="n"/>
      <c r="H325" s="14" t="n"/>
      <c r="I325" s="14" t="n"/>
      <c r="J325" s="14" t="n"/>
      <c r="K325" s="14" t="n"/>
      <c r="L325" s="16" t="n"/>
      <c r="M325" s="17">
        <f>IF(L325="","",IF(K325="GST 10%",ROUND(L325*set_GSTRate,2),0))</f>
        <v/>
      </c>
      <c r="N325" s="17">
        <f>IF(L325="","",L325+M325)</f>
        <v/>
      </c>
      <c r="O325" s="14" t="n"/>
      <c r="P325" s="14" t="n"/>
      <c r="Q325" s="14" t="n"/>
      <c r="R325" s="12" t="n"/>
      <c r="S325" s="12" t="n"/>
      <c r="T325" s="14" t="n"/>
      <c r="U325" s="14" t="n"/>
      <c r="V325" s="1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row>
    <row r="326" ht="15" customHeight="1">
      <c r="A326" s="12" t="n"/>
      <c r="B326" s="13">
        <f>IF(A326="","",EOMONTH(A326,0))</f>
        <v/>
      </c>
      <c r="C326" s="14" t="n"/>
      <c r="D326" s="14" t="n"/>
      <c r="E326" s="14" t="n"/>
      <c r="F326" s="15">
        <f>IF(E326="","",IF(COUNTIF(lst_Jobs,E326&amp;"")&gt;0,"OK","CHECK"))</f>
        <v/>
      </c>
      <c r="G326" s="14" t="n"/>
      <c r="H326" s="14" t="n"/>
      <c r="I326" s="14" t="n"/>
      <c r="J326" s="14" t="n"/>
      <c r="K326" s="14" t="n"/>
      <c r="L326" s="16" t="n"/>
      <c r="M326" s="17">
        <f>IF(L326="","",IF(K326="GST 10%",ROUND(L326*set_GSTRate,2),0))</f>
        <v/>
      </c>
      <c r="N326" s="17">
        <f>IF(L326="","",L326+M326)</f>
        <v/>
      </c>
      <c r="O326" s="14" t="n"/>
      <c r="P326" s="14" t="n"/>
      <c r="Q326" s="14" t="n"/>
      <c r="R326" s="12" t="n"/>
      <c r="S326" s="12" t="n"/>
      <c r="T326" s="14" t="n"/>
      <c r="U326" s="14" t="n"/>
      <c r="V326" s="1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row>
    <row r="327" ht="15" customHeight="1">
      <c r="A327" s="12" t="n"/>
      <c r="B327" s="13">
        <f>IF(A327="","",EOMONTH(A327,0))</f>
        <v/>
      </c>
      <c r="C327" s="14" t="n"/>
      <c r="D327" s="14" t="n"/>
      <c r="E327" s="14" t="n"/>
      <c r="F327" s="15">
        <f>IF(E327="","",IF(COUNTIF(lst_Jobs,E327&amp;"")&gt;0,"OK","CHECK"))</f>
        <v/>
      </c>
      <c r="G327" s="14" t="n"/>
      <c r="H327" s="14" t="n"/>
      <c r="I327" s="14" t="n"/>
      <c r="J327" s="14" t="n"/>
      <c r="K327" s="14" t="n"/>
      <c r="L327" s="16" t="n"/>
      <c r="M327" s="17">
        <f>IF(L327="","",IF(K327="GST 10%",ROUND(L327*set_GSTRate,2),0))</f>
        <v/>
      </c>
      <c r="N327" s="17">
        <f>IF(L327="","",L327+M327)</f>
        <v/>
      </c>
      <c r="O327" s="14" t="n"/>
      <c r="P327" s="14" t="n"/>
      <c r="Q327" s="14" t="n"/>
      <c r="R327" s="12" t="n"/>
      <c r="S327" s="12" t="n"/>
      <c r="T327" s="14" t="n"/>
      <c r="U327" s="14" t="n"/>
      <c r="V327" s="1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row>
    <row r="328" ht="15" customHeight="1">
      <c r="A328" s="12" t="n"/>
      <c r="B328" s="13">
        <f>IF(A328="","",EOMONTH(A328,0))</f>
        <v/>
      </c>
      <c r="C328" s="14" t="n"/>
      <c r="D328" s="14" t="n"/>
      <c r="E328" s="14" t="n"/>
      <c r="F328" s="15">
        <f>IF(E328="","",IF(COUNTIF(lst_Jobs,E328&amp;"")&gt;0,"OK","CHECK"))</f>
        <v/>
      </c>
      <c r="G328" s="14" t="n"/>
      <c r="H328" s="14" t="n"/>
      <c r="I328" s="14" t="n"/>
      <c r="J328" s="14" t="n"/>
      <c r="K328" s="14" t="n"/>
      <c r="L328" s="16" t="n"/>
      <c r="M328" s="17">
        <f>IF(L328="","",IF(K328="GST 10%",ROUND(L328*set_GSTRate,2),0))</f>
        <v/>
      </c>
      <c r="N328" s="17">
        <f>IF(L328="","",L328+M328)</f>
        <v/>
      </c>
      <c r="O328" s="14" t="n"/>
      <c r="P328" s="14" t="n"/>
      <c r="Q328" s="14" t="n"/>
      <c r="R328" s="12" t="n"/>
      <c r="S328" s="12" t="n"/>
      <c r="T328" s="14" t="n"/>
      <c r="U328" s="14" t="n"/>
      <c r="V328" s="1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row>
    <row r="329" ht="15" customHeight="1">
      <c r="A329" s="12" t="n"/>
      <c r="B329" s="13">
        <f>IF(A329="","",EOMONTH(A329,0))</f>
        <v/>
      </c>
      <c r="C329" s="14" t="n"/>
      <c r="D329" s="14" t="n"/>
      <c r="E329" s="14" t="n"/>
      <c r="F329" s="15">
        <f>IF(E329="","",IF(COUNTIF(lst_Jobs,E329&amp;"")&gt;0,"OK","CHECK"))</f>
        <v/>
      </c>
      <c r="G329" s="14" t="n"/>
      <c r="H329" s="14" t="n"/>
      <c r="I329" s="14" t="n"/>
      <c r="J329" s="14" t="n"/>
      <c r="K329" s="14" t="n"/>
      <c r="L329" s="16" t="n"/>
      <c r="M329" s="17">
        <f>IF(L329="","",IF(K329="GST 10%",ROUND(L329*set_GSTRate,2),0))</f>
        <v/>
      </c>
      <c r="N329" s="17">
        <f>IF(L329="","",L329+M329)</f>
        <v/>
      </c>
      <c r="O329" s="14" t="n"/>
      <c r="P329" s="14" t="n"/>
      <c r="Q329" s="14" t="n"/>
      <c r="R329" s="12" t="n"/>
      <c r="S329" s="12" t="n"/>
      <c r="T329" s="14" t="n"/>
      <c r="U329" s="14" t="n"/>
      <c r="V329" s="1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row>
    <row r="330" ht="15" customHeight="1">
      <c r="A330" s="12" t="n"/>
      <c r="B330" s="13">
        <f>IF(A330="","",EOMONTH(A330,0))</f>
        <v/>
      </c>
      <c r="C330" s="14" t="n"/>
      <c r="D330" s="14" t="n"/>
      <c r="E330" s="14" t="n"/>
      <c r="F330" s="15">
        <f>IF(E330="","",IF(COUNTIF(lst_Jobs,E330&amp;"")&gt;0,"OK","CHECK"))</f>
        <v/>
      </c>
      <c r="G330" s="14" t="n"/>
      <c r="H330" s="14" t="n"/>
      <c r="I330" s="14" t="n"/>
      <c r="J330" s="14" t="n"/>
      <c r="K330" s="14" t="n"/>
      <c r="L330" s="16" t="n"/>
      <c r="M330" s="17">
        <f>IF(L330="","",IF(K330="GST 10%",ROUND(L330*set_GSTRate,2),0))</f>
        <v/>
      </c>
      <c r="N330" s="17">
        <f>IF(L330="","",L330+M330)</f>
        <v/>
      </c>
      <c r="O330" s="14" t="n"/>
      <c r="P330" s="14" t="n"/>
      <c r="Q330" s="14" t="n"/>
      <c r="R330" s="12" t="n"/>
      <c r="S330" s="12" t="n"/>
      <c r="T330" s="14" t="n"/>
      <c r="U330" s="14" t="n"/>
      <c r="V330" s="1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row>
    <row r="331" ht="15" customHeight="1">
      <c r="A331" s="12" t="n"/>
      <c r="B331" s="13">
        <f>IF(A331="","",EOMONTH(A331,0))</f>
        <v/>
      </c>
      <c r="C331" s="14" t="n"/>
      <c r="D331" s="14" t="n"/>
      <c r="E331" s="14" t="n"/>
      <c r="F331" s="15">
        <f>IF(E331="","",IF(COUNTIF(lst_Jobs,E331&amp;"")&gt;0,"OK","CHECK"))</f>
        <v/>
      </c>
      <c r="G331" s="14" t="n"/>
      <c r="H331" s="14" t="n"/>
      <c r="I331" s="14" t="n"/>
      <c r="J331" s="14" t="n"/>
      <c r="K331" s="14" t="n"/>
      <c r="L331" s="16" t="n"/>
      <c r="M331" s="17">
        <f>IF(L331="","",IF(K331="GST 10%",ROUND(L331*set_GSTRate,2),0))</f>
        <v/>
      </c>
      <c r="N331" s="17">
        <f>IF(L331="","",L331+M331)</f>
        <v/>
      </c>
      <c r="O331" s="14" t="n"/>
      <c r="P331" s="14" t="n"/>
      <c r="Q331" s="14" t="n"/>
      <c r="R331" s="12" t="n"/>
      <c r="S331" s="12" t="n"/>
      <c r="T331" s="14" t="n"/>
      <c r="U331" s="14" t="n"/>
      <c r="V331" s="1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row>
    <row r="332" ht="15" customHeight="1">
      <c r="A332" s="12" t="n"/>
      <c r="B332" s="13">
        <f>IF(A332="","",EOMONTH(A332,0))</f>
        <v/>
      </c>
      <c r="C332" s="14" t="n"/>
      <c r="D332" s="14" t="n"/>
      <c r="E332" s="14" t="n"/>
      <c r="F332" s="15">
        <f>IF(E332="","",IF(COUNTIF(lst_Jobs,E332&amp;"")&gt;0,"OK","CHECK"))</f>
        <v/>
      </c>
      <c r="G332" s="14" t="n"/>
      <c r="H332" s="14" t="n"/>
      <c r="I332" s="14" t="n"/>
      <c r="J332" s="14" t="n"/>
      <c r="K332" s="14" t="n"/>
      <c r="L332" s="16" t="n"/>
      <c r="M332" s="17">
        <f>IF(L332="","",IF(K332="GST 10%",ROUND(L332*set_GSTRate,2),0))</f>
        <v/>
      </c>
      <c r="N332" s="17">
        <f>IF(L332="","",L332+M332)</f>
        <v/>
      </c>
      <c r="O332" s="14" t="n"/>
      <c r="P332" s="14" t="n"/>
      <c r="Q332" s="14" t="n"/>
      <c r="R332" s="12" t="n"/>
      <c r="S332" s="12" t="n"/>
      <c r="T332" s="14" t="n"/>
      <c r="U332" s="14" t="n"/>
      <c r="V332" s="1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row>
    <row r="333" ht="15" customHeight="1">
      <c r="A333" s="12" t="n"/>
      <c r="B333" s="13">
        <f>IF(A333="","",EOMONTH(A333,0))</f>
        <v/>
      </c>
      <c r="C333" s="14" t="n"/>
      <c r="D333" s="14" t="n"/>
      <c r="E333" s="14" t="n"/>
      <c r="F333" s="15">
        <f>IF(E333="","",IF(COUNTIF(lst_Jobs,E333&amp;"")&gt;0,"OK","CHECK"))</f>
        <v/>
      </c>
      <c r="G333" s="14" t="n"/>
      <c r="H333" s="14" t="n"/>
      <c r="I333" s="14" t="n"/>
      <c r="J333" s="14" t="n"/>
      <c r="K333" s="14" t="n"/>
      <c r="L333" s="16" t="n"/>
      <c r="M333" s="17">
        <f>IF(L333="","",IF(K333="GST 10%",ROUND(L333*set_GSTRate,2),0))</f>
        <v/>
      </c>
      <c r="N333" s="17">
        <f>IF(L333="","",L333+M333)</f>
        <v/>
      </c>
      <c r="O333" s="14" t="n"/>
      <c r="P333" s="14" t="n"/>
      <c r="Q333" s="14" t="n"/>
      <c r="R333" s="12" t="n"/>
      <c r="S333" s="12" t="n"/>
      <c r="T333" s="14" t="n"/>
      <c r="U333" s="14" t="n"/>
      <c r="V333" s="1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row>
    <row r="334" ht="15" customHeight="1">
      <c r="A334" s="12" t="n"/>
      <c r="B334" s="13">
        <f>IF(A334="","",EOMONTH(A334,0))</f>
        <v/>
      </c>
      <c r="C334" s="14" t="n"/>
      <c r="D334" s="14" t="n"/>
      <c r="E334" s="14" t="n"/>
      <c r="F334" s="15">
        <f>IF(E334="","",IF(COUNTIF(lst_Jobs,E334&amp;"")&gt;0,"OK","CHECK"))</f>
        <v/>
      </c>
      <c r="G334" s="14" t="n"/>
      <c r="H334" s="14" t="n"/>
      <c r="I334" s="14" t="n"/>
      <c r="J334" s="14" t="n"/>
      <c r="K334" s="14" t="n"/>
      <c r="L334" s="16" t="n"/>
      <c r="M334" s="17">
        <f>IF(L334="","",IF(K334="GST 10%",ROUND(L334*set_GSTRate,2),0))</f>
        <v/>
      </c>
      <c r="N334" s="17">
        <f>IF(L334="","",L334+M334)</f>
        <v/>
      </c>
      <c r="O334" s="14" t="n"/>
      <c r="P334" s="14" t="n"/>
      <c r="Q334" s="14" t="n"/>
      <c r="R334" s="12" t="n"/>
      <c r="S334" s="12" t="n"/>
      <c r="T334" s="14" t="n"/>
      <c r="U334" s="14" t="n"/>
      <c r="V334" s="1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row>
    <row r="335" ht="15" customHeight="1">
      <c r="A335" s="12" t="n"/>
      <c r="B335" s="13">
        <f>IF(A335="","",EOMONTH(A335,0))</f>
        <v/>
      </c>
      <c r="C335" s="14" t="n"/>
      <c r="D335" s="14" t="n"/>
      <c r="E335" s="14" t="n"/>
      <c r="F335" s="15">
        <f>IF(E335="","",IF(COUNTIF(lst_Jobs,E335&amp;"")&gt;0,"OK","CHECK"))</f>
        <v/>
      </c>
      <c r="G335" s="14" t="n"/>
      <c r="H335" s="14" t="n"/>
      <c r="I335" s="14" t="n"/>
      <c r="J335" s="14" t="n"/>
      <c r="K335" s="14" t="n"/>
      <c r="L335" s="16" t="n"/>
      <c r="M335" s="17">
        <f>IF(L335="","",IF(K335="GST 10%",ROUND(L335*set_GSTRate,2),0))</f>
        <v/>
      </c>
      <c r="N335" s="17">
        <f>IF(L335="","",L335+M335)</f>
        <v/>
      </c>
      <c r="O335" s="14" t="n"/>
      <c r="P335" s="14" t="n"/>
      <c r="Q335" s="14" t="n"/>
      <c r="R335" s="12" t="n"/>
      <c r="S335" s="12" t="n"/>
      <c r="T335" s="14" t="n"/>
      <c r="U335" s="14" t="n"/>
      <c r="V335" s="1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row>
    <row r="336" ht="15" customHeight="1">
      <c r="A336" s="12" t="n"/>
      <c r="B336" s="13">
        <f>IF(A336="","",EOMONTH(A336,0))</f>
        <v/>
      </c>
      <c r="C336" s="14" t="n"/>
      <c r="D336" s="14" t="n"/>
      <c r="E336" s="14" t="n"/>
      <c r="F336" s="15">
        <f>IF(E336="","",IF(COUNTIF(lst_Jobs,E336&amp;"")&gt;0,"OK","CHECK"))</f>
        <v/>
      </c>
      <c r="G336" s="14" t="n"/>
      <c r="H336" s="14" t="n"/>
      <c r="I336" s="14" t="n"/>
      <c r="J336" s="14" t="n"/>
      <c r="K336" s="14" t="n"/>
      <c r="L336" s="16" t="n"/>
      <c r="M336" s="17">
        <f>IF(L336="","",IF(K336="GST 10%",ROUND(L336*set_GSTRate,2),0))</f>
        <v/>
      </c>
      <c r="N336" s="17">
        <f>IF(L336="","",L336+M336)</f>
        <v/>
      </c>
      <c r="O336" s="14" t="n"/>
      <c r="P336" s="14" t="n"/>
      <c r="Q336" s="14" t="n"/>
      <c r="R336" s="12" t="n"/>
      <c r="S336" s="12" t="n"/>
      <c r="T336" s="14" t="n"/>
      <c r="U336" s="14" t="n"/>
      <c r="V336" s="1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row>
    <row r="337" ht="15" customHeight="1">
      <c r="A337" s="12" t="n"/>
      <c r="B337" s="13">
        <f>IF(A337="","",EOMONTH(A337,0))</f>
        <v/>
      </c>
      <c r="C337" s="14" t="n"/>
      <c r="D337" s="14" t="n"/>
      <c r="E337" s="14" t="n"/>
      <c r="F337" s="15">
        <f>IF(E337="","",IF(COUNTIF(lst_Jobs,E337&amp;"")&gt;0,"OK","CHECK"))</f>
        <v/>
      </c>
      <c r="G337" s="14" t="n"/>
      <c r="H337" s="14" t="n"/>
      <c r="I337" s="14" t="n"/>
      <c r="J337" s="14" t="n"/>
      <c r="K337" s="14" t="n"/>
      <c r="L337" s="16" t="n"/>
      <c r="M337" s="17">
        <f>IF(L337="","",IF(K337="GST 10%",ROUND(L337*set_GSTRate,2),0))</f>
        <v/>
      </c>
      <c r="N337" s="17">
        <f>IF(L337="","",L337+M337)</f>
        <v/>
      </c>
      <c r="O337" s="14" t="n"/>
      <c r="P337" s="14" t="n"/>
      <c r="Q337" s="14" t="n"/>
      <c r="R337" s="12" t="n"/>
      <c r="S337" s="12" t="n"/>
      <c r="T337" s="14" t="n"/>
      <c r="U337" s="14" t="n"/>
      <c r="V337" s="1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row>
    <row r="338" ht="15" customHeight="1">
      <c r="A338" s="12" t="n"/>
      <c r="B338" s="13">
        <f>IF(A338="","",EOMONTH(A338,0))</f>
        <v/>
      </c>
      <c r="C338" s="14" t="n"/>
      <c r="D338" s="14" t="n"/>
      <c r="E338" s="14" t="n"/>
      <c r="F338" s="15">
        <f>IF(E338="","",IF(COUNTIF(lst_Jobs,E338&amp;"")&gt;0,"OK","CHECK"))</f>
        <v/>
      </c>
      <c r="G338" s="14" t="n"/>
      <c r="H338" s="14" t="n"/>
      <c r="I338" s="14" t="n"/>
      <c r="J338" s="14" t="n"/>
      <c r="K338" s="14" t="n"/>
      <c r="L338" s="16" t="n"/>
      <c r="M338" s="17">
        <f>IF(L338="","",IF(K338="GST 10%",ROUND(L338*set_GSTRate,2),0))</f>
        <v/>
      </c>
      <c r="N338" s="17">
        <f>IF(L338="","",L338+M338)</f>
        <v/>
      </c>
      <c r="O338" s="14" t="n"/>
      <c r="P338" s="14" t="n"/>
      <c r="Q338" s="14" t="n"/>
      <c r="R338" s="12" t="n"/>
      <c r="S338" s="12" t="n"/>
      <c r="T338" s="14" t="n"/>
      <c r="U338" s="14" t="n"/>
      <c r="V338" s="1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row>
    <row r="339" ht="15" customHeight="1">
      <c r="A339" s="12" t="n"/>
      <c r="B339" s="13">
        <f>IF(A339="","",EOMONTH(A339,0))</f>
        <v/>
      </c>
      <c r="C339" s="14" t="n"/>
      <c r="D339" s="14" t="n"/>
      <c r="E339" s="14" t="n"/>
      <c r="F339" s="15">
        <f>IF(E339="","",IF(COUNTIF(lst_Jobs,E339&amp;"")&gt;0,"OK","CHECK"))</f>
        <v/>
      </c>
      <c r="G339" s="14" t="n"/>
      <c r="H339" s="14" t="n"/>
      <c r="I339" s="14" t="n"/>
      <c r="J339" s="14" t="n"/>
      <c r="K339" s="14" t="n"/>
      <c r="L339" s="16" t="n"/>
      <c r="M339" s="17">
        <f>IF(L339="","",IF(K339="GST 10%",ROUND(L339*set_GSTRate,2),0))</f>
        <v/>
      </c>
      <c r="N339" s="17">
        <f>IF(L339="","",L339+M339)</f>
        <v/>
      </c>
      <c r="O339" s="14" t="n"/>
      <c r="P339" s="14" t="n"/>
      <c r="Q339" s="14" t="n"/>
      <c r="R339" s="12" t="n"/>
      <c r="S339" s="12" t="n"/>
      <c r="T339" s="14" t="n"/>
      <c r="U339" s="14" t="n"/>
      <c r="V339" s="1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row>
    <row r="340" ht="15" customHeight="1">
      <c r="A340" s="12" t="n"/>
      <c r="B340" s="13">
        <f>IF(A340="","",EOMONTH(A340,0))</f>
        <v/>
      </c>
      <c r="C340" s="14" t="n"/>
      <c r="D340" s="14" t="n"/>
      <c r="E340" s="14" t="n"/>
      <c r="F340" s="15">
        <f>IF(E340="","",IF(COUNTIF(lst_Jobs,E340&amp;"")&gt;0,"OK","CHECK"))</f>
        <v/>
      </c>
      <c r="G340" s="14" t="n"/>
      <c r="H340" s="14" t="n"/>
      <c r="I340" s="14" t="n"/>
      <c r="J340" s="14" t="n"/>
      <c r="K340" s="14" t="n"/>
      <c r="L340" s="16" t="n"/>
      <c r="M340" s="17">
        <f>IF(L340="","",IF(K340="GST 10%",ROUND(L340*set_GSTRate,2),0))</f>
        <v/>
      </c>
      <c r="N340" s="17">
        <f>IF(L340="","",L340+M340)</f>
        <v/>
      </c>
      <c r="O340" s="14" t="n"/>
      <c r="P340" s="14" t="n"/>
      <c r="Q340" s="14" t="n"/>
      <c r="R340" s="12" t="n"/>
      <c r="S340" s="12" t="n"/>
      <c r="T340" s="14" t="n"/>
      <c r="U340" s="14" t="n"/>
      <c r="V340" s="1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row>
    <row r="341" ht="15" customHeight="1">
      <c r="A341" s="12" t="n"/>
      <c r="B341" s="13">
        <f>IF(A341="","",EOMONTH(A341,0))</f>
        <v/>
      </c>
      <c r="C341" s="14" t="n"/>
      <c r="D341" s="14" t="n"/>
      <c r="E341" s="14" t="n"/>
      <c r="F341" s="15">
        <f>IF(E341="","",IF(COUNTIF(lst_Jobs,E341&amp;"")&gt;0,"OK","CHECK"))</f>
        <v/>
      </c>
      <c r="G341" s="14" t="n"/>
      <c r="H341" s="14" t="n"/>
      <c r="I341" s="14" t="n"/>
      <c r="J341" s="14" t="n"/>
      <c r="K341" s="14" t="n"/>
      <c r="L341" s="16" t="n"/>
      <c r="M341" s="17">
        <f>IF(L341="","",IF(K341="GST 10%",ROUND(L341*set_GSTRate,2),0))</f>
        <v/>
      </c>
      <c r="N341" s="17">
        <f>IF(L341="","",L341+M341)</f>
        <v/>
      </c>
      <c r="O341" s="14" t="n"/>
      <c r="P341" s="14" t="n"/>
      <c r="Q341" s="14" t="n"/>
      <c r="R341" s="12" t="n"/>
      <c r="S341" s="12" t="n"/>
      <c r="T341" s="14" t="n"/>
      <c r="U341" s="14" t="n"/>
      <c r="V341" s="1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row>
    <row r="342" ht="15" customHeight="1">
      <c r="A342" s="12" t="n"/>
      <c r="B342" s="13">
        <f>IF(A342="","",EOMONTH(A342,0))</f>
        <v/>
      </c>
      <c r="C342" s="14" t="n"/>
      <c r="D342" s="14" t="n"/>
      <c r="E342" s="14" t="n"/>
      <c r="F342" s="15">
        <f>IF(E342="","",IF(COUNTIF(lst_Jobs,E342&amp;"")&gt;0,"OK","CHECK"))</f>
        <v/>
      </c>
      <c r="G342" s="14" t="n"/>
      <c r="H342" s="14" t="n"/>
      <c r="I342" s="14" t="n"/>
      <c r="J342" s="14" t="n"/>
      <c r="K342" s="14" t="n"/>
      <c r="L342" s="16" t="n"/>
      <c r="M342" s="17">
        <f>IF(L342="","",IF(K342="GST 10%",ROUND(L342*set_GSTRate,2),0))</f>
        <v/>
      </c>
      <c r="N342" s="17">
        <f>IF(L342="","",L342+M342)</f>
        <v/>
      </c>
      <c r="O342" s="14" t="n"/>
      <c r="P342" s="14" t="n"/>
      <c r="Q342" s="14" t="n"/>
      <c r="R342" s="12" t="n"/>
      <c r="S342" s="12" t="n"/>
      <c r="T342" s="14" t="n"/>
      <c r="U342" s="14" t="n"/>
      <c r="V342" s="1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row>
    <row r="343" ht="15" customHeight="1">
      <c r="A343" s="12" t="n"/>
      <c r="B343" s="13">
        <f>IF(A343="","",EOMONTH(A343,0))</f>
        <v/>
      </c>
      <c r="C343" s="14" t="n"/>
      <c r="D343" s="14" t="n"/>
      <c r="E343" s="14" t="n"/>
      <c r="F343" s="15">
        <f>IF(E343="","",IF(COUNTIF(lst_Jobs,E343&amp;"")&gt;0,"OK","CHECK"))</f>
        <v/>
      </c>
      <c r="G343" s="14" t="n"/>
      <c r="H343" s="14" t="n"/>
      <c r="I343" s="14" t="n"/>
      <c r="J343" s="14" t="n"/>
      <c r="K343" s="14" t="n"/>
      <c r="L343" s="16" t="n"/>
      <c r="M343" s="17">
        <f>IF(L343="","",IF(K343="GST 10%",ROUND(L343*set_GSTRate,2),0))</f>
        <v/>
      </c>
      <c r="N343" s="17">
        <f>IF(L343="","",L343+M343)</f>
        <v/>
      </c>
      <c r="O343" s="14" t="n"/>
      <c r="P343" s="14" t="n"/>
      <c r="Q343" s="14" t="n"/>
      <c r="R343" s="12" t="n"/>
      <c r="S343" s="12" t="n"/>
      <c r="T343" s="14" t="n"/>
      <c r="U343" s="14" t="n"/>
      <c r="V343" s="1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row>
    <row r="344" ht="15" customHeight="1">
      <c r="A344" s="12" t="n"/>
      <c r="B344" s="13">
        <f>IF(A344="","",EOMONTH(A344,0))</f>
        <v/>
      </c>
      <c r="C344" s="14" t="n"/>
      <c r="D344" s="14" t="n"/>
      <c r="E344" s="14" t="n"/>
      <c r="F344" s="15">
        <f>IF(E344="","",IF(COUNTIF(lst_Jobs,E344&amp;"")&gt;0,"OK","CHECK"))</f>
        <v/>
      </c>
      <c r="G344" s="14" t="n"/>
      <c r="H344" s="14" t="n"/>
      <c r="I344" s="14" t="n"/>
      <c r="J344" s="14" t="n"/>
      <c r="K344" s="14" t="n"/>
      <c r="L344" s="16" t="n"/>
      <c r="M344" s="17">
        <f>IF(L344="","",IF(K344="GST 10%",ROUND(L344*set_GSTRate,2),0))</f>
        <v/>
      </c>
      <c r="N344" s="17">
        <f>IF(L344="","",L344+M344)</f>
        <v/>
      </c>
      <c r="O344" s="14" t="n"/>
      <c r="P344" s="14" t="n"/>
      <c r="Q344" s="14" t="n"/>
      <c r="R344" s="12" t="n"/>
      <c r="S344" s="12" t="n"/>
      <c r="T344" s="14" t="n"/>
      <c r="U344" s="14" t="n"/>
      <c r="V344" s="1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row>
    <row r="345" ht="15" customHeight="1">
      <c r="A345" s="12" t="n"/>
      <c r="B345" s="13">
        <f>IF(A345="","",EOMONTH(A345,0))</f>
        <v/>
      </c>
      <c r="C345" s="14" t="n"/>
      <c r="D345" s="14" t="n"/>
      <c r="E345" s="14" t="n"/>
      <c r="F345" s="15">
        <f>IF(E345="","",IF(COUNTIF(lst_Jobs,E345&amp;"")&gt;0,"OK","CHECK"))</f>
        <v/>
      </c>
      <c r="G345" s="14" t="n"/>
      <c r="H345" s="14" t="n"/>
      <c r="I345" s="14" t="n"/>
      <c r="J345" s="14" t="n"/>
      <c r="K345" s="14" t="n"/>
      <c r="L345" s="16" t="n"/>
      <c r="M345" s="17">
        <f>IF(L345="","",IF(K345="GST 10%",ROUND(L345*set_GSTRate,2),0))</f>
        <v/>
      </c>
      <c r="N345" s="17">
        <f>IF(L345="","",L345+M345)</f>
        <v/>
      </c>
      <c r="O345" s="14" t="n"/>
      <c r="P345" s="14" t="n"/>
      <c r="Q345" s="14" t="n"/>
      <c r="R345" s="12" t="n"/>
      <c r="S345" s="12" t="n"/>
      <c r="T345" s="14" t="n"/>
      <c r="U345" s="14" t="n"/>
      <c r="V345" s="1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row>
    <row r="346" ht="15" customHeight="1">
      <c r="A346" s="12" t="n"/>
      <c r="B346" s="13">
        <f>IF(A346="","",EOMONTH(A346,0))</f>
        <v/>
      </c>
      <c r="C346" s="14" t="n"/>
      <c r="D346" s="14" t="n"/>
      <c r="E346" s="14" t="n"/>
      <c r="F346" s="15">
        <f>IF(E346="","",IF(COUNTIF(lst_Jobs,E346&amp;"")&gt;0,"OK","CHECK"))</f>
        <v/>
      </c>
      <c r="G346" s="14" t="n"/>
      <c r="H346" s="14" t="n"/>
      <c r="I346" s="14" t="n"/>
      <c r="J346" s="14" t="n"/>
      <c r="K346" s="14" t="n"/>
      <c r="L346" s="16" t="n"/>
      <c r="M346" s="17">
        <f>IF(L346="","",IF(K346="GST 10%",ROUND(L346*set_GSTRate,2),0))</f>
        <v/>
      </c>
      <c r="N346" s="17">
        <f>IF(L346="","",L346+M346)</f>
        <v/>
      </c>
      <c r="O346" s="14" t="n"/>
      <c r="P346" s="14" t="n"/>
      <c r="Q346" s="14" t="n"/>
      <c r="R346" s="12" t="n"/>
      <c r="S346" s="12" t="n"/>
      <c r="T346" s="14" t="n"/>
      <c r="U346" s="14" t="n"/>
      <c r="V346" s="1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row>
    <row r="347" ht="15" customHeight="1">
      <c r="A347" s="12" t="n"/>
      <c r="B347" s="13">
        <f>IF(A347="","",EOMONTH(A347,0))</f>
        <v/>
      </c>
      <c r="C347" s="14" t="n"/>
      <c r="D347" s="14" t="n"/>
      <c r="E347" s="14" t="n"/>
      <c r="F347" s="15">
        <f>IF(E347="","",IF(COUNTIF(lst_Jobs,E347&amp;"")&gt;0,"OK","CHECK"))</f>
        <v/>
      </c>
      <c r="G347" s="14" t="n"/>
      <c r="H347" s="14" t="n"/>
      <c r="I347" s="14" t="n"/>
      <c r="J347" s="14" t="n"/>
      <c r="K347" s="14" t="n"/>
      <c r="L347" s="16" t="n"/>
      <c r="M347" s="17">
        <f>IF(L347="","",IF(K347="GST 10%",ROUND(L347*set_GSTRate,2),0))</f>
        <v/>
      </c>
      <c r="N347" s="17">
        <f>IF(L347="","",L347+M347)</f>
        <v/>
      </c>
      <c r="O347" s="14" t="n"/>
      <c r="P347" s="14" t="n"/>
      <c r="Q347" s="14" t="n"/>
      <c r="R347" s="12" t="n"/>
      <c r="S347" s="12" t="n"/>
      <c r="T347" s="14" t="n"/>
      <c r="U347" s="14" t="n"/>
      <c r="V347" s="1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row>
    <row r="348" ht="15" customHeight="1">
      <c r="A348" s="12" t="n"/>
      <c r="B348" s="13">
        <f>IF(A348="","",EOMONTH(A348,0))</f>
        <v/>
      </c>
      <c r="C348" s="14" t="n"/>
      <c r="D348" s="14" t="n"/>
      <c r="E348" s="14" t="n"/>
      <c r="F348" s="15">
        <f>IF(E348="","",IF(COUNTIF(lst_Jobs,E348&amp;"")&gt;0,"OK","CHECK"))</f>
        <v/>
      </c>
      <c r="G348" s="14" t="n"/>
      <c r="H348" s="14" t="n"/>
      <c r="I348" s="14" t="n"/>
      <c r="J348" s="14" t="n"/>
      <c r="K348" s="14" t="n"/>
      <c r="L348" s="16" t="n"/>
      <c r="M348" s="17">
        <f>IF(L348="","",IF(K348="GST 10%",ROUND(L348*set_GSTRate,2),0))</f>
        <v/>
      </c>
      <c r="N348" s="17">
        <f>IF(L348="","",L348+M348)</f>
        <v/>
      </c>
      <c r="O348" s="14" t="n"/>
      <c r="P348" s="14" t="n"/>
      <c r="Q348" s="14" t="n"/>
      <c r="R348" s="12" t="n"/>
      <c r="S348" s="12" t="n"/>
      <c r="T348" s="14" t="n"/>
      <c r="U348" s="14" t="n"/>
      <c r="V348" s="1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row>
    <row r="349" ht="15" customHeight="1">
      <c r="A349" s="12" t="n"/>
      <c r="B349" s="13">
        <f>IF(A349="","",EOMONTH(A349,0))</f>
        <v/>
      </c>
      <c r="C349" s="14" t="n"/>
      <c r="D349" s="14" t="n"/>
      <c r="E349" s="14" t="n"/>
      <c r="F349" s="15">
        <f>IF(E349="","",IF(COUNTIF(lst_Jobs,E349&amp;"")&gt;0,"OK","CHECK"))</f>
        <v/>
      </c>
      <c r="G349" s="14" t="n"/>
      <c r="H349" s="14" t="n"/>
      <c r="I349" s="14" t="n"/>
      <c r="J349" s="14" t="n"/>
      <c r="K349" s="14" t="n"/>
      <c r="L349" s="16" t="n"/>
      <c r="M349" s="17">
        <f>IF(L349="","",IF(K349="GST 10%",ROUND(L349*set_GSTRate,2),0))</f>
        <v/>
      </c>
      <c r="N349" s="17">
        <f>IF(L349="","",L349+M349)</f>
        <v/>
      </c>
      <c r="O349" s="14" t="n"/>
      <c r="P349" s="14" t="n"/>
      <c r="Q349" s="14" t="n"/>
      <c r="R349" s="12" t="n"/>
      <c r="S349" s="12" t="n"/>
      <c r="T349" s="14" t="n"/>
      <c r="U349" s="14" t="n"/>
      <c r="V349" s="1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row>
    <row r="350" ht="15" customHeight="1">
      <c r="A350" s="12" t="n"/>
      <c r="B350" s="13">
        <f>IF(A350="","",EOMONTH(A350,0))</f>
        <v/>
      </c>
      <c r="C350" s="14" t="n"/>
      <c r="D350" s="14" t="n"/>
      <c r="E350" s="14" t="n"/>
      <c r="F350" s="15">
        <f>IF(E350="","",IF(COUNTIF(lst_Jobs,E350&amp;"")&gt;0,"OK","CHECK"))</f>
        <v/>
      </c>
      <c r="G350" s="14" t="n"/>
      <c r="H350" s="14" t="n"/>
      <c r="I350" s="14" t="n"/>
      <c r="J350" s="14" t="n"/>
      <c r="K350" s="14" t="n"/>
      <c r="L350" s="16" t="n"/>
      <c r="M350" s="17">
        <f>IF(L350="","",IF(K350="GST 10%",ROUND(L350*set_GSTRate,2),0))</f>
        <v/>
      </c>
      <c r="N350" s="17">
        <f>IF(L350="","",L350+M350)</f>
        <v/>
      </c>
      <c r="O350" s="14" t="n"/>
      <c r="P350" s="14" t="n"/>
      <c r="Q350" s="14" t="n"/>
      <c r="R350" s="12" t="n"/>
      <c r="S350" s="12" t="n"/>
      <c r="T350" s="14" t="n"/>
      <c r="U350" s="14" t="n"/>
      <c r="V350" s="1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row>
    <row r="351" ht="15" customHeight="1">
      <c r="A351" s="12" t="n"/>
      <c r="B351" s="13">
        <f>IF(A351="","",EOMONTH(A351,0))</f>
        <v/>
      </c>
      <c r="C351" s="14" t="n"/>
      <c r="D351" s="14" t="n"/>
      <c r="E351" s="14" t="n"/>
      <c r="F351" s="15">
        <f>IF(E351="","",IF(COUNTIF(lst_Jobs,E351&amp;"")&gt;0,"OK","CHECK"))</f>
        <v/>
      </c>
      <c r="G351" s="14" t="n"/>
      <c r="H351" s="14" t="n"/>
      <c r="I351" s="14" t="n"/>
      <c r="J351" s="14" t="n"/>
      <c r="K351" s="14" t="n"/>
      <c r="L351" s="16" t="n"/>
      <c r="M351" s="17">
        <f>IF(L351="","",IF(K351="GST 10%",ROUND(L351*set_GSTRate,2),0))</f>
        <v/>
      </c>
      <c r="N351" s="17">
        <f>IF(L351="","",L351+M351)</f>
        <v/>
      </c>
      <c r="O351" s="14" t="n"/>
      <c r="P351" s="14" t="n"/>
      <c r="Q351" s="14" t="n"/>
      <c r="R351" s="12" t="n"/>
      <c r="S351" s="12" t="n"/>
      <c r="T351" s="14" t="n"/>
      <c r="U351" s="14" t="n"/>
      <c r="V351" s="1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row>
    <row r="352" ht="15" customHeight="1">
      <c r="A352" s="12" t="n"/>
      <c r="B352" s="13">
        <f>IF(A352="","",EOMONTH(A352,0))</f>
        <v/>
      </c>
      <c r="C352" s="14" t="n"/>
      <c r="D352" s="14" t="n"/>
      <c r="E352" s="14" t="n"/>
      <c r="F352" s="15">
        <f>IF(E352="","",IF(COUNTIF(lst_Jobs,E352&amp;"")&gt;0,"OK","CHECK"))</f>
        <v/>
      </c>
      <c r="G352" s="14" t="n"/>
      <c r="H352" s="14" t="n"/>
      <c r="I352" s="14" t="n"/>
      <c r="J352" s="14" t="n"/>
      <c r="K352" s="14" t="n"/>
      <c r="L352" s="16" t="n"/>
      <c r="M352" s="17">
        <f>IF(L352="","",IF(K352="GST 10%",ROUND(L352*set_GSTRate,2),0))</f>
        <v/>
      </c>
      <c r="N352" s="17">
        <f>IF(L352="","",L352+M352)</f>
        <v/>
      </c>
      <c r="O352" s="14" t="n"/>
      <c r="P352" s="14" t="n"/>
      <c r="Q352" s="14" t="n"/>
      <c r="R352" s="12" t="n"/>
      <c r="S352" s="12" t="n"/>
      <c r="T352" s="14" t="n"/>
      <c r="U352" s="14" t="n"/>
      <c r="V352" s="1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row>
    <row r="353" ht="15" customHeight="1">
      <c r="A353" s="12" t="n"/>
      <c r="B353" s="13">
        <f>IF(A353="","",EOMONTH(A353,0))</f>
        <v/>
      </c>
      <c r="C353" s="14" t="n"/>
      <c r="D353" s="14" t="n"/>
      <c r="E353" s="14" t="n"/>
      <c r="F353" s="15">
        <f>IF(E353="","",IF(COUNTIF(lst_Jobs,E353&amp;"")&gt;0,"OK","CHECK"))</f>
        <v/>
      </c>
      <c r="G353" s="14" t="n"/>
      <c r="H353" s="14" t="n"/>
      <c r="I353" s="14" t="n"/>
      <c r="J353" s="14" t="n"/>
      <c r="K353" s="14" t="n"/>
      <c r="L353" s="16" t="n"/>
      <c r="M353" s="17">
        <f>IF(L353="","",IF(K353="GST 10%",ROUND(L353*set_GSTRate,2),0))</f>
        <v/>
      </c>
      <c r="N353" s="17">
        <f>IF(L353="","",L353+M353)</f>
        <v/>
      </c>
      <c r="O353" s="14" t="n"/>
      <c r="P353" s="14" t="n"/>
      <c r="Q353" s="14" t="n"/>
      <c r="R353" s="12" t="n"/>
      <c r="S353" s="12" t="n"/>
      <c r="T353" s="14" t="n"/>
      <c r="U353" s="14" t="n"/>
      <c r="V353" s="1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row>
    <row r="354" ht="15" customHeight="1">
      <c r="A354" s="12" t="n"/>
      <c r="B354" s="13">
        <f>IF(A354="","",EOMONTH(A354,0))</f>
        <v/>
      </c>
      <c r="C354" s="14" t="n"/>
      <c r="D354" s="14" t="n"/>
      <c r="E354" s="14" t="n"/>
      <c r="F354" s="15">
        <f>IF(E354="","",IF(COUNTIF(lst_Jobs,E354&amp;"")&gt;0,"OK","CHECK"))</f>
        <v/>
      </c>
      <c r="G354" s="14" t="n"/>
      <c r="H354" s="14" t="n"/>
      <c r="I354" s="14" t="n"/>
      <c r="J354" s="14" t="n"/>
      <c r="K354" s="14" t="n"/>
      <c r="L354" s="16" t="n"/>
      <c r="M354" s="17">
        <f>IF(L354="","",IF(K354="GST 10%",ROUND(L354*set_GSTRate,2),0))</f>
        <v/>
      </c>
      <c r="N354" s="17">
        <f>IF(L354="","",L354+M354)</f>
        <v/>
      </c>
      <c r="O354" s="14" t="n"/>
      <c r="P354" s="14" t="n"/>
      <c r="Q354" s="14" t="n"/>
      <c r="R354" s="12" t="n"/>
      <c r="S354" s="12" t="n"/>
      <c r="T354" s="14" t="n"/>
      <c r="U354" s="14" t="n"/>
      <c r="V354" s="1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row>
    <row r="355" ht="15" customHeight="1">
      <c r="A355" s="12" t="n"/>
      <c r="B355" s="13">
        <f>IF(A355="","",EOMONTH(A355,0))</f>
        <v/>
      </c>
      <c r="C355" s="14" t="n"/>
      <c r="D355" s="14" t="n"/>
      <c r="E355" s="14" t="n"/>
      <c r="F355" s="15">
        <f>IF(E355="","",IF(COUNTIF(lst_Jobs,E355&amp;"")&gt;0,"OK","CHECK"))</f>
        <v/>
      </c>
      <c r="G355" s="14" t="n"/>
      <c r="H355" s="14" t="n"/>
      <c r="I355" s="14" t="n"/>
      <c r="J355" s="14" t="n"/>
      <c r="K355" s="14" t="n"/>
      <c r="L355" s="16" t="n"/>
      <c r="M355" s="17">
        <f>IF(L355="","",IF(K355="GST 10%",ROUND(L355*set_GSTRate,2),0))</f>
        <v/>
      </c>
      <c r="N355" s="17">
        <f>IF(L355="","",L355+M355)</f>
        <v/>
      </c>
      <c r="O355" s="14" t="n"/>
      <c r="P355" s="14" t="n"/>
      <c r="Q355" s="14" t="n"/>
      <c r="R355" s="12" t="n"/>
      <c r="S355" s="12" t="n"/>
      <c r="T355" s="14" t="n"/>
      <c r="U355" s="14" t="n"/>
      <c r="V355" s="1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row>
    <row r="356" ht="15" customHeight="1">
      <c r="A356" s="12" t="n"/>
      <c r="B356" s="13">
        <f>IF(A356="","",EOMONTH(A356,0))</f>
        <v/>
      </c>
      <c r="C356" s="14" t="n"/>
      <c r="D356" s="14" t="n"/>
      <c r="E356" s="14" t="n"/>
      <c r="F356" s="15">
        <f>IF(E356="","",IF(COUNTIF(lst_Jobs,E356&amp;"")&gt;0,"OK","CHECK"))</f>
        <v/>
      </c>
      <c r="G356" s="14" t="n"/>
      <c r="H356" s="14" t="n"/>
      <c r="I356" s="14" t="n"/>
      <c r="J356" s="14" t="n"/>
      <c r="K356" s="14" t="n"/>
      <c r="L356" s="16" t="n"/>
      <c r="M356" s="17">
        <f>IF(L356="","",IF(K356="GST 10%",ROUND(L356*set_GSTRate,2),0))</f>
        <v/>
      </c>
      <c r="N356" s="17">
        <f>IF(L356="","",L356+M356)</f>
        <v/>
      </c>
      <c r="O356" s="14" t="n"/>
      <c r="P356" s="14" t="n"/>
      <c r="Q356" s="14" t="n"/>
      <c r="R356" s="12" t="n"/>
      <c r="S356" s="12" t="n"/>
      <c r="T356" s="14" t="n"/>
      <c r="U356" s="14" t="n"/>
      <c r="V356" s="1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row>
    <row r="357" ht="15" customHeight="1">
      <c r="A357" s="12" t="n"/>
      <c r="B357" s="13">
        <f>IF(A357="","",EOMONTH(A357,0))</f>
        <v/>
      </c>
      <c r="C357" s="14" t="n"/>
      <c r="D357" s="14" t="n"/>
      <c r="E357" s="14" t="n"/>
      <c r="F357" s="15">
        <f>IF(E357="","",IF(COUNTIF(lst_Jobs,E357&amp;"")&gt;0,"OK","CHECK"))</f>
        <v/>
      </c>
      <c r="G357" s="14" t="n"/>
      <c r="H357" s="14" t="n"/>
      <c r="I357" s="14" t="n"/>
      <c r="J357" s="14" t="n"/>
      <c r="K357" s="14" t="n"/>
      <c r="L357" s="16" t="n"/>
      <c r="M357" s="17">
        <f>IF(L357="","",IF(K357="GST 10%",ROUND(L357*set_GSTRate,2),0))</f>
        <v/>
      </c>
      <c r="N357" s="17">
        <f>IF(L357="","",L357+M357)</f>
        <v/>
      </c>
      <c r="O357" s="14" t="n"/>
      <c r="P357" s="14" t="n"/>
      <c r="Q357" s="14" t="n"/>
      <c r="R357" s="12" t="n"/>
      <c r="S357" s="12" t="n"/>
      <c r="T357" s="14" t="n"/>
      <c r="U357" s="14" t="n"/>
      <c r="V357" s="1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row>
    <row r="358" ht="15" customHeight="1">
      <c r="A358" s="12" t="n"/>
      <c r="B358" s="13">
        <f>IF(A358="","",EOMONTH(A358,0))</f>
        <v/>
      </c>
      <c r="C358" s="14" t="n"/>
      <c r="D358" s="14" t="n"/>
      <c r="E358" s="14" t="n"/>
      <c r="F358" s="15">
        <f>IF(E358="","",IF(COUNTIF(lst_Jobs,E358&amp;"")&gt;0,"OK","CHECK"))</f>
        <v/>
      </c>
      <c r="G358" s="14" t="n"/>
      <c r="H358" s="14" t="n"/>
      <c r="I358" s="14" t="n"/>
      <c r="J358" s="14" t="n"/>
      <c r="K358" s="14" t="n"/>
      <c r="L358" s="16" t="n"/>
      <c r="M358" s="17">
        <f>IF(L358="","",IF(K358="GST 10%",ROUND(L358*set_GSTRate,2),0))</f>
        <v/>
      </c>
      <c r="N358" s="17">
        <f>IF(L358="","",L358+M358)</f>
        <v/>
      </c>
      <c r="O358" s="14" t="n"/>
      <c r="P358" s="14" t="n"/>
      <c r="Q358" s="14" t="n"/>
      <c r="R358" s="12" t="n"/>
      <c r="S358" s="12" t="n"/>
      <c r="T358" s="14" t="n"/>
      <c r="U358" s="14" t="n"/>
      <c r="V358" s="1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row>
    <row r="359" ht="15" customHeight="1">
      <c r="A359" s="12" t="n"/>
      <c r="B359" s="13">
        <f>IF(A359="","",EOMONTH(A359,0))</f>
        <v/>
      </c>
      <c r="C359" s="14" t="n"/>
      <c r="D359" s="14" t="n"/>
      <c r="E359" s="14" t="n"/>
      <c r="F359" s="15">
        <f>IF(E359="","",IF(COUNTIF(lst_Jobs,E359&amp;"")&gt;0,"OK","CHECK"))</f>
        <v/>
      </c>
      <c r="G359" s="14" t="n"/>
      <c r="H359" s="14" t="n"/>
      <c r="I359" s="14" t="n"/>
      <c r="J359" s="14" t="n"/>
      <c r="K359" s="14" t="n"/>
      <c r="L359" s="16" t="n"/>
      <c r="M359" s="17">
        <f>IF(L359="","",IF(K359="GST 10%",ROUND(L359*set_GSTRate,2),0))</f>
        <v/>
      </c>
      <c r="N359" s="17">
        <f>IF(L359="","",L359+M359)</f>
        <v/>
      </c>
      <c r="O359" s="14" t="n"/>
      <c r="P359" s="14" t="n"/>
      <c r="Q359" s="14" t="n"/>
      <c r="R359" s="12" t="n"/>
      <c r="S359" s="12" t="n"/>
      <c r="T359" s="14" t="n"/>
      <c r="U359" s="14" t="n"/>
      <c r="V359" s="1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row>
    <row r="360" ht="15" customHeight="1">
      <c r="A360" s="12" t="n"/>
      <c r="B360" s="13">
        <f>IF(A360="","",EOMONTH(A360,0))</f>
        <v/>
      </c>
      <c r="C360" s="14" t="n"/>
      <c r="D360" s="14" t="n"/>
      <c r="E360" s="14" t="n"/>
      <c r="F360" s="15">
        <f>IF(E360="","",IF(COUNTIF(lst_Jobs,E360&amp;"")&gt;0,"OK","CHECK"))</f>
        <v/>
      </c>
      <c r="G360" s="14" t="n"/>
      <c r="H360" s="14" t="n"/>
      <c r="I360" s="14" t="n"/>
      <c r="J360" s="14" t="n"/>
      <c r="K360" s="14" t="n"/>
      <c r="L360" s="16" t="n"/>
      <c r="M360" s="17">
        <f>IF(L360="","",IF(K360="GST 10%",ROUND(L360*set_GSTRate,2),0))</f>
        <v/>
      </c>
      <c r="N360" s="17">
        <f>IF(L360="","",L360+M360)</f>
        <v/>
      </c>
      <c r="O360" s="14" t="n"/>
      <c r="P360" s="14" t="n"/>
      <c r="Q360" s="14" t="n"/>
      <c r="R360" s="12" t="n"/>
      <c r="S360" s="12" t="n"/>
      <c r="T360" s="14" t="n"/>
      <c r="U360" s="14" t="n"/>
      <c r="V360" s="1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row>
    <row r="361" ht="15" customHeight="1">
      <c r="A361" s="12" t="n"/>
      <c r="B361" s="13">
        <f>IF(A361="","",EOMONTH(A361,0))</f>
        <v/>
      </c>
      <c r="C361" s="14" t="n"/>
      <c r="D361" s="14" t="n"/>
      <c r="E361" s="14" t="n"/>
      <c r="F361" s="15">
        <f>IF(E361="","",IF(COUNTIF(lst_Jobs,E361&amp;"")&gt;0,"OK","CHECK"))</f>
        <v/>
      </c>
      <c r="G361" s="14" t="n"/>
      <c r="H361" s="14" t="n"/>
      <c r="I361" s="14" t="n"/>
      <c r="J361" s="14" t="n"/>
      <c r="K361" s="14" t="n"/>
      <c r="L361" s="16" t="n"/>
      <c r="M361" s="17">
        <f>IF(L361="","",IF(K361="GST 10%",ROUND(L361*set_GSTRate,2),0))</f>
        <v/>
      </c>
      <c r="N361" s="17">
        <f>IF(L361="","",L361+M361)</f>
        <v/>
      </c>
      <c r="O361" s="14" t="n"/>
      <c r="P361" s="14" t="n"/>
      <c r="Q361" s="14" t="n"/>
      <c r="R361" s="12" t="n"/>
      <c r="S361" s="12" t="n"/>
      <c r="T361" s="14" t="n"/>
      <c r="U361" s="14" t="n"/>
      <c r="V361" s="1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row>
    <row r="362" ht="15" customHeight="1">
      <c r="A362" s="12" t="n"/>
      <c r="B362" s="13">
        <f>IF(A362="","",EOMONTH(A362,0))</f>
        <v/>
      </c>
      <c r="C362" s="14" t="n"/>
      <c r="D362" s="14" t="n"/>
      <c r="E362" s="14" t="n"/>
      <c r="F362" s="15">
        <f>IF(E362="","",IF(COUNTIF(lst_Jobs,E362&amp;"")&gt;0,"OK","CHECK"))</f>
        <v/>
      </c>
      <c r="G362" s="14" t="n"/>
      <c r="H362" s="14" t="n"/>
      <c r="I362" s="14" t="n"/>
      <c r="J362" s="14" t="n"/>
      <c r="K362" s="14" t="n"/>
      <c r="L362" s="16" t="n"/>
      <c r="M362" s="17">
        <f>IF(L362="","",IF(K362="GST 10%",ROUND(L362*set_GSTRate,2),0))</f>
        <v/>
      </c>
      <c r="N362" s="17">
        <f>IF(L362="","",L362+M362)</f>
        <v/>
      </c>
      <c r="O362" s="14" t="n"/>
      <c r="P362" s="14" t="n"/>
      <c r="Q362" s="14" t="n"/>
      <c r="R362" s="12" t="n"/>
      <c r="S362" s="12" t="n"/>
      <c r="T362" s="14" t="n"/>
      <c r="U362" s="14" t="n"/>
      <c r="V362" s="1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row>
    <row r="363" ht="15" customHeight="1">
      <c r="A363" s="12" t="n"/>
      <c r="B363" s="13">
        <f>IF(A363="","",EOMONTH(A363,0))</f>
        <v/>
      </c>
      <c r="C363" s="14" t="n"/>
      <c r="D363" s="14" t="n"/>
      <c r="E363" s="14" t="n"/>
      <c r="F363" s="15">
        <f>IF(E363="","",IF(COUNTIF(lst_Jobs,E363&amp;"")&gt;0,"OK","CHECK"))</f>
        <v/>
      </c>
      <c r="G363" s="14" t="n"/>
      <c r="H363" s="14" t="n"/>
      <c r="I363" s="14" t="n"/>
      <c r="J363" s="14" t="n"/>
      <c r="K363" s="14" t="n"/>
      <c r="L363" s="16" t="n"/>
      <c r="M363" s="17">
        <f>IF(L363="","",IF(K363="GST 10%",ROUND(L363*set_GSTRate,2),0))</f>
        <v/>
      </c>
      <c r="N363" s="17">
        <f>IF(L363="","",L363+M363)</f>
        <v/>
      </c>
      <c r="O363" s="14" t="n"/>
      <c r="P363" s="14" t="n"/>
      <c r="Q363" s="14" t="n"/>
      <c r="R363" s="12" t="n"/>
      <c r="S363" s="12" t="n"/>
      <c r="T363" s="14" t="n"/>
      <c r="U363" s="14" t="n"/>
      <c r="V363" s="1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row>
    <row r="364" ht="15" customHeight="1">
      <c r="A364" s="12" t="n"/>
      <c r="B364" s="13">
        <f>IF(A364="","",EOMONTH(A364,0))</f>
        <v/>
      </c>
      <c r="C364" s="14" t="n"/>
      <c r="D364" s="14" t="n"/>
      <c r="E364" s="14" t="n"/>
      <c r="F364" s="15">
        <f>IF(E364="","",IF(COUNTIF(lst_Jobs,E364&amp;"")&gt;0,"OK","CHECK"))</f>
        <v/>
      </c>
      <c r="G364" s="14" t="n"/>
      <c r="H364" s="14" t="n"/>
      <c r="I364" s="14" t="n"/>
      <c r="J364" s="14" t="n"/>
      <c r="K364" s="14" t="n"/>
      <c r="L364" s="16" t="n"/>
      <c r="M364" s="17">
        <f>IF(L364="","",IF(K364="GST 10%",ROUND(L364*set_GSTRate,2),0))</f>
        <v/>
      </c>
      <c r="N364" s="17">
        <f>IF(L364="","",L364+M364)</f>
        <v/>
      </c>
      <c r="O364" s="14" t="n"/>
      <c r="P364" s="14" t="n"/>
      <c r="Q364" s="14" t="n"/>
      <c r="R364" s="12" t="n"/>
      <c r="S364" s="12" t="n"/>
      <c r="T364" s="14" t="n"/>
      <c r="U364" s="14" t="n"/>
      <c r="V364" s="1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row>
    <row r="365" ht="15" customHeight="1">
      <c r="A365" s="12" t="n"/>
      <c r="B365" s="13">
        <f>IF(A365="","",EOMONTH(A365,0))</f>
        <v/>
      </c>
      <c r="C365" s="14" t="n"/>
      <c r="D365" s="14" t="n"/>
      <c r="E365" s="14" t="n"/>
      <c r="F365" s="15">
        <f>IF(E365="","",IF(COUNTIF(lst_Jobs,E365&amp;"")&gt;0,"OK","CHECK"))</f>
        <v/>
      </c>
      <c r="G365" s="14" t="n"/>
      <c r="H365" s="14" t="n"/>
      <c r="I365" s="14" t="n"/>
      <c r="J365" s="14" t="n"/>
      <c r="K365" s="14" t="n"/>
      <c r="L365" s="16" t="n"/>
      <c r="M365" s="17">
        <f>IF(L365="","",IF(K365="GST 10%",ROUND(L365*set_GSTRate,2),0))</f>
        <v/>
      </c>
      <c r="N365" s="17">
        <f>IF(L365="","",L365+M365)</f>
        <v/>
      </c>
      <c r="O365" s="14" t="n"/>
      <c r="P365" s="14" t="n"/>
      <c r="Q365" s="14" t="n"/>
      <c r="R365" s="12" t="n"/>
      <c r="S365" s="12" t="n"/>
      <c r="T365" s="14" t="n"/>
      <c r="U365" s="14" t="n"/>
      <c r="V365" s="1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row>
    <row r="366" ht="15" customHeight="1">
      <c r="A366" s="12" t="n"/>
      <c r="B366" s="13">
        <f>IF(A366="","",EOMONTH(A366,0))</f>
        <v/>
      </c>
      <c r="C366" s="14" t="n"/>
      <c r="D366" s="14" t="n"/>
      <c r="E366" s="14" t="n"/>
      <c r="F366" s="15">
        <f>IF(E366="","",IF(COUNTIF(lst_Jobs,E366&amp;"")&gt;0,"OK","CHECK"))</f>
        <v/>
      </c>
      <c r="G366" s="14" t="n"/>
      <c r="H366" s="14" t="n"/>
      <c r="I366" s="14" t="n"/>
      <c r="J366" s="14" t="n"/>
      <c r="K366" s="14" t="n"/>
      <c r="L366" s="16" t="n"/>
      <c r="M366" s="17">
        <f>IF(L366="","",IF(K366="GST 10%",ROUND(L366*set_GSTRate,2),0))</f>
        <v/>
      </c>
      <c r="N366" s="17">
        <f>IF(L366="","",L366+M366)</f>
        <v/>
      </c>
      <c r="O366" s="14" t="n"/>
      <c r="P366" s="14" t="n"/>
      <c r="Q366" s="14" t="n"/>
      <c r="R366" s="12" t="n"/>
      <c r="S366" s="12" t="n"/>
      <c r="T366" s="14" t="n"/>
      <c r="U366" s="14" t="n"/>
      <c r="V366" s="1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row>
    <row r="367" ht="15" customHeight="1">
      <c r="A367" s="12" t="n"/>
      <c r="B367" s="13">
        <f>IF(A367="","",EOMONTH(A367,0))</f>
        <v/>
      </c>
      <c r="C367" s="14" t="n"/>
      <c r="D367" s="14" t="n"/>
      <c r="E367" s="14" t="n"/>
      <c r="F367" s="15">
        <f>IF(E367="","",IF(COUNTIF(lst_Jobs,E367&amp;"")&gt;0,"OK","CHECK"))</f>
        <v/>
      </c>
      <c r="G367" s="14" t="n"/>
      <c r="H367" s="14" t="n"/>
      <c r="I367" s="14" t="n"/>
      <c r="J367" s="14" t="n"/>
      <c r="K367" s="14" t="n"/>
      <c r="L367" s="16" t="n"/>
      <c r="M367" s="17">
        <f>IF(L367="","",IF(K367="GST 10%",ROUND(L367*set_GSTRate,2),0))</f>
        <v/>
      </c>
      <c r="N367" s="17">
        <f>IF(L367="","",L367+M367)</f>
        <v/>
      </c>
      <c r="O367" s="14" t="n"/>
      <c r="P367" s="14" t="n"/>
      <c r="Q367" s="14" t="n"/>
      <c r="R367" s="12" t="n"/>
      <c r="S367" s="12" t="n"/>
      <c r="T367" s="14" t="n"/>
      <c r="U367" s="14" t="n"/>
      <c r="V367" s="1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row>
    <row r="368" ht="15" customHeight="1">
      <c r="A368" s="12" t="n"/>
      <c r="B368" s="13">
        <f>IF(A368="","",EOMONTH(A368,0))</f>
        <v/>
      </c>
      <c r="C368" s="14" t="n"/>
      <c r="D368" s="14" t="n"/>
      <c r="E368" s="14" t="n"/>
      <c r="F368" s="15">
        <f>IF(E368="","",IF(COUNTIF(lst_Jobs,E368&amp;"")&gt;0,"OK","CHECK"))</f>
        <v/>
      </c>
      <c r="G368" s="14" t="n"/>
      <c r="H368" s="14" t="n"/>
      <c r="I368" s="14" t="n"/>
      <c r="J368" s="14" t="n"/>
      <c r="K368" s="14" t="n"/>
      <c r="L368" s="16" t="n"/>
      <c r="M368" s="17">
        <f>IF(L368="","",IF(K368="GST 10%",ROUND(L368*set_GSTRate,2),0))</f>
        <v/>
      </c>
      <c r="N368" s="17">
        <f>IF(L368="","",L368+M368)</f>
        <v/>
      </c>
      <c r="O368" s="14" t="n"/>
      <c r="P368" s="14" t="n"/>
      <c r="Q368" s="14" t="n"/>
      <c r="R368" s="12" t="n"/>
      <c r="S368" s="12" t="n"/>
      <c r="T368" s="14" t="n"/>
      <c r="U368" s="14" t="n"/>
      <c r="V368" s="1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row>
    <row r="369" ht="15" customHeight="1">
      <c r="A369" s="12" t="n"/>
      <c r="B369" s="13">
        <f>IF(A369="","",EOMONTH(A369,0))</f>
        <v/>
      </c>
      <c r="C369" s="14" t="n"/>
      <c r="D369" s="14" t="n"/>
      <c r="E369" s="14" t="n"/>
      <c r="F369" s="15">
        <f>IF(E369="","",IF(COUNTIF(lst_Jobs,E369&amp;"")&gt;0,"OK","CHECK"))</f>
        <v/>
      </c>
      <c r="G369" s="14" t="n"/>
      <c r="H369" s="14" t="n"/>
      <c r="I369" s="14" t="n"/>
      <c r="J369" s="14" t="n"/>
      <c r="K369" s="14" t="n"/>
      <c r="L369" s="16" t="n"/>
      <c r="M369" s="17">
        <f>IF(L369="","",IF(K369="GST 10%",ROUND(L369*set_GSTRate,2),0))</f>
        <v/>
      </c>
      <c r="N369" s="17">
        <f>IF(L369="","",L369+M369)</f>
        <v/>
      </c>
      <c r="O369" s="14" t="n"/>
      <c r="P369" s="14" t="n"/>
      <c r="Q369" s="14" t="n"/>
      <c r="R369" s="12" t="n"/>
      <c r="S369" s="12" t="n"/>
      <c r="T369" s="14" t="n"/>
      <c r="U369" s="14" t="n"/>
      <c r="V369" s="1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row>
    <row r="370" ht="15" customHeight="1">
      <c r="A370" s="12" t="n"/>
      <c r="B370" s="13">
        <f>IF(A370="","",EOMONTH(A370,0))</f>
        <v/>
      </c>
      <c r="C370" s="14" t="n"/>
      <c r="D370" s="14" t="n"/>
      <c r="E370" s="14" t="n"/>
      <c r="F370" s="15">
        <f>IF(E370="","",IF(COUNTIF(lst_Jobs,E370&amp;"")&gt;0,"OK","CHECK"))</f>
        <v/>
      </c>
      <c r="G370" s="14" t="n"/>
      <c r="H370" s="14" t="n"/>
      <c r="I370" s="14" t="n"/>
      <c r="J370" s="14" t="n"/>
      <c r="K370" s="14" t="n"/>
      <c r="L370" s="16" t="n"/>
      <c r="M370" s="17">
        <f>IF(L370="","",IF(K370="GST 10%",ROUND(L370*set_GSTRate,2),0))</f>
        <v/>
      </c>
      <c r="N370" s="17">
        <f>IF(L370="","",L370+M370)</f>
        <v/>
      </c>
      <c r="O370" s="14" t="n"/>
      <c r="P370" s="14" t="n"/>
      <c r="Q370" s="14" t="n"/>
      <c r="R370" s="12" t="n"/>
      <c r="S370" s="12" t="n"/>
      <c r="T370" s="14" t="n"/>
      <c r="U370" s="14" t="n"/>
      <c r="V370" s="1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row>
    <row r="371" ht="15" customHeight="1">
      <c r="A371" s="12" t="n"/>
      <c r="B371" s="13">
        <f>IF(A371="","",EOMONTH(A371,0))</f>
        <v/>
      </c>
      <c r="C371" s="14" t="n"/>
      <c r="D371" s="14" t="n"/>
      <c r="E371" s="14" t="n"/>
      <c r="F371" s="15">
        <f>IF(E371="","",IF(COUNTIF(lst_Jobs,E371&amp;"")&gt;0,"OK","CHECK"))</f>
        <v/>
      </c>
      <c r="G371" s="14" t="n"/>
      <c r="H371" s="14" t="n"/>
      <c r="I371" s="14" t="n"/>
      <c r="J371" s="14" t="n"/>
      <c r="K371" s="14" t="n"/>
      <c r="L371" s="16" t="n"/>
      <c r="M371" s="17">
        <f>IF(L371="","",IF(K371="GST 10%",ROUND(L371*set_GSTRate,2),0))</f>
        <v/>
      </c>
      <c r="N371" s="17">
        <f>IF(L371="","",L371+M371)</f>
        <v/>
      </c>
      <c r="O371" s="14" t="n"/>
      <c r="P371" s="14" t="n"/>
      <c r="Q371" s="14" t="n"/>
      <c r="R371" s="12" t="n"/>
      <c r="S371" s="12" t="n"/>
      <c r="T371" s="14" t="n"/>
      <c r="U371" s="14" t="n"/>
      <c r="V371" s="1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row>
    <row r="372" ht="15" customHeight="1">
      <c r="A372" s="12" t="n"/>
      <c r="B372" s="13">
        <f>IF(A372="","",EOMONTH(A372,0))</f>
        <v/>
      </c>
      <c r="C372" s="14" t="n"/>
      <c r="D372" s="14" t="n"/>
      <c r="E372" s="14" t="n"/>
      <c r="F372" s="15">
        <f>IF(E372="","",IF(COUNTIF(lst_Jobs,E372&amp;"")&gt;0,"OK","CHECK"))</f>
        <v/>
      </c>
      <c r="G372" s="14" t="n"/>
      <c r="H372" s="14" t="n"/>
      <c r="I372" s="14" t="n"/>
      <c r="J372" s="14" t="n"/>
      <c r="K372" s="14" t="n"/>
      <c r="L372" s="16" t="n"/>
      <c r="M372" s="17">
        <f>IF(L372="","",IF(K372="GST 10%",ROUND(L372*set_GSTRate,2),0))</f>
        <v/>
      </c>
      <c r="N372" s="17">
        <f>IF(L372="","",L372+M372)</f>
        <v/>
      </c>
      <c r="O372" s="14" t="n"/>
      <c r="P372" s="14" t="n"/>
      <c r="Q372" s="14" t="n"/>
      <c r="R372" s="12" t="n"/>
      <c r="S372" s="12" t="n"/>
      <c r="T372" s="14" t="n"/>
      <c r="U372" s="14" t="n"/>
      <c r="V372" s="1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row>
    <row r="373" ht="15" customHeight="1">
      <c r="A373" s="12" t="n"/>
      <c r="B373" s="13">
        <f>IF(A373="","",EOMONTH(A373,0))</f>
        <v/>
      </c>
      <c r="C373" s="14" t="n"/>
      <c r="D373" s="14" t="n"/>
      <c r="E373" s="14" t="n"/>
      <c r="F373" s="15">
        <f>IF(E373="","",IF(COUNTIF(lst_Jobs,E373&amp;"")&gt;0,"OK","CHECK"))</f>
        <v/>
      </c>
      <c r="G373" s="14" t="n"/>
      <c r="H373" s="14" t="n"/>
      <c r="I373" s="14" t="n"/>
      <c r="J373" s="14" t="n"/>
      <c r="K373" s="14" t="n"/>
      <c r="L373" s="16" t="n"/>
      <c r="M373" s="17">
        <f>IF(L373="","",IF(K373="GST 10%",ROUND(L373*set_GSTRate,2),0))</f>
        <v/>
      </c>
      <c r="N373" s="17">
        <f>IF(L373="","",L373+M373)</f>
        <v/>
      </c>
      <c r="O373" s="14" t="n"/>
      <c r="P373" s="14" t="n"/>
      <c r="Q373" s="14" t="n"/>
      <c r="R373" s="12" t="n"/>
      <c r="S373" s="12" t="n"/>
      <c r="T373" s="14" t="n"/>
      <c r="U373" s="14" t="n"/>
      <c r="V373" s="1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row>
    <row r="374" ht="15" customHeight="1">
      <c r="A374" s="12" t="n"/>
      <c r="B374" s="13">
        <f>IF(A374="","",EOMONTH(A374,0))</f>
        <v/>
      </c>
      <c r="C374" s="14" t="n"/>
      <c r="D374" s="14" t="n"/>
      <c r="E374" s="14" t="n"/>
      <c r="F374" s="15">
        <f>IF(E374="","",IF(COUNTIF(lst_Jobs,E374&amp;"")&gt;0,"OK","CHECK"))</f>
        <v/>
      </c>
      <c r="G374" s="14" t="n"/>
      <c r="H374" s="14" t="n"/>
      <c r="I374" s="14" t="n"/>
      <c r="J374" s="14" t="n"/>
      <c r="K374" s="14" t="n"/>
      <c r="L374" s="16" t="n"/>
      <c r="M374" s="17">
        <f>IF(L374="","",IF(K374="GST 10%",ROUND(L374*set_GSTRate,2),0))</f>
        <v/>
      </c>
      <c r="N374" s="17">
        <f>IF(L374="","",L374+M374)</f>
        <v/>
      </c>
      <c r="O374" s="14" t="n"/>
      <c r="P374" s="14" t="n"/>
      <c r="Q374" s="14" t="n"/>
      <c r="R374" s="12" t="n"/>
      <c r="S374" s="12" t="n"/>
      <c r="T374" s="14" t="n"/>
      <c r="U374" s="14" t="n"/>
      <c r="V374" s="1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row>
    <row r="375" ht="15" customHeight="1">
      <c r="A375" s="12" t="n"/>
      <c r="B375" s="13">
        <f>IF(A375="","",EOMONTH(A375,0))</f>
        <v/>
      </c>
      <c r="C375" s="14" t="n"/>
      <c r="D375" s="14" t="n"/>
      <c r="E375" s="14" t="n"/>
      <c r="F375" s="15">
        <f>IF(E375="","",IF(COUNTIF(lst_Jobs,E375&amp;"")&gt;0,"OK","CHECK"))</f>
        <v/>
      </c>
      <c r="G375" s="14" t="n"/>
      <c r="H375" s="14" t="n"/>
      <c r="I375" s="14" t="n"/>
      <c r="J375" s="14" t="n"/>
      <c r="K375" s="14" t="n"/>
      <c r="L375" s="16" t="n"/>
      <c r="M375" s="17">
        <f>IF(L375="","",IF(K375="GST 10%",ROUND(L375*set_GSTRate,2),0))</f>
        <v/>
      </c>
      <c r="N375" s="17">
        <f>IF(L375="","",L375+M375)</f>
        <v/>
      </c>
      <c r="O375" s="14" t="n"/>
      <c r="P375" s="14" t="n"/>
      <c r="Q375" s="14" t="n"/>
      <c r="R375" s="12" t="n"/>
      <c r="S375" s="12" t="n"/>
      <c r="T375" s="14" t="n"/>
      <c r="U375" s="14" t="n"/>
      <c r="V375" s="1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row>
    <row r="376" ht="15" customHeight="1">
      <c r="A376" s="12" t="n"/>
      <c r="B376" s="13">
        <f>IF(A376="","",EOMONTH(A376,0))</f>
        <v/>
      </c>
      <c r="C376" s="14" t="n"/>
      <c r="D376" s="14" t="n"/>
      <c r="E376" s="14" t="n"/>
      <c r="F376" s="15">
        <f>IF(E376="","",IF(COUNTIF(lst_Jobs,E376&amp;"")&gt;0,"OK","CHECK"))</f>
        <v/>
      </c>
      <c r="G376" s="14" t="n"/>
      <c r="H376" s="14" t="n"/>
      <c r="I376" s="14" t="n"/>
      <c r="J376" s="14" t="n"/>
      <c r="K376" s="14" t="n"/>
      <c r="L376" s="16" t="n"/>
      <c r="M376" s="17">
        <f>IF(L376="","",IF(K376="GST 10%",ROUND(L376*set_GSTRate,2),0))</f>
        <v/>
      </c>
      <c r="N376" s="17">
        <f>IF(L376="","",L376+M376)</f>
        <v/>
      </c>
      <c r="O376" s="14" t="n"/>
      <c r="P376" s="14" t="n"/>
      <c r="Q376" s="14" t="n"/>
      <c r="R376" s="12" t="n"/>
      <c r="S376" s="12" t="n"/>
      <c r="T376" s="14" t="n"/>
      <c r="U376" s="14" t="n"/>
      <c r="V376" s="1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row>
    <row r="377" ht="15" customHeight="1">
      <c r="A377" s="12" t="n"/>
      <c r="B377" s="13">
        <f>IF(A377="","",EOMONTH(A377,0))</f>
        <v/>
      </c>
      <c r="C377" s="14" t="n"/>
      <c r="D377" s="14" t="n"/>
      <c r="E377" s="14" t="n"/>
      <c r="F377" s="15">
        <f>IF(E377="","",IF(COUNTIF(lst_Jobs,E377&amp;"")&gt;0,"OK","CHECK"))</f>
        <v/>
      </c>
      <c r="G377" s="14" t="n"/>
      <c r="H377" s="14" t="n"/>
      <c r="I377" s="14" t="n"/>
      <c r="J377" s="14" t="n"/>
      <c r="K377" s="14" t="n"/>
      <c r="L377" s="16" t="n"/>
      <c r="M377" s="17">
        <f>IF(L377="","",IF(K377="GST 10%",ROUND(L377*set_GSTRate,2),0))</f>
        <v/>
      </c>
      <c r="N377" s="17">
        <f>IF(L377="","",L377+M377)</f>
        <v/>
      </c>
      <c r="O377" s="14" t="n"/>
      <c r="P377" s="14" t="n"/>
      <c r="Q377" s="14" t="n"/>
      <c r="R377" s="12" t="n"/>
      <c r="S377" s="12" t="n"/>
      <c r="T377" s="14" t="n"/>
      <c r="U377" s="14" t="n"/>
      <c r="V377" s="1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row>
    <row r="378" ht="15" customHeight="1">
      <c r="A378" s="12" t="n"/>
      <c r="B378" s="13">
        <f>IF(A378="","",EOMONTH(A378,0))</f>
        <v/>
      </c>
      <c r="C378" s="14" t="n"/>
      <c r="D378" s="14" t="n"/>
      <c r="E378" s="14" t="n"/>
      <c r="F378" s="15">
        <f>IF(E378="","",IF(COUNTIF(lst_Jobs,E378&amp;"")&gt;0,"OK","CHECK"))</f>
        <v/>
      </c>
      <c r="G378" s="14" t="n"/>
      <c r="H378" s="14" t="n"/>
      <c r="I378" s="14" t="n"/>
      <c r="J378" s="14" t="n"/>
      <c r="K378" s="14" t="n"/>
      <c r="L378" s="16" t="n"/>
      <c r="M378" s="17">
        <f>IF(L378="","",IF(K378="GST 10%",ROUND(L378*set_GSTRate,2),0))</f>
        <v/>
      </c>
      <c r="N378" s="17">
        <f>IF(L378="","",L378+M378)</f>
        <v/>
      </c>
      <c r="O378" s="14" t="n"/>
      <c r="P378" s="14" t="n"/>
      <c r="Q378" s="14" t="n"/>
      <c r="R378" s="12" t="n"/>
      <c r="S378" s="12" t="n"/>
      <c r="T378" s="14" t="n"/>
      <c r="U378" s="14" t="n"/>
      <c r="V378" s="1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row>
    <row r="379" ht="15" customHeight="1">
      <c r="A379" s="12" t="n"/>
      <c r="B379" s="13">
        <f>IF(A379="","",EOMONTH(A379,0))</f>
        <v/>
      </c>
      <c r="C379" s="14" t="n"/>
      <c r="D379" s="14" t="n"/>
      <c r="E379" s="14" t="n"/>
      <c r="F379" s="15">
        <f>IF(E379="","",IF(COUNTIF(lst_Jobs,E379&amp;"")&gt;0,"OK","CHECK"))</f>
        <v/>
      </c>
      <c r="G379" s="14" t="n"/>
      <c r="H379" s="14" t="n"/>
      <c r="I379" s="14" t="n"/>
      <c r="J379" s="14" t="n"/>
      <c r="K379" s="14" t="n"/>
      <c r="L379" s="16" t="n"/>
      <c r="M379" s="17">
        <f>IF(L379="","",IF(K379="GST 10%",ROUND(L379*set_GSTRate,2),0))</f>
        <v/>
      </c>
      <c r="N379" s="17">
        <f>IF(L379="","",L379+M379)</f>
        <v/>
      </c>
      <c r="O379" s="14" t="n"/>
      <c r="P379" s="14" t="n"/>
      <c r="Q379" s="14" t="n"/>
      <c r="R379" s="12" t="n"/>
      <c r="S379" s="12" t="n"/>
      <c r="T379" s="14" t="n"/>
      <c r="U379" s="14" t="n"/>
      <c r="V379" s="1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row>
    <row r="380" ht="15" customHeight="1">
      <c r="A380" s="12" t="n"/>
      <c r="B380" s="13">
        <f>IF(A380="","",EOMONTH(A380,0))</f>
        <v/>
      </c>
      <c r="C380" s="14" t="n"/>
      <c r="D380" s="14" t="n"/>
      <c r="E380" s="14" t="n"/>
      <c r="F380" s="15">
        <f>IF(E380="","",IF(COUNTIF(lst_Jobs,E380&amp;"")&gt;0,"OK","CHECK"))</f>
        <v/>
      </c>
      <c r="G380" s="14" t="n"/>
      <c r="H380" s="14" t="n"/>
      <c r="I380" s="14" t="n"/>
      <c r="J380" s="14" t="n"/>
      <c r="K380" s="14" t="n"/>
      <c r="L380" s="16" t="n"/>
      <c r="M380" s="17">
        <f>IF(L380="","",IF(K380="GST 10%",ROUND(L380*set_GSTRate,2),0))</f>
        <v/>
      </c>
      <c r="N380" s="17">
        <f>IF(L380="","",L380+M380)</f>
        <v/>
      </c>
      <c r="O380" s="14" t="n"/>
      <c r="P380" s="14" t="n"/>
      <c r="Q380" s="14" t="n"/>
      <c r="R380" s="12" t="n"/>
      <c r="S380" s="12" t="n"/>
      <c r="T380" s="14" t="n"/>
      <c r="U380" s="14" t="n"/>
      <c r="V380" s="1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row>
    <row r="381" ht="15" customHeight="1">
      <c r="A381" s="12" t="n"/>
      <c r="B381" s="13">
        <f>IF(A381="","",EOMONTH(A381,0))</f>
        <v/>
      </c>
      <c r="C381" s="14" t="n"/>
      <c r="D381" s="14" t="n"/>
      <c r="E381" s="14" t="n"/>
      <c r="F381" s="15">
        <f>IF(E381="","",IF(COUNTIF(lst_Jobs,E381&amp;"")&gt;0,"OK","CHECK"))</f>
        <v/>
      </c>
      <c r="G381" s="14" t="n"/>
      <c r="H381" s="14" t="n"/>
      <c r="I381" s="14" t="n"/>
      <c r="J381" s="14" t="n"/>
      <c r="K381" s="14" t="n"/>
      <c r="L381" s="16" t="n"/>
      <c r="M381" s="17">
        <f>IF(L381="","",IF(K381="GST 10%",ROUND(L381*set_GSTRate,2),0))</f>
        <v/>
      </c>
      <c r="N381" s="17">
        <f>IF(L381="","",L381+M381)</f>
        <v/>
      </c>
      <c r="O381" s="14" t="n"/>
      <c r="P381" s="14" t="n"/>
      <c r="Q381" s="14" t="n"/>
      <c r="R381" s="12" t="n"/>
      <c r="S381" s="12" t="n"/>
      <c r="T381" s="14" t="n"/>
      <c r="U381" s="14" t="n"/>
      <c r="V381" s="1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row>
    <row r="382" ht="15" customHeight="1">
      <c r="A382" s="12" t="n"/>
      <c r="B382" s="13">
        <f>IF(A382="","",EOMONTH(A382,0))</f>
        <v/>
      </c>
      <c r="C382" s="14" t="n"/>
      <c r="D382" s="14" t="n"/>
      <c r="E382" s="14" t="n"/>
      <c r="F382" s="15">
        <f>IF(E382="","",IF(COUNTIF(lst_Jobs,E382&amp;"")&gt;0,"OK","CHECK"))</f>
        <v/>
      </c>
      <c r="G382" s="14" t="n"/>
      <c r="H382" s="14" t="n"/>
      <c r="I382" s="14" t="n"/>
      <c r="J382" s="14" t="n"/>
      <c r="K382" s="14" t="n"/>
      <c r="L382" s="16" t="n"/>
      <c r="M382" s="17">
        <f>IF(L382="","",IF(K382="GST 10%",ROUND(L382*set_GSTRate,2),0))</f>
        <v/>
      </c>
      <c r="N382" s="17">
        <f>IF(L382="","",L382+M382)</f>
        <v/>
      </c>
      <c r="O382" s="14" t="n"/>
      <c r="P382" s="14" t="n"/>
      <c r="Q382" s="14" t="n"/>
      <c r="R382" s="12" t="n"/>
      <c r="S382" s="12" t="n"/>
      <c r="T382" s="14" t="n"/>
      <c r="U382" s="14" t="n"/>
      <c r="V382" s="1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row>
    <row r="383" ht="15" customHeight="1">
      <c r="A383" s="12" t="n"/>
      <c r="B383" s="13">
        <f>IF(A383="","",EOMONTH(A383,0))</f>
        <v/>
      </c>
      <c r="C383" s="14" t="n"/>
      <c r="D383" s="14" t="n"/>
      <c r="E383" s="14" t="n"/>
      <c r="F383" s="15">
        <f>IF(E383="","",IF(COUNTIF(lst_Jobs,E383&amp;"")&gt;0,"OK","CHECK"))</f>
        <v/>
      </c>
      <c r="G383" s="14" t="n"/>
      <c r="H383" s="14" t="n"/>
      <c r="I383" s="14" t="n"/>
      <c r="J383" s="14" t="n"/>
      <c r="K383" s="14" t="n"/>
      <c r="L383" s="16" t="n"/>
      <c r="M383" s="17">
        <f>IF(L383="","",IF(K383="GST 10%",ROUND(L383*set_GSTRate,2),0))</f>
        <v/>
      </c>
      <c r="N383" s="17">
        <f>IF(L383="","",L383+M383)</f>
        <v/>
      </c>
      <c r="O383" s="14" t="n"/>
      <c r="P383" s="14" t="n"/>
      <c r="Q383" s="14" t="n"/>
      <c r="R383" s="12" t="n"/>
      <c r="S383" s="12" t="n"/>
      <c r="T383" s="14" t="n"/>
      <c r="U383" s="14" t="n"/>
      <c r="V383" s="1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row>
    <row r="384" ht="15" customHeight="1">
      <c r="A384" s="12" t="n"/>
      <c r="B384" s="13">
        <f>IF(A384="","",EOMONTH(A384,0))</f>
        <v/>
      </c>
      <c r="C384" s="14" t="n"/>
      <c r="D384" s="14" t="n"/>
      <c r="E384" s="14" t="n"/>
      <c r="F384" s="15">
        <f>IF(E384="","",IF(COUNTIF(lst_Jobs,E384&amp;"")&gt;0,"OK","CHECK"))</f>
        <v/>
      </c>
      <c r="G384" s="14" t="n"/>
      <c r="H384" s="14" t="n"/>
      <c r="I384" s="14" t="n"/>
      <c r="J384" s="14" t="n"/>
      <c r="K384" s="14" t="n"/>
      <c r="L384" s="16" t="n"/>
      <c r="M384" s="17">
        <f>IF(L384="","",IF(K384="GST 10%",ROUND(L384*set_GSTRate,2),0))</f>
        <v/>
      </c>
      <c r="N384" s="17">
        <f>IF(L384="","",L384+M384)</f>
        <v/>
      </c>
      <c r="O384" s="14" t="n"/>
      <c r="P384" s="14" t="n"/>
      <c r="Q384" s="14" t="n"/>
      <c r="R384" s="12" t="n"/>
      <c r="S384" s="12" t="n"/>
      <c r="T384" s="14" t="n"/>
      <c r="U384" s="14" t="n"/>
      <c r="V384" s="1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row>
    <row r="385" ht="15" customHeight="1">
      <c r="A385" s="12" t="n"/>
      <c r="B385" s="13">
        <f>IF(A385="","",EOMONTH(A385,0))</f>
        <v/>
      </c>
      <c r="C385" s="14" t="n"/>
      <c r="D385" s="14" t="n"/>
      <c r="E385" s="14" t="n"/>
      <c r="F385" s="15">
        <f>IF(E385="","",IF(COUNTIF(lst_Jobs,E385&amp;"")&gt;0,"OK","CHECK"))</f>
        <v/>
      </c>
      <c r="G385" s="14" t="n"/>
      <c r="H385" s="14" t="n"/>
      <c r="I385" s="14" t="n"/>
      <c r="J385" s="14" t="n"/>
      <c r="K385" s="14" t="n"/>
      <c r="L385" s="16" t="n"/>
      <c r="M385" s="17">
        <f>IF(L385="","",IF(K385="GST 10%",ROUND(L385*set_GSTRate,2),0))</f>
        <v/>
      </c>
      <c r="N385" s="17">
        <f>IF(L385="","",L385+M385)</f>
        <v/>
      </c>
      <c r="O385" s="14" t="n"/>
      <c r="P385" s="14" t="n"/>
      <c r="Q385" s="14" t="n"/>
      <c r="R385" s="12" t="n"/>
      <c r="S385" s="12" t="n"/>
      <c r="T385" s="14" t="n"/>
      <c r="U385" s="14" t="n"/>
      <c r="V385" s="1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row>
    <row r="386" ht="15" customHeight="1">
      <c r="A386" s="12" t="n"/>
      <c r="B386" s="13">
        <f>IF(A386="","",EOMONTH(A386,0))</f>
        <v/>
      </c>
      <c r="C386" s="14" t="n"/>
      <c r="D386" s="14" t="n"/>
      <c r="E386" s="14" t="n"/>
      <c r="F386" s="15">
        <f>IF(E386="","",IF(COUNTIF(lst_Jobs,E386&amp;"")&gt;0,"OK","CHECK"))</f>
        <v/>
      </c>
      <c r="G386" s="14" t="n"/>
      <c r="H386" s="14" t="n"/>
      <c r="I386" s="14" t="n"/>
      <c r="J386" s="14" t="n"/>
      <c r="K386" s="14" t="n"/>
      <c r="L386" s="16" t="n"/>
      <c r="M386" s="17">
        <f>IF(L386="","",IF(K386="GST 10%",ROUND(L386*set_GSTRate,2),0))</f>
        <v/>
      </c>
      <c r="N386" s="17">
        <f>IF(L386="","",L386+M386)</f>
        <v/>
      </c>
      <c r="O386" s="14" t="n"/>
      <c r="P386" s="14" t="n"/>
      <c r="Q386" s="14" t="n"/>
      <c r="R386" s="12" t="n"/>
      <c r="S386" s="12" t="n"/>
      <c r="T386" s="14" t="n"/>
      <c r="U386" s="14" t="n"/>
      <c r="V386" s="1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row>
    <row r="387" ht="15" customHeight="1">
      <c r="A387" s="12" t="n"/>
      <c r="B387" s="13">
        <f>IF(A387="","",EOMONTH(A387,0))</f>
        <v/>
      </c>
      <c r="C387" s="14" t="n"/>
      <c r="D387" s="14" t="n"/>
      <c r="E387" s="14" t="n"/>
      <c r="F387" s="15">
        <f>IF(E387="","",IF(COUNTIF(lst_Jobs,E387&amp;"")&gt;0,"OK","CHECK"))</f>
        <v/>
      </c>
      <c r="G387" s="14" t="n"/>
      <c r="H387" s="14" t="n"/>
      <c r="I387" s="14" t="n"/>
      <c r="J387" s="14" t="n"/>
      <c r="K387" s="14" t="n"/>
      <c r="L387" s="16" t="n"/>
      <c r="M387" s="17">
        <f>IF(L387="","",IF(K387="GST 10%",ROUND(L387*set_GSTRate,2),0))</f>
        <v/>
      </c>
      <c r="N387" s="17">
        <f>IF(L387="","",L387+M387)</f>
        <v/>
      </c>
      <c r="O387" s="14" t="n"/>
      <c r="P387" s="14" t="n"/>
      <c r="Q387" s="14" t="n"/>
      <c r="R387" s="12" t="n"/>
      <c r="S387" s="12" t="n"/>
      <c r="T387" s="14" t="n"/>
      <c r="U387" s="14" t="n"/>
      <c r="V387" s="1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row>
    <row r="388" ht="15" customHeight="1">
      <c r="A388" s="12" t="n"/>
      <c r="B388" s="13">
        <f>IF(A388="","",EOMONTH(A388,0))</f>
        <v/>
      </c>
      <c r="C388" s="14" t="n"/>
      <c r="D388" s="14" t="n"/>
      <c r="E388" s="14" t="n"/>
      <c r="F388" s="15">
        <f>IF(E388="","",IF(COUNTIF(lst_Jobs,E388&amp;"")&gt;0,"OK","CHECK"))</f>
        <v/>
      </c>
      <c r="G388" s="14" t="n"/>
      <c r="H388" s="14" t="n"/>
      <c r="I388" s="14" t="n"/>
      <c r="J388" s="14" t="n"/>
      <c r="K388" s="14" t="n"/>
      <c r="L388" s="16" t="n"/>
      <c r="M388" s="17">
        <f>IF(L388="","",IF(K388="GST 10%",ROUND(L388*set_GSTRate,2),0))</f>
        <v/>
      </c>
      <c r="N388" s="17">
        <f>IF(L388="","",L388+M388)</f>
        <v/>
      </c>
      <c r="O388" s="14" t="n"/>
      <c r="P388" s="14" t="n"/>
      <c r="Q388" s="14" t="n"/>
      <c r="R388" s="12" t="n"/>
      <c r="S388" s="12" t="n"/>
      <c r="T388" s="14" t="n"/>
      <c r="U388" s="14" t="n"/>
      <c r="V388" s="1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row>
    <row r="389" ht="15" customHeight="1">
      <c r="A389" s="12" t="n"/>
      <c r="B389" s="13">
        <f>IF(A389="","",EOMONTH(A389,0))</f>
        <v/>
      </c>
      <c r="C389" s="14" t="n"/>
      <c r="D389" s="14" t="n"/>
      <c r="E389" s="14" t="n"/>
      <c r="F389" s="15">
        <f>IF(E389="","",IF(COUNTIF(lst_Jobs,E389&amp;"")&gt;0,"OK","CHECK"))</f>
        <v/>
      </c>
      <c r="G389" s="14" t="n"/>
      <c r="H389" s="14" t="n"/>
      <c r="I389" s="14" t="n"/>
      <c r="J389" s="14" t="n"/>
      <c r="K389" s="14" t="n"/>
      <c r="L389" s="16" t="n"/>
      <c r="M389" s="17">
        <f>IF(L389="","",IF(K389="GST 10%",ROUND(L389*set_GSTRate,2),0))</f>
        <v/>
      </c>
      <c r="N389" s="17">
        <f>IF(L389="","",L389+M389)</f>
        <v/>
      </c>
      <c r="O389" s="14" t="n"/>
      <c r="P389" s="14" t="n"/>
      <c r="Q389" s="14" t="n"/>
      <c r="R389" s="12" t="n"/>
      <c r="S389" s="12" t="n"/>
      <c r="T389" s="14" t="n"/>
      <c r="U389" s="14" t="n"/>
      <c r="V389" s="1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row>
    <row r="390" ht="15" customHeight="1">
      <c r="A390" s="12" t="n"/>
      <c r="B390" s="13">
        <f>IF(A390="","",EOMONTH(A390,0))</f>
        <v/>
      </c>
      <c r="C390" s="14" t="n"/>
      <c r="D390" s="14" t="n"/>
      <c r="E390" s="14" t="n"/>
      <c r="F390" s="15">
        <f>IF(E390="","",IF(COUNTIF(lst_Jobs,E390&amp;"")&gt;0,"OK","CHECK"))</f>
        <v/>
      </c>
      <c r="G390" s="14" t="n"/>
      <c r="H390" s="14" t="n"/>
      <c r="I390" s="14" t="n"/>
      <c r="J390" s="14" t="n"/>
      <c r="K390" s="14" t="n"/>
      <c r="L390" s="16" t="n"/>
      <c r="M390" s="17">
        <f>IF(L390="","",IF(K390="GST 10%",ROUND(L390*set_GSTRate,2),0))</f>
        <v/>
      </c>
      <c r="N390" s="17">
        <f>IF(L390="","",L390+M390)</f>
        <v/>
      </c>
      <c r="O390" s="14" t="n"/>
      <c r="P390" s="14" t="n"/>
      <c r="Q390" s="14" t="n"/>
      <c r="R390" s="12" t="n"/>
      <c r="S390" s="12" t="n"/>
      <c r="T390" s="14" t="n"/>
      <c r="U390" s="14" t="n"/>
      <c r="V390" s="1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row>
    <row r="391" ht="15" customHeight="1">
      <c r="A391" s="12" t="n"/>
      <c r="B391" s="13">
        <f>IF(A391="","",EOMONTH(A391,0))</f>
        <v/>
      </c>
      <c r="C391" s="14" t="n"/>
      <c r="D391" s="14" t="n"/>
      <c r="E391" s="14" t="n"/>
      <c r="F391" s="15">
        <f>IF(E391="","",IF(COUNTIF(lst_Jobs,E391&amp;"")&gt;0,"OK","CHECK"))</f>
        <v/>
      </c>
      <c r="G391" s="14" t="n"/>
      <c r="H391" s="14" t="n"/>
      <c r="I391" s="14" t="n"/>
      <c r="J391" s="14" t="n"/>
      <c r="K391" s="14" t="n"/>
      <c r="L391" s="16" t="n"/>
      <c r="M391" s="17">
        <f>IF(L391="","",IF(K391="GST 10%",ROUND(L391*set_GSTRate,2),0))</f>
        <v/>
      </c>
      <c r="N391" s="17">
        <f>IF(L391="","",L391+M391)</f>
        <v/>
      </c>
      <c r="O391" s="14" t="n"/>
      <c r="P391" s="14" t="n"/>
      <c r="Q391" s="14" t="n"/>
      <c r="R391" s="12" t="n"/>
      <c r="S391" s="12" t="n"/>
      <c r="T391" s="14" t="n"/>
      <c r="U391" s="14" t="n"/>
      <c r="V391" s="1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row>
    <row r="392" ht="15" customHeight="1">
      <c r="A392" s="12" t="n"/>
      <c r="B392" s="13">
        <f>IF(A392="","",EOMONTH(A392,0))</f>
        <v/>
      </c>
      <c r="C392" s="14" t="n"/>
      <c r="D392" s="14" t="n"/>
      <c r="E392" s="14" t="n"/>
      <c r="F392" s="15">
        <f>IF(E392="","",IF(COUNTIF(lst_Jobs,E392&amp;"")&gt;0,"OK","CHECK"))</f>
        <v/>
      </c>
      <c r="G392" s="14" t="n"/>
      <c r="H392" s="14" t="n"/>
      <c r="I392" s="14" t="n"/>
      <c r="J392" s="14" t="n"/>
      <c r="K392" s="14" t="n"/>
      <c r="L392" s="16" t="n"/>
      <c r="M392" s="17">
        <f>IF(L392="","",IF(K392="GST 10%",ROUND(L392*set_GSTRate,2),0))</f>
        <v/>
      </c>
      <c r="N392" s="17">
        <f>IF(L392="","",L392+M392)</f>
        <v/>
      </c>
      <c r="O392" s="14" t="n"/>
      <c r="P392" s="14" t="n"/>
      <c r="Q392" s="14" t="n"/>
      <c r="R392" s="12" t="n"/>
      <c r="S392" s="12" t="n"/>
      <c r="T392" s="14" t="n"/>
      <c r="U392" s="14" t="n"/>
      <c r="V392" s="1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row>
    <row r="393" ht="15" customHeight="1">
      <c r="A393" s="12" t="n"/>
      <c r="B393" s="13">
        <f>IF(A393="","",EOMONTH(A393,0))</f>
        <v/>
      </c>
      <c r="C393" s="14" t="n"/>
      <c r="D393" s="14" t="n"/>
      <c r="E393" s="14" t="n"/>
      <c r="F393" s="15">
        <f>IF(E393="","",IF(COUNTIF(lst_Jobs,E393&amp;"")&gt;0,"OK","CHECK"))</f>
        <v/>
      </c>
      <c r="G393" s="14" t="n"/>
      <c r="H393" s="14" t="n"/>
      <c r="I393" s="14" t="n"/>
      <c r="J393" s="14" t="n"/>
      <c r="K393" s="14" t="n"/>
      <c r="L393" s="16" t="n"/>
      <c r="M393" s="17">
        <f>IF(L393="","",IF(K393="GST 10%",ROUND(L393*set_GSTRate,2),0))</f>
        <v/>
      </c>
      <c r="N393" s="17">
        <f>IF(L393="","",L393+M393)</f>
        <v/>
      </c>
      <c r="O393" s="14" t="n"/>
      <c r="P393" s="14" t="n"/>
      <c r="Q393" s="14" t="n"/>
      <c r="R393" s="12" t="n"/>
      <c r="S393" s="12" t="n"/>
      <c r="T393" s="14" t="n"/>
      <c r="U393" s="14" t="n"/>
      <c r="V393" s="1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row>
    <row r="394" ht="15" customHeight="1">
      <c r="A394" s="12" t="n"/>
      <c r="B394" s="13">
        <f>IF(A394="","",EOMONTH(A394,0))</f>
        <v/>
      </c>
      <c r="C394" s="14" t="n"/>
      <c r="D394" s="14" t="n"/>
      <c r="E394" s="14" t="n"/>
      <c r="F394" s="15">
        <f>IF(E394="","",IF(COUNTIF(lst_Jobs,E394&amp;"")&gt;0,"OK","CHECK"))</f>
        <v/>
      </c>
      <c r="G394" s="14" t="n"/>
      <c r="H394" s="14" t="n"/>
      <c r="I394" s="14" t="n"/>
      <c r="J394" s="14" t="n"/>
      <c r="K394" s="14" t="n"/>
      <c r="L394" s="16" t="n"/>
      <c r="M394" s="17">
        <f>IF(L394="","",IF(K394="GST 10%",ROUND(L394*set_GSTRate,2),0))</f>
        <v/>
      </c>
      <c r="N394" s="17">
        <f>IF(L394="","",L394+M394)</f>
        <v/>
      </c>
      <c r="O394" s="14" t="n"/>
      <c r="P394" s="14" t="n"/>
      <c r="Q394" s="14" t="n"/>
      <c r="R394" s="12" t="n"/>
      <c r="S394" s="12" t="n"/>
      <c r="T394" s="14" t="n"/>
      <c r="U394" s="14" t="n"/>
      <c r="V394" s="1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row>
    <row r="395" ht="15" customHeight="1">
      <c r="A395" s="12" t="n"/>
      <c r="B395" s="13">
        <f>IF(A395="","",EOMONTH(A395,0))</f>
        <v/>
      </c>
      <c r="C395" s="14" t="n"/>
      <c r="D395" s="14" t="n"/>
      <c r="E395" s="14" t="n"/>
      <c r="F395" s="15">
        <f>IF(E395="","",IF(COUNTIF(lst_Jobs,E395&amp;"")&gt;0,"OK","CHECK"))</f>
        <v/>
      </c>
      <c r="G395" s="14" t="n"/>
      <c r="H395" s="14" t="n"/>
      <c r="I395" s="14" t="n"/>
      <c r="J395" s="14" t="n"/>
      <c r="K395" s="14" t="n"/>
      <c r="L395" s="16" t="n"/>
      <c r="M395" s="17">
        <f>IF(L395="","",IF(K395="GST 10%",ROUND(L395*set_GSTRate,2),0))</f>
        <v/>
      </c>
      <c r="N395" s="17">
        <f>IF(L395="","",L395+M395)</f>
        <v/>
      </c>
      <c r="O395" s="14" t="n"/>
      <c r="P395" s="14" t="n"/>
      <c r="Q395" s="14" t="n"/>
      <c r="R395" s="12" t="n"/>
      <c r="S395" s="12" t="n"/>
      <c r="T395" s="14" t="n"/>
      <c r="U395" s="14" t="n"/>
      <c r="V395" s="1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row>
    <row r="396" ht="15" customHeight="1">
      <c r="A396" s="12" t="n"/>
      <c r="B396" s="13">
        <f>IF(A396="","",EOMONTH(A396,0))</f>
        <v/>
      </c>
      <c r="C396" s="14" t="n"/>
      <c r="D396" s="14" t="n"/>
      <c r="E396" s="14" t="n"/>
      <c r="F396" s="15">
        <f>IF(E396="","",IF(COUNTIF(lst_Jobs,E396&amp;"")&gt;0,"OK","CHECK"))</f>
        <v/>
      </c>
      <c r="G396" s="14" t="n"/>
      <c r="H396" s="14" t="n"/>
      <c r="I396" s="14" t="n"/>
      <c r="J396" s="14" t="n"/>
      <c r="K396" s="14" t="n"/>
      <c r="L396" s="16" t="n"/>
      <c r="M396" s="17">
        <f>IF(L396="","",IF(K396="GST 10%",ROUND(L396*set_GSTRate,2),0))</f>
        <v/>
      </c>
      <c r="N396" s="17">
        <f>IF(L396="","",L396+M396)</f>
        <v/>
      </c>
      <c r="O396" s="14" t="n"/>
      <c r="P396" s="14" t="n"/>
      <c r="Q396" s="14" t="n"/>
      <c r="R396" s="12" t="n"/>
      <c r="S396" s="12" t="n"/>
      <c r="T396" s="14" t="n"/>
      <c r="U396" s="14" t="n"/>
      <c r="V396" s="1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row>
    <row r="397" ht="15" customHeight="1">
      <c r="A397" s="12" t="n"/>
      <c r="B397" s="13">
        <f>IF(A397="","",EOMONTH(A397,0))</f>
        <v/>
      </c>
      <c r="C397" s="14" t="n"/>
      <c r="D397" s="14" t="n"/>
      <c r="E397" s="14" t="n"/>
      <c r="F397" s="15">
        <f>IF(E397="","",IF(COUNTIF(lst_Jobs,E397&amp;"")&gt;0,"OK","CHECK"))</f>
        <v/>
      </c>
      <c r="G397" s="14" t="n"/>
      <c r="H397" s="14" t="n"/>
      <c r="I397" s="14" t="n"/>
      <c r="J397" s="14" t="n"/>
      <c r="K397" s="14" t="n"/>
      <c r="L397" s="16" t="n"/>
      <c r="M397" s="17">
        <f>IF(L397="","",IF(K397="GST 10%",ROUND(L397*set_GSTRate,2),0))</f>
        <v/>
      </c>
      <c r="N397" s="17">
        <f>IF(L397="","",L397+M397)</f>
        <v/>
      </c>
      <c r="O397" s="14" t="n"/>
      <c r="P397" s="14" t="n"/>
      <c r="Q397" s="14" t="n"/>
      <c r="R397" s="12" t="n"/>
      <c r="S397" s="12" t="n"/>
      <c r="T397" s="14" t="n"/>
      <c r="U397" s="14" t="n"/>
      <c r="V397" s="1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row>
    <row r="398" ht="15" customHeight="1">
      <c r="A398" s="12" t="n"/>
      <c r="B398" s="13">
        <f>IF(A398="","",EOMONTH(A398,0))</f>
        <v/>
      </c>
      <c r="C398" s="14" t="n"/>
      <c r="D398" s="14" t="n"/>
      <c r="E398" s="14" t="n"/>
      <c r="F398" s="15">
        <f>IF(E398="","",IF(COUNTIF(lst_Jobs,E398&amp;"")&gt;0,"OK","CHECK"))</f>
        <v/>
      </c>
      <c r="G398" s="14" t="n"/>
      <c r="H398" s="14" t="n"/>
      <c r="I398" s="14" t="n"/>
      <c r="J398" s="14" t="n"/>
      <c r="K398" s="14" t="n"/>
      <c r="L398" s="16" t="n"/>
      <c r="M398" s="17">
        <f>IF(L398="","",IF(K398="GST 10%",ROUND(L398*set_GSTRate,2),0))</f>
        <v/>
      </c>
      <c r="N398" s="17">
        <f>IF(L398="","",L398+M398)</f>
        <v/>
      </c>
      <c r="O398" s="14" t="n"/>
      <c r="P398" s="14" t="n"/>
      <c r="Q398" s="14" t="n"/>
      <c r="R398" s="12" t="n"/>
      <c r="S398" s="12" t="n"/>
      <c r="T398" s="14" t="n"/>
      <c r="U398" s="14" t="n"/>
      <c r="V398" s="1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row>
    <row r="399" ht="15" customHeight="1">
      <c r="A399" s="12" t="n"/>
      <c r="B399" s="13">
        <f>IF(A399="","",EOMONTH(A399,0))</f>
        <v/>
      </c>
      <c r="C399" s="14" t="n"/>
      <c r="D399" s="14" t="n"/>
      <c r="E399" s="14" t="n"/>
      <c r="F399" s="15">
        <f>IF(E399="","",IF(COUNTIF(lst_Jobs,E399&amp;"")&gt;0,"OK","CHECK"))</f>
        <v/>
      </c>
      <c r="G399" s="14" t="n"/>
      <c r="H399" s="14" t="n"/>
      <c r="I399" s="14" t="n"/>
      <c r="J399" s="14" t="n"/>
      <c r="K399" s="14" t="n"/>
      <c r="L399" s="16" t="n"/>
      <c r="M399" s="17">
        <f>IF(L399="","",IF(K399="GST 10%",ROUND(L399*set_GSTRate,2),0))</f>
        <v/>
      </c>
      <c r="N399" s="17">
        <f>IF(L399="","",L399+M399)</f>
        <v/>
      </c>
      <c r="O399" s="14" t="n"/>
      <c r="P399" s="14" t="n"/>
      <c r="Q399" s="14" t="n"/>
      <c r="R399" s="12" t="n"/>
      <c r="S399" s="12" t="n"/>
      <c r="T399" s="14" t="n"/>
      <c r="U399" s="14" t="n"/>
      <c r="V399" s="1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row>
    <row r="400" ht="15" customHeight="1">
      <c r="A400" s="12" t="n"/>
      <c r="B400" s="13">
        <f>IF(A400="","",EOMONTH(A400,0))</f>
        <v/>
      </c>
      <c r="C400" s="14" t="n"/>
      <c r="D400" s="14" t="n"/>
      <c r="E400" s="14" t="n"/>
      <c r="F400" s="15">
        <f>IF(E400="","",IF(COUNTIF(lst_Jobs,E400&amp;"")&gt;0,"OK","CHECK"))</f>
        <v/>
      </c>
      <c r="G400" s="14" t="n"/>
      <c r="H400" s="14" t="n"/>
      <c r="I400" s="14" t="n"/>
      <c r="J400" s="14" t="n"/>
      <c r="K400" s="14" t="n"/>
      <c r="L400" s="16" t="n"/>
      <c r="M400" s="17">
        <f>IF(L400="","",IF(K400="GST 10%",ROUND(L400*set_GSTRate,2),0))</f>
        <v/>
      </c>
      <c r="N400" s="17">
        <f>IF(L400="","",L400+M400)</f>
        <v/>
      </c>
      <c r="O400" s="14" t="n"/>
      <c r="P400" s="14" t="n"/>
      <c r="Q400" s="14" t="n"/>
      <c r="R400" s="12" t="n"/>
      <c r="S400" s="12" t="n"/>
      <c r="T400" s="14" t="n"/>
      <c r="U400" s="14" t="n"/>
      <c r="V400" s="1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row>
    <row r="401" ht="15" customHeight="1">
      <c r="A401" s="12" t="n"/>
      <c r="B401" s="13">
        <f>IF(A401="","",EOMONTH(A401,0))</f>
        <v/>
      </c>
      <c r="C401" s="14" t="n"/>
      <c r="D401" s="14" t="n"/>
      <c r="E401" s="14" t="n"/>
      <c r="F401" s="15">
        <f>IF(E401="","",IF(COUNTIF(lst_Jobs,E401&amp;"")&gt;0,"OK","CHECK"))</f>
        <v/>
      </c>
      <c r="G401" s="14" t="n"/>
      <c r="H401" s="14" t="n"/>
      <c r="I401" s="14" t="n"/>
      <c r="J401" s="14" t="n"/>
      <c r="K401" s="14" t="n"/>
      <c r="L401" s="16" t="n"/>
      <c r="M401" s="17">
        <f>IF(L401="","",IF(K401="GST 10%",ROUND(L401*set_GSTRate,2),0))</f>
        <v/>
      </c>
      <c r="N401" s="17">
        <f>IF(L401="","",L401+M401)</f>
        <v/>
      </c>
      <c r="O401" s="14" t="n"/>
      <c r="P401" s="14" t="n"/>
      <c r="Q401" s="14" t="n"/>
      <c r="R401" s="12" t="n"/>
      <c r="S401" s="12" t="n"/>
      <c r="T401" s="14" t="n"/>
      <c r="U401" s="14" t="n"/>
      <c r="V401" s="1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row>
    <row r="402" ht="15" customHeight="1">
      <c r="A402" s="12" t="n"/>
      <c r="B402" s="13">
        <f>IF(A402="","",EOMONTH(A402,0))</f>
        <v/>
      </c>
      <c r="C402" s="14" t="n"/>
      <c r="D402" s="14" t="n"/>
      <c r="E402" s="14" t="n"/>
      <c r="F402" s="15">
        <f>IF(E402="","",IF(COUNTIF(lst_Jobs,E402&amp;"")&gt;0,"OK","CHECK"))</f>
        <v/>
      </c>
      <c r="G402" s="14" t="n"/>
      <c r="H402" s="14" t="n"/>
      <c r="I402" s="14" t="n"/>
      <c r="J402" s="14" t="n"/>
      <c r="K402" s="14" t="n"/>
      <c r="L402" s="16" t="n"/>
      <c r="M402" s="17">
        <f>IF(L402="","",IF(K402="GST 10%",ROUND(L402*set_GSTRate,2),0))</f>
        <v/>
      </c>
      <c r="N402" s="17">
        <f>IF(L402="","",L402+M402)</f>
        <v/>
      </c>
      <c r="O402" s="14" t="n"/>
      <c r="P402" s="14" t="n"/>
      <c r="Q402" s="14" t="n"/>
      <c r="R402" s="12" t="n"/>
      <c r="S402" s="12" t="n"/>
      <c r="T402" s="14" t="n"/>
      <c r="U402" s="14" t="n"/>
      <c r="V402" s="1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row>
    <row r="403" ht="15" customHeight="1">
      <c r="A403" s="12" t="n"/>
      <c r="B403" s="13">
        <f>IF(A403="","",EOMONTH(A403,0))</f>
        <v/>
      </c>
      <c r="C403" s="14" t="n"/>
      <c r="D403" s="14" t="n"/>
      <c r="E403" s="14" t="n"/>
      <c r="F403" s="15">
        <f>IF(E403="","",IF(COUNTIF(lst_Jobs,E403&amp;"")&gt;0,"OK","CHECK"))</f>
        <v/>
      </c>
      <c r="G403" s="14" t="n"/>
      <c r="H403" s="14" t="n"/>
      <c r="I403" s="14" t="n"/>
      <c r="J403" s="14" t="n"/>
      <c r="K403" s="14" t="n"/>
      <c r="L403" s="16" t="n"/>
      <c r="M403" s="17">
        <f>IF(L403="","",IF(K403="GST 10%",ROUND(L403*set_GSTRate,2),0))</f>
        <v/>
      </c>
      <c r="N403" s="17">
        <f>IF(L403="","",L403+M403)</f>
        <v/>
      </c>
      <c r="O403" s="14" t="n"/>
      <c r="P403" s="14" t="n"/>
      <c r="Q403" s="14" t="n"/>
      <c r="R403" s="12" t="n"/>
      <c r="S403" s="12" t="n"/>
      <c r="T403" s="14" t="n"/>
      <c r="U403" s="14" t="n"/>
      <c r="V403" s="1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row>
    <row r="404" ht="15" customHeight="1">
      <c r="A404" s="12" t="n"/>
      <c r="B404" s="13">
        <f>IF(A404="","",EOMONTH(A404,0))</f>
        <v/>
      </c>
      <c r="C404" s="14" t="n"/>
      <c r="D404" s="14" t="n"/>
      <c r="E404" s="14" t="n"/>
      <c r="F404" s="15">
        <f>IF(E404="","",IF(COUNTIF(lst_Jobs,E404&amp;"")&gt;0,"OK","CHECK"))</f>
        <v/>
      </c>
      <c r="G404" s="14" t="n"/>
      <c r="H404" s="14" t="n"/>
      <c r="I404" s="14" t="n"/>
      <c r="J404" s="14" t="n"/>
      <c r="K404" s="14" t="n"/>
      <c r="L404" s="16" t="n"/>
      <c r="M404" s="17">
        <f>IF(L404="","",IF(K404="GST 10%",ROUND(L404*set_GSTRate,2),0))</f>
        <v/>
      </c>
      <c r="N404" s="17">
        <f>IF(L404="","",L404+M404)</f>
        <v/>
      </c>
      <c r="O404" s="14" t="n"/>
      <c r="P404" s="14" t="n"/>
      <c r="Q404" s="14" t="n"/>
      <c r="R404" s="12" t="n"/>
      <c r="S404" s="12" t="n"/>
      <c r="T404" s="14" t="n"/>
      <c r="U404" s="14" t="n"/>
      <c r="V404" s="1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row>
    <row r="405" ht="15" customHeight="1">
      <c r="A405" s="12" t="n"/>
      <c r="B405" s="13">
        <f>IF(A405="","",EOMONTH(A405,0))</f>
        <v/>
      </c>
      <c r="C405" s="14" t="n"/>
      <c r="D405" s="14" t="n"/>
      <c r="E405" s="14" t="n"/>
      <c r="F405" s="15">
        <f>IF(E405="","",IF(COUNTIF(lst_Jobs,E405&amp;"")&gt;0,"OK","CHECK"))</f>
        <v/>
      </c>
      <c r="G405" s="14" t="n"/>
      <c r="H405" s="14" t="n"/>
      <c r="I405" s="14" t="n"/>
      <c r="J405" s="14" t="n"/>
      <c r="K405" s="14" t="n"/>
      <c r="L405" s="16" t="n"/>
      <c r="M405" s="17">
        <f>IF(L405="","",IF(K405="GST 10%",ROUND(L405*set_GSTRate,2),0))</f>
        <v/>
      </c>
      <c r="N405" s="17">
        <f>IF(L405="","",L405+M405)</f>
        <v/>
      </c>
      <c r="O405" s="14" t="n"/>
      <c r="P405" s="14" t="n"/>
      <c r="Q405" s="14" t="n"/>
      <c r="R405" s="12" t="n"/>
      <c r="S405" s="12" t="n"/>
      <c r="T405" s="14" t="n"/>
      <c r="U405" s="14" t="n"/>
      <c r="V405" s="1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row>
    <row r="406" ht="15" customHeight="1">
      <c r="A406" s="12" t="n"/>
      <c r="B406" s="13">
        <f>IF(A406="","",EOMONTH(A406,0))</f>
        <v/>
      </c>
      <c r="C406" s="14" t="n"/>
      <c r="D406" s="14" t="n"/>
      <c r="E406" s="14" t="n"/>
      <c r="F406" s="15">
        <f>IF(E406="","",IF(COUNTIF(lst_Jobs,E406&amp;"")&gt;0,"OK","CHECK"))</f>
        <v/>
      </c>
      <c r="G406" s="14" t="n"/>
      <c r="H406" s="14" t="n"/>
      <c r="I406" s="14" t="n"/>
      <c r="J406" s="14" t="n"/>
      <c r="K406" s="14" t="n"/>
      <c r="L406" s="16" t="n"/>
      <c r="M406" s="17">
        <f>IF(L406="","",IF(K406="GST 10%",ROUND(L406*set_GSTRate,2),0))</f>
        <v/>
      </c>
      <c r="N406" s="17">
        <f>IF(L406="","",L406+M406)</f>
        <v/>
      </c>
      <c r="O406" s="14" t="n"/>
      <c r="P406" s="14" t="n"/>
      <c r="Q406" s="14" t="n"/>
      <c r="R406" s="12" t="n"/>
      <c r="S406" s="12" t="n"/>
      <c r="T406" s="14" t="n"/>
      <c r="U406" s="14" t="n"/>
      <c r="V406" s="1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row>
    <row r="407" ht="15" customHeight="1">
      <c r="A407" s="12" t="n"/>
      <c r="B407" s="13">
        <f>IF(A407="","",EOMONTH(A407,0))</f>
        <v/>
      </c>
      <c r="C407" s="14" t="n"/>
      <c r="D407" s="14" t="n"/>
      <c r="E407" s="14" t="n"/>
      <c r="F407" s="15">
        <f>IF(E407="","",IF(COUNTIF(lst_Jobs,E407&amp;"")&gt;0,"OK","CHECK"))</f>
        <v/>
      </c>
      <c r="G407" s="14" t="n"/>
      <c r="H407" s="14" t="n"/>
      <c r="I407" s="14" t="n"/>
      <c r="J407" s="14" t="n"/>
      <c r="K407" s="14" t="n"/>
      <c r="L407" s="16" t="n"/>
      <c r="M407" s="17">
        <f>IF(L407="","",IF(K407="GST 10%",ROUND(L407*set_GSTRate,2),0))</f>
        <v/>
      </c>
      <c r="N407" s="17">
        <f>IF(L407="","",L407+M407)</f>
        <v/>
      </c>
      <c r="O407" s="14" t="n"/>
      <c r="P407" s="14" t="n"/>
      <c r="Q407" s="14" t="n"/>
      <c r="R407" s="12" t="n"/>
      <c r="S407" s="12" t="n"/>
      <c r="T407" s="14" t="n"/>
      <c r="U407" s="14" t="n"/>
      <c r="V407" s="1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row>
    <row r="408" ht="15" customHeight="1">
      <c r="A408" s="12" t="n"/>
      <c r="B408" s="13">
        <f>IF(A408="","",EOMONTH(A408,0))</f>
        <v/>
      </c>
      <c r="C408" s="14" t="n"/>
      <c r="D408" s="14" t="n"/>
      <c r="E408" s="14" t="n"/>
      <c r="F408" s="15">
        <f>IF(E408="","",IF(COUNTIF(lst_Jobs,E408&amp;"")&gt;0,"OK","CHECK"))</f>
        <v/>
      </c>
      <c r="G408" s="14" t="n"/>
      <c r="H408" s="14" t="n"/>
      <c r="I408" s="14" t="n"/>
      <c r="J408" s="14" t="n"/>
      <c r="K408" s="14" t="n"/>
      <c r="L408" s="16" t="n"/>
      <c r="M408" s="17">
        <f>IF(L408="","",IF(K408="GST 10%",ROUND(L408*set_GSTRate,2),0))</f>
        <v/>
      </c>
      <c r="N408" s="17">
        <f>IF(L408="","",L408+M408)</f>
        <v/>
      </c>
      <c r="O408" s="14" t="n"/>
      <c r="P408" s="14" t="n"/>
      <c r="Q408" s="14" t="n"/>
      <c r="R408" s="12" t="n"/>
      <c r="S408" s="12" t="n"/>
      <c r="T408" s="14" t="n"/>
      <c r="U408" s="14" t="n"/>
      <c r="V408" s="1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row>
    <row r="409" ht="15" customHeight="1">
      <c r="A409" s="12" t="n"/>
      <c r="B409" s="13">
        <f>IF(A409="","",EOMONTH(A409,0))</f>
        <v/>
      </c>
      <c r="C409" s="14" t="n"/>
      <c r="D409" s="14" t="n"/>
      <c r="E409" s="14" t="n"/>
      <c r="F409" s="15">
        <f>IF(E409="","",IF(COUNTIF(lst_Jobs,E409&amp;"")&gt;0,"OK","CHECK"))</f>
        <v/>
      </c>
      <c r="G409" s="14" t="n"/>
      <c r="H409" s="14" t="n"/>
      <c r="I409" s="14" t="n"/>
      <c r="J409" s="14" t="n"/>
      <c r="K409" s="14" t="n"/>
      <c r="L409" s="16" t="n"/>
      <c r="M409" s="17">
        <f>IF(L409="","",IF(K409="GST 10%",ROUND(L409*set_GSTRate,2),0))</f>
        <v/>
      </c>
      <c r="N409" s="17">
        <f>IF(L409="","",L409+M409)</f>
        <v/>
      </c>
      <c r="O409" s="14" t="n"/>
      <c r="P409" s="14" t="n"/>
      <c r="Q409" s="14" t="n"/>
      <c r="R409" s="12" t="n"/>
      <c r="S409" s="12" t="n"/>
      <c r="T409" s="14" t="n"/>
      <c r="U409" s="14" t="n"/>
      <c r="V409" s="1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row>
    <row r="410" ht="15" customHeight="1">
      <c r="A410" s="12" t="n"/>
      <c r="B410" s="13">
        <f>IF(A410="","",EOMONTH(A410,0))</f>
        <v/>
      </c>
      <c r="C410" s="14" t="n"/>
      <c r="D410" s="14" t="n"/>
      <c r="E410" s="14" t="n"/>
      <c r="F410" s="15">
        <f>IF(E410="","",IF(COUNTIF(lst_Jobs,E410&amp;"")&gt;0,"OK","CHECK"))</f>
        <v/>
      </c>
      <c r="G410" s="14" t="n"/>
      <c r="H410" s="14" t="n"/>
      <c r="I410" s="14" t="n"/>
      <c r="J410" s="14" t="n"/>
      <c r="K410" s="14" t="n"/>
      <c r="L410" s="16" t="n"/>
      <c r="M410" s="17">
        <f>IF(L410="","",IF(K410="GST 10%",ROUND(L410*set_GSTRate,2),0))</f>
        <v/>
      </c>
      <c r="N410" s="17">
        <f>IF(L410="","",L410+M410)</f>
        <v/>
      </c>
      <c r="O410" s="14" t="n"/>
      <c r="P410" s="14" t="n"/>
      <c r="Q410" s="14" t="n"/>
      <c r="R410" s="12" t="n"/>
      <c r="S410" s="12" t="n"/>
      <c r="T410" s="14" t="n"/>
      <c r="U410" s="14" t="n"/>
      <c r="V410" s="1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row>
    <row r="411" ht="15" customHeight="1">
      <c r="A411" s="12" t="n"/>
      <c r="B411" s="13">
        <f>IF(A411="","",EOMONTH(A411,0))</f>
        <v/>
      </c>
      <c r="C411" s="14" t="n"/>
      <c r="D411" s="14" t="n"/>
      <c r="E411" s="14" t="n"/>
      <c r="F411" s="15">
        <f>IF(E411="","",IF(COUNTIF(lst_Jobs,E411&amp;"")&gt;0,"OK","CHECK"))</f>
        <v/>
      </c>
      <c r="G411" s="14" t="n"/>
      <c r="H411" s="14" t="n"/>
      <c r="I411" s="14" t="n"/>
      <c r="J411" s="14" t="n"/>
      <c r="K411" s="14" t="n"/>
      <c r="L411" s="16" t="n"/>
      <c r="M411" s="17">
        <f>IF(L411="","",IF(K411="GST 10%",ROUND(L411*set_GSTRate,2),0))</f>
        <v/>
      </c>
      <c r="N411" s="17">
        <f>IF(L411="","",L411+M411)</f>
        <v/>
      </c>
      <c r="O411" s="14" t="n"/>
      <c r="P411" s="14" t="n"/>
      <c r="Q411" s="14" t="n"/>
      <c r="R411" s="12" t="n"/>
      <c r="S411" s="12" t="n"/>
      <c r="T411" s="14" t="n"/>
      <c r="U411" s="14" t="n"/>
      <c r="V411" s="1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row>
    <row r="412" ht="15" customHeight="1">
      <c r="A412" s="12" t="n"/>
      <c r="B412" s="13">
        <f>IF(A412="","",EOMONTH(A412,0))</f>
        <v/>
      </c>
      <c r="C412" s="14" t="n"/>
      <c r="D412" s="14" t="n"/>
      <c r="E412" s="14" t="n"/>
      <c r="F412" s="15">
        <f>IF(E412="","",IF(COUNTIF(lst_Jobs,E412&amp;"")&gt;0,"OK","CHECK"))</f>
        <v/>
      </c>
      <c r="G412" s="14" t="n"/>
      <c r="H412" s="14" t="n"/>
      <c r="I412" s="14" t="n"/>
      <c r="J412" s="14" t="n"/>
      <c r="K412" s="14" t="n"/>
      <c r="L412" s="16" t="n"/>
      <c r="M412" s="17">
        <f>IF(L412="","",IF(K412="GST 10%",ROUND(L412*set_GSTRate,2),0))</f>
        <v/>
      </c>
      <c r="N412" s="17">
        <f>IF(L412="","",L412+M412)</f>
        <v/>
      </c>
      <c r="O412" s="14" t="n"/>
      <c r="P412" s="14" t="n"/>
      <c r="Q412" s="14" t="n"/>
      <c r="R412" s="12" t="n"/>
      <c r="S412" s="12" t="n"/>
      <c r="T412" s="14" t="n"/>
      <c r="U412" s="14" t="n"/>
      <c r="V412" s="1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row>
    <row r="413" ht="15" customHeight="1">
      <c r="A413" s="12" t="n"/>
      <c r="B413" s="13">
        <f>IF(A413="","",EOMONTH(A413,0))</f>
        <v/>
      </c>
      <c r="C413" s="14" t="n"/>
      <c r="D413" s="14" t="n"/>
      <c r="E413" s="14" t="n"/>
      <c r="F413" s="15">
        <f>IF(E413="","",IF(COUNTIF(lst_Jobs,E413&amp;"")&gt;0,"OK","CHECK"))</f>
        <v/>
      </c>
      <c r="G413" s="14" t="n"/>
      <c r="H413" s="14" t="n"/>
      <c r="I413" s="14" t="n"/>
      <c r="J413" s="14" t="n"/>
      <c r="K413" s="14" t="n"/>
      <c r="L413" s="16" t="n"/>
      <c r="M413" s="17">
        <f>IF(L413="","",IF(K413="GST 10%",ROUND(L413*set_GSTRate,2),0))</f>
        <v/>
      </c>
      <c r="N413" s="17">
        <f>IF(L413="","",L413+M413)</f>
        <v/>
      </c>
      <c r="O413" s="14" t="n"/>
      <c r="P413" s="14" t="n"/>
      <c r="Q413" s="14" t="n"/>
      <c r="R413" s="12" t="n"/>
      <c r="S413" s="12" t="n"/>
      <c r="T413" s="14" t="n"/>
      <c r="U413" s="14" t="n"/>
      <c r="V413" s="1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row>
    <row r="414" ht="15" customHeight="1">
      <c r="A414" s="12" t="n"/>
      <c r="B414" s="13">
        <f>IF(A414="","",EOMONTH(A414,0))</f>
        <v/>
      </c>
      <c r="C414" s="14" t="n"/>
      <c r="D414" s="14" t="n"/>
      <c r="E414" s="14" t="n"/>
      <c r="F414" s="15">
        <f>IF(E414="","",IF(COUNTIF(lst_Jobs,E414&amp;"")&gt;0,"OK","CHECK"))</f>
        <v/>
      </c>
      <c r="G414" s="14" t="n"/>
      <c r="H414" s="14" t="n"/>
      <c r="I414" s="14" t="n"/>
      <c r="J414" s="14" t="n"/>
      <c r="K414" s="14" t="n"/>
      <c r="L414" s="16" t="n"/>
      <c r="M414" s="17">
        <f>IF(L414="","",IF(K414="GST 10%",ROUND(L414*set_GSTRate,2),0))</f>
        <v/>
      </c>
      <c r="N414" s="17">
        <f>IF(L414="","",L414+M414)</f>
        <v/>
      </c>
      <c r="O414" s="14" t="n"/>
      <c r="P414" s="14" t="n"/>
      <c r="Q414" s="14" t="n"/>
      <c r="R414" s="12" t="n"/>
      <c r="S414" s="12" t="n"/>
      <c r="T414" s="14" t="n"/>
      <c r="U414" s="14" t="n"/>
      <c r="V414" s="1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row>
    <row r="415" ht="15" customHeight="1">
      <c r="A415" s="12" t="n"/>
      <c r="B415" s="13">
        <f>IF(A415="","",EOMONTH(A415,0))</f>
        <v/>
      </c>
      <c r="C415" s="14" t="n"/>
      <c r="D415" s="14" t="n"/>
      <c r="E415" s="14" t="n"/>
      <c r="F415" s="15">
        <f>IF(E415="","",IF(COUNTIF(lst_Jobs,E415&amp;"")&gt;0,"OK","CHECK"))</f>
        <v/>
      </c>
      <c r="G415" s="14" t="n"/>
      <c r="H415" s="14" t="n"/>
      <c r="I415" s="14" t="n"/>
      <c r="J415" s="14" t="n"/>
      <c r="K415" s="14" t="n"/>
      <c r="L415" s="16" t="n"/>
      <c r="M415" s="17">
        <f>IF(L415="","",IF(K415="GST 10%",ROUND(L415*set_GSTRate,2),0))</f>
        <v/>
      </c>
      <c r="N415" s="17">
        <f>IF(L415="","",L415+M415)</f>
        <v/>
      </c>
      <c r="O415" s="14" t="n"/>
      <c r="P415" s="14" t="n"/>
      <c r="Q415" s="14" t="n"/>
      <c r="R415" s="12" t="n"/>
      <c r="S415" s="12" t="n"/>
      <c r="T415" s="14" t="n"/>
      <c r="U415" s="14" t="n"/>
      <c r="V415" s="1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row>
    <row r="416" ht="15" customHeight="1">
      <c r="A416" s="12" t="n"/>
      <c r="B416" s="13">
        <f>IF(A416="","",EOMONTH(A416,0))</f>
        <v/>
      </c>
      <c r="C416" s="14" t="n"/>
      <c r="D416" s="14" t="n"/>
      <c r="E416" s="14" t="n"/>
      <c r="F416" s="15">
        <f>IF(E416="","",IF(COUNTIF(lst_Jobs,E416&amp;"")&gt;0,"OK","CHECK"))</f>
        <v/>
      </c>
      <c r="G416" s="14" t="n"/>
      <c r="H416" s="14" t="n"/>
      <c r="I416" s="14" t="n"/>
      <c r="J416" s="14" t="n"/>
      <c r="K416" s="14" t="n"/>
      <c r="L416" s="16" t="n"/>
      <c r="M416" s="17">
        <f>IF(L416="","",IF(K416="GST 10%",ROUND(L416*set_GSTRate,2),0))</f>
        <v/>
      </c>
      <c r="N416" s="17">
        <f>IF(L416="","",L416+M416)</f>
        <v/>
      </c>
      <c r="O416" s="14" t="n"/>
      <c r="P416" s="14" t="n"/>
      <c r="Q416" s="14" t="n"/>
      <c r="R416" s="12" t="n"/>
      <c r="S416" s="12" t="n"/>
      <c r="T416" s="14" t="n"/>
      <c r="U416" s="14" t="n"/>
      <c r="V416" s="1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row>
    <row r="417" ht="15" customHeight="1">
      <c r="A417" s="12" t="n"/>
      <c r="B417" s="13">
        <f>IF(A417="","",EOMONTH(A417,0))</f>
        <v/>
      </c>
      <c r="C417" s="14" t="n"/>
      <c r="D417" s="14" t="n"/>
      <c r="E417" s="14" t="n"/>
      <c r="F417" s="15">
        <f>IF(E417="","",IF(COUNTIF(lst_Jobs,E417&amp;"")&gt;0,"OK","CHECK"))</f>
        <v/>
      </c>
      <c r="G417" s="14" t="n"/>
      <c r="H417" s="14" t="n"/>
      <c r="I417" s="14" t="n"/>
      <c r="J417" s="14" t="n"/>
      <c r="K417" s="14" t="n"/>
      <c r="L417" s="16" t="n"/>
      <c r="M417" s="17">
        <f>IF(L417="","",IF(K417="GST 10%",ROUND(L417*set_GSTRate,2),0))</f>
        <v/>
      </c>
      <c r="N417" s="17">
        <f>IF(L417="","",L417+M417)</f>
        <v/>
      </c>
      <c r="O417" s="14" t="n"/>
      <c r="P417" s="14" t="n"/>
      <c r="Q417" s="14" t="n"/>
      <c r="R417" s="12" t="n"/>
      <c r="S417" s="12" t="n"/>
      <c r="T417" s="14" t="n"/>
      <c r="U417" s="14" t="n"/>
      <c r="V417" s="1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row>
    <row r="418" ht="15" customHeight="1">
      <c r="A418" s="12" t="n"/>
      <c r="B418" s="13">
        <f>IF(A418="","",EOMONTH(A418,0))</f>
        <v/>
      </c>
      <c r="C418" s="14" t="n"/>
      <c r="D418" s="14" t="n"/>
      <c r="E418" s="14" t="n"/>
      <c r="F418" s="15">
        <f>IF(E418="","",IF(COUNTIF(lst_Jobs,E418&amp;"")&gt;0,"OK","CHECK"))</f>
        <v/>
      </c>
      <c r="G418" s="14" t="n"/>
      <c r="H418" s="14" t="n"/>
      <c r="I418" s="14" t="n"/>
      <c r="J418" s="14" t="n"/>
      <c r="K418" s="14" t="n"/>
      <c r="L418" s="16" t="n"/>
      <c r="M418" s="17">
        <f>IF(L418="","",IF(K418="GST 10%",ROUND(L418*set_GSTRate,2),0))</f>
        <v/>
      </c>
      <c r="N418" s="17">
        <f>IF(L418="","",L418+M418)</f>
        <v/>
      </c>
      <c r="O418" s="14" t="n"/>
      <c r="P418" s="14" t="n"/>
      <c r="Q418" s="14" t="n"/>
      <c r="R418" s="12" t="n"/>
      <c r="S418" s="12" t="n"/>
      <c r="T418" s="14" t="n"/>
      <c r="U418" s="14" t="n"/>
      <c r="V418" s="1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row>
    <row r="419" ht="15" customHeight="1">
      <c r="A419" s="12" t="n"/>
      <c r="B419" s="13">
        <f>IF(A419="","",EOMONTH(A419,0))</f>
        <v/>
      </c>
      <c r="C419" s="14" t="n"/>
      <c r="D419" s="14" t="n"/>
      <c r="E419" s="14" t="n"/>
      <c r="F419" s="15">
        <f>IF(E419="","",IF(COUNTIF(lst_Jobs,E419&amp;"")&gt;0,"OK","CHECK"))</f>
        <v/>
      </c>
      <c r="G419" s="14" t="n"/>
      <c r="H419" s="14" t="n"/>
      <c r="I419" s="14" t="n"/>
      <c r="J419" s="14" t="n"/>
      <c r="K419" s="14" t="n"/>
      <c r="L419" s="16" t="n"/>
      <c r="M419" s="17">
        <f>IF(L419="","",IF(K419="GST 10%",ROUND(L419*set_GSTRate,2),0))</f>
        <v/>
      </c>
      <c r="N419" s="17">
        <f>IF(L419="","",L419+M419)</f>
        <v/>
      </c>
      <c r="O419" s="14" t="n"/>
      <c r="P419" s="14" t="n"/>
      <c r="Q419" s="14" t="n"/>
      <c r="R419" s="12" t="n"/>
      <c r="S419" s="12" t="n"/>
      <c r="T419" s="14" t="n"/>
      <c r="U419" s="14" t="n"/>
      <c r="V419" s="1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row>
    <row r="420" ht="15" customHeight="1">
      <c r="A420" s="12" t="n"/>
      <c r="B420" s="13">
        <f>IF(A420="","",EOMONTH(A420,0))</f>
        <v/>
      </c>
      <c r="C420" s="14" t="n"/>
      <c r="D420" s="14" t="n"/>
      <c r="E420" s="14" t="n"/>
      <c r="F420" s="15">
        <f>IF(E420="","",IF(COUNTIF(lst_Jobs,E420&amp;"")&gt;0,"OK","CHECK"))</f>
        <v/>
      </c>
      <c r="G420" s="14" t="n"/>
      <c r="H420" s="14" t="n"/>
      <c r="I420" s="14" t="n"/>
      <c r="J420" s="14" t="n"/>
      <c r="K420" s="14" t="n"/>
      <c r="L420" s="16" t="n"/>
      <c r="M420" s="17">
        <f>IF(L420="","",IF(K420="GST 10%",ROUND(L420*set_GSTRate,2),0))</f>
        <v/>
      </c>
      <c r="N420" s="17">
        <f>IF(L420="","",L420+M420)</f>
        <v/>
      </c>
      <c r="O420" s="14" t="n"/>
      <c r="P420" s="14" t="n"/>
      <c r="Q420" s="14" t="n"/>
      <c r="R420" s="12" t="n"/>
      <c r="S420" s="12" t="n"/>
      <c r="T420" s="14" t="n"/>
      <c r="U420" s="14" t="n"/>
      <c r="V420" s="1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row>
    <row r="421" ht="15" customHeight="1">
      <c r="A421" s="12" t="n"/>
      <c r="B421" s="13">
        <f>IF(A421="","",EOMONTH(A421,0))</f>
        <v/>
      </c>
      <c r="C421" s="14" t="n"/>
      <c r="D421" s="14" t="n"/>
      <c r="E421" s="14" t="n"/>
      <c r="F421" s="15">
        <f>IF(E421="","",IF(COUNTIF(lst_Jobs,E421&amp;"")&gt;0,"OK","CHECK"))</f>
        <v/>
      </c>
      <c r="G421" s="14" t="n"/>
      <c r="H421" s="14" t="n"/>
      <c r="I421" s="14" t="n"/>
      <c r="J421" s="14" t="n"/>
      <c r="K421" s="14" t="n"/>
      <c r="L421" s="16" t="n"/>
      <c r="M421" s="17">
        <f>IF(L421="","",IF(K421="GST 10%",ROUND(L421*set_GSTRate,2),0))</f>
        <v/>
      </c>
      <c r="N421" s="17">
        <f>IF(L421="","",L421+M421)</f>
        <v/>
      </c>
      <c r="O421" s="14" t="n"/>
      <c r="P421" s="14" t="n"/>
      <c r="Q421" s="14" t="n"/>
      <c r="R421" s="12" t="n"/>
      <c r="S421" s="12" t="n"/>
      <c r="T421" s="14" t="n"/>
      <c r="U421" s="14" t="n"/>
      <c r="V421" s="1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row>
    <row r="422" ht="15" customHeight="1">
      <c r="A422" s="12" t="n"/>
      <c r="B422" s="13">
        <f>IF(A422="","",EOMONTH(A422,0))</f>
        <v/>
      </c>
      <c r="C422" s="14" t="n"/>
      <c r="D422" s="14" t="n"/>
      <c r="E422" s="14" t="n"/>
      <c r="F422" s="15">
        <f>IF(E422="","",IF(COUNTIF(lst_Jobs,E422&amp;"")&gt;0,"OK","CHECK"))</f>
        <v/>
      </c>
      <c r="G422" s="14" t="n"/>
      <c r="H422" s="14" t="n"/>
      <c r="I422" s="14" t="n"/>
      <c r="J422" s="14" t="n"/>
      <c r="K422" s="14" t="n"/>
      <c r="L422" s="16" t="n"/>
      <c r="M422" s="17">
        <f>IF(L422="","",IF(K422="GST 10%",ROUND(L422*set_GSTRate,2),0))</f>
        <v/>
      </c>
      <c r="N422" s="17">
        <f>IF(L422="","",L422+M422)</f>
        <v/>
      </c>
      <c r="O422" s="14" t="n"/>
      <c r="P422" s="14" t="n"/>
      <c r="Q422" s="14" t="n"/>
      <c r="R422" s="12" t="n"/>
      <c r="S422" s="12" t="n"/>
      <c r="T422" s="14" t="n"/>
      <c r="U422" s="14" t="n"/>
      <c r="V422" s="1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row>
    <row r="423" ht="15" customHeight="1">
      <c r="A423" s="12" t="n"/>
      <c r="B423" s="13">
        <f>IF(A423="","",EOMONTH(A423,0))</f>
        <v/>
      </c>
      <c r="C423" s="14" t="n"/>
      <c r="D423" s="14" t="n"/>
      <c r="E423" s="14" t="n"/>
      <c r="F423" s="15">
        <f>IF(E423="","",IF(COUNTIF(lst_Jobs,E423&amp;"")&gt;0,"OK","CHECK"))</f>
        <v/>
      </c>
      <c r="G423" s="14" t="n"/>
      <c r="H423" s="14" t="n"/>
      <c r="I423" s="14" t="n"/>
      <c r="J423" s="14" t="n"/>
      <c r="K423" s="14" t="n"/>
      <c r="L423" s="16" t="n"/>
      <c r="M423" s="17">
        <f>IF(L423="","",IF(K423="GST 10%",ROUND(L423*set_GSTRate,2),0))</f>
        <v/>
      </c>
      <c r="N423" s="17">
        <f>IF(L423="","",L423+M423)</f>
        <v/>
      </c>
      <c r="O423" s="14" t="n"/>
      <c r="P423" s="14" t="n"/>
      <c r="Q423" s="14" t="n"/>
      <c r="R423" s="12" t="n"/>
      <c r="S423" s="12" t="n"/>
      <c r="T423" s="14" t="n"/>
      <c r="U423" s="14" t="n"/>
      <c r="V423" s="1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row>
    <row r="424" ht="15" customHeight="1">
      <c r="A424" s="12" t="n"/>
      <c r="B424" s="13">
        <f>IF(A424="","",EOMONTH(A424,0))</f>
        <v/>
      </c>
      <c r="C424" s="14" t="n"/>
      <c r="D424" s="14" t="n"/>
      <c r="E424" s="14" t="n"/>
      <c r="F424" s="15">
        <f>IF(E424="","",IF(COUNTIF(lst_Jobs,E424&amp;"")&gt;0,"OK","CHECK"))</f>
        <v/>
      </c>
      <c r="G424" s="14" t="n"/>
      <c r="H424" s="14" t="n"/>
      <c r="I424" s="14" t="n"/>
      <c r="J424" s="14" t="n"/>
      <c r="K424" s="14" t="n"/>
      <c r="L424" s="16" t="n"/>
      <c r="M424" s="17">
        <f>IF(L424="","",IF(K424="GST 10%",ROUND(L424*set_GSTRate,2),0))</f>
        <v/>
      </c>
      <c r="N424" s="17">
        <f>IF(L424="","",L424+M424)</f>
        <v/>
      </c>
      <c r="O424" s="14" t="n"/>
      <c r="P424" s="14" t="n"/>
      <c r="Q424" s="14" t="n"/>
      <c r="R424" s="12" t="n"/>
      <c r="S424" s="12" t="n"/>
      <c r="T424" s="14" t="n"/>
      <c r="U424" s="14" t="n"/>
      <c r="V424" s="1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row>
    <row r="425" ht="15" customHeight="1">
      <c r="A425" s="12" t="n"/>
      <c r="B425" s="13">
        <f>IF(A425="","",EOMONTH(A425,0))</f>
        <v/>
      </c>
      <c r="C425" s="14" t="n"/>
      <c r="D425" s="14" t="n"/>
      <c r="E425" s="14" t="n"/>
      <c r="F425" s="15">
        <f>IF(E425="","",IF(COUNTIF(lst_Jobs,E425&amp;"")&gt;0,"OK","CHECK"))</f>
        <v/>
      </c>
      <c r="G425" s="14" t="n"/>
      <c r="H425" s="14" t="n"/>
      <c r="I425" s="14" t="n"/>
      <c r="J425" s="14" t="n"/>
      <c r="K425" s="14" t="n"/>
      <c r="L425" s="16" t="n"/>
      <c r="M425" s="17">
        <f>IF(L425="","",IF(K425="GST 10%",ROUND(L425*set_GSTRate,2),0))</f>
        <v/>
      </c>
      <c r="N425" s="17">
        <f>IF(L425="","",L425+M425)</f>
        <v/>
      </c>
      <c r="O425" s="14" t="n"/>
      <c r="P425" s="14" t="n"/>
      <c r="Q425" s="14" t="n"/>
      <c r="R425" s="12" t="n"/>
      <c r="S425" s="12" t="n"/>
      <c r="T425" s="14" t="n"/>
      <c r="U425" s="14" t="n"/>
      <c r="V425" s="1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row>
    <row r="426" ht="15" customHeight="1">
      <c r="A426" s="12" t="n"/>
      <c r="B426" s="13">
        <f>IF(A426="","",EOMONTH(A426,0))</f>
        <v/>
      </c>
      <c r="C426" s="14" t="n"/>
      <c r="D426" s="14" t="n"/>
      <c r="E426" s="14" t="n"/>
      <c r="F426" s="15">
        <f>IF(E426="","",IF(COUNTIF(lst_Jobs,E426&amp;"")&gt;0,"OK","CHECK"))</f>
        <v/>
      </c>
      <c r="G426" s="14" t="n"/>
      <c r="H426" s="14" t="n"/>
      <c r="I426" s="14" t="n"/>
      <c r="J426" s="14" t="n"/>
      <c r="K426" s="14" t="n"/>
      <c r="L426" s="16" t="n"/>
      <c r="M426" s="17">
        <f>IF(L426="","",IF(K426="GST 10%",ROUND(L426*set_GSTRate,2),0))</f>
        <v/>
      </c>
      <c r="N426" s="17">
        <f>IF(L426="","",L426+M426)</f>
        <v/>
      </c>
      <c r="O426" s="14" t="n"/>
      <c r="P426" s="14" t="n"/>
      <c r="Q426" s="14" t="n"/>
      <c r="R426" s="12" t="n"/>
      <c r="S426" s="12" t="n"/>
      <c r="T426" s="14" t="n"/>
      <c r="U426" s="14" t="n"/>
      <c r="V426" s="1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row>
    <row r="427" ht="15" customHeight="1">
      <c r="A427" s="12" t="n"/>
      <c r="B427" s="13">
        <f>IF(A427="","",EOMONTH(A427,0))</f>
        <v/>
      </c>
      <c r="C427" s="14" t="n"/>
      <c r="D427" s="14" t="n"/>
      <c r="E427" s="14" t="n"/>
      <c r="F427" s="15">
        <f>IF(E427="","",IF(COUNTIF(lst_Jobs,E427&amp;"")&gt;0,"OK","CHECK"))</f>
        <v/>
      </c>
      <c r="G427" s="14" t="n"/>
      <c r="H427" s="14" t="n"/>
      <c r="I427" s="14" t="n"/>
      <c r="J427" s="14" t="n"/>
      <c r="K427" s="14" t="n"/>
      <c r="L427" s="16" t="n"/>
      <c r="M427" s="17">
        <f>IF(L427="","",IF(K427="GST 10%",ROUND(L427*set_GSTRate,2),0))</f>
        <v/>
      </c>
      <c r="N427" s="17">
        <f>IF(L427="","",L427+M427)</f>
        <v/>
      </c>
      <c r="O427" s="14" t="n"/>
      <c r="P427" s="14" t="n"/>
      <c r="Q427" s="14" t="n"/>
      <c r="R427" s="12" t="n"/>
      <c r="S427" s="12" t="n"/>
      <c r="T427" s="14" t="n"/>
      <c r="U427" s="14" t="n"/>
      <c r="V427" s="1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row>
    <row r="428" ht="15" customHeight="1">
      <c r="A428" s="12" t="n"/>
      <c r="B428" s="13">
        <f>IF(A428="","",EOMONTH(A428,0))</f>
        <v/>
      </c>
      <c r="C428" s="14" t="n"/>
      <c r="D428" s="14" t="n"/>
      <c r="E428" s="14" t="n"/>
      <c r="F428" s="15">
        <f>IF(E428="","",IF(COUNTIF(lst_Jobs,E428&amp;"")&gt;0,"OK","CHECK"))</f>
        <v/>
      </c>
      <c r="G428" s="14" t="n"/>
      <c r="H428" s="14" t="n"/>
      <c r="I428" s="14" t="n"/>
      <c r="J428" s="14" t="n"/>
      <c r="K428" s="14" t="n"/>
      <c r="L428" s="16" t="n"/>
      <c r="M428" s="17">
        <f>IF(L428="","",IF(K428="GST 10%",ROUND(L428*set_GSTRate,2),0))</f>
        <v/>
      </c>
      <c r="N428" s="17">
        <f>IF(L428="","",L428+M428)</f>
        <v/>
      </c>
      <c r="O428" s="14" t="n"/>
      <c r="P428" s="14" t="n"/>
      <c r="Q428" s="14" t="n"/>
      <c r="R428" s="12" t="n"/>
      <c r="S428" s="12" t="n"/>
      <c r="T428" s="14" t="n"/>
      <c r="U428" s="14" t="n"/>
      <c r="V428" s="1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row>
    <row r="429" ht="15" customHeight="1">
      <c r="A429" s="12" t="n"/>
      <c r="B429" s="13">
        <f>IF(A429="","",EOMONTH(A429,0))</f>
        <v/>
      </c>
      <c r="C429" s="14" t="n"/>
      <c r="D429" s="14" t="n"/>
      <c r="E429" s="14" t="n"/>
      <c r="F429" s="15">
        <f>IF(E429="","",IF(COUNTIF(lst_Jobs,E429&amp;"")&gt;0,"OK","CHECK"))</f>
        <v/>
      </c>
      <c r="G429" s="14" t="n"/>
      <c r="H429" s="14" t="n"/>
      <c r="I429" s="14" t="n"/>
      <c r="J429" s="14" t="n"/>
      <c r="K429" s="14" t="n"/>
      <c r="L429" s="16" t="n"/>
      <c r="M429" s="17">
        <f>IF(L429="","",IF(K429="GST 10%",ROUND(L429*set_GSTRate,2),0))</f>
        <v/>
      </c>
      <c r="N429" s="17">
        <f>IF(L429="","",L429+M429)</f>
        <v/>
      </c>
      <c r="O429" s="14" t="n"/>
      <c r="P429" s="14" t="n"/>
      <c r="Q429" s="14" t="n"/>
      <c r="R429" s="12" t="n"/>
      <c r="S429" s="12" t="n"/>
      <c r="T429" s="14" t="n"/>
      <c r="U429" s="14" t="n"/>
      <c r="V429" s="1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row>
    <row r="430" ht="15" customHeight="1">
      <c r="A430" s="12" t="n"/>
      <c r="B430" s="13">
        <f>IF(A430="","",EOMONTH(A430,0))</f>
        <v/>
      </c>
      <c r="C430" s="14" t="n"/>
      <c r="D430" s="14" t="n"/>
      <c r="E430" s="14" t="n"/>
      <c r="F430" s="15">
        <f>IF(E430="","",IF(COUNTIF(lst_Jobs,E430&amp;"")&gt;0,"OK","CHECK"))</f>
        <v/>
      </c>
      <c r="G430" s="14" t="n"/>
      <c r="H430" s="14" t="n"/>
      <c r="I430" s="14" t="n"/>
      <c r="J430" s="14" t="n"/>
      <c r="K430" s="14" t="n"/>
      <c r="L430" s="16" t="n"/>
      <c r="M430" s="17">
        <f>IF(L430="","",IF(K430="GST 10%",ROUND(L430*set_GSTRate,2),0))</f>
        <v/>
      </c>
      <c r="N430" s="17">
        <f>IF(L430="","",L430+M430)</f>
        <v/>
      </c>
      <c r="O430" s="14" t="n"/>
      <c r="P430" s="14" t="n"/>
      <c r="Q430" s="14" t="n"/>
      <c r="R430" s="12" t="n"/>
      <c r="S430" s="12" t="n"/>
      <c r="T430" s="14" t="n"/>
      <c r="U430" s="14" t="n"/>
      <c r="V430" s="1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row>
    <row r="431" ht="15" customHeight="1">
      <c r="A431" s="12" t="n"/>
      <c r="B431" s="13">
        <f>IF(A431="","",EOMONTH(A431,0))</f>
        <v/>
      </c>
      <c r="C431" s="14" t="n"/>
      <c r="D431" s="14" t="n"/>
      <c r="E431" s="14" t="n"/>
      <c r="F431" s="15">
        <f>IF(E431="","",IF(COUNTIF(lst_Jobs,E431&amp;"")&gt;0,"OK","CHECK"))</f>
        <v/>
      </c>
      <c r="G431" s="14" t="n"/>
      <c r="H431" s="14" t="n"/>
      <c r="I431" s="14" t="n"/>
      <c r="J431" s="14" t="n"/>
      <c r="K431" s="14" t="n"/>
      <c r="L431" s="16" t="n"/>
      <c r="M431" s="17">
        <f>IF(L431="","",IF(K431="GST 10%",ROUND(L431*set_GSTRate,2),0))</f>
        <v/>
      </c>
      <c r="N431" s="17">
        <f>IF(L431="","",L431+M431)</f>
        <v/>
      </c>
      <c r="O431" s="14" t="n"/>
      <c r="P431" s="14" t="n"/>
      <c r="Q431" s="14" t="n"/>
      <c r="R431" s="12" t="n"/>
      <c r="S431" s="12" t="n"/>
      <c r="T431" s="14" t="n"/>
      <c r="U431" s="14" t="n"/>
      <c r="V431" s="1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row>
    <row r="432" ht="15" customHeight="1">
      <c r="A432" s="12" t="n"/>
      <c r="B432" s="13">
        <f>IF(A432="","",EOMONTH(A432,0))</f>
        <v/>
      </c>
      <c r="C432" s="14" t="n"/>
      <c r="D432" s="14" t="n"/>
      <c r="E432" s="14" t="n"/>
      <c r="F432" s="15">
        <f>IF(E432="","",IF(COUNTIF(lst_Jobs,E432&amp;"")&gt;0,"OK","CHECK"))</f>
        <v/>
      </c>
      <c r="G432" s="14" t="n"/>
      <c r="H432" s="14" t="n"/>
      <c r="I432" s="14" t="n"/>
      <c r="J432" s="14" t="n"/>
      <c r="K432" s="14" t="n"/>
      <c r="L432" s="16" t="n"/>
      <c r="M432" s="17">
        <f>IF(L432="","",IF(K432="GST 10%",ROUND(L432*set_GSTRate,2),0))</f>
        <v/>
      </c>
      <c r="N432" s="17">
        <f>IF(L432="","",L432+M432)</f>
        <v/>
      </c>
      <c r="O432" s="14" t="n"/>
      <c r="P432" s="14" t="n"/>
      <c r="Q432" s="14" t="n"/>
      <c r="R432" s="12" t="n"/>
      <c r="S432" s="12" t="n"/>
      <c r="T432" s="14" t="n"/>
      <c r="U432" s="14" t="n"/>
      <c r="V432" s="1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row>
    <row r="433" ht="15" customHeight="1">
      <c r="A433" s="12" t="n"/>
      <c r="B433" s="13">
        <f>IF(A433="","",EOMONTH(A433,0))</f>
        <v/>
      </c>
      <c r="C433" s="14" t="n"/>
      <c r="D433" s="14" t="n"/>
      <c r="E433" s="14" t="n"/>
      <c r="F433" s="15">
        <f>IF(E433="","",IF(COUNTIF(lst_Jobs,E433&amp;"")&gt;0,"OK","CHECK"))</f>
        <v/>
      </c>
      <c r="G433" s="14" t="n"/>
      <c r="H433" s="14" t="n"/>
      <c r="I433" s="14" t="n"/>
      <c r="J433" s="14" t="n"/>
      <c r="K433" s="14" t="n"/>
      <c r="L433" s="16" t="n"/>
      <c r="M433" s="17">
        <f>IF(L433="","",IF(K433="GST 10%",ROUND(L433*set_GSTRate,2),0))</f>
        <v/>
      </c>
      <c r="N433" s="17">
        <f>IF(L433="","",L433+M433)</f>
        <v/>
      </c>
      <c r="O433" s="14" t="n"/>
      <c r="P433" s="14" t="n"/>
      <c r="Q433" s="14" t="n"/>
      <c r="R433" s="12" t="n"/>
      <c r="S433" s="12" t="n"/>
      <c r="T433" s="14" t="n"/>
      <c r="U433" s="14" t="n"/>
      <c r="V433" s="1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row>
    <row r="434" ht="15" customHeight="1">
      <c r="A434" s="12" t="n"/>
      <c r="B434" s="13">
        <f>IF(A434="","",EOMONTH(A434,0))</f>
        <v/>
      </c>
      <c r="C434" s="14" t="n"/>
      <c r="D434" s="14" t="n"/>
      <c r="E434" s="14" t="n"/>
      <c r="F434" s="15">
        <f>IF(E434="","",IF(COUNTIF(lst_Jobs,E434&amp;"")&gt;0,"OK","CHECK"))</f>
        <v/>
      </c>
      <c r="G434" s="14" t="n"/>
      <c r="H434" s="14" t="n"/>
      <c r="I434" s="14" t="n"/>
      <c r="J434" s="14" t="n"/>
      <c r="K434" s="14" t="n"/>
      <c r="L434" s="16" t="n"/>
      <c r="M434" s="17">
        <f>IF(L434="","",IF(K434="GST 10%",ROUND(L434*set_GSTRate,2),0))</f>
        <v/>
      </c>
      <c r="N434" s="17">
        <f>IF(L434="","",L434+M434)</f>
        <v/>
      </c>
      <c r="O434" s="14" t="n"/>
      <c r="P434" s="14" t="n"/>
      <c r="Q434" s="14" t="n"/>
      <c r="R434" s="12" t="n"/>
      <c r="S434" s="12" t="n"/>
      <c r="T434" s="14" t="n"/>
      <c r="U434" s="14" t="n"/>
      <c r="V434" s="1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row>
    <row r="435" ht="15" customHeight="1">
      <c r="A435" s="12" t="n"/>
      <c r="B435" s="13">
        <f>IF(A435="","",EOMONTH(A435,0))</f>
        <v/>
      </c>
      <c r="C435" s="14" t="n"/>
      <c r="D435" s="14" t="n"/>
      <c r="E435" s="14" t="n"/>
      <c r="F435" s="15">
        <f>IF(E435="","",IF(COUNTIF(lst_Jobs,E435&amp;"")&gt;0,"OK","CHECK"))</f>
        <v/>
      </c>
      <c r="G435" s="14" t="n"/>
      <c r="H435" s="14" t="n"/>
      <c r="I435" s="14" t="n"/>
      <c r="J435" s="14" t="n"/>
      <c r="K435" s="14" t="n"/>
      <c r="L435" s="16" t="n"/>
      <c r="M435" s="17">
        <f>IF(L435="","",IF(K435="GST 10%",ROUND(L435*set_GSTRate,2),0))</f>
        <v/>
      </c>
      <c r="N435" s="17">
        <f>IF(L435="","",L435+M435)</f>
        <v/>
      </c>
      <c r="O435" s="14" t="n"/>
      <c r="P435" s="14" t="n"/>
      <c r="Q435" s="14" t="n"/>
      <c r="R435" s="12" t="n"/>
      <c r="S435" s="12" t="n"/>
      <c r="T435" s="14" t="n"/>
      <c r="U435" s="14" t="n"/>
      <c r="V435" s="1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row>
    <row r="436" ht="15" customHeight="1">
      <c r="A436" s="12" t="n"/>
      <c r="B436" s="13">
        <f>IF(A436="","",EOMONTH(A436,0))</f>
        <v/>
      </c>
      <c r="C436" s="14" t="n"/>
      <c r="D436" s="14" t="n"/>
      <c r="E436" s="14" t="n"/>
      <c r="F436" s="15">
        <f>IF(E436="","",IF(COUNTIF(lst_Jobs,E436&amp;"")&gt;0,"OK","CHECK"))</f>
        <v/>
      </c>
      <c r="G436" s="14" t="n"/>
      <c r="H436" s="14" t="n"/>
      <c r="I436" s="14" t="n"/>
      <c r="J436" s="14" t="n"/>
      <c r="K436" s="14" t="n"/>
      <c r="L436" s="16" t="n"/>
      <c r="M436" s="17">
        <f>IF(L436="","",IF(K436="GST 10%",ROUND(L436*set_GSTRate,2),0))</f>
        <v/>
      </c>
      <c r="N436" s="17">
        <f>IF(L436="","",L436+M436)</f>
        <v/>
      </c>
      <c r="O436" s="14" t="n"/>
      <c r="P436" s="14" t="n"/>
      <c r="Q436" s="14" t="n"/>
      <c r="R436" s="12" t="n"/>
      <c r="S436" s="12" t="n"/>
      <c r="T436" s="14" t="n"/>
      <c r="U436" s="14" t="n"/>
      <c r="V436" s="1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row>
    <row r="437" ht="15" customHeight="1">
      <c r="A437" s="12" t="n"/>
      <c r="B437" s="13">
        <f>IF(A437="","",EOMONTH(A437,0))</f>
        <v/>
      </c>
      <c r="C437" s="14" t="n"/>
      <c r="D437" s="14" t="n"/>
      <c r="E437" s="14" t="n"/>
      <c r="F437" s="15">
        <f>IF(E437="","",IF(COUNTIF(lst_Jobs,E437&amp;"")&gt;0,"OK","CHECK"))</f>
        <v/>
      </c>
      <c r="G437" s="14" t="n"/>
      <c r="H437" s="14" t="n"/>
      <c r="I437" s="14" t="n"/>
      <c r="J437" s="14" t="n"/>
      <c r="K437" s="14" t="n"/>
      <c r="L437" s="16" t="n"/>
      <c r="M437" s="17">
        <f>IF(L437="","",IF(K437="GST 10%",ROUND(L437*set_GSTRate,2),0))</f>
        <v/>
      </c>
      <c r="N437" s="17">
        <f>IF(L437="","",L437+M437)</f>
        <v/>
      </c>
      <c r="O437" s="14" t="n"/>
      <c r="P437" s="14" t="n"/>
      <c r="Q437" s="14" t="n"/>
      <c r="R437" s="12" t="n"/>
      <c r="S437" s="12" t="n"/>
      <c r="T437" s="14" t="n"/>
      <c r="U437" s="14" t="n"/>
      <c r="V437" s="1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row>
    <row r="438" ht="15" customHeight="1">
      <c r="A438" s="12" t="n"/>
      <c r="B438" s="13">
        <f>IF(A438="","",EOMONTH(A438,0))</f>
        <v/>
      </c>
      <c r="C438" s="14" t="n"/>
      <c r="D438" s="14" t="n"/>
      <c r="E438" s="14" t="n"/>
      <c r="F438" s="15">
        <f>IF(E438="","",IF(COUNTIF(lst_Jobs,E438&amp;"")&gt;0,"OK","CHECK"))</f>
        <v/>
      </c>
      <c r="G438" s="14" t="n"/>
      <c r="H438" s="14" t="n"/>
      <c r="I438" s="14" t="n"/>
      <c r="J438" s="14" t="n"/>
      <c r="K438" s="14" t="n"/>
      <c r="L438" s="16" t="n"/>
      <c r="M438" s="17">
        <f>IF(L438="","",IF(K438="GST 10%",ROUND(L438*set_GSTRate,2),0))</f>
        <v/>
      </c>
      <c r="N438" s="17">
        <f>IF(L438="","",L438+M438)</f>
        <v/>
      </c>
      <c r="O438" s="14" t="n"/>
      <c r="P438" s="14" t="n"/>
      <c r="Q438" s="14" t="n"/>
      <c r="R438" s="12" t="n"/>
      <c r="S438" s="12" t="n"/>
      <c r="T438" s="14" t="n"/>
      <c r="U438" s="14" t="n"/>
      <c r="V438" s="1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row>
    <row r="439" ht="15" customHeight="1">
      <c r="A439" s="12" t="n"/>
      <c r="B439" s="13">
        <f>IF(A439="","",EOMONTH(A439,0))</f>
        <v/>
      </c>
      <c r="C439" s="14" t="n"/>
      <c r="D439" s="14" t="n"/>
      <c r="E439" s="14" t="n"/>
      <c r="F439" s="15">
        <f>IF(E439="","",IF(COUNTIF(lst_Jobs,E439&amp;"")&gt;0,"OK","CHECK"))</f>
        <v/>
      </c>
      <c r="G439" s="14" t="n"/>
      <c r="H439" s="14" t="n"/>
      <c r="I439" s="14" t="n"/>
      <c r="J439" s="14" t="n"/>
      <c r="K439" s="14" t="n"/>
      <c r="L439" s="16" t="n"/>
      <c r="M439" s="17">
        <f>IF(L439="","",IF(K439="GST 10%",ROUND(L439*set_GSTRate,2),0))</f>
        <v/>
      </c>
      <c r="N439" s="17">
        <f>IF(L439="","",L439+M439)</f>
        <v/>
      </c>
      <c r="O439" s="14" t="n"/>
      <c r="P439" s="14" t="n"/>
      <c r="Q439" s="14" t="n"/>
      <c r="R439" s="12" t="n"/>
      <c r="S439" s="12" t="n"/>
      <c r="T439" s="14" t="n"/>
      <c r="U439" s="14" t="n"/>
      <c r="V439" s="1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row>
    <row r="440" ht="15" customHeight="1">
      <c r="A440" s="12" t="n"/>
      <c r="B440" s="13">
        <f>IF(A440="","",EOMONTH(A440,0))</f>
        <v/>
      </c>
      <c r="C440" s="14" t="n"/>
      <c r="D440" s="14" t="n"/>
      <c r="E440" s="14" t="n"/>
      <c r="F440" s="15">
        <f>IF(E440="","",IF(COUNTIF(lst_Jobs,E440&amp;"")&gt;0,"OK","CHECK"))</f>
        <v/>
      </c>
      <c r="G440" s="14" t="n"/>
      <c r="H440" s="14" t="n"/>
      <c r="I440" s="14" t="n"/>
      <c r="J440" s="14" t="n"/>
      <c r="K440" s="14" t="n"/>
      <c r="L440" s="16" t="n"/>
      <c r="M440" s="17">
        <f>IF(L440="","",IF(K440="GST 10%",ROUND(L440*set_GSTRate,2),0))</f>
        <v/>
      </c>
      <c r="N440" s="17">
        <f>IF(L440="","",L440+M440)</f>
        <v/>
      </c>
      <c r="O440" s="14" t="n"/>
      <c r="P440" s="14" t="n"/>
      <c r="Q440" s="14" t="n"/>
      <c r="R440" s="12" t="n"/>
      <c r="S440" s="12" t="n"/>
      <c r="T440" s="14" t="n"/>
      <c r="U440" s="14" t="n"/>
      <c r="V440" s="1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row>
    <row r="441" ht="15" customHeight="1">
      <c r="A441" s="12" t="n"/>
      <c r="B441" s="13">
        <f>IF(A441="","",EOMONTH(A441,0))</f>
        <v/>
      </c>
      <c r="C441" s="14" t="n"/>
      <c r="D441" s="14" t="n"/>
      <c r="E441" s="14" t="n"/>
      <c r="F441" s="15">
        <f>IF(E441="","",IF(COUNTIF(lst_Jobs,E441&amp;"")&gt;0,"OK","CHECK"))</f>
        <v/>
      </c>
      <c r="G441" s="14" t="n"/>
      <c r="H441" s="14" t="n"/>
      <c r="I441" s="14" t="n"/>
      <c r="J441" s="14" t="n"/>
      <c r="K441" s="14" t="n"/>
      <c r="L441" s="16" t="n"/>
      <c r="M441" s="17">
        <f>IF(L441="","",IF(K441="GST 10%",ROUND(L441*set_GSTRate,2),0))</f>
        <v/>
      </c>
      <c r="N441" s="17">
        <f>IF(L441="","",L441+M441)</f>
        <v/>
      </c>
      <c r="O441" s="14" t="n"/>
      <c r="P441" s="14" t="n"/>
      <c r="Q441" s="14" t="n"/>
      <c r="R441" s="12" t="n"/>
      <c r="S441" s="12" t="n"/>
      <c r="T441" s="14" t="n"/>
      <c r="U441" s="14" t="n"/>
      <c r="V441" s="1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row>
    <row r="442" ht="15" customHeight="1">
      <c r="A442" s="12" t="n"/>
      <c r="B442" s="13">
        <f>IF(A442="","",EOMONTH(A442,0))</f>
        <v/>
      </c>
      <c r="C442" s="14" t="n"/>
      <c r="D442" s="14" t="n"/>
      <c r="E442" s="14" t="n"/>
      <c r="F442" s="15">
        <f>IF(E442="","",IF(COUNTIF(lst_Jobs,E442&amp;"")&gt;0,"OK","CHECK"))</f>
        <v/>
      </c>
      <c r="G442" s="14" t="n"/>
      <c r="H442" s="14" t="n"/>
      <c r="I442" s="14" t="n"/>
      <c r="J442" s="14" t="n"/>
      <c r="K442" s="14" t="n"/>
      <c r="L442" s="16" t="n"/>
      <c r="M442" s="17">
        <f>IF(L442="","",IF(K442="GST 10%",ROUND(L442*set_GSTRate,2),0))</f>
        <v/>
      </c>
      <c r="N442" s="17">
        <f>IF(L442="","",L442+M442)</f>
        <v/>
      </c>
      <c r="O442" s="14" t="n"/>
      <c r="P442" s="14" t="n"/>
      <c r="Q442" s="14" t="n"/>
      <c r="R442" s="12" t="n"/>
      <c r="S442" s="12" t="n"/>
      <c r="T442" s="14" t="n"/>
      <c r="U442" s="14" t="n"/>
      <c r="V442" s="1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row>
    <row r="443" ht="15" customHeight="1">
      <c r="A443" s="12" t="n"/>
      <c r="B443" s="13">
        <f>IF(A443="","",EOMONTH(A443,0))</f>
        <v/>
      </c>
      <c r="C443" s="14" t="n"/>
      <c r="D443" s="14" t="n"/>
      <c r="E443" s="14" t="n"/>
      <c r="F443" s="15">
        <f>IF(E443="","",IF(COUNTIF(lst_Jobs,E443&amp;"")&gt;0,"OK","CHECK"))</f>
        <v/>
      </c>
      <c r="G443" s="14" t="n"/>
      <c r="H443" s="14" t="n"/>
      <c r="I443" s="14" t="n"/>
      <c r="J443" s="14" t="n"/>
      <c r="K443" s="14" t="n"/>
      <c r="L443" s="16" t="n"/>
      <c r="M443" s="17">
        <f>IF(L443="","",IF(K443="GST 10%",ROUND(L443*set_GSTRate,2),0))</f>
        <v/>
      </c>
      <c r="N443" s="17">
        <f>IF(L443="","",L443+M443)</f>
        <v/>
      </c>
      <c r="O443" s="14" t="n"/>
      <c r="P443" s="14" t="n"/>
      <c r="Q443" s="14" t="n"/>
      <c r="R443" s="12" t="n"/>
      <c r="S443" s="12" t="n"/>
      <c r="T443" s="14" t="n"/>
      <c r="U443" s="14" t="n"/>
      <c r="V443" s="1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row>
    <row r="444" ht="15" customHeight="1">
      <c r="A444" s="12" t="n"/>
      <c r="B444" s="13">
        <f>IF(A444="","",EOMONTH(A444,0))</f>
        <v/>
      </c>
      <c r="C444" s="14" t="n"/>
      <c r="D444" s="14" t="n"/>
      <c r="E444" s="14" t="n"/>
      <c r="F444" s="15">
        <f>IF(E444="","",IF(COUNTIF(lst_Jobs,E444&amp;"")&gt;0,"OK","CHECK"))</f>
        <v/>
      </c>
      <c r="G444" s="14" t="n"/>
      <c r="H444" s="14" t="n"/>
      <c r="I444" s="14" t="n"/>
      <c r="J444" s="14" t="n"/>
      <c r="K444" s="14" t="n"/>
      <c r="L444" s="16" t="n"/>
      <c r="M444" s="17">
        <f>IF(L444="","",IF(K444="GST 10%",ROUND(L444*set_GSTRate,2),0))</f>
        <v/>
      </c>
      <c r="N444" s="17">
        <f>IF(L444="","",L444+M444)</f>
        <v/>
      </c>
      <c r="O444" s="14" t="n"/>
      <c r="P444" s="14" t="n"/>
      <c r="Q444" s="14" t="n"/>
      <c r="R444" s="12" t="n"/>
      <c r="S444" s="12" t="n"/>
      <c r="T444" s="14" t="n"/>
      <c r="U444" s="14" t="n"/>
      <c r="V444" s="1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row>
    <row r="445" ht="15" customHeight="1">
      <c r="A445" s="12" t="n"/>
      <c r="B445" s="13">
        <f>IF(A445="","",EOMONTH(A445,0))</f>
        <v/>
      </c>
      <c r="C445" s="14" t="n"/>
      <c r="D445" s="14" t="n"/>
      <c r="E445" s="14" t="n"/>
      <c r="F445" s="15">
        <f>IF(E445="","",IF(COUNTIF(lst_Jobs,E445&amp;"")&gt;0,"OK","CHECK"))</f>
        <v/>
      </c>
      <c r="G445" s="14" t="n"/>
      <c r="H445" s="14" t="n"/>
      <c r="I445" s="14" t="n"/>
      <c r="J445" s="14" t="n"/>
      <c r="K445" s="14" t="n"/>
      <c r="L445" s="16" t="n"/>
      <c r="M445" s="17">
        <f>IF(L445="","",IF(K445="GST 10%",ROUND(L445*set_GSTRate,2),0))</f>
        <v/>
      </c>
      <c r="N445" s="17">
        <f>IF(L445="","",L445+M445)</f>
        <v/>
      </c>
      <c r="O445" s="14" t="n"/>
      <c r="P445" s="14" t="n"/>
      <c r="Q445" s="14" t="n"/>
      <c r="R445" s="12" t="n"/>
      <c r="S445" s="12" t="n"/>
      <c r="T445" s="14" t="n"/>
      <c r="U445" s="14" t="n"/>
      <c r="V445" s="1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row>
    <row r="446" ht="15" customHeight="1">
      <c r="A446" s="12" t="n"/>
      <c r="B446" s="13">
        <f>IF(A446="","",EOMONTH(A446,0))</f>
        <v/>
      </c>
      <c r="C446" s="14" t="n"/>
      <c r="D446" s="14" t="n"/>
      <c r="E446" s="14" t="n"/>
      <c r="F446" s="15">
        <f>IF(E446="","",IF(COUNTIF(lst_Jobs,E446&amp;"")&gt;0,"OK","CHECK"))</f>
        <v/>
      </c>
      <c r="G446" s="14" t="n"/>
      <c r="H446" s="14" t="n"/>
      <c r="I446" s="14" t="n"/>
      <c r="J446" s="14" t="n"/>
      <c r="K446" s="14" t="n"/>
      <c r="L446" s="16" t="n"/>
      <c r="M446" s="17">
        <f>IF(L446="","",IF(K446="GST 10%",ROUND(L446*set_GSTRate,2),0))</f>
        <v/>
      </c>
      <c r="N446" s="17">
        <f>IF(L446="","",L446+M446)</f>
        <v/>
      </c>
      <c r="O446" s="14" t="n"/>
      <c r="P446" s="14" t="n"/>
      <c r="Q446" s="14" t="n"/>
      <c r="R446" s="12" t="n"/>
      <c r="S446" s="12" t="n"/>
      <c r="T446" s="14" t="n"/>
      <c r="U446" s="14" t="n"/>
      <c r="V446" s="1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row>
    <row r="447" ht="15" customHeight="1">
      <c r="A447" s="12" t="n"/>
      <c r="B447" s="13">
        <f>IF(A447="","",EOMONTH(A447,0))</f>
        <v/>
      </c>
      <c r="C447" s="14" t="n"/>
      <c r="D447" s="14" t="n"/>
      <c r="E447" s="14" t="n"/>
      <c r="F447" s="15">
        <f>IF(E447="","",IF(COUNTIF(lst_Jobs,E447&amp;"")&gt;0,"OK","CHECK"))</f>
        <v/>
      </c>
      <c r="G447" s="14" t="n"/>
      <c r="H447" s="14" t="n"/>
      <c r="I447" s="14" t="n"/>
      <c r="J447" s="14" t="n"/>
      <c r="K447" s="14" t="n"/>
      <c r="L447" s="16" t="n"/>
      <c r="M447" s="17">
        <f>IF(L447="","",IF(K447="GST 10%",ROUND(L447*set_GSTRate,2),0))</f>
        <v/>
      </c>
      <c r="N447" s="17">
        <f>IF(L447="","",L447+M447)</f>
        <v/>
      </c>
      <c r="O447" s="14" t="n"/>
      <c r="P447" s="14" t="n"/>
      <c r="Q447" s="14" t="n"/>
      <c r="R447" s="12" t="n"/>
      <c r="S447" s="12" t="n"/>
      <c r="T447" s="14" t="n"/>
      <c r="U447" s="14" t="n"/>
      <c r="V447" s="1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row>
    <row r="448" ht="15" customHeight="1">
      <c r="A448" s="12" t="n"/>
      <c r="B448" s="13">
        <f>IF(A448="","",EOMONTH(A448,0))</f>
        <v/>
      </c>
      <c r="C448" s="14" t="n"/>
      <c r="D448" s="14" t="n"/>
      <c r="E448" s="14" t="n"/>
      <c r="F448" s="15">
        <f>IF(E448="","",IF(COUNTIF(lst_Jobs,E448&amp;"")&gt;0,"OK","CHECK"))</f>
        <v/>
      </c>
      <c r="G448" s="14" t="n"/>
      <c r="H448" s="14" t="n"/>
      <c r="I448" s="14" t="n"/>
      <c r="J448" s="14" t="n"/>
      <c r="K448" s="14" t="n"/>
      <c r="L448" s="16" t="n"/>
      <c r="M448" s="17">
        <f>IF(L448="","",IF(K448="GST 10%",ROUND(L448*set_GSTRate,2),0))</f>
        <v/>
      </c>
      <c r="N448" s="17">
        <f>IF(L448="","",L448+M448)</f>
        <v/>
      </c>
      <c r="O448" s="14" t="n"/>
      <c r="P448" s="14" t="n"/>
      <c r="Q448" s="14" t="n"/>
      <c r="R448" s="12" t="n"/>
      <c r="S448" s="12" t="n"/>
      <c r="T448" s="14" t="n"/>
      <c r="U448" s="14" t="n"/>
      <c r="V448" s="1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row>
    <row r="449" ht="15" customHeight="1">
      <c r="A449" s="12" t="n"/>
      <c r="B449" s="13">
        <f>IF(A449="","",EOMONTH(A449,0))</f>
        <v/>
      </c>
      <c r="C449" s="14" t="n"/>
      <c r="D449" s="14" t="n"/>
      <c r="E449" s="14" t="n"/>
      <c r="F449" s="15">
        <f>IF(E449="","",IF(COUNTIF(lst_Jobs,E449&amp;"")&gt;0,"OK","CHECK"))</f>
        <v/>
      </c>
      <c r="G449" s="14" t="n"/>
      <c r="H449" s="14" t="n"/>
      <c r="I449" s="14" t="n"/>
      <c r="J449" s="14" t="n"/>
      <c r="K449" s="14" t="n"/>
      <c r="L449" s="16" t="n"/>
      <c r="M449" s="17">
        <f>IF(L449="","",IF(K449="GST 10%",ROUND(L449*set_GSTRate,2),0))</f>
        <v/>
      </c>
      <c r="N449" s="17">
        <f>IF(L449="","",L449+M449)</f>
        <v/>
      </c>
      <c r="O449" s="14" t="n"/>
      <c r="P449" s="14" t="n"/>
      <c r="Q449" s="14" t="n"/>
      <c r="R449" s="12" t="n"/>
      <c r="S449" s="12" t="n"/>
      <c r="T449" s="14" t="n"/>
      <c r="U449" s="14" t="n"/>
      <c r="V449" s="1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row>
    <row r="450" ht="15" customHeight="1">
      <c r="A450" s="12" t="n"/>
      <c r="B450" s="13">
        <f>IF(A450="","",EOMONTH(A450,0))</f>
        <v/>
      </c>
      <c r="C450" s="14" t="n"/>
      <c r="D450" s="14" t="n"/>
      <c r="E450" s="14" t="n"/>
      <c r="F450" s="15">
        <f>IF(E450="","",IF(COUNTIF(lst_Jobs,E450&amp;"")&gt;0,"OK","CHECK"))</f>
        <v/>
      </c>
      <c r="G450" s="14" t="n"/>
      <c r="H450" s="14" t="n"/>
      <c r="I450" s="14" t="n"/>
      <c r="J450" s="14" t="n"/>
      <c r="K450" s="14" t="n"/>
      <c r="L450" s="16" t="n"/>
      <c r="M450" s="17">
        <f>IF(L450="","",IF(K450="GST 10%",ROUND(L450*set_GSTRate,2),0))</f>
        <v/>
      </c>
      <c r="N450" s="17">
        <f>IF(L450="","",L450+M450)</f>
        <v/>
      </c>
      <c r="O450" s="14" t="n"/>
      <c r="P450" s="14" t="n"/>
      <c r="Q450" s="14" t="n"/>
      <c r="R450" s="12" t="n"/>
      <c r="S450" s="12" t="n"/>
      <c r="T450" s="14" t="n"/>
      <c r="U450" s="14" t="n"/>
      <c r="V450" s="1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row>
    <row r="451" ht="15" customHeight="1">
      <c r="A451" s="12" t="n"/>
      <c r="B451" s="13">
        <f>IF(A451="","",EOMONTH(A451,0))</f>
        <v/>
      </c>
      <c r="C451" s="14" t="n"/>
      <c r="D451" s="14" t="n"/>
      <c r="E451" s="14" t="n"/>
      <c r="F451" s="15">
        <f>IF(E451="","",IF(COUNTIF(lst_Jobs,E451&amp;"")&gt;0,"OK","CHECK"))</f>
        <v/>
      </c>
      <c r="G451" s="14" t="n"/>
      <c r="H451" s="14" t="n"/>
      <c r="I451" s="14" t="n"/>
      <c r="J451" s="14" t="n"/>
      <c r="K451" s="14" t="n"/>
      <c r="L451" s="16" t="n"/>
      <c r="M451" s="17">
        <f>IF(L451="","",IF(K451="GST 10%",ROUND(L451*set_GSTRate,2),0))</f>
        <v/>
      </c>
      <c r="N451" s="17">
        <f>IF(L451="","",L451+M451)</f>
        <v/>
      </c>
      <c r="O451" s="14" t="n"/>
      <c r="P451" s="14" t="n"/>
      <c r="Q451" s="14" t="n"/>
      <c r="R451" s="12" t="n"/>
      <c r="S451" s="12" t="n"/>
      <c r="T451" s="14" t="n"/>
      <c r="U451" s="14" t="n"/>
      <c r="V451" s="1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row>
    <row r="452" ht="15" customHeight="1">
      <c r="A452" s="12" t="n"/>
      <c r="B452" s="13">
        <f>IF(A452="","",EOMONTH(A452,0))</f>
        <v/>
      </c>
      <c r="C452" s="14" t="n"/>
      <c r="D452" s="14" t="n"/>
      <c r="E452" s="14" t="n"/>
      <c r="F452" s="15">
        <f>IF(E452="","",IF(COUNTIF(lst_Jobs,E452&amp;"")&gt;0,"OK","CHECK"))</f>
        <v/>
      </c>
      <c r="G452" s="14" t="n"/>
      <c r="H452" s="14" t="n"/>
      <c r="I452" s="14" t="n"/>
      <c r="J452" s="14" t="n"/>
      <c r="K452" s="14" t="n"/>
      <c r="L452" s="16" t="n"/>
      <c r="M452" s="17">
        <f>IF(L452="","",IF(K452="GST 10%",ROUND(L452*set_GSTRate,2),0))</f>
        <v/>
      </c>
      <c r="N452" s="17">
        <f>IF(L452="","",L452+M452)</f>
        <v/>
      </c>
      <c r="O452" s="14" t="n"/>
      <c r="P452" s="14" t="n"/>
      <c r="Q452" s="14" t="n"/>
      <c r="R452" s="12" t="n"/>
      <c r="S452" s="12" t="n"/>
      <c r="T452" s="14" t="n"/>
      <c r="U452" s="14" t="n"/>
      <c r="V452" s="1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row>
    <row r="453" ht="15" customHeight="1">
      <c r="A453" s="12" t="n"/>
      <c r="B453" s="13">
        <f>IF(A453="","",EOMONTH(A453,0))</f>
        <v/>
      </c>
      <c r="C453" s="14" t="n"/>
      <c r="D453" s="14" t="n"/>
      <c r="E453" s="14" t="n"/>
      <c r="F453" s="15">
        <f>IF(E453="","",IF(COUNTIF(lst_Jobs,E453&amp;"")&gt;0,"OK","CHECK"))</f>
        <v/>
      </c>
      <c r="G453" s="14" t="n"/>
      <c r="H453" s="14" t="n"/>
      <c r="I453" s="14" t="n"/>
      <c r="J453" s="14" t="n"/>
      <c r="K453" s="14" t="n"/>
      <c r="L453" s="16" t="n"/>
      <c r="M453" s="17">
        <f>IF(L453="","",IF(K453="GST 10%",ROUND(L453*set_GSTRate,2),0))</f>
        <v/>
      </c>
      <c r="N453" s="17">
        <f>IF(L453="","",L453+M453)</f>
        <v/>
      </c>
      <c r="O453" s="14" t="n"/>
      <c r="P453" s="14" t="n"/>
      <c r="Q453" s="14" t="n"/>
      <c r="R453" s="12" t="n"/>
      <c r="S453" s="12" t="n"/>
      <c r="T453" s="14" t="n"/>
      <c r="U453" s="14" t="n"/>
      <c r="V453" s="1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row>
    <row r="454" ht="15" customHeight="1">
      <c r="A454" s="12" t="n"/>
      <c r="B454" s="13">
        <f>IF(A454="","",EOMONTH(A454,0))</f>
        <v/>
      </c>
      <c r="C454" s="14" t="n"/>
      <c r="D454" s="14" t="n"/>
      <c r="E454" s="14" t="n"/>
      <c r="F454" s="15">
        <f>IF(E454="","",IF(COUNTIF(lst_Jobs,E454&amp;"")&gt;0,"OK","CHECK"))</f>
        <v/>
      </c>
      <c r="G454" s="14" t="n"/>
      <c r="H454" s="14" t="n"/>
      <c r="I454" s="14" t="n"/>
      <c r="J454" s="14" t="n"/>
      <c r="K454" s="14" t="n"/>
      <c r="L454" s="16" t="n"/>
      <c r="M454" s="17">
        <f>IF(L454="","",IF(K454="GST 10%",ROUND(L454*set_GSTRate,2),0))</f>
        <v/>
      </c>
      <c r="N454" s="17">
        <f>IF(L454="","",L454+M454)</f>
        <v/>
      </c>
      <c r="O454" s="14" t="n"/>
      <c r="P454" s="14" t="n"/>
      <c r="Q454" s="14" t="n"/>
      <c r="R454" s="12" t="n"/>
      <c r="S454" s="12" t="n"/>
      <c r="T454" s="14" t="n"/>
      <c r="U454" s="14" t="n"/>
      <c r="V454" s="1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row>
    <row r="455" ht="15" customHeight="1">
      <c r="A455" s="12" t="n"/>
      <c r="B455" s="13">
        <f>IF(A455="","",EOMONTH(A455,0))</f>
        <v/>
      </c>
      <c r="C455" s="14" t="n"/>
      <c r="D455" s="14" t="n"/>
      <c r="E455" s="14" t="n"/>
      <c r="F455" s="15">
        <f>IF(E455="","",IF(COUNTIF(lst_Jobs,E455&amp;"")&gt;0,"OK","CHECK"))</f>
        <v/>
      </c>
      <c r="G455" s="14" t="n"/>
      <c r="H455" s="14" t="n"/>
      <c r="I455" s="14" t="n"/>
      <c r="J455" s="14" t="n"/>
      <c r="K455" s="14" t="n"/>
      <c r="L455" s="16" t="n"/>
      <c r="M455" s="17">
        <f>IF(L455="","",IF(K455="GST 10%",ROUND(L455*set_GSTRate,2),0))</f>
        <v/>
      </c>
      <c r="N455" s="17">
        <f>IF(L455="","",L455+M455)</f>
        <v/>
      </c>
      <c r="O455" s="14" t="n"/>
      <c r="P455" s="14" t="n"/>
      <c r="Q455" s="14" t="n"/>
      <c r="R455" s="12" t="n"/>
      <c r="S455" s="12" t="n"/>
      <c r="T455" s="14" t="n"/>
      <c r="U455" s="14" t="n"/>
      <c r="V455" s="1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row>
    <row r="456" ht="15" customHeight="1">
      <c r="A456" s="12" t="n"/>
      <c r="B456" s="13">
        <f>IF(A456="","",EOMONTH(A456,0))</f>
        <v/>
      </c>
      <c r="C456" s="14" t="n"/>
      <c r="D456" s="14" t="n"/>
      <c r="E456" s="14" t="n"/>
      <c r="F456" s="15">
        <f>IF(E456="","",IF(COUNTIF(lst_Jobs,E456&amp;"")&gt;0,"OK","CHECK"))</f>
        <v/>
      </c>
      <c r="G456" s="14" t="n"/>
      <c r="H456" s="14" t="n"/>
      <c r="I456" s="14" t="n"/>
      <c r="J456" s="14" t="n"/>
      <c r="K456" s="14" t="n"/>
      <c r="L456" s="16" t="n"/>
      <c r="M456" s="17">
        <f>IF(L456="","",IF(K456="GST 10%",ROUND(L456*set_GSTRate,2),0))</f>
        <v/>
      </c>
      <c r="N456" s="17">
        <f>IF(L456="","",L456+M456)</f>
        <v/>
      </c>
      <c r="O456" s="14" t="n"/>
      <c r="P456" s="14" t="n"/>
      <c r="Q456" s="14" t="n"/>
      <c r="R456" s="12" t="n"/>
      <c r="S456" s="12" t="n"/>
      <c r="T456" s="14" t="n"/>
      <c r="U456" s="14" t="n"/>
      <c r="V456" s="1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row>
    <row r="457" ht="15" customHeight="1">
      <c r="A457" s="12" t="n"/>
      <c r="B457" s="13">
        <f>IF(A457="","",EOMONTH(A457,0))</f>
        <v/>
      </c>
      <c r="C457" s="14" t="n"/>
      <c r="D457" s="14" t="n"/>
      <c r="E457" s="14" t="n"/>
      <c r="F457" s="15">
        <f>IF(E457="","",IF(COUNTIF(lst_Jobs,E457&amp;"")&gt;0,"OK","CHECK"))</f>
        <v/>
      </c>
      <c r="G457" s="14" t="n"/>
      <c r="H457" s="14" t="n"/>
      <c r="I457" s="14" t="n"/>
      <c r="J457" s="14" t="n"/>
      <c r="K457" s="14" t="n"/>
      <c r="L457" s="16" t="n"/>
      <c r="M457" s="17">
        <f>IF(L457="","",IF(K457="GST 10%",ROUND(L457*set_GSTRate,2),0))</f>
        <v/>
      </c>
      <c r="N457" s="17">
        <f>IF(L457="","",L457+M457)</f>
        <v/>
      </c>
      <c r="O457" s="14" t="n"/>
      <c r="P457" s="14" t="n"/>
      <c r="Q457" s="14" t="n"/>
      <c r="R457" s="12" t="n"/>
      <c r="S457" s="12" t="n"/>
      <c r="T457" s="14" t="n"/>
      <c r="U457" s="14" t="n"/>
      <c r="V457" s="1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row>
    <row r="458" ht="15" customHeight="1">
      <c r="A458" s="12" t="n"/>
      <c r="B458" s="13">
        <f>IF(A458="","",EOMONTH(A458,0))</f>
        <v/>
      </c>
      <c r="C458" s="14" t="n"/>
      <c r="D458" s="14" t="n"/>
      <c r="E458" s="14" t="n"/>
      <c r="F458" s="15">
        <f>IF(E458="","",IF(COUNTIF(lst_Jobs,E458&amp;"")&gt;0,"OK","CHECK"))</f>
        <v/>
      </c>
      <c r="G458" s="14" t="n"/>
      <c r="H458" s="14" t="n"/>
      <c r="I458" s="14" t="n"/>
      <c r="J458" s="14" t="n"/>
      <c r="K458" s="14" t="n"/>
      <c r="L458" s="16" t="n"/>
      <c r="M458" s="17">
        <f>IF(L458="","",IF(K458="GST 10%",ROUND(L458*set_GSTRate,2),0))</f>
        <v/>
      </c>
      <c r="N458" s="17">
        <f>IF(L458="","",L458+M458)</f>
        <v/>
      </c>
      <c r="O458" s="14" t="n"/>
      <c r="P458" s="14" t="n"/>
      <c r="Q458" s="14" t="n"/>
      <c r="R458" s="12" t="n"/>
      <c r="S458" s="12" t="n"/>
      <c r="T458" s="14" t="n"/>
      <c r="U458" s="14" t="n"/>
      <c r="V458" s="1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row>
    <row r="459" ht="15" customHeight="1">
      <c r="A459" s="12" t="n"/>
      <c r="B459" s="13">
        <f>IF(A459="","",EOMONTH(A459,0))</f>
        <v/>
      </c>
      <c r="C459" s="14" t="n"/>
      <c r="D459" s="14" t="n"/>
      <c r="E459" s="14" t="n"/>
      <c r="F459" s="15">
        <f>IF(E459="","",IF(COUNTIF(lst_Jobs,E459&amp;"")&gt;0,"OK","CHECK"))</f>
        <v/>
      </c>
      <c r="G459" s="14" t="n"/>
      <c r="H459" s="14" t="n"/>
      <c r="I459" s="14" t="n"/>
      <c r="J459" s="14" t="n"/>
      <c r="K459" s="14" t="n"/>
      <c r="L459" s="16" t="n"/>
      <c r="M459" s="17">
        <f>IF(L459="","",IF(K459="GST 10%",ROUND(L459*set_GSTRate,2),0))</f>
        <v/>
      </c>
      <c r="N459" s="17">
        <f>IF(L459="","",L459+M459)</f>
        <v/>
      </c>
      <c r="O459" s="14" t="n"/>
      <c r="P459" s="14" t="n"/>
      <c r="Q459" s="14" t="n"/>
      <c r="R459" s="12" t="n"/>
      <c r="S459" s="12" t="n"/>
      <c r="T459" s="14" t="n"/>
      <c r="U459" s="14" t="n"/>
      <c r="V459" s="1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row>
    <row r="460" ht="15" customHeight="1">
      <c r="A460" s="12" t="n"/>
      <c r="B460" s="13">
        <f>IF(A460="","",EOMONTH(A460,0))</f>
        <v/>
      </c>
      <c r="C460" s="14" t="n"/>
      <c r="D460" s="14" t="n"/>
      <c r="E460" s="14" t="n"/>
      <c r="F460" s="15">
        <f>IF(E460="","",IF(COUNTIF(lst_Jobs,E460&amp;"")&gt;0,"OK","CHECK"))</f>
        <v/>
      </c>
      <c r="G460" s="14" t="n"/>
      <c r="H460" s="14" t="n"/>
      <c r="I460" s="14" t="n"/>
      <c r="J460" s="14" t="n"/>
      <c r="K460" s="14" t="n"/>
      <c r="L460" s="16" t="n"/>
      <c r="M460" s="17">
        <f>IF(L460="","",IF(K460="GST 10%",ROUND(L460*set_GSTRate,2),0))</f>
        <v/>
      </c>
      <c r="N460" s="17">
        <f>IF(L460="","",L460+M460)</f>
        <v/>
      </c>
      <c r="O460" s="14" t="n"/>
      <c r="P460" s="14" t="n"/>
      <c r="Q460" s="14" t="n"/>
      <c r="R460" s="12" t="n"/>
      <c r="S460" s="12" t="n"/>
      <c r="T460" s="14" t="n"/>
      <c r="U460" s="14" t="n"/>
      <c r="V460" s="1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row>
    <row r="461" ht="15" customHeight="1">
      <c r="A461" s="12" t="n"/>
      <c r="B461" s="13">
        <f>IF(A461="","",EOMONTH(A461,0))</f>
        <v/>
      </c>
      <c r="C461" s="14" t="n"/>
      <c r="D461" s="14" t="n"/>
      <c r="E461" s="14" t="n"/>
      <c r="F461" s="15">
        <f>IF(E461="","",IF(COUNTIF(lst_Jobs,E461&amp;"")&gt;0,"OK","CHECK"))</f>
        <v/>
      </c>
      <c r="G461" s="14" t="n"/>
      <c r="H461" s="14" t="n"/>
      <c r="I461" s="14" t="n"/>
      <c r="J461" s="14" t="n"/>
      <c r="K461" s="14" t="n"/>
      <c r="L461" s="16" t="n"/>
      <c r="M461" s="17">
        <f>IF(L461="","",IF(K461="GST 10%",ROUND(L461*set_GSTRate,2),0))</f>
        <v/>
      </c>
      <c r="N461" s="17">
        <f>IF(L461="","",L461+M461)</f>
        <v/>
      </c>
      <c r="O461" s="14" t="n"/>
      <c r="P461" s="14" t="n"/>
      <c r="Q461" s="14" t="n"/>
      <c r="R461" s="12" t="n"/>
      <c r="S461" s="12" t="n"/>
      <c r="T461" s="14" t="n"/>
      <c r="U461" s="14" t="n"/>
      <c r="V461" s="1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row>
    <row r="462" ht="15" customHeight="1">
      <c r="A462" s="12" t="n"/>
      <c r="B462" s="13">
        <f>IF(A462="","",EOMONTH(A462,0))</f>
        <v/>
      </c>
      <c r="C462" s="14" t="n"/>
      <c r="D462" s="14" t="n"/>
      <c r="E462" s="14" t="n"/>
      <c r="F462" s="15">
        <f>IF(E462="","",IF(COUNTIF(lst_Jobs,E462&amp;"")&gt;0,"OK","CHECK"))</f>
        <v/>
      </c>
      <c r="G462" s="14" t="n"/>
      <c r="H462" s="14" t="n"/>
      <c r="I462" s="14" t="n"/>
      <c r="J462" s="14" t="n"/>
      <c r="K462" s="14" t="n"/>
      <c r="L462" s="16" t="n"/>
      <c r="M462" s="17">
        <f>IF(L462="","",IF(K462="GST 10%",ROUND(L462*set_GSTRate,2),0))</f>
        <v/>
      </c>
      <c r="N462" s="17">
        <f>IF(L462="","",L462+M462)</f>
        <v/>
      </c>
      <c r="O462" s="14" t="n"/>
      <c r="P462" s="14" t="n"/>
      <c r="Q462" s="14" t="n"/>
      <c r="R462" s="12" t="n"/>
      <c r="S462" s="12" t="n"/>
      <c r="T462" s="14" t="n"/>
      <c r="U462" s="14" t="n"/>
      <c r="V462" s="1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row>
    <row r="463" ht="15" customHeight="1">
      <c r="A463" s="12" t="n"/>
      <c r="B463" s="13">
        <f>IF(A463="","",EOMONTH(A463,0))</f>
        <v/>
      </c>
      <c r="C463" s="14" t="n"/>
      <c r="D463" s="14" t="n"/>
      <c r="E463" s="14" t="n"/>
      <c r="F463" s="15">
        <f>IF(E463="","",IF(COUNTIF(lst_Jobs,E463&amp;"")&gt;0,"OK","CHECK"))</f>
        <v/>
      </c>
      <c r="G463" s="14" t="n"/>
      <c r="H463" s="14" t="n"/>
      <c r="I463" s="14" t="n"/>
      <c r="J463" s="14" t="n"/>
      <c r="K463" s="14" t="n"/>
      <c r="L463" s="16" t="n"/>
      <c r="M463" s="17">
        <f>IF(L463="","",IF(K463="GST 10%",ROUND(L463*set_GSTRate,2),0))</f>
        <v/>
      </c>
      <c r="N463" s="17">
        <f>IF(L463="","",L463+M463)</f>
        <v/>
      </c>
      <c r="O463" s="14" t="n"/>
      <c r="P463" s="14" t="n"/>
      <c r="Q463" s="14" t="n"/>
      <c r="R463" s="12" t="n"/>
      <c r="S463" s="12" t="n"/>
      <c r="T463" s="14" t="n"/>
      <c r="U463" s="14" t="n"/>
      <c r="V463" s="1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row>
    <row r="464" ht="15" customHeight="1">
      <c r="A464" s="12" t="n"/>
      <c r="B464" s="13">
        <f>IF(A464="","",EOMONTH(A464,0))</f>
        <v/>
      </c>
      <c r="C464" s="14" t="n"/>
      <c r="D464" s="14" t="n"/>
      <c r="E464" s="14" t="n"/>
      <c r="F464" s="15">
        <f>IF(E464="","",IF(COUNTIF(lst_Jobs,E464&amp;"")&gt;0,"OK","CHECK"))</f>
        <v/>
      </c>
      <c r="G464" s="14" t="n"/>
      <c r="H464" s="14" t="n"/>
      <c r="I464" s="14" t="n"/>
      <c r="J464" s="14" t="n"/>
      <c r="K464" s="14" t="n"/>
      <c r="L464" s="16" t="n"/>
      <c r="M464" s="17">
        <f>IF(L464="","",IF(K464="GST 10%",ROUND(L464*set_GSTRate,2),0))</f>
        <v/>
      </c>
      <c r="N464" s="17">
        <f>IF(L464="","",L464+M464)</f>
        <v/>
      </c>
      <c r="O464" s="14" t="n"/>
      <c r="P464" s="14" t="n"/>
      <c r="Q464" s="14" t="n"/>
      <c r="R464" s="12" t="n"/>
      <c r="S464" s="12" t="n"/>
      <c r="T464" s="14" t="n"/>
      <c r="U464" s="14" t="n"/>
      <c r="V464" s="1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row>
    <row r="465" ht="15" customHeight="1">
      <c r="A465" s="12" t="n"/>
      <c r="B465" s="13">
        <f>IF(A465="","",EOMONTH(A465,0))</f>
        <v/>
      </c>
      <c r="C465" s="14" t="n"/>
      <c r="D465" s="14" t="n"/>
      <c r="E465" s="14" t="n"/>
      <c r="F465" s="15">
        <f>IF(E465="","",IF(COUNTIF(lst_Jobs,E465&amp;"")&gt;0,"OK","CHECK"))</f>
        <v/>
      </c>
      <c r="G465" s="14" t="n"/>
      <c r="H465" s="14" t="n"/>
      <c r="I465" s="14" t="n"/>
      <c r="J465" s="14" t="n"/>
      <c r="K465" s="14" t="n"/>
      <c r="L465" s="16" t="n"/>
      <c r="M465" s="17">
        <f>IF(L465="","",IF(K465="GST 10%",ROUND(L465*set_GSTRate,2),0))</f>
        <v/>
      </c>
      <c r="N465" s="17">
        <f>IF(L465="","",L465+M465)</f>
        <v/>
      </c>
      <c r="O465" s="14" t="n"/>
      <c r="P465" s="14" t="n"/>
      <c r="Q465" s="14" t="n"/>
      <c r="R465" s="12" t="n"/>
      <c r="S465" s="12" t="n"/>
      <c r="T465" s="14" t="n"/>
      <c r="U465" s="14" t="n"/>
      <c r="V465" s="1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row>
    <row r="466" ht="15" customHeight="1">
      <c r="A466" s="12" t="n"/>
      <c r="B466" s="13">
        <f>IF(A466="","",EOMONTH(A466,0))</f>
        <v/>
      </c>
      <c r="C466" s="14" t="n"/>
      <c r="D466" s="14" t="n"/>
      <c r="E466" s="14" t="n"/>
      <c r="F466" s="15">
        <f>IF(E466="","",IF(COUNTIF(lst_Jobs,E466&amp;"")&gt;0,"OK","CHECK"))</f>
        <v/>
      </c>
      <c r="G466" s="14" t="n"/>
      <c r="H466" s="14" t="n"/>
      <c r="I466" s="14" t="n"/>
      <c r="J466" s="14" t="n"/>
      <c r="K466" s="14" t="n"/>
      <c r="L466" s="16" t="n"/>
      <c r="M466" s="17">
        <f>IF(L466="","",IF(K466="GST 10%",ROUND(L466*set_GSTRate,2),0))</f>
        <v/>
      </c>
      <c r="N466" s="17">
        <f>IF(L466="","",L466+M466)</f>
        <v/>
      </c>
      <c r="O466" s="14" t="n"/>
      <c r="P466" s="14" t="n"/>
      <c r="Q466" s="14" t="n"/>
      <c r="R466" s="12" t="n"/>
      <c r="S466" s="12" t="n"/>
      <c r="T466" s="14" t="n"/>
      <c r="U466" s="14" t="n"/>
      <c r="V466" s="1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row>
    <row r="467" ht="15" customHeight="1">
      <c r="A467" s="12" t="n"/>
      <c r="B467" s="13">
        <f>IF(A467="","",EOMONTH(A467,0))</f>
        <v/>
      </c>
      <c r="C467" s="14" t="n"/>
      <c r="D467" s="14" t="n"/>
      <c r="E467" s="14" t="n"/>
      <c r="F467" s="15">
        <f>IF(E467="","",IF(COUNTIF(lst_Jobs,E467&amp;"")&gt;0,"OK","CHECK"))</f>
        <v/>
      </c>
      <c r="G467" s="14" t="n"/>
      <c r="H467" s="14" t="n"/>
      <c r="I467" s="14" t="n"/>
      <c r="J467" s="14" t="n"/>
      <c r="K467" s="14" t="n"/>
      <c r="L467" s="16" t="n"/>
      <c r="M467" s="17">
        <f>IF(L467="","",IF(K467="GST 10%",ROUND(L467*set_GSTRate,2),0))</f>
        <v/>
      </c>
      <c r="N467" s="17">
        <f>IF(L467="","",L467+M467)</f>
        <v/>
      </c>
      <c r="O467" s="14" t="n"/>
      <c r="P467" s="14" t="n"/>
      <c r="Q467" s="14" t="n"/>
      <c r="R467" s="12" t="n"/>
      <c r="S467" s="12" t="n"/>
      <c r="T467" s="14" t="n"/>
      <c r="U467" s="14" t="n"/>
      <c r="V467" s="1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row>
    <row r="468" ht="15" customHeight="1">
      <c r="A468" s="12" t="n"/>
      <c r="B468" s="13">
        <f>IF(A468="","",EOMONTH(A468,0))</f>
        <v/>
      </c>
      <c r="C468" s="14" t="n"/>
      <c r="D468" s="14" t="n"/>
      <c r="E468" s="14" t="n"/>
      <c r="F468" s="15">
        <f>IF(E468="","",IF(COUNTIF(lst_Jobs,E468&amp;"")&gt;0,"OK","CHECK"))</f>
        <v/>
      </c>
      <c r="G468" s="14" t="n"/>
      <c r="H468" s="14" t="n"/>
      <c r="I468" s="14" t="n"/>
      <c r="J468" s="14" t="n"/>
      <c r="K468" s="14" t="n"/>
      <c r="L468" s="16" t="n"/>
      <c r="M468" s="17">
        <f>IF(L468="","",IF(K468="GST 10%",ROUND(L468*set_GSTRate,2),0))</f>
        <v/>
      </c>
      <c r="N468" s="17">
        <f>IF(L468="","",L468+M468)</f>
        <v/>
      </c>
      <c r="O468" s="14" t="n"/>
      <c r="P468" s="14" t="n"/>
      <c r="Q468" s="14" t="n"/>
      <c r="R468" s="12" t="n"/>
      <c r="S468" s="12" t="n"/>
      <c r="T468" s="14" t="n"/>
      <c r="U468" s="14" t="n"/>
      <c r="V468" s="1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row>
    <row r="469" ht="15" customHeight="1">
      <c r="A469" s="12" t="n"/>
      <c r="B469" s="13">
        <f>IF(A469="","",EOMONTH(A469,0))</f>
        <v/>
      </c>
      <c r="C469" s="14" t="n"/>
      <c r="D469" s="14" t="n"/>
      <c r="E469" s="14" t="n"/>
      <c r="F469" s="15">
        <f>IF(E469="","",IF(COUNTIF(lst_Jobs,E469&amp;"")&gt;0,"OK","CHECK"))</f>
        <v/>
      </c>
      <c r="G469" s="14" t="n"/>
      <c r="H469" s="14" t="n"/>
      <c r="I469" s="14" t="n"/>
      <c r="J469" s="14" t="n"/>
      <c r="K469" s="14" t="n"/>
      <c r="L469" s="16" t="n"/>
      <c r="M469" s="17">
        <f>IF(L469="","",IF(K469="GST 10%",ROUND(L469*set_GSTRate,2),0))</f>
        <v/>
      </c>
      <c r="N469" s="17">
        <f>IF(L469="","",L469+M469)</f>
        <v/>
      </c>
      <c r="O469" s="14" t="n"/>
      <c r="P469" s="14" t="n"/>
      <c r="Q469" s="14" t="n"/>
      <c r="R469" s="12" t="n"/>
      <c r="S469" s="12" t="n"/>
      <c r="T469" s="14" t="n"/>
      <c r="U469" s="14" t="n"/>
      <c r="V469" s="1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row>
    <row r="470" ht="15" customHeight="1">
      <c r="A470" s="12" t="n"/>
      <c r="B470" s="13">
        <f>IF(A470="","",EOMONTH(A470,0))</f>
        <v/>
      </c>
      <c r="C470" s="14" t="n"/>
      <c r="D470" s="14" t="n"/>
      <c r="E470" s="14" t="n"/>
      <c r="F470" s="15">
        <f>IF(E470="","",IF(COUNTIF(lst_Jobs,E470&amp;"")&gt;0,"OK","CHECK"))</f>
        <v/>
      </c>
      <c r="G470" s="14" t="n"/>
      <c r="H470" s="14" t="n"/>
      <c r="I470" s="14" t="n"/>
      <c r="J470" s="14" t="n"/>
      <c r="K470" s="14" t="n"/>
      <c r="L470" s="16" t="n"/>
      <c r="M470" s="17">
        <f>IF(L470="","",IF(K470="GST 10%",ROUND(L470*set_GSTRate,2),0))</f>
        <v/>
      </c>
      <c r="N470" s="17">
        <f>IF(L470="","",L470+M470)</f>
        <v/>
      </c>
      <c r="O470" s="14" t="n"/>
      <c r="P470" s="14" t="n"/>
      <c r="Q470" s="14" t="n"/>
      <c r="R470" s="12" t="n"/>
      <c r="S470" s="12" t="n"/>
      <c r="T470" s="14" t="n"/>
      <c r="U470" s="14" t="n"/>
      <c r="V470" s="1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row>
    <row r="471" ht="15" customHeight="1">
      <c r="A471" s="12" t="n"/>
      <c r="B471" s="13">
        <f>IF(A471="","",EOMONTH(A471,0))</f>
        <v/>
      </c>
      <c r="C471" s="14" t="n"/>
      <c r="D471" s="14" t="n"/>
      <c r="E471" s="14" t="n"/>
      <c r="F471" s="15">
        <f>IF(E471="","",IF(COUNTIF(lst_Jobs,E471&amp;"")&gt;0,"OK","CHECK"))</f>
        <v/>
      </c>
      <c r="G471" s="14" t="n"/>
      <c r="H471" s="14" t="n"/>
      <c r="I471" s="14" t="n"/>
      <c r="J471" s="14" t="n"/>
      <c r="K471" s="14" t="n"/>
      <c r="L471" s="16" t="n"/>
      <c r="M471" s="17">
        <f>IF(L471="","",IF(K471="GST 10%",ROUND(L471*set_GSTRate,2),0))</f>
        <v/>
      </c>
      <c r="N471" s="17">
        <f>IF(L471="","",L471+M471)</f>
        <v/>
      </c>
      <c r="O471" s="14" t="n"/>
      <c r="P471" s="14" t="n"/>
      <c r="Q471" s="14" t="n"/>
      <c r="R471" s="12" t="n"/>
      <c r="S471" s="12" t="n"/>
      <c r="T471" s="14" t="n"/>
      <c r="U471" s="14" t="n"/>
      <c r="V471" s="1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row>
    <row r="472" ht="15" customHeight="1">
      <c r="A472" s="12" t="n"/>
      <c r="B472" s="13">
        <f>IF(A472="","",EOMONTH(A472,0))</f>
        <v/>
      </c>
      <c r="C472" s="14" t="n"/>
      <c r="D472" s="14" t="n"/>
      <c r="E472" s="14" t="n"/>
      <c r="F472" s="15">
        <f>IF(E472="","",IF(COUNTIF(lst_Jobs,E472&amp;"")&gt;0,"OK","CHECK"))</f>
        <v/>
      </c>
      <c r="G472" s="14" t="n"/>
      <c r="H472" s="14" t="n"/>
      <c r="I472" s="14" t="n"/>
      <c r="J472" s="14" t="n"/>
      <c r="K472" s="14" t="n"/>
      <c r="L472" s="16" t="n"/>
      <c r="M472" s="17">
        <f>IF(L472="","",IF(K472="GST 10%",ROUND(L472*set_GSTRate,2),0))</f>
        <v/>
      </c>
      <c r="N472" s="17">
        <f>IF(L472="","",L472+M472)</f>
        <v/>
      </c>
      <c r="O472" s="14" t="n"/>
      <c r="P472" s="14" t="n"/>
      <c r="Q472" s="14" t="n"/>
      <c r="R472" s="12" t="n"/>
      <c r="S472" s="12" t="n"/>
      <c r="T472" s="14" t="n"/>
      <c r="U472" s="14" t="n"/>
      <c r="V472" s="1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row>
    <row r="473" ht="15" customHeight="1">
      <c r="A473" s="12" t="n"/>
      <c r="B473" s="13">
        <f>IF(A473="","",EOMONTH(A473,0))</f>
        <v/>
      </c>
      <c r="C473" s="14" t="n"/>
      <c r="D473" s="14" t="n"/>
      <c r="E473" s="14" t="n"/>
      <c r="F473" s="15">
        <f>IF(E473="","",IF(COUNTIF(lst_Jobs,E473&amp;"")&gt;0,"OK","CHECK"))</f>
        <v/>
      </c>
      <c r="G473" s="14" t="n"/>
      <c r="H473" s="14" t="n"/>
      <c r="I473" s="14" t="n"/>
      <c r="J473" s="14" t="n"/>
      <c r="K473" s="14" t="n"/>
      <c r="L473" s="16" t="n"/>
      <c r="M473" s="17">
        <f>IF(L473="","",IF(K473="GST 10%",ROUND(L473*set_GSTRate,2),0))</f>
        <v/>
      </c>
      <c r="N473" s="17">
        <f>IF(L473="","",L473+M473)</f>
        <v/>
      </c>
      <c r="O473" s="14" t="n"/>
      <c r="P473" s="14" t="n"/>
      <c r="Q473" s="14" t="n"/>
      <c r="R473" s="12" t="n"/>
      <c r="S473" s="12" t="n"/>
      <c r="T473" s="14" t="n"/>
      <c r="U473" s="14" t="n"/>
      <c r="V473" s="1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row>
    <row r="474" ht="15" customHeight="1">
      <c r="A474" s="12" t="n"/>
      <c r="B474" s="13">
        <f>IF(A474="","",EOMONTH(A474,0))</f>
        <v/>
      </c>
      <c r="C474" s="14" t="n"/>
      <c r="D474" s="14" t="n"/>
      <c r="E474" s="14" t="n"/>
      <c r="F474" s="15">
        <f>IF(E474="","",IF(COUNTIF(lst_Jobs,E474&amp;"")&gt;0,"OK","CHECK"))</f>
        <v/>
      </c>
      <c r="G474" s="14" t="n"/>
      <c r="H474" s="14" t="n"/>
      <c r="I474" s="14" t="n"/>
      <c r="J474" s="14" t="n"/>
      <c r="K474" s="14" t="n"/>
      <c r="L474" s="16" t="n"/>
      <c r="M474" s="17">
        <f>IF(L474="","",IF(K474="GST 10%",ROUND(L474*set_GSTRate,2),0))</f>
        <v/>
      </c>
      <c r="N474" s="17">
        <f>IF(L474="","",L474+M474)</f>
        <v/>
      </c>
      <c r="O474" s="14" t="n"/>
      <c r="P474" s="14" t="n"/>
      <c r="Q474" s="14" t="n"/>
      <c r="R474" s="12" t="n"/>
      <c r="S474" s="12" t="n"/>
      <c r="T474" s="14" t="n"/>
      <c r="U474" s="14" t="n"/>
      <c r="V474" s="1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row>
    <row r="475" ht="15" customHeight="1">
      <c r="A475" s="12" t="n"/>
      <c r="B475" s="13">
        <f>IF(A475="","",EOMONTH(A475,0))</f>
        <v/>
      </c>
      <c r="C475" s="14" t="n"/>
      <c r="D475" s="14" t="n"/>
      <c r="E475" s="14" t="n"/>
      <c r="F475" s="15">
        <f>IF(E475="","",IF(COUNTIF(lst_Jobs,E475&amp;"")&gt;0,"OK","CHECK"))</f>
        <v/>
      </c>
      <c r="G475" s="14" t="n"/>
      <c r="H475" s="14" t="n"/>
      <c r="I475" s="14" t="n"/>
      <c r="J475" s="14" t="n"/>
      <c r="K475" s="14" t="n"/>
      <c r="L475" s="16" t="n"/>
      <c r="M475" s="17">
        <f>IF(L475="","",IF(K475="GST 10%",ROUND(L475*set_GSTRate,2),0))</f>
        <v/>
      </c>
      <c r="N475" s="17">
        <f>IF(L475="","",L475+M475)</f>
        <v/>
      </c>
      <c r="O475" s="14" t="n"/>
      <c r="P475" s="14" t="n"/>
      <c r="Q475" s="14" t="n"/>
      <c r="R475" s="12" t="n"/>
      <c r="S475" s="12" t="n"/>
      <c r="T475" s="14" t="n"/>
      <c r="U475" s="14" t="n"/>
      <c r="V475" s="1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row>
    <row r="476" ht="15" customHeight="1">
      <c r="A476" s="12" t="n"/>
      <c r="B476" s="13">
        <f>IF(A476="","",EOMONTH(A476,0))</f>
        <v/>
      </c>
      <c r="C476" s="14" t="n"/>
      <c r="D476" s="14" t="n"/>
      <c r="E476" s="14" t="n"/>
      <c r="F476" s="15">
        <f>IF(E476="","",IF(COUNTIF(lst_Jobs,E476&amp;"")&gt;0,"OK","CHECK"))</f>
        <v/>
      </c>
      <c r="G476" s="14" t="n"/>
      <c r="H476" s="14" t="n"/>
      <c r="I476" s="14" t="n"/>
      <c r="J476" s="14" t="n"/>
      <c r="K476" s="14" t="n"/>
      <c r="L476" s="16" t="n"/>
      <c r="M476" s="17">
        <f>IF(L476="","",IF(K476="GST 10%",ROUND(L476*set_GSTRate,2),0))</f>
        <v/>
      </c>
      <c r="N476" s="17">
        <f>IF(L476="","",L476+M476)</f>
        <v/>
      </c>
      <c r="O476" s="14" t="n"/>
      <c r="P476" s="14" t="n"/>
      <c r="Q476" s="14" t="n"/>
      <c r="R476" s="12" t="n"/>
      <c r="S476" s="12" t="n"/>
      <c r="T476" s="14" t="n"/>
      <c r="U476" s="14" t="n"/>
      <c r="V476" s="1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row>
    <row r="477" ht="15" customHeight="1">
      <c r="A477" s="12" t="n"/>
      <c r="B477" s="13">
        <f>IF(A477="","",EOMONTH(A477,0))</f>
        <v/>
      </c>
      <c r="C477" s="14" t="n"/>
      <c r="D477" s="14" t="n"/>
      <c r="E477" s="14" t="n"/>
      <c r="F477" s="15">
        <f>IF(E477="","",IF(COUNTIF(lst_Jobs,E477&amp;"")&gt;0,"OK","CHECK"))</f>
        <v/>
      </c>
      <c r="G477" s="14" t="n"/>
      <c r="H477" s="14" t="n"/>
      <c r="I477" s="14" t="n"/>
      <c r="J477" s="14" t="n"/>
      <c r="K477" s="14" t="n"/>
      <c r="L477" s="16" t="n"/>
      <c r="M477" s="17">
        <f>IF(L477="","",IF(K477="GST 10%",ROUND(L477*set_GSTRate,2),0))</f>
        <v/>
      </c>
      <c r="N477" s="17">
        <f>IF(L477="","",L477+M477)</f>
        <v/>
      </c>
      <c r="O477" s="14" t="n"/>
      <c r="P477" s="14" t="n"/>
      <c r="Q477" s="14" t="n"/>
      <c r="R477" s="12" t="n"/>
      <c r="S477" s="12" t="n"/>
      <c r="T477" s="14" t="n"/>
      <c r="U477" s="14" t="n"/>
      <c r="V477" s="1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row>
    <row r="478" ht="15" customHeight="1">
      <c r="A478" s="12" t="n"/>
      <c r="B478" s="13">
        <f>IF(A478="","",EOMONTH(A478,0))</f>
        <v/>
      </c>
      <c r="C478" s="14" t="n"/>
      <c r="D478" s="14" t="n"/>
      <c r="E478" s="14" t="n"/>
      <c r="F478" s="15">
        <f>IF(E478="","",IF(COUNTIF(lst_Jobs,E478&amp;"")&gt;0,"OK","CHECK"))</f>
        <v/>
      </c>
      <c r="G478" s="14" t="n"/>
      <c r="H478" s="14" t="n"/>
      <c r="I478" s="14" t="n"/>
      <c r="J478" s="14" t="n"/>
      <c r="K478" s="14" t="n"/>
      <c r="L478" s="16" t="n"/>
      <c r="M478" s="17">
        <f>IF(L478="","",IF(K478="GST 10%",ROUND(L478*set_GSTRate,2),0))</f>
        <v/>
      </c>
      <c r="N478" s="17">
        <f>IF(L478="","",L478+M478)</f>
        <v/>
      </c>
      <c r="O478" s="14" t="n"/>
      <c r="P478" s="14" t="n"/>
      <c r="Q478" s="14" t="n"/>
      <c r="R478" s="12" t="n"/>
      <c r="S478" s="12" t="n"/>
      <c r="T478" s="14" t="n"/>
      <c r="U478" s="14" t="n"/>
      <c r="V478" s="1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row>
    <row r="479" ht="15" customHeight="1">
      <c r="A479" s="12" t="n"/>
      <c r="B479" s="13">
        <f>IF(A479="","",EOMONTH(A479,0))</f>
        <v/>
      </c>
      <c r="C479" s="14" t="n"/>
      <c r="D479" s="14" t="n"/>
      <c r="E479" s="14" t="n"/>
      <c r="F479" s="15">
        <f>IF(E479="","",IF(COUNTIF(lst_Jobs,E479&amp;"")&gt;0,"OK","CHECK"))</f>
        <v/>
      </c>
      <c r="G479" s="14" t="n"/>
      <c r="H479" s="14" t="n"/>
      <c r="I479" s="14" t="n"/>
      <c r="J479" s="14" t="n"/>
      <c r="K479" s="14" t="n"/>
      <c r="L479" s="16" t="n"/>
      <c r="M479" s="17">
        <f>IF(L479="","",IF(K479="GST 10%",ROUND(L479*set_GSTRate,2),0))</f>
        <v/>
      </c>
      <c r="N479" s="17">
        <f>IF(L479="","",L479+M479)</f>
        <v/>
      </c>
      <c r="O479" s="14" t="n"/>
      <c r="P479" s="14" t="n"/>
      <c r="Q479" s="14" t="n"/>
      <c r="R479" s="12" t="n"/>
      <c r="S479" s="12" t="n"/>
      <c r="T479" s="14" t="n"/>
      <c r="U479" s="14" t="n"/>
      <c r="V479" s="1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row>
    <row r="480" ht="15" customHeight="1">
      <c r="A480" s="12" t="n"/>
      <c r="B480" s="13">
        <f>IF(A480="","",EOMONTH(A480,0))</f>
        <v/>
      </c>
      <c r="C480" s="14" t="n"/>
      <c r="D480" s="14" t="n"/>
      <c r="E480" s="14" t="n"/>
      <c r="F480" s="15">
        <f>IF(E480="","",IF(COUNTIF(lst_Jobs,E480&amp;"")&gt;0,"OK","CHECK"))</f>
        <v/>
      </c>
      <c r="G480" s="14" t="n"/>
      <c r="H480" s="14" t="n"/>
      <c r="I480" s="14" t="n"/>
      <c r="J480" s="14" t="n"/>
      <c r="K480" s="14" t="n"/>
      <c r="L480" s="16" t="n"/>
      <c r="M480" s="17">
        <f>IF(L480="","",IF(K480="GST 10%",ROUND(L480*set_GSTRate,2),0))</f>
        <v/>
      </c>
      <c r="N480" s="17">
        <f>IF(L480="","",L480+M480)</f>
        <v/>
      </c>
      <c r="O480" s="14" t="n"/>
      <c r="P480" s="14" t="n"/>
      <c r="Q480" s="14" t="n"/>
      <c r="R480" s="12" t="n"/>
      <c r="S480" s="12" t="n"/>
      <c r="T480" s="14" t="n"/>
      <c r="U480" s="14" t="n"/>
      <c r="V480" s="1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row>
    <row r="481" ht="15" customHeight="1">
      <c r="A481" s="12" t="n"/>
      <c r="B481" s="13">
        <f>IF(A481="","",EOMONTH(A481,0))</f>
        <v/>
      </c>
      <c r="C481" s="14" t="n"/>
      <c r="D481" s="14" t="n"/>
      <c r="E481" s="14" t="n"/>
      <c r="F481" s="15">
        <f>IF(E481="","",IF(COUNTIF(lst_Jobs,E481&amp;"")&gt;0,"OK","CHECK"))</f>
        <v/>
      </c>
      <c r="G481" s="14" t="n"/>
      <c r="H481" s="14" t="n"/>
      <c r="I481" s="14" t="n"/>
      <c r="J481" s="14" t="n"/>
      <c r="K481" s="14" t="n"/>
      <c r="L481" s="16" t="n"/>
      <c r="M481" s="17">
        <f>IF(L481="","",IF(K481="GST 10%",ROUND(L481*set_GSTRate,2),0))</f>
        <v/>
      </c>
      <c r="N481" s="17">
        <f>IF(L481="","",L481+M481)</f>
        <v/>
      </c>
      <c r="O481" s="14" t="n"/>
      <c r="P481" s="14" t="n"/>
      <c r="Q481" s="14" t="n"/>
      <c r="R481" s="12" t="n"/>
      <c r="S481" s="12" t="n"/>
      <c r="T481" s="14" t="n"/>
      <c r="U481" s="14" t="n"/>
      <c r="V481" s="1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row>
    <row r="482" ht="15" customHeight="1">
      <c r="A482" s="12" t="n"/>
      <c r="B482" s="13">
        <f>IF(A482="","",EOMONTH(A482,0))</f>
        <v/>
      </c>
      <c r="C482" s="14" t="n"/>
      <c r="D482" s="14" t="n"/>
      <c r="E482" s="14" t="n"/>
      <c r="F482" s="15">
        <f>IF(E482="","",IF(COUNTIF(lst_Jobs,E482&amp;"")&gt;0,"OK","CHECK"))</f>
        <v/>
      </c>
      <c r="G482" s="14" t="n"/>
      <c r="H482" s="14" t="n"/>
      <c r="I482" s="14" t="n"/>
      <c r="J482" s="14" t="n"/>
      <c r="K482" s="14" t="n"/>
      <c r="L482" s="16" t="n"/>
      <c r="M482" s="17">
        <f>IF(L482="","",IF(K482="GST 10%",ROUND(L482*set_GSTRate,2),0))</f>
        <v/>
      </c>
      <c r="N482" s="17">
        <f>IF(L482="","",L482+M482)</f>
        <v/>
      </c>
      <c r="O482" s="14" t="n"/>
      <c r="P482" s="14" t="n"/>
      <c r="Q482" s="14" t="n"/>
      <c r="R482" s="12" t="n"/>
      <c r="S482" s="12" t="n"/>
      <c r="T482" s="14" t="n"/>
      <c r="U482" s="14" t="n"/>
      <c r="V482" s="1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row>
    <row r="483" ht="15" customHeight="1">
      <c r="A483" s="12" t="n"/>
      <c r="B483" s="13">
        <f>IF(A483="","",EOMONTH(A483,0))</f>
        <v/>
      </c>
      <c r="C483" s="14" t="n"/>
      <c r="D483" s="14" t="n"/>
      <c r="E483" s="14" t="n"/>
      <c r="F483" s="15">
        <f>IF(E483="","",IF(COUNTIF(lst_Jobs,E483&amp;"")&gt;0,"OK","CHECK"))</f>
        <v/>
      </c>
      <c r="G483" s="14" t="n"/>
      <c r="H483" s="14" t="n"/>
      <c r="I483" s="14" t="n"/>
      <c r="J483" s="14" t="n"/>
      <c r="K483" s="14" t="n"/>
      <c r="L483" s="16" t="n"/>
      <c r="M483" s="17">
        <f>IF(L483="","",IF(K483="GST 10%",ROUND(L483*set_GSTRate,2),0))</f>
        <v/>
      </c>
      <c r="N483" s="17">
        <f>IF(L483="","",L483+M483)</f>
        <v/>
      </c>
      <c r="O483" s="14" t="n"/>
      <c r="P483" s="14" t="n"/>
      <c r="Q483" s="14" t="n"/>
      <c r="R483" s="12" t="n"/>
      <c r="S483" s="12" t="n"/>
      <c r="T483" s="14" t="n"/>
      <c r="U483" s="14" t="n"/>
      <c r="V483" s="1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row>
    <row r="484" ht="15" customHeight="1">
      <c r="A484" s="12" t="n"/>
      <c r="B484" s="13">
        <f>IF(A484="","",EOMONTH(A484,0))</f>
        <v/>
      </c>
      <c r="C484" s="14" t="n"/>
      <c r="D484" s="14" t="n"/>
      <c r="E484" s="14" t="n"/>
      <c r="F484" s="15">
        <f>IF(E484="","",IF(COUNTIF(lst_Jobs,E484&amp;"")&gt;0,"OK","CHECK"))</f>
        <v/>
      </c>
      <c r="G484" s="14" t="n"/>
      <c r="H484" s="14" t="n"/>
      <c r="I484" s="14" t="n"/>
      <c r="J484" s="14" t="n"/>
      <c r="K484" s="14" t="n"/>
      <c r="L484" s="16" t="n"/>
      <c r="M484" s="17">
        <f>IF(L484="","",IF(K484="GST 10%",ROUND(L484*set_GSTRate,2),0))</f>
        <v/>
      </c>
      <c r="N484" s="17">
        <f>IF(L484="","",L484+M484)</f>
        <v/>
      </c>
      <c r="O484" s="14" t="n"/>
      <c r="P484" s="14" t="n"/>
      <c r="Q484" s="14" t="n"/>
      <c r="R484" s="12" t="n"/>
      <c r="S484" s="12" t="n"/>
      <c r="T484" s="14" t="n"/>
      <c r="U484" s="14" t="n"/>
      <c r="V484" s="1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row>
    <row r="485" ht="15" customHeight="1">
      <c r="A485" s="12" t="n"/>
      <c r="B485" s="13">
        <f>IF(A485="","",EOMONTH(A485,0))</f>
        <v/>
      </c>
      <c r="C485" s="14" t="n"/>
      <c r="D485" s="14" t="n"/>
      <c r="E485" s="14" t="n"/>
      <c r="F485" s="15">
        <f>IF(E485="","",IF(COUNTIF(lst_Jobs,E485&amp;"")&gt;0,"OK","CHECK"))</f>
        <v/>
      </c>
      <c r="G485" s="14" t="n"/>
      <c r="H485" s="14" t="n"/>
      <c r="I485" s="14" t="n"/>
      <c r="J485" s="14" t="n"/>
      <c r="K485" s="14" t="n"/>
      <c r="L485" s="16" t="n"/>
      <c r="M485" s="17">
        <f>IF(L485="","",IF(K485="GST 10%",ROUND(L485*set_GSTRate,2),0))</f>
        <v/>
      </c>
      <c r="N485" s="17">
        <f>IF(L485="","",L485+M485)</f>
        <v/>
      </c>
      <c r="O485" s="14" t="n"/>
      <c r="P485" s="14" t="n"/>
      <c r="Q485" s="14" t="n"/>
      <c r="R485" s="12" t="n"/>
      <c r="S485" s="12" t="n"/>
      <c r="T485" s="14" t="n"/>
      <c r="U485" s="14" t="n"/>
      <c r="V485" s="1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row>
    <row r="486" ht="15" customHeight="1">
      <c r="A486" s="12" t="n"/>
      <c r="B486" s="13">
        <f>IF(A486="","",EOMONTH(A486,0))</f>
        <v/>
      </c>
      <c r="C486" s="14" t="n"/>
      <c r="D486" s="14" t="n"/>
      <c r="E486" s="14" t="n"/>
      <c r="F486" s="15">
        <f>IF(E486="","",IF(COUNTIF(lst_Jobs,E486&amp;"")&gt;0,"OK","CHECK"))</f>
        <v/>
      </c>
      <c r="G486" s="14" t="n"/>
      <c r="H486" s="14" t="n"/>
      <c r="I486" s="14" t="n"/>
      <c r="J486" s="14" t="n"/>
      <c r="K486" s="14" t="n"/>
      <c r="L486" s="16" t="n"/>
      <c r="M486" s="17">
        <f>IF(L486="","",IF(K486="GST 10%",ROUND(L486*set_GSTRate,2),0))</f>
        <v/>
      </c>
      <c r="N486" s="17">
        <f>IF(L486="","",L486+M486)</f>
        <v/>
      </c>
      <c r="O486" s="14" t="n"/>
      <c r="P486" s="14" t="n"/>
      <c r="Q486" s="14" t="n"/>
      <c r="R486" s="12" t="n"/>
      <c r="S486" s="12" t="n"/>
      <c r="T486" s="14" t="n"/>
      <c r="U486" s="14" t="n"/>
      <c r="V486" s="1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row>
    <row r="487" ht="15" customHeight="1">
      <c r="A487" s="12" t="n"/>
      <c r="B487" s="13">
        <f>IF(A487="","",EOMONTH(A487,0))</f>
        <v/>
      </c>
      <c r="C487" s="14" t="n"/>
      <c r="D487" s="14" t="n"/>
      <c r="E487" s="14" t="n"/>
      <c r="F487" s="15">
        <f>IF(E487="","",IF(COUNTIF(lst_Jobs,E487&amp;"")&gt;0,"OK","CHECK"))</f>
        <v/>
      </c>
      <c r="G487" s="14" t="n"/>
      <c r="H487" s="14" t="n"/>
      <c r="I487" s="14" t="n"/>
      <c r="J487" s="14" t="n"/>
      <c r="K487" s="14" t="n"/>
      <c r="L487" s="16" t="n"/>
      <c r="M487" s="17">
        <f>IF(L487="","",IF(K487="GST 10%",ROUND(L487*set_GSTRate,2),0))</f>
        <v/>
      </c>
      <c r="N487" s="17">
        <f>IF(L487="","",L487+M487)</f>
        <v/>
      </c>
      <c r="O487" s="14" t="n"/>
      <c r="P487" s="14" t="n"/>
      <c r="Q487" s="14" t="n"/>
      <c r="R487" s="12" t="n"/>
      <c r="S487" s="12" t="n"/>
      <c r="T487" s="14" t="n"/>
      <c r="U487" s="14" t="n"/>
      <c r="V487" s="1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row>
    <row r="488" ht="15" customHeight="1">
      <c r="A488" s="12" t="n"/>
      <c r="B488" s="13">
        <f>IF(A488="","",EOMONTH(A488,0))</f>
        <v/>
      </c>
      <c r="C488" s="14" t="n"/>
      <c r="D488" s="14" t="n"/>
      <c r="E488" s="14" t="n"/>
      <c r="F488" s="15">
        <f>IF(E488="","",IF(COUNTIF(lst_Jobs,E488&amp;"")&gt;0,"OK","CHECK"))</f>
        <v/>
      </c>
      <c r="G488" s="14" t="n"/>
      <c r="H488" s="14" t="n"/>
      <c r="I488" s="14" t="n"/>
      <c r="J488" s="14" t="n"/>
      <c r="K488" s="14" t="n"/>
      <c r="L488" s="16" t="n"/>
      <c r="M488" s="17">
        <f>IF(L488="","",IF(K488="GST 10%",ROUND(L488*set_GSTRate,2),0))</f>
        <v/>
      </c>
      <c r="N488" s="17">
        <f>IF(L488="","",L488+M488)</f>
        <v/>
      </c>
      <c r="O488" s="14" t="n"/>
      <c r="P488" s="14" t="n"/>
      <c r="Q488" s="14" t="n"/>
      <c r="R488" s="12" t="n"/>
      <c r="S488" s="12" t="n"/>
      <c r="T488" s="14" t="n"/>
      <c r="U488" s="14" t="n"/>
      <c r="V488" s="1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row>
    <row r="489" ht="15" customHeight="1">
      <c r="A489" s="12" t="n"/>
      <c r="B489" s="13">
        <f>IF(A489="","",EOMONTH(A489,0))</f>
        <v/>
      </c>
      <c r="C489" s="14" t="n"/>
      <c r="D489" s="14" t="n"/>
      <c r="E489" s="14" t="n"/>
      <c r="F489" s="15">
        <f>IF(E489="","",IF(COUNTIF(lst_Jobs,E489&amp;"")&gt;0,"OK","CHECK"))</f>
        <v/>
      </c>
      <c r="G489" s="14" t="n"/>
      <c r="H489" s="14" t="n"/>
      <c r="I489" s="14" t="n"/>
      <c r="J489" s="14" t="n"/>
      <c r="K489" s="14" t="n"/>
      <c r="L489" s="16" t="n"/>
      <c r="M489" s="17">
        <f>IF(L489="","",IF(K489="GST 10%",ROUND(L489*set_GSTRate,2),0))</f>
        <v/>
      </c>
      <c r="N489" s="17">
        <f>IF(L489="","",L489+M489)</f>
        <v/>
      </c>
      <c r="O489" s="14" t="n"/>
      <c r="P489" s="14" t="n"/>
      <c r="Q489" s="14" t="n"/>
      <c r="R489" s="12" t="n"/>
      <c r="S489" s="12" t="n"/>
      <c r="T489" s="14" t="n"/>
      <c r="U489" s="14" t="n"/>
      <c r="V489" s="1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row>
    <row r="490" ht="15" customHeight="1">
      <c r="A490" s="12" t="n"/>
      <c r="B490" s="13">
        <f>IF(A490="","",EOMONTH(A490,0))</f>
        <v/>
      </c>
      <c r="C490" s="14" t="n"/>
      <c r="D490" s="14" t="n"/>
      <c r="E490" s="14" t="n"/>
      <c r="F490" s="15">
        <f>IF(E490="","",IF(COUNTIF(lst_Jobs,E490&amp;"")&gt;0,"OK","CHECK"))</f>
        <v/>
      </c>
      <c r="G490" s="14" t="n"/>
      <c r="H490" s="14" t="n"/>
      <c r="I490" s="14" t="n"/>
      <c r="J490" s="14" t="n"/>
      <c r="K490" s="14" t="n"/>
      <c r="L490" s="16" t="n"/>
      <c r="M490" s="17">
        <f>IF(L490="","",IF(K490="GST 10%",ROUND(L490*set_GSTRate,2),0))</f>
        <v/>
      </c>
      <c r="N490" s="17">
        <f>IF(L490="","",L490+M490)</f>
        <v/>
      </c>
      <c r="O490" s="14" t="n"/>
      <c r="P490" s="14" t="n"/>
      <c r="Q490" s="14" t="n"/>
      <c r="R490" s="12" t="n"/>
      <c r="S490" s="12" t="n"/>
      <c r="T490" s="14" t="n"/>
      <c r="U490" s="14" t="n"/>
      <c r="V490" s="1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row>
    <row r="491" ht="15" customHeight="1">
      <c r="A491" s="12" t="n"/>
      <c r="B491" s="13">
        <f>IF(A491="","",EOMONTH(A491,0))</f>
        <v/>
      </c>
      <c r="C491" s="14" t="n"/>
      <c r="D491" s="14" t="n"/>
      <c r="E491" s="14" t="n"/>
      <c r="F491" s="15">
        <f>IF(E491="","",IF(COUNTIF(lst_Jobs,E491&amp;"")&gt;0,"OK","CHECK"))</f>
        <v/>
      </c>
      <c r="G491" s="14" t="n"/>
      <c r="H491" s="14" t="n"/>
      <c r="I491" s="14" t="n"/>
      <c r="J491" s="14" t="n"/>
      <c r="K491" s="14" t="n"/>
      <c r="L491" s="16" t="n"/>
      <c r="M491" s="17">
        <f>IF(L491="","",IF(K491="GST 10%",ROUND(L491*set_GSTRate,2),0))</f>
        <v/>
      </c>
      <c r="N491" s="17">
        <f>IF(L491="","",L491+M491)</f>
        <v/>
      </c>
      <c r="O491" s="14" t="n"/>
      <c r="P491" s="14" t="n"/>
      <c r="Q491" s="14" t="n"/>
      <c r="R491" s="12" t="n"/>
      <c r="S491" s="12" t="n"/>
      <c r="T491" s="14" t="n"/>
      <c r="U491" s="14" t="n"/>
      <c r="V491" s="1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row>
    <row r="492" ht="15" customHeight="1">
      <c r="A492" s="12" t="n"/>
      <c r="B492" s="13">
        <f>IF(A492="","",EOMONTH(A492,0))</f>
        <v/>
      </c>
      <c r="C492" s="14" t="n"/>
      <c r="D492" s="14" t="n"/>
      <c r="E492" s="14" t="n"/>
      <c r="F492" s="15">
        <f>IF(E492="","",IF(COUNTIF(lst_Jobs,E492&amp;"")&gt;0,"OK","CHECK"))</f>
        <v/>
      </c>
      <c r="G492" s="14" t="n"/>
      <c r="H492" s="14" t="n"/>
      <c r="I492" s="14" t="n"/>
      <c r="J492" s="14" t="n"/>
      <c r="K492" s="14" t="n"/>
      <c r="L492" s="16" t="n"/>
      <c r="M492" s="17">
        <f>IF(L492="","",IF(K492="GST 10%",ROUND(L492*set_GSTRate,2),0))</f>
        <v/>
      </c>
      <c r="N492" s="17">
        <f>IF(L492="","",L492+M492)</f>
        <v/>
      </c>
      <c r="O492" s="14" t="n"/>
      <c r="P492" s="14" t="n"/>
      <c r="Q492" s="14" t="n"/>
      <c r="R492" s="12" t="n"/>
      <c r="S492" s="12" t="n"/>
      <c r="T492" s="14" t="n"/>
      <c r="U492" s="14" t="n"/>
      <c r="V492" s="1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row>
    <row r="493" ht="15" customHeight="1">
      <c r="A493" s="12" t="n"/>
      <c r="B493" s="13">
        <f>IF(A493="","",EOMONTH(A493,0))</f>
        <v/>
      </c>
      <c r="C493" s="14" t="n"/>
      <c r="D493" s="14" t="n"/>
      <c r="E493" s="14" t="n"/>
      <c r="F493" s="15">
        <f>IF(E493="","",IF(COUNTIF(lst_Jobs,E493&amp;"")&gt;0,"OK","CHECK"))</f>
        <v/>
      </c>
      <c r="G493" s="14" t="n"/>
      <c r="H493" s="14" t="n"/>
      <c r="I493" s="14" t="n"/>
      <c r="J493" s="14" t="n"/>
      <c r="K493" s="14" t="n"/>
      <c r="L493" s="16" t="n"/>
      <c r="M493" s="17">
        <f>IF(L493="","",IF(K493="GST 10%",ROUND(L493*set_GSTRate,2),0))</f>
        <v/>
      </c>
      <c r="N493" s="17">
        <f>IF(L493="","",L493+M493)</f>
        <v/>
      </c>
      <c r="O493" s="14" t="n"/>
      <c r="P493" s="14" t="n"/>
      <c r="Q493" s="14" t="n"/>
      <c r="R493" s="12" t="n"/>
      <c r="S493" s="12" t="n"/>
      <c r="T493" s="14" t="n"/>
      <c r="U493" s="14" t="n"/>
      <c r="V493" s="1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row>
    <row r="494" ht="15" customHeight="1">
      <c r="A494" s="12" t="n"/>
      <c r="B494" s="13">
        <f>IF(A494="","",EOMONTH(A494,0))</f>
        <v/>
      </c>
      <c r="C494" s="14" t="n"/>
      <c r="D494" s="14" t="n"/>
      <c r="E494" s="14" t="n"/>
      <c r="F494" s="15">
        <f>IF(E494="","",IF(COUNTIF(lst_Jobs,E494&amp;"")&gt;0,"OK","CHECK"))</f>
        <v/>
      </c>
      <c r="G494" s="14" t="n"/>
      <c r="H494" s="14" t="n"/>
      <c r="I494" s="14" t="n"/>
      <c r="J494" s="14" t="n"/>
      <c r="K494" s="14" t="n"/>
      <c r="L494" s="16" t="n"/>
      <c r="M494" s="17">
        <f>IF(L494="","",IF(K494="GST 10%",ROUND(L494*set_GSTRate,2),0))</f>
        <v/>
      </c>
      <c r="N494" s="17">
        <f>IF(L494="","",L494+M494)</f>
        <v/>
      </c>
      <c r="O494" s="14" t="n"/>
      <c r="P494" s="14" t="n"/>
      <c r="Q494" s="14" t="n"/>
      <c r="R494" s="12" t="n"/>
      <c r="S494" s="12" t="n"/>
      <c r="T494" s="14" t="n"/>
      <c r="U494" s="14" t="n"/>
      <c r="V494" s="1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row>
    <row r="495" ht="15" customHeight="1">
      <c r="A495" s="12" t="n"/>
      <c r="B495" s="13">
        <f>IF(A495="","",EOMONTH(A495,0))</f>
        <v/>
      </c>
      <c r="C495" s="14" t="n"/>
      <c r="D495" s="14" t="n"/>
      <c r="E495" s="14" t="n"/>
      <c r="F495" s="15">
        <f>IF(E495="","",IF(COUNTIF(lst_Jobs,E495&amp;"")&gt;0,"OK","CHECK"))</f>
        <v/>
      </c>
      <c r="G495" s="14" t="n"/>
      <c r="H495" s="14" t="n"/>
      <c r="I495" s="14" t="n"/>
      <c r="J495" s="14" t="n"/>
      <c r="K495" s="14" t="n"/>
      <c r="L495" s="16" t="n"/>
      <c r="M495" s="17">
        <f>IF(L495="","",IF(K495="GST 10%",ROUND(L495*set_GSTRate,2),0))</f>
        <v/>
      </c>
      <c r="N495" s="17">
        <f>IF(L495="","",L495+M495)</f>
        <v/>
      </c>
      <c r="O495" s="14" t="n"/>
      <c r="P495" s="14" t="n"/>
      <c r="Q495" s="14" t="n"/>
      <c r="R495" s="12" t="n"/>
      <c r="S495" s="12" t="n"/>
      <c r="T495" s="14" t="n"/>
      <c r="U495" s="14" t="n"/>
      <c r="V495" s="1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row>
    <row r="496" ht="15" customHeight="1">
      <c r="A496" s="12" t="n"/>
      <c r="B496" s="13">
        <f>IF(A496="","",EOMONTH(A496,0))</f>
        <v/>
      </c>
      <c r="C496" s="14" t="n"/>
      <c r="D496" s="14" t="n"/>
      <c r="E496" s="14" t="n"/>
      <c r="F496" s="15">
        <f>IF(E496="","",IF(COUNTIF(lst_Jobs,E496&amp;"")&gt;0,"OK","CHECK"))</f>
        <v/>
      </c>
      <c r="G496" s="14" t="n"/>
      <c r="H496" s="14" t="n"/>
      <c r="I496" s="14" t="n"/>
      <c r="J496" s="14" t="n"/>
      <c r="K496" s="14" t="n"/>
      <c r="L496" s="16" t="n"/>
      <c r="M496" s="17">
        <f>IF(L496="","",IF(K496="GST 10%",ROUND(L496*set_GSTRate,2),0))</f>
        <v/>
      </c>
      <c r="N496" s="17">
        <f>IF(L496="","",L496+M496)</f>
        <v/>
      </c>
      <c r="O496" s="14" t="n"/>
      <c r="P496" s="14" t="n"/>
      <c r="Q496" s="14" t="n"/>
      <c r="R496" s="12" t="n"/>
      <c r="S496" s="12" t="n"/>
      <c r="T496" s="14" t="n"/>
      <c r="U496" s="14" t="n"/>
      <c r="V496" s="1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row>
    <row r="497" ht="15" customHeight="1">
      <c r="A497" s="12" t="n"/>
      <c r="B497" s="13">
        <f>IF(A497="","",EOMONTH(A497,0))</f>
        <v/>
      </c>
      <c r="C497" s="14" t="n"/>
      <c r="D497" s="14" t="n"/>
      <c r="E497" s="14" t="n"/>
      <c r="F497" s="15">
        <f>IF(E497="","",IF(COUNTIF(lst_Jobs,E497&amp;"")&gt;0,"OK","CHECK"))</f>
        <v/>
      </c>
      <c r="G497" s="14" t="n"/>
      <c r="H497" s="14" t="n"/>
      <c r="I497" s="14" t="n"/>
      <c r="J497" s="14" t="n"/>
      <c r="K497" s="14" t="n"/>
      <c r="L497" s="16" t="n"/>
      <c r="M497" s="17">
        <f>IF(L497="","",IF(K497="GST 10%",ROUND(L497*set_GSTRate,2),0))</f>
        <v/>
      </c>
      <c r="N497" s="17">
        <f>IF(L497="","",L497+M497)</f>
        <v/>
      </c>
      <c r="O497" s="14" t="n"/>
      <c r="P497" s="14" t="n"/>
      <c r="Q497" s="14" t="n"/>
      <c r="R497" s="12" t="n"/>
      <c r="S497" s="12" t="n"/>
      <c r="T497" s="14" t="n"/>
      <c r="U497" s="14" t="n"/>
      <c r="V497" s="1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row>
    <row r="498" ht="15" customHeight="1">
      <c r="A498" s="12" t="n"/>
      <c r="B498" s="13">
        <f>IF(A498="","",EOMONTH(A498,0))</f>
        <v/>
      </c>
      <c r="C498" s="14" t="n"/>
      <c r="D498" s="14" t="n"/>
      <c r="E498" s="14" t="n"/>
      <c r="F498" s="15">
        <f>IF(E498="","",IF(COUNTIF(lst_Jobs,E498&amp;"")&gt;0,"OK","CHECK"))</f>
        <v/>
      </c>
      <c r="G498" s="14" t="n"/>
      <c r="H498" s="14" t="n"/>
      <c r="I498" s="14" t="n"/>
      <c r="J498" s="14" t="n"/>
      <c r="K498" s="14" t="n"/>
      <c r="L498" s="16" t="n"/>
      <c r="M498" s="17">
        <f>IF(L498="","",IF(K498="GST 10%",ROUND(L498*set_GSTRate,2),0))</f>
        <v/>
      </c>
      <c r="N498" s="17">
        <f>IF(L498="","",L498+M498)</f>
        <v/>
      </c>
      <c r="O498" s="14" t="n"/>
      <c r="P498" s="14" t="n"/>
      <c r="Q498" s="14" t="n"/>
      <c r="R498" s="12" t="n"/>
      <c r="S498" s="12" t="n"/>
      <c r="T498" s="14" t="n"/>
      <c r="U498" s="14" t="n"/>
      <c r="V498" s="1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row>
    <row r="499" ht="15" customHeight="1">
      <c r="A499" s="12" t="n"/>
      <c r="B499" s="13">
        <f>IF(A499="","",EOMONTH(A499,0))</f>
        <v/>
      </c>
      <c r="C499" s="14" t="n"/>
      <c r="D499" s="14" t="n"/>
      <c r="E499" s="14" t="n"/>
      <c r="F499" s="15">
        <f>IF(E499="","",IF(COUNTIF(lst_Jobs,E499&amp;"")&gt;0,"OK","CHECK"))</f>
        <v/>
      </c>
      <c r="G499" s="14" t="n"/>
      <c r="H499" s="14" t="n"/>
      <c r="I499" s="14" t="n"/>
      <c r="J499" s="14" t="n"/>
      <c r="K499" s="14" t="n"/>
      <c r="L499" s="16" t="n"/>
      <c r="M499" s="17">
        <f>IF(L499="","",IF(K499="GST 10%",ROUND(L499*set_GSTRate,2),0))</f>
        <v/>
      </c>
      <c r="N499" s="17">
        <f>IF(L499="","",L499+M499)</f>
        <v/>
      </c>
      <c r="O499" s="14" t="n"/>
      <c r="P499" s="14" t="n"/>
      <c r="Q499" s="14" t="n"/>
      <c r="R499" s="12" t="n"/>
      <c r="S499" s="12" t="n"/>
      <c r="T499" s="14" t="n"/>
      <c r="U499" s="14" t="n"/>
      <c r="V499" s="1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row>
    <row r="500" ht="15" customHeight="1">
      <c r="A500" s="12" t="n"/>
      <c r="B500" s="13">
        <f>IF(A500="","",EOMONTH(A500,0))</f>
        <v/>
      </c>
      <c r="C500" s="14" t="n"/>
      <c r="D500" s="14" t="n"/>
      <c r="E500" s="14" t="n"/>
      <c r="F500" s="15">
        <f>IF(E500="","",IF(COUNTIF(lst_Jobs,E500&amp;"")&gt;0,"OK","CHECK"))</f>
        <v/>
      </c>
      <c r="G500" s="14" t="n"/>
      <c r="H500" s="14" t="n"/>
      <c r="I500" s="14" t="n"/>
      <c r="J500" s="14" t="n"/>
      <c r="K500" s="14" t="n"/>
      <c r="L500" s="16" t="n"/>
      <c r="M500" s="17">
        <f>IF(L500="","",IF(K500="GST 10%",ROUND(L500*set_GSTRate,2),0))</f>
        <v/>
      </c>
      <c r="N500" s="17">
        <f>IF(L500="","",L500+M500)</f>
        <v/>
      </c>
      <c r="O500" s="14" t="n"/>
      <c r="P500" s="14" t="n"/>
      <c r="Q500" s="14" t="n"/>
      <c r="R500" s="12" t="n"/>
      <c r="S500" s="12" t="n"/>
      <c r="T500" s="14" t="n"/>
      <c r="U500" s="14" t="n"/>
      <c r="V500" s="1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row>
    <row r="501" ht="15" customHeight="1">
      <c r="A501" s="12" t="n"/>
      <c r="B501" s="13">
        <f>IF(A501="","",EOMONTH(A501,0))</f>
        <v/>
      </c>
      <c r="C501" s="14" t="n"/>
      <c r="D501" s="14" t="n"/>
      <c r="E501" s="14" t="n"/>
      <c r="F501" s="15">
        <f>IF(E501="","",IF(COUNTIF(lst_Jobs,E501&amp;"")&gt;0,"OK","CHECK"))</f>
        <v/>
      </c>
      <c r="G501" s="14" t="n"/>
      <c r="H501" s="14" t="n"/>
      <c r="I501" s="14" t="n"/>
      <c r="J501" s="14" t="n"/>
      <c r="K501" s="14" t="n"/>
      <c r="L501" s="16" t="n"/>
      <c r="M501" s="17">
        <f>IF(L501="","",IF(K501="GST 10%",ROUND(L501*set_GSTRate,2),0))</f>
        <v/>
      </c>
      <c r="N501" s="17">
        <f>IF(L501="","",L501+M501)</f>
        <v/>
      </c>
      <c r="O501" s="14" t="n"/>
      <c r="P501" s="14" t="n"/>
      <c r="Q501" s="14" t="n"/>
      <c r="R501" s="12" t="n"/>
      <c r="S501" s="12" t="n"/>
      <c r="T501" s="14" t="n"/>
      <c r="U501" s="14" t="n"/>
      <c r="V501" s="1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row>
    <row r="502" ht="15" customHeight="1">
      <c r="A502" s="12" t="n"/>
      <c r="B502" s="13">
        <f>IF(A502="","",EOMONTH(A502,0))</f>
        <v/>
      </c>
      <c r="C502" s="14" t="n"/>
      <c r="D502" s="14" t="n"/>
      <c r="E502" s="14" t="n"/>
      <c r="F502" s="15">
        <f>IF(E502="","",IF(COUNTIF(lst_Jobs,E502&amp;"")&gt;0,"OK","CHECK"))</f>
        <v/>
      </c>
      <c r="G502" s="14" t="n"/>
      <c r="H502" s="14" t="n"/>
      <c r="I502" s="14" t="n"/>
      <c r="J502" s="14" t="n"/>
      <c r="K502" s="14" t="n"/>
      <c r="L502" s="16" t="n"/>
      <c r="M502" s="17">
        <f>IF(L502="","",IF(K502="GST 10%",ROUND(L502*set_GSTRate,2),0))</f>
        <v/>
      </c>
      <c r="N502" s="17">
        <f>IF(L502="","",L502+M502)</f>
        <v/>
      </c>
      <c r="O502" s="14" t="n"/>
      <c r="P502" s="14" t="n"/>
      <c r="Q502" s="14" t="n"/>
      <c r="R502" s="12" t="n"/>
      <c r="S502" s="12" t="n"/>
      <c r="T502" s="14" t="n"/>
      <c r="U502" s="14" t="n"/>
      <c r="V502" s="1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row>
    <row r="503" ht="15" customHeight="1">
      <c r="A503" s="12" t="n"/>
      <c r="B503" s="13">
        <f>IF(A503="","",EOMONTH(A503,0))</f>
        <v/>
      </c>
      <c r="C503" s="14" t="n"/>
      <c r="D503" s="14" t="n"/>
      <c r="E503" s="14" t="n"/>
      <c r="F503" s="15">
        <f>IF(E503="","",IF(COUNTIF(lst_Jobs,E503&amp;"")&gt;0,"OK","CHECK"))</f>
        <v/>
      </c>
      <c r="G503" s="14" t="n"/>
      <c r="H503" s="14" t="n"/>
      <c r="I503" s="14" t="n"/>
      <c r="J503" s="14" t="n"/>
      <c r="K503" s="14" t="n"/>
      <c r="L503" s="16" t="n"/>
      <c r="M503" s="17">
        <f>IF(L503="","",IF(K503="GST 10%",ROUND(L503*set_GSTRate,2),0))</f>
        <v/>
      </c>
      <c r="N503" s="17">
        <f>IF(L503="","",L503+M503)</f>
        <v/>
      </c>
      <c r="O503" s="14" t="n"/>
      <c r="P503" s="14" t="n"/>
      <c r="Q503" s="14" t="n"/>
      <c r="R503" s="12" t="n"/>
      <c r="S503" s="12" t="n"/>
      <c r="T503" s="14" t="n"/>
      <c r="U503" s="14" t="n"/>
      <c r="V503" s="1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row>
    <row r="504" ht="15" customHeight="1">
      <c r="A504" s="12" t="n"/>
      <c r="B504" s="13">
        <f>IF(A504="","",EOMONTH(A504,0))</f>
        <v/>
      </c>
      <c r="C504" s="14" t="n"/>
      <c r="D504" s="14" t="n"/>
      <c r="E504" s="14" t="n"/>
      <c r="F504" s="15">
        <f>IF(E504="","",IF(COUNTIF(lst_Jobs,E504&amp;"")&gt;0,"OK","CHECK"))</f>
        <v/>
      </c>
      <c r="G504" s="14" t="n"/>
      <c r="H504" s="14" t="n"/>
      <c r="I504" s="14" t="n"/>
      <c r="J504" s="14" t="n"/>
      <c r="K504" s="14" t="n"/>
      <c r="L504" s="16" t="n"/>
      <c r="M504" s="17">
        <f>IF(L504="","",IF(K504="GST 10%",ROUND(L504*set_GSTRate,2),0))</f>
        <v/>
      </c>
      <c r="N504" s="17">
        <f>IF(L504="","",L504+M504)</f>
        <v/>
      </c>
      <c r="O504" s="14" t="n"/>
      <c r="P504" s="14" t="n"/>
      <c r="Q504" s="14" t="n"/>
      <c r="R504" s="12" t="n"/>
      <c r="S504" s="12" t="n"/>
      <c r="T504" s="14" t="n"/>
      <c r="U504" s="14" t="n"/>
      <c r="V504" s="1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row>
    <row r="505" ht="15" customHeight="1">
      <c r="A505" s="12" t="n"/>
      <c r="B505" s="13">
        <f>IF(A505="","",EOMONTH(A505,0))</f>
        <v/>
      </c>
      <c r="C505" s="14" t="n"/>
      <c r="D505" s="14" t="n"/>
      <c r="E505" s="14" t="n"/>
      <c r="F505" s="15">
        <f>IF(E505="","",IF(COUNTIF(lst_Jobs,E505&amp;"")&gt;0,"OK","CHECK"))</f>
        <v/>
      </c>
      <c r="G505" s="14" t="n"/>
      <c r="H505" s="14" t="n"/>
      <c r="I505" s="14" t="n"/>
      <c r="J505" s="14" t="n"/>
      <c r="K505" s="14" t="n"/>
      <c r="L505" s="16" t="n"/>
      <c r="M505" s="17">
        <f>IF(L505="","",IF(K505="GST 10%",ROUND(L505*set_GSTRate,2),0))</f>
        <v/>
      </c>
      <c r="N505" s="17">
        <f>IF(L505="","",L505+M505)</f>
        <v/>
      </c>
      <c r="O505" s="14" t="n"/>
      <c r="P505" s="14" t="n"/>
      <c r="Q505" s="14" t="n"/>
      <c r="R505" s="12" t="n"/>
      <c r="S505" s="12" t="n"/>
      <c r="T505" s="14" t="n"/>
      <c r="U505" s="14" t="n"/>
      <c r="V505" s="1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row>
    <row r="506" ht="15" customHeight="1">
      <c r="A506" s="12" t="n"/>
      <c r="B506" s="13">
        <f>IF(A506="","",EOMONTH(A506,0))</f>
        <v/>
      </c>
      <c r="C506" s="14" t="n"/>
      <c r="D506" s="14" t="n"/>
      <c r="E506" s="14" t="n"/>
      <c r="F506" s="15">
        <f>IF(E506="","",IF(COUNTIF(lst_Jobs,E506&amp;"")&gt;0,"OK","CHECK"))</f>
        <v/>
      </c>
      <c r="G506" s="14" t="n"/>
      <c r="H506" s="14" t="n"/>
      <c r="I506" s="14" t="n"/>
      <c r="J506" s="14" t="n"/>
      <c r="K506" s="14" t="n"/>
      <c r="L506" s="16" t="n"/>
      <c r="M506" s="17">
        <f>IF(L506="","",IF(K506="GST 10%",ROUND(L506*set_GSTRate,2),0))</f>
        <v/>
      </c>
      <c r="N506" s="17">
        <f>IF(L506="","",L506+M506)</f>
        <v/>
      </c>
      <c r="O506" s="14" t="n"/>
      <c r="P506" s="14" t="n"/>
      <c r="Q506" s="14" t="n"/>
      <c r="R506" s="12" t="n"/>
      <c r="S506" s="12" t="n"/>
      <c r="T506" s="14" t="n"/>
      <c r="U506" s="14" t="n"/>
      <c r="V506" s="1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row>
    <row r="507" ht="15" customHeight="1">
      <c r="A507" s="12" t="n"/>
      <c r="B507" s="13">
        <f>IF(A507="","",EOMONTH(A507,0))</f>
        <v/>
      </c>
      <c r="C507" s="14" t="n"/>
      <c r="D507" s="14" t="n"/>
      <c r="E507" s="14" t="n"/>
      <c r="F507" s="15">
        <f>IF(E507="","",IF(COUNTIF(lst_Jobs,E507&amp;"")&gt;0,"OK","CHECK"))</f>
        <v/>
      </c>
      <c r="G507" s="14" t="n"/>
      <c r="H507" s="14" t="n"/>
      <c r="I507" s="14" t="n"/>
      <c r="J507" s="14" t="n"/>
      <c r="K507" s="14" t="n"/>
      <c r="L507" s="16" t="n"/>
      <c r="M507" s="17">
        <f>IF(L507="","",IF(K507="GST 10%",ROUND(L507*set_GSTRate,2),0))</f>
        <v/>
      </c>
      <c r="N507" s="17">
        <f>IF(L507="","",L507+M507)</f>
        <v/>
      </c>
      <c r="O507" s="14" t="n"/>
      <c r="P507" s="14" t="n"/>
      <c r="Q507" s="14" t="n"/>
      <c r="R507" s="12" t="n"/>
      <c r="S507" s="12" t="n"/>
      <c r="T507" s="14" t="n"/>
      <c r="U507" s="14" t="n"/>
      <c r="V507" s="1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row>
    <row r="508" ht="15" customHeight="1">
      <c r="A508" s="12" t="n"/>
      <c r="B508" s="13">
        <f>IF(A508="","",EOMONTH(A508,0))</f>
        <v/>
      </c>
      <c r="C508" s="14" t="n"/>
      <c r="D508" s="14" t="n"/>
      <c r="E508" s="14" t="n"/>
      <c r="F508" s="15">
        <f>IF(E508="","",IF(COUNTIF(lst_Jobs,E508&amp;"")&gt;0,"OK","CHECK"))</f>
        <v/>
      </c>
      <c r="G508" s="14" t="n"/>
      <c r="H508" s="14" t="n"/>
      <c r="I508" s="14" t="n"/>
      <c r="J508" s="14" t="n"/>
      <c r="K508" s="14" t="n"/>
      <c r="L508" s="16" t="n"/>
      <c r="M508" s="17">
        <f>IF(L508="","",IF(K508="GST 10%",ROUND(L508*set_GSTRate,2),0))</f>
        <v/>
      </c>
      <c r="N508" s="17">
        <f>IF(L508="","",L508+M508)</f>
        <v/>
      </c>
      <c r="O508" s="14" t="n"/>
      <c r="P508" s="14" t="n"/>
      <c r="Q508" s="14" t="n"/>
      <c r="R508" s="12" t="n"/>
      <c r="S508" s="12" t="n"/>
      <c r="T508" s="14" t="n"/>
      <c r="U508" s="14" t="n"/>
      <c r="V508" s="1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row>
    <row r="509" ht="15" customHeight="1">
      <c r="A509" s="12" t="n"/>
      <c r="B509" s="13">
        <f>IF(A509="","",EOMONTH(A509,0))</f>
        <v/>
      </c>
      <c r="C509" s="14" t="n"/>
      <c r="D509" s="14" t="n"/>
      <c r="E509" s="14" t="n"/>
      <c r="F509" s="15">
        <f>IF(E509="","",IF(COUNTIF(lst_Jobs,E509&amp;"")&gt;0,"OK","CHECK"))</f>
        <v/>
      </c>
      <c r="G509" s="14" t="n"/>
      <c r="H509" s="14" t="n"/>
      <c r="I509" s="14" t="n"/>
      <c r="J509" s="14" t="n"/>
      <c r="K509" s="14" t="n"/>
      <c r="L509" s="16" t="n"/>
      <c r="M509" s="17">
        <f>IF(L509="","",IF(K509="GST 10%",ROUND(L509*set_GSTRate,2),0))</f>
        <v/>
      </c>
      <c r="N509" s="17">
        <f>IF(L509="","",L509+M509)</f>
        <v/>
      </c>
      <c r="O509" s="14" t="n"/>
      <c r="P509" s="14" t="n"/>
      <c r="Q509" s="14" t="n"/>
      <c r="R509" s="12" t="n"/>
      <c r="S509" s="12" t="n"/>
      <c r="T509" s="14" t="n"/>
      <c r="U509" s="14" t="n"/>
      <c r="V509" s="1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row>
    <row r="510" ht="15" customHeight="1">
      <c r="A510" s="12" t="n"/>
      <c r="B510" s="13">
        <f>IF(A510="","",EOMONTH(A510,0))</f>
        <v/>
      </c>
      <c r="C510" s="14" t="n"/>
      <c r="D510" s="14" t="n"/>
      <c r="E510" s="14" t="n"/>
      <c r="F510" s="15">
        <f>IF(E510="","",IF(COUNTIF(lst_Jobs,E510&amp;"")&gt;0,"OK","CHECK"))</f>
        <v/>
      </c>
      <c r="G510" s="14" t="n"/>
      <c r="H510" s="14" t="n"/>
      <c r="I510" s="14" t="n"/>
      <c r="J510" s="14" t="n"/>
      <c r="K510" s="14" t="n"/>
      <c r="L510" s="16" t="n"/>
      <c r="M510" s="17">
        <f>IF(L510="","",IF(K510="GST 10%",ROUND(L510*set_GSTRate,2),0))</f>
        <v/>
      </c>
      <c r="N510" s="17">
        <f>IF(L510="","",L510+M510)</f>
        <v/>
      </c>
      <c r="O510" s="14" t="n"/>
      <c r="P510" s="14" t="n"/>
      <c r="Q510" s="14" t="n"/>
      <c r="R510" s="12" t="n"/>
      <c r="S510" s="12" t="n"/>
      <c r="T510" s="14" t="n"/>
      <c r="U510" s="14" t="n"/>
      <c r="V510" s="1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row>
    <row r="511" ht="15" customHeight="1">
      <c r="A511" s="12" t="n"/>
      <c r="B511" s="13">
        <f>IF(A511="","",EOMONTH(A511,0))</f>
        <v/>
      </c>
      <c r="C511" s="14" t="n"/>
      <c r="D511" s="14" t="n"/>
      <c r="E511" s="14" t="n"/>
      <c r="F511" s="15">
        <f>IF(E511="","",IF(COUNTIF(lst_Jobs,E511&amp;"")&gt;0,"OK","CHECK"))</f>
        <v/>
      </c>
      <c r="G511" s="14" t="n"/>
      <c r="H511" s="14" t="n"/>
      <c r="I511" s="14" t="n"/>
      <c r="J511" s="14" t="n"/>
      <c r="K511" s="14" t="n"/>
      <c r="L511" s="16" t="n"/>
      <c r="M511" s="17">
        <f>IF(L511="","",IF(K511="GST 10%",ROUND(L511*set_GSTRate,2),0))</f>
        <v/>
      </c>
      <c r="N511" s="17">
        <f>IF(L511="","",L511+M511)</f>
        <v/>
      </c>
      <c r="O511" s="14" t="n"/>
      <c r="P511" s="14" t="n"/>
      <c r="Q511" s="14" t="n"/>
      <c r="R511" s="12" t="n"/>
      <c r="S511" s="12" t="n"/>
      <c r="T511" s="14" t="n"/>
      <c r="U511" s="14" t="n"/>
      <c r="V511" s="1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row>
    <row r="512" ht="15" customHeight="1">
      <c r="A512" s="12" t="n"/>
      <c r="B512" s="13">
        <f>IF(A512="","",EOMONTH(A512,0))</f>
        <v/>
      </c>
      <c r="C512" s="14" t="n"/>
      <c r="D512" s="14" t="n"/>
      <c r="E512" s="14" t="n"/>
      <c r="F512" s="15">
        <f>IF(E512="","",IF(COUNTIF(lst_Jobs,E512&amp;"")&gt;0,"OK","CHECK"))</f>
        <v/>
      </c>
      <c r="G512" s="14" t="n"/>
      <c r="H512" s="14" t="n"/>
      <c r="I512" s="14" t="n"/>
      <c r="J512" s="14" t="n"/>
      <c r="K512" s="14" t="n"/>
      <c r="L512" s="16" t="n"/>
      <c r="M512" s="17">
        <f>IF(L512="","",IF(K512="GST 10%",ROUND(L512*set_GSTRate,2),0))</f>
        <v/>
      </c>
      <c r="N512" s="17">
        <f>IF(L512="","",L512+M512)</f>
        <v/>
      </c>
      <c r="O512" s="14" t="n"/>
      <c r="P512" s="14" t="n"/>
      <c r="Q512" s="14" t="n"/>
      <c r="R512" s="12" t="n"/>
      <c r="S512" s="12" t="n"/>
      <c r="T512" s="14" t="n"/>
      <c r="U512" s="14" t="n"/>
      <c r="V512" s="1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row>
    <row r="513" ht="15" customHeight="1">
      <c r="A513" s="12" t="n"/>
      <c r="B513" s="13">
        <f>IF(A513="","",EOMONTH(A513,0))</f>
        <v/>
      </c>
      <c r="C513" s="14" t="n"/>
      <c r="D513" s="14" t="n"/>
      <c r="E513" s="14" t="n"/>
      <c r="F513" s="15">
        <f>IF(E513="","",IF(COUNTIF(lst_Jobs,E513&amp;"")&gt;0,"OK","CHECK"))</f>
        <v/>
      </c>
      <c r="G513" s="14" t="n"/>
      <c r="H513" s="14" t="n"/>
      <c r="I513" s="14" t="n"/>
      <c r="J513" s="14" t="n"/>
      <c r="K513" s="14" t="n"/>
      <c r="L513" s="16" t="n"/>
      <c r="M513" s="17">
        <f>IF(L513="","",IF(K513="GST 10%",ROUND(L513*set_GSTRate,2),0))</f>
        <v/>
      </c>
      <c r="N513" s="17">
        <f>IF(L513="","",L513+M513)</f>
        <v/>
      </c>
      <c r="O513" s="14" t="n"/>
      <c r="P513" s="14" t="n"/>
      <c r="Q513" s="14" t="n"/>
      <c r="R513" s="12" t="n"/>
      <c r="S513" s="12" t="n"/>
      <c r="T513" s="14" t="n"/>
      <c r="U513" s="14" t="n"/>
      <c r="V513" s="1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row>
    <row r="514" ht="15" customHeight="1">
      <c r="A514" s="12" t="n"/>
      <c r="B514" s="13">
        <f>IF(A514="","",EOMONTH(A514,0))</f>
        <v/>
      </c>
      <c r="C514" s="14" t="n"/>
      <c r="D514" s="14" t="n"/>
      <c r="E514" s="14" t="n"/>
      <c r="F514" s="15">
        <f>IF(E514="","",IF(COUNTIF(lst_Jobs,E514&amp;"")&gt;0,"OK","CHECK"))</f>
        <v/>
      </c>
      <c r="G514" s="14" t="n"/>
      <c r="H514" s="14" t="n"/>
      <c r="I514" s="14" t="n"/>
      <c r="J514" s="14" t="n"/>
      <c r="K514" s="14" t="n"/>
      <c r="L514" s="16" t="n"/>
      <c r="M514" s="17">
        <f>IF(L514="","",IF(K514="GST 10%",ROUND(L514*set_GSTRate,2),0))</f>
        <v/>
      </c>
      <c r="N514" s="17">
        <f>IF(L514="","",L514+M514)</f>
        <v/>
      </c>
      <c r="O514" s="14" t="n"/>
      <c r="P514" s="14" t="n"/>
      <c r="Q514" s="14" t="n"/>
      <c r="R514" s="12" t="n"/>
      <c r="S514" s="12" t="n"/>
      <c r="T514" s="14" t="n"/>
      <c r="U514" s="14" t="n"/>
      <c r="V514" s="1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row>
    <row r="515" ht="15" customHeight="1">
      <c r="A515" s="12" t="n"/>
      <c r="B515" s="13">
        <f>IF(A515="","",EOMONTH(A515,0))</f>
        <v/>
      </c>
      <c r="C515" s="14" t="n"/>
      <c r="D515" s="14" t="n"/>
      <c r="E515" s="14" t="n"/>
      <c r="F515" s="15">
        <f>IF(E515="","",IF(COUNTIF(lst_Jobs,E515&amp;"")&gt;0,"OK","CHECK"))</f>
        <v/>
      </c>
      <c r="G515" s="14" t="n"/>
      <c r="H515" s="14" t="n"/>
      <c r="I515" s="14" t="n"/>
      <c r="J515" s="14" t="n"/>
      <c r="K515" s="14" t="n"/>
      <c r="L515" s="16" t="n"/>
      <c r="M515" s="17">
        <f>IF(L515="","",IF(K515="GST 10%",ROUND(L515*set_GSTRate,2),0))</f>
        <v/>
      </c>
      <c r="N515" s="17">
        <f>IF(L515="","",L515+M515)</f>
        <v/>
      </c>
      <c r="O515" s="14" t="n"/>
      <c r="P515" s="14" t="n"/>
      <c r="Q515" s="14" t="n"/>
      <c r="R515" s="12" t="n"/>
      <c r="S515" s="12" t="n"/>
      <c r="T515" s="14" t="n"/>
      <c r="U515" s="14" t="n"/>
      <c r="V515" s="1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row>
    <row r="516" ht="15" customHeight="1">
      <c r="A516" s="12" t="n"/>
      <c r="B516" s="13">
        <f>IF(A516="","",EOMONTH(A516,0))</f>
        <v/>
      </c>
      <c r="C516" s="14" t="n"/>
      <c r="D516" s="14" t="n"/>
      <c r="E516" s="14" t="n"/>
      <c r="F516" s="15">
        <f>IF(E516="","",IF(COUNTIF(lst_Jobs,E516&amp;"")&gt;0,"OK","CHECK"))</f>
        <v/>
      </c>
      <c r="G516" s="14" t="n"/>
      <c r="H516" s="14" t="n"/>
      <c r="I516" s="14" t="n"/>
      <c r="J516" s="14" t="n"/>
      <c r="K516" s="14" t="n"/>
      <c r="L516" s="16" t="n"/>
      <c r="M516" s="17">
        <f>IF(L516="","",IF(K516="GST 10%",ROUND(L516*set_GSTRate,2),0))</f>
        <v/>
      </c>
      <c r="N516" s="17">
        <f>IF(L516="","",L516+M516)</f>
        <v/>
      </c>
      <c r="O516" s="14" t="n"/>
      <c r="P516" s="14" t="n"/>
      <c r="Q516" s="14" t="n"/>
      <c r="R516" s="12" t="n"/>
      <c r="S516" s="12" t="n"/>
      <c r="T516" s="14" t="n"/>
      <c r="U516" s="14" t="n"/>
      <c r="V516" s="1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row>
    <row r="517" ht="15" customHeight="1">
      <c r="A517" s="12" t="n"/>
      <c r="B517" s="13">
        <f>IF(A517="","",EOMONTH(A517,0))</f>
        <v/>
      </c>
      <c r="C517" s="14" t="n"/>
      <c r="D517" s="14" t="n"/>
      <c r="E517" s="14" t="n"/>
      <c r="F517" s="15">
        <f>IF(E517="","",IF(COUNTIF(lst_Jobs,E517&amp;"")&gt;0,"OK","CHECK"))</f>
        <v/>
      </c>
      <c r="G517" s="14" t="n"/>
      <c r="H517" s="14" t="n"/>
      <c r="I517" s="14" t="n"/>
      <c r="J517" s="14" t="n"/>
      <c r="K517" s="14" t="n"/>
      <c r="L517" s="16" t="n"/>
      <c r="M517" s="17">
        <f>IF(L517="","",IF(K517="GST 10%",ROUND(L517*set_GSTRate,2),0))</f>
        <v/>
      </c>
      <c r="N517" s="17">
        <f>IF(L517="","",L517+M517)</f>
        <v/>
      </c>
      <c r="O517" s="14" t="n"/>
      <c r="P517" s="14" t="n"/>
      <c r="Q517" s="14" t="n"/>
      <c r="R517" s="12" t="n"/>
      <c r="S517" s="12" t="n"/>
      <c r="T517" s="14" t="n"/>
      <c r="U517" s="14" t="n"/>
      <c r="V517" s="1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row>
    <row r="518" ht="15" customHeight="1">
      <c r="A518" s="12" t="n"/>
      <c r="B518" s="13">
        <f>IF(A518="","",EOMONTH(A518,0))</f>
        <v/>
      </c>
      <c r="C518" s="14" t="n"/>
      <c r="D518" s="14" t="n"/>
      <c r="E518" s="14" t="n"/>
      <c r="F518" s="15">
        <f>IF(E518="","",IF(COUNTIF(lst_Jobs,E518&amp;"")&gt;0,"OK","CHECK"))</f>
        <v/>
      </c>
      <c r="G518" s="14" t="n"/>
      <c r="H518" s="14" t="n"/>
      <c r="I518" s="14" t="n"/>
      <c r="J518" s="14" t="n"/>
      <c r="K518" s="14" t="n"/>
      <c r="L518" s="16" t="n"/>
      <c r="M518" s="17">
        <f>IF(L518="","",IF(K518="GST 10%",ROUND(L518*set_GSTRate,2),0))</f>
        <v/>
      </c>
      <c r="N518" s="17">
        <f>IF(L518="","",L518+M518)</f>
        <v/>
      </c>
      <c r="O518" s="14" t="n"/>
      <c r="P518" s="14" t="n"/>
      <c r="Q518" s="14" t="n"/>
      <c r="R518" s="12" t="n"/>
      <c r="S518" s="12" t="n"/>
      <c r="T518" s="14" t="n"/>
      <c r="U518" s="14" t="n"/>
      <c r="V518" s="1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row>
    <row r="519" ht="15" customHeight="1">
      <c r="A519" s="12" t="n"/>
      <c r="B519" s="13">
        <f>IF(A519="","",EOMONTH(A519,0))</f>
        <v/>
      </c>
      <c r="C519" s="14" t="n"/>
      <c r="D519" s="14" t="n"/>
      <c r="E519" s="14" t="n"/>
      <c r="F519" s="15">
        <f>IF(E519="","",IF(COUNTIF(lst_Jobs,E519&amp;"")&gt;0,"OK","CHECK"))</f>
        <v/>
      </c>
      <c r="G519" s="14" t="n"/>
      <c r="H519" s="14" t="n"/>
      <c r="I519" s="14" t="n"/>
      <c r="J519" s="14" t="n"/>
      <c r="K519" s="14" t="n"/>
      <c r="L519" s="16" t="n"/>
      <c r="M519" s="17">
        <f>IF(L519="","",IF(K519="GST 10%",ROUND(L519*set_GSTRate,2),0))</f>
        <v/>
      </c>
      <c r="N519" s="17">
        <f>IF(L519="","",L519+M519)</f>
        <v/>
      </c>
      <c r="O519" s="14" t="n"/>
      <c r="P519" s="14" t="n"/>
      <c r="Q519" s="14" t="n"/>
      <c r="R519" s="12" t="n"/>
      <c r="S519" s="12" t="n"/>
      <c r="T519" s="14" t="n"/>
      <c r="U519" s="14" t="n"/>
      <c r="V519" s="1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row>
    <row r="520" ht="15" customHeight="1">
      <c r="A520" s="12" t="n"/>
      <c r="B520" s="13">
        <f>IF(A520="","",EOMONTH(A520,0))</f>
        <v/>
      </c>
      <c r="C520" s="14" t="n"/>
      <c r="D520" s="14" t="n"/>
      <c r="E520" s="14" t="n"/>
      <c r="F520" s="15">
        <f>IF(E520="","",IF(COUNTIF(lst_Jobs,E520&amp;"")&gt;0,"OK","CHECK"))</f>
        <v/>
      </c>
      <c r="G520" s="14" t="n"/>
      <c r="H520" s="14" t="n"/>
      <c r="I520" s="14" t="n"/>
      <c r="J520" s="14" t="n"/>
      <c r="K520" s="14" t="n"/>
      <c r="L520" s="16" t="n"/>
      <c r="M520" s="17">
        <f>IF(L520="","",IF(K520="GST 10%",ROUND(L520*set_GSTRate,2),0))</f>
        <v/>
      </c>
      <c r="N520" s="17">
        <f>IF(L520="","",L520+M520)</f>
        <v/>
      </c>
      <c r="O520" s="14" t="n"/>
      <c r="P520" s="14" t="n"/>
      <c r="Q520" s="14" t="n"/>
      <c r="R520" s="12" t="n"/>
      <c r="S520" s="12" t="n"/>
      <c r="T520" s="14" t="n"/>
      <c r="U520" s="14" t="n"/>
      <c r="V520" s="1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row>
    <row r="521" ht="15" customHeight="1">
      <c r="A521" s="12" t="n"/>
      <c r="B521" s="13">
        <f>IF(A521="","",EOMONTH(A521,0))</f>
        <v/>
      </c>
      <c r="C521" s="14" t="n"/>
      <c r="D521" s="14" t="n"/>
      <c r="E521" s="14" t="n"/>
      <c r="F521" s="15">
        <f>IF(E521="","",IF(COUNTIF(lst_Jobs,E521&amp;"")&gt;0,"OK","CHECK"))</f>
        <v/>
      </c>
      <c r="G521" s="14" t="n"/>
      <c r="H521" s="14" t="n"/>
      <c r="I521" s="14" t="n"/>
      <c r="J521" s="14" t="n"/>
      <c r="K521" s="14" t="n"/>
      <c r="L521" s="16" t="n"/>
      <c r="M521" s="17">
        <f>IF(L521="","",IF(K521="GST 10%",ROUND(L521*set_GSTRate,2),0))</f>
        <v/>
      </c>
      <c r="N521" s="17">
        <f>IF(L521="","",L521+M521)</f>
        <v/>
      </c>
      <c r="O521" s="14" t="n"/>
      <c r="P521" s="14" t="n"/>
      <c r="Q521" s="14" t="n"/>
      <c r="R521" s="12" t="n"/>
      <c r="S521" s="12" t="n"/>
      <c r="T521" s="14" t="n"/>
      <c r="U521" s="14" t="n"/>
      <c r="V521" s="1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row>
    <row r="522" ht="15" customHeight="1">
      <c r="A522" s="12" t="n"/>
      <c r="B522" s="13">
        <f>IF(A522="","",EOMONTH(A522,0))</f>
        <v/>
      </c>
      <c r="C522" s="14" t="n"/>
      <c r="D522" s="14" t="n"/>
      <c r="E522" s="14" t="n"/>
      <c r="F522" s="15">
        <f>IF(E522="","",IF(COUNTIF(lst_Jobs,E522&amp;"")&gt;0,"OK","CHECK"))</f>
        <v/>
      </c>
      <c r="G522" s="14" t="n"/>
      <c r="H522" s="14" t="n"/>
      <c r="I522" s="14" t="n"/>
      <c r="J522" s="14" t="n"/>
      <c r="K522" s="14" t="n"/>
      <c r="L522" s="16" t="n"/>
      <c r="M522" s="17">
        <f>IF(L522="","",IF(K522="GST 10%",ROUND(L522*set_GSTRate,2),0))</f>
        <v/>
      </c>
      <c r="N522" s="17">
        <f>IF(L522="","",L522+M522)</f>
        <v/>
      </c>
      <c r="O522" s="14" t="n"/>
      <c r="P522" s="14" t="n"/>
      <c r="Q522" s="14" t="n"/>
      <c r="R522" s="12" t="n"/>
      <c r="S522" s="12" t="n"/>
      <c r="T522" s="14" t="n"/>
      <c r="U522" s="14" t="n"/>
      <c r="V522" s="1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row>
    <row r="523" ht="15" customHeight="1">
      <c r="A523" s="12" t="n"/>
      <c r="B523" s="13">
        <f>IF(A523="","",EOMONTH(A523,0))</f>
        <v/>
      </c>
      <c r="C523" s="14" t="n"/>
      <c r="D523" s="14" t="n"/>
      <c r="E523" s="14" t="n"/>
      <c r="F523" s="15">
        <f>IF(E523="","",IF(COUNTIF(lst_Jobs,E523&amp;"")&gt;0,"OK","CHECK"))</f>
        <v/>
      </c>
      <c r="G523" s="14" t="n"/>
      <c r="H523" s="14" t="n"/>
      <c r="I523" s="14" t="n"/>
      <c r="J523" s="14" t="n"/>
      <c r="K523" s="14" t="n"/>
      <c r="L523" s="16" t="n"/>
      <c r="M523" s="17">
        <f>IF(L523="","",IF(K523="GST 10%",ROUND(L523*set_GSTRate,2),0))</f>
        <v/>
      </c>
      <c r="N523" s="17">
        <f>IF(L523="","",L523+M523)</f>
        <v/>
      </c>
      <c r="O523" s="14" t="n"/>
      <c r="P523" s="14" t="n"/>
      <c r="Q523" s="14" t="n"/>
      <c r="R523" s="12" t="n"/>
      <c r="S523" s="12" t="n"/>
      <c r="T523" s="14" t="n"/>
      <c r="U523" s="14" t="n"/>
      <c r="V523" s="1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row>
    <row r="524" ht="15" customHeight="1">
      <c r="A524" s="12" t="n"/>
      <c r="B524" s="13">
        <f>IF(A524="","",EOMONTH(A524,0))</f>
        <v/>
      </c>
      <c r="C524" s="14" t="n"/>
      <c r="D524" s="14" t="n"/>
      <c r="E524" s="14" t="n"/>
      <c r="F524" s="15">
        <f>IF(E524="","",IF(COUNTIF(lst_Jobs,E524&amp;"")&gt;0,"OK","CHECK"))</f>
        <v/>
      </c>
      <c r="G524" s="14" t="n"/>
      <c r="H524" s="14" t="n"/>
      <c r="I524" s="14" t="n"/>
      <c r="J524" s="14" t="n"/>
      <c r="K524" s="14" t="n"/>
      <c r="L524" s="16" t="n"/>
      <c r="M524" s="17">
        <f>IF(L524="","",IF(K524="GST 10%",ROUND(L524*set_GSTRate,2),0))</f>
        <v/>
      </c>
      <c r="N524" s="17">
        <f>IF(L524="","",L524+M524)</f>
        <v/>
      </c>
      <c r="O524" s="14" t="n"/>
      <c r="P524" s="14" t="n"/>
      <c r="Q524" s="14" t="n"/>
      <c r="R524" s="12" t="n"/>
      <c r="S524" s="12" t="n"/>
      <c r="T524" s="14" t="n"/>
      <c r="U524" s="14" t="n"/>
      <c r="V524" s="1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row>
    <row r="525" ht="15" customHeight="1">
      <c r="A525" s="12" t="n"/>
      <c r="B525" s="13">
        <f>IF(A525="","",EOMONTH(A525,0))</f>
        <v/>
      </c>
      <c r="C525" s="14" t="n"/>
      <c r="D525" s="14" t="n"/>
      <c r="E525" s="14" t="n"/>
      <c r="F525" s="15">
        <f>IF(E525="","",IF(COUNTIF(lst_Jobs,E525&amp;"")&gt;0,"OK","CHECK"))</f>
        <v/>
      </c>
      <c r="G525" s="14" t="n"/>
      <c r="H525" s="14" t="n"/>
      <c r="I525" s="14" t="n"/>
      <c r="J525" s="14" t="n"/>
      <c r="K525" s="14" t="n"/>
      <c r="L525" s="16" t="n"/>
      <c r="M525" s="17">
        <f>IF(L525="","",IF(K525="GST 10%",ROUND(L525*set_GSTRate,2),0))</f>
        <v/>
      </c>
      <c r="N525" s="17">
        <f>IF(L525="","",L525+M525)</f>
        <v/>
      </c>
      <c r="O525" s="14" t="n"/>
      <c r="P525" s="14" t="n"/>
      <c r="Q525" s="14" t="n"/>
      <c r="R525" s="12" t="n"/>
      <c r="S525" s="12" t="n"/>
      <c r="T525" s="14" t="n"/>
      <c r="U525" s="14" t="n"/>
      <c r="V525" s="1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row>
    <row r="526" ht="15" customHeight="1">
      <c r="A526" s="12" t="n"/>
      <c r="B526" s="13">
        <f>IF(A526="","",EOMONTH(A526,0))</f>
        <v/>
      </c>
      <c r="C526" s="14" t="n"/>
      <c r="D526" s="14" t="n"/>
      <c r="E526" s="14" t="n"/>
      <c r="F526" s="15">
        <f>IF(E526="","",IF(COUNTIF(lst_Jobs,E526&amp;"")&gt;0,"OK","CHECK"))</f>
        <v/>
      </c>
      <c r="G526" s="14" t="n"/>
      <c r="H526" s="14" t="n"/>
      <c r="I526" s="14" t="n"/>
      <c r="J526" s="14" t="n"/>
      <c r="K526" s="14" t="n"/>
      <c r="L526" s="16" t="n"/>
      <c r="M526" s="17">
        <f>IF(L526="","",IF(K526="GST 10%",ROUND(L526*set_GSTRate,2),0))</f>
        <v/>
      </c>
      <c r="N526" s="17">
        <f>IF(L526="","",L526+M526)</f>
        <v/>
      </c>
      <c r="O526" s="14" t="n"/>
      <c r="P526" s="14" t="n"/>
      <c r="Q526" s="14" t="n"/>
      <c r="R526" s="12" t="n"/>
      <c r="S526" s="12" t="n"/>
      <c r="T526" s="14" t="n"/>
      <c r="U526" s="14" t="n"/>
      <c r="V526" s="1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row>
    <row r="527" ht="15" customHeight="1">
      <c r="A527" s="12" t="n"/>
      <c r="B527" s="13">
        <f>IF(A527="","",EOMONTH(A527,0))</f>
        <v/>
      </c>
      <c r="C527" s="14" t="n"/>
      <c r="D527" s="14" t="n"/>
      <c r="E527" s="14" t="n"/>
      <c r="F527" s="15">
        <f>IF(E527="","",IF(COUNTIF(lst_Jobs,E527&amp;"")&gt;0,"OK","CHECK"))</f>
        <v/>
      </c>
      <c r="G527" s="14" t="n"/>
      <c r="H527" s="14" t="n"/>
      <c r="I527" s="14" t="n"/>
      <c r="J527" s="14" t="n"/>
      <c r="K527" s="14" t="n"/>
      <c r="L527" s="16" t="n"/>
      <c r="M527" s="17">
        <f>IF(L527="","",IF(K527="GST 10%",ROUND(L527*set_GSTRate,2),0))</f>
        <v/>
      </c>
      <c r="N527" s="17">
        <f>IF(L527="","",L527+M527)</f>
        <v/>
      </c>
      <c r="O527" s="14" t="n"/>
      <c r="P527" s="14" t="n"/>
      <c r="Q527" s="14" t="n"/>
      <c r="R527" s="12" t="n"/>
      <c r="S527" s="12" t="n"/>
      <c r="T527" s="14" t="n"/>
      <c r="U527" s="14" t="n"/>
      <c r="V527" s="1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row>
    <row r="528" ht="15" customHeight="1">
      <c r="A528" s="12" t="n"/>
      <c r="B528" s="13">
        <f>IF(A528="","",EOMONTH(A528,0))</f>
        <v/>
      </c>
      <c r="C528" s="14" t="n"/>
      <c r="D528" s="14" t="n"/>
      <c r="E528" s="14" t="n"/>
      <c r="F528" s="15">
        <f>IF(E528="","",IF(COUNTIF(lst_Jobs,E528&amp;"")&gt;0,"OK","CHECK"))</f>
        <v/>
      </c>
      <c r="G528" s="14" t="n"/>
      <c r="H528" s="14" t="n"/>
      <c r="I528" s="14" t="n"/>
      <c r="J528" s="14" t="n"/>
      <c r="K528" s="14" t="n"/>
      <c r="L528" s="16" t="n"/>
      <c r="M528" s="17">
        <f>IF(L528="","",IF(K528="GST 10%",ROUND(L528*set_GSTRate,2),0))</f>
        <v/>
      </c>
      <c r="N528" s="17">
        <f>IF(L528="","",L528+M528)</f>
        <v/>
      </c>
      <c r="O528" s="14" t="n"/>
      <c r="P528" s="14" t="n"/>
      <c r="Q528" s="14" t="n"/>
      <c r="R528" s="12" t="n"/>
      <c r="S528" s="12" t="n"/>
      <c r="T528" s="14" t="n"/>
      <c r="U528" s="14" t="n"/>
      <c r="V528" s="1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row>
    <row r="529" ht="15" customHeight="1">
      <c r="A529" s="12" t="n"/>
      <c r="B529" s="13">
        <f>IF(A529="","",EOMONTH(A529,0))</f>
        <v/>
      </c>
      <c r="C529" s="14" t="n"/>
      <c r="D529" s="14" t="n"/>
      <c r="E529" s="14" t="n"/>
      <c r="F529" s="15">
        <f>IF(E529="","",IF(COUNTIF(lst_Jobs,E529&amp;"")&gt;0,"OK","CHECK"))</f>
        <v/>
      </c>
      <c r="G529" s="14" t="n"/>
      <c r="H529" s="14" t="n"/>
      <c r="I529" s="14" t="n"/>
      <c r="J529" s="14" t="n"/>
      <c r="K529" s="14" t="n"/>
      <c r="L529" s="16" t="n"/>
      <c r="M529" s="17">
        <f>IF(L529="","",IF(K529="GST 10%",ROUND(L529*set_GSTRate,2),0))</f>
        <v/>
      </c>
      <c r="N529" s="17">
        <f>IF(L529="","",L529+M529)</f>
        <v/>
      </c>
      <c r="O529" s="14" t="n"/>
      <c r="P529" s="14" t="n"/>
      <c r="Q529" s="14" t="n"/>
      <c r="R529" s="12" t="n"/>
      <c r="S529" s="12" t="n"/>
      <c r="T529" s="14" t="n"/>
      <c r="U529" s="14" t="n"/>
      <c r="V529" s="1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row>
    <row r="530" ht="15" customHeight="1">
      <c r="A530" s="12" t="n"/>
      <c r="B530" s="13">
        <f>IF(A530="","",EOMONTH(A530,0))</f>
        <v/>
      </c>
      <c r="C530" s="14" t="n"/>
      <c r="D530" s="14" t="n"/>
      <c r="E530" s="14" t="n"/>
      <c r="F530" s="15">
        <f>IF(E530="","",IF(COUNTIF(lst_Jobs,E530&amp;"")&gt;0,"OK","CHECK"))</f>
        <v/>
      </c>
      <c r="G530" s="14" t="n"/>
      <c r="H530" s="14" t="n"/>
      <c r="I530" s="14" t="n"/>
      <c r="J530" s="14" t="n"/>
      <c r="K530" s="14" t="n"/>
      <c r="L530" s="16" t="n"/>
      <c r="M530" s="17">
        <f>IF(L530="","",IF(K530="GST 10%",ROUND(L530*set_GSTRate,2),0))</f>
        <v/>
      </c>
      <c r="N530" s="17">
        <f>IF(L530="","",L530+M530)</f>
        <v/>
      </c>
      <c r="O530" s="14" t="n"/>
      <c r="P530" s="14" t="n"/>
      <c r="Q530" s="14" t="n"/>
      <c r="R530" s="12" t="n"/>
      <c r="S530" s="12" t="n"/>
      <c r="T530" s="14" t="n"/>
      <c r="U530" s="14" t="n"/>
      <c r="V530" s="1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row>
    <row r="531" ht="15" customHeight="1">
      <c r="A531" s="12" t="n"/>
      <c r="B531" s="13">
        <f>IF(A531="","",EOMONTH(A531,0))</f>
        <v/>
      </c>
      <c r="C531" s="14" t="n"/>
      <c r="D531" s="14" t="n"/>
      <c r="E531" s="14" t="n"/>
      <c r="F531" s="15">
        <f>IF(E531="","",IF(COUNTIF(lst_Jobs,E531&amp;"")&gt;0,"OK","CHECK"))</f>
        <v/>
      </c>
      <c r="G531" s="14" t="n"/>
      <c r="H531" s="14" t="n"/>
      <c r="I531" s="14" t="n"/>
      <c r="J531" s="14" t="n"/>
      <c r="K531" s="14" t="n"/>
      <c r="L531" s="16" t="n"/>
      <c r="M531" s="17">
        <f>IF(L531="","",IF(K531="GST 10%",ROUND(L531*set_GSTRate,2),0))</f>
        <v/>
      </c>
      <c r="N531" s="17">
        <f>IF(L531="","",L531+M531)</f>
        <v/>
      </c>
      <c r="O531" s="14" t="n"/>
      <c r="P531" s="14" t="n"/>
      <c r="Q531" s="14" t="n"/>
      <c r="R531" s="12" t="n"/>
      <c r="S531" s="12" t="n"/>
      <c r="T531" s="14" t="n"/>
      <c r="U531" s="14" t="n"/>
      <c r="V531" s="1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row>
    <row r="532" ht="15" customHeight="1">
      <c r="A532" s="12" t="n"/>
      <c r="B532" s="13">
        <f>IF(A532="","",EOMONTH(A532,0))</f>
        <v/>
      </c>
      <c r="C532" s="14" t="n"/>
      <c r="D532" s="14" t="n"/>
      <c r="E532" s="14" t="n"/>
      <c r="F532" s="15">
        <f>IF(E532="","",IF(COUNTIF(lst_Jobs,E532&amp;"")&gt;0,"OK","CHECK"))</f>
        <v/>
      </c>
      <c r="G532" s="14" t="n"/>
      <c r="H532" s="14" t="n"/>
      <c r="I532" s="14" t="n"/>
      <c r="J532" s="14" t="n"/>
      <c r="K532" s="14" t="n"/>
      <c r="L532" s="16" t="n"/>
      <c r="M532" s="17">
        <f>IF(L532="","",IF(K532="GST 10%",ROUND(L532*set_GSTRate,2),0))</f>
        <v/>
      </c>
      <c r="N532" s="17">
        <f>IF(L532="","",L532+M532)</f>
        <v/>
      </c>
      <c r="O532" s="14" t="n"/>
      <c r="P532" s="14" t="n"/>
      <c r="Q532" s="14" t="n"/>
      <c r="R532" s="12" t="n"/>
      <c r="S532" s="12" t="n"/>
      <c r="T532" s="14" t="n"/>
      <c r="U532" s="14" t="n"/>
      <c r="V532" s="1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row>
    <row r="533" ht="15" customHeight="1">
      <c r="A533" s="12" t="n"/>
      <c r="B533" s="13">
        <f>IF(A533="","",EOMONTH(A533,0))</f>
        <v/>
      </c>
      <c r="C533" s="14" t="n"/>
      <c r="D533" s="14" t="n"/>
      <c r="E533" s="14" t="n"/>
      <c r="F533" s="15">
        <f>IF(E533="","",IF(COUNTIF(lst_Jobs,E533&amp;"")&gt;0,"OK","CHECK"))</f>
        <v/>
      </c>
      <c r="G533" s="14" t="n"/>
      <c r="H533" s="14" t="n"/>
      <c r="I533" s="14" t="n"/>
      <c r="J533" s="14" t="n"/>
      <c r="K533" s="14" t="n"/>
      <c r="L533" s="16" t="n"/>
      <c r="M533" s="17">
        <f>IF(L533="","",IF(K533="GST 10%",ROUND(L533*set_GSTRate,2),0))</f>
        <v/>
      </c>
      <c r="N533" s="17">
        <f>IF(L533="","",L533+M533)</f>
        <v/>
      </c>
      <c r="O533" s="14" t="n"/>
      <c r="P533" s="14" t="n"/>
      <c r="Q533" s="14" t="n"/>
      <c r="R533" s="12" t="n"/>
      <c r="S533" s="12" t="n"/>
      <c r="T533" s="14" t="n"/>
      <c r="U533" s="14" t="n"/>
      <c r="V533" s="1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row>
    <row r="534" ht="15" customHeight="1">
      <c r="A534" s="12" t="n"/>
      <c r="B534" s="13">
        <f>IF(A534="","",EOMONTH(A534,0))</f>
        <v/>
      </c>
      <c r="C534" s="14" t="n"/>
      <c r="D534" s="14" t="n"/>
      <c r="E534" s="14" t="n"/>
      <c r="F534" s="15">
        <f>IF(E534="","",IF(COUNTIF(lst_Jobs,E534&amp;"")&gt;0,"OK","CHECK"))</f>
        <v/>
      </c>
      <c r="G534" s="14" t="n"/>
      <c r="H534" s="14" t="n"/>
      <c r="I534" s="14" t="n"/>
      <c r="J534" s="14" t="n"/>
      <c r="K534" s="14" t="n"/>
      <c r="L534" s="16" t="n"/>
      <c r="M534" s="17">
        <f>IF(L534="","",IF(K534="GST 10%",ROUND(L534*set_GSTRate,2),0))</f>
        <v/>
      </c>
      <c r="N534" s="17">
        <f>IF(L534="","",L534+M534)</f>
        <v/>
      </c>
      <c r="O534" s="14" t="n"/>
      <c r="P534" s="14" t="n"/>
      <c r="Q534" s="14" t="n"/>
      <c r="R534" s="12" t="n"/>
      <c r="S534" s="12" t="n"/>
      <c r="T534" s="14" t="n"/>
      <c r="U534" s="14" t="n"/>
      <c r="V534" s="1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row>
    <row r="535" ht="15" customHeight="1">
      <c r="A535" s="12" t="n"/>
      <c r="B535" s="13">
        <f>IF(A535="","",EOMONTH(A535,0))</f>
        <v/>
      </c>
      <c r="C535" s="14" t="n"/>
      <c r="D535" s="14" t="n"/>
      <c r="E535" s="14" t="n"/>
      <c r="F535" s="15">
        <f>IF(E535="","",IF(COUNTIF(lst_Jobs,E535&amp;"")&gt;0,"OK","CHECK"))</f>
        <v/>
      </c>
      <c r="G535" s="14" t="n"/>
      <c r="H535" s="14" t="n"/>
      <c r="I535" s="14" t="n"/>
      <c r="J535" s="14" t="n"/>
      <c r="K535" s="14" t="n"/>
      <c r="L535" s="16" t="n"/>
      <c r="M535" s="17">
        <f>IF(L535="","",IF(K535="GST 10%",ROUND(L535*set_GSTRate,2),0))</f>
        <v/>
      </c>
      <c r="N535" s="17">
        <f>IF(L535="","",L535+M535)</f>
        <v/>
      </c>
      <c r="O535" s="14" t="n"/>
      <c r="P535" s="14" t="n"/>
      <c r="Q535" s="14" t="n"/>
      <c r="R535" s="12" t="n"/>
      <c r="S535" s="12" t="n"/>
      <c r="T535" s="14" t="n"/>
      <c r="U535" s="14" t="n"/>
      <c r="V535" s="1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row>
    <row r="536" ht="15" customHeight="1">
      <c r="A536" s="12" t="n"/>
      <c r="B536" s="13">
        <f>IF(A536="","",EOMONTH(A536,0))</f>
        <v/>
      </c>
      <c r="C536" s="14" t="n"/>
      <c r="D536" s="14" t="n"/>
      <c r="E536" s="14" t="n"/>
      <c r="F536" s="15">
        <f>IF(E536="","",IF(COUNTIF(lst_Jobs,E536&amp;"")&gt;0,"OK","CHECK"))</f>
        <v/>
      </c>
      <c r="G536" s="14" t="n"/>
      <c r="H536" s="14" t="n"/>
      <c r="I536" s="14" t="n"/>
      <c r="J536" s="14" t="n"/>
      <c r="K536" s="14" t="n"/>
      <c r="L536" s="16" t="n"/>
      <c r="M536" s="17">
        <f>IF(L536="","",IF(K536="GST 10%",ROUND(L536*set_GSTRate,2),0))</f>
        <v/>
      </c>
      <c r="N536" s="17">
        <f>IF(L536="","",L536+M536)</f>
        <v/>
      </c>
      <c r="O536" s="14" t="n"/>
      <c r="P536" s="14" t="n"/>
      <c r="Q536" s="14" t="n"/>
      <c r="R536" s="12" t="n"/>
      <c r="S536" s="12" t="n"/>
      <c r="T536" s="14" t="n"/>
      <c r="U536" s="14" t="n"/>
      <c r="V536" s="1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row>
    <row r="537" ht="15" customHeight="1">
      <c r="A537" s="12" t="n"/>
      <c r="B537" s="13">
        <f>IF(A537="","",EOMONTH(A537,0))</f>
        <v/>
      </c>
      <c r="C537" s="14" t="n"/>
      <c r="D537" s="14" t="n"/>
      <c r="E537" s="14" t="n"/>
      <c r="F537" s="15">
        <f>IF(E537="","",IF(COUNTIF(lst_Jobs,E537&amp;"")&gt;0,"OK","CHECK"))</f>
        <v/>
      </c>
      <c r="G537" s="14" t="n"/>
      <c r="H537" s="14" t="n"/>
      <c r="I537" s="14" t="n"/>
      <c r="J537" s="14" t="n"/>
      <c r="K537" s="14" t="n"/>
      <c r="L537" s="16" t="n"/>
      <c r="M537" s="17">
        <f>IF(L537="","",IF(K537="GST 10%",ROUND(L537*set_GSTRate,2),0))</f>
        <v/>
      </c>
      <c r="N537" s="17">
        <f>IF(L537="","",L537+M537)</f>
        <v/>
      </c>
      <c r="O537" s="14" t="n"/>
      <c r="P537" s="14" t="n"/>
      <c r="Q537" s="14" t="n"/>
      <c r="R537" s="12" t="n"/>
      <c r="S537" s="12" t="n"/>
      <c r="T537" s="14" t="n"/>
      <c r="U537" s="14" t="n"/>
      <c r="V537" s="1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row>
    <row r="538" ht="15" customHeight="1">
      <c r="A538" s="12" t="n"/>
      <c r="B538" s="13">
        <f>IF(A538="","",EOMONTH(A538,0))</f>
        <v/>
      </c>
      <c r="C538" s="14" t="n"/>
      <c r="D538" s="14" t="n"/>
      <c r="E538" s="14" t="n"/>
      <c r="F538" s="15">
        <f>IF(E538="","",IF(COUNTIF(lst_Jobs,E538&amp;"")&gt;0,"OK","CHECK"))</f>
        <v/>
      </c>
      <c r="G538" s="14" t="n"/>
      <c r="H538" s="14" t="n"/>
      <c r="I538" s="14" t="n"/>
      <c r="J538" s="14" t="n"/>
      <c r="K538" s="14" t="n"/>
      <c r="L538" s="16" t="n"/>
      <c r="M538" s="17">
        <f>IF(L538="","",IF(K538="GST 10%",ROUND(L538*set_GSTRate,2),0))</f>
        <v/>
      </c>
      <c r="N538" s="17">
        <f>IF(L538="","",L538+M538)</f>
        <v/>
      </c>
      <c r="O538" s="14" t="n"/>
      <c r="P538" s="14" t="n"/>
      <c r="Q538" s="14" t="n"/>
      <c r="R538" s="12" t="n"/>
      <c r="S538" s="12" t="n"/>
      <c r="T538" s="14" t="n"/>
      <c r="U538" s="14" t="n"/>
      <c r="V538" s="1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row>
    <row r="539" ht="15" customHeight="1">
      <c r="A539" s="12" t="n"/>
      <c r="B539" s="13">
        <f>IF(A539="","",EOMONTH(A539,0))</f>
        <v/>
      </c>
      <c r="C539" s="14" t="n"/>
      <c r="D539" s="14" t="n"/>
      <c r="E539" s="14" t="n"/>
      <c r="F539" s="15">
        <f>IF(E539="","",IF(COUNTIF(lst_Jobs,E539&amp;"")&gt;0,"OK","CHECK"))</f>
        <v/>
      </c>
      <c r="G539" s="14" t="n"/>
      <c r="H539" s="14" t="n"/>
      <c r="I539" s="14" t="n"/>
      <c r="J539" s="14" t="n"/>
      <c r="K539" s="14" t="n"/>
      <c r="L539" s="16" t="n"/>
      <c r="M539" s="17">
        <f>IF(L539="","",IF(K539="GST 10%",ROUND(L539*set_GSTRate,2),0))</f>
        <v/>
      </c>
      <c r="N539" s="17">
        <f>IF(L539="","",L539+M539)</f>
        <v/>
      </c>
      <c r="O539" s="14" t="n"/>
      <c r="P539" s="14" t="n"/>
      <c r="Q539" s="14" t="n"/>
      <c r="R539" s="12" t="n"/>
      <c r="S539" s="12" t="n"/>
      <c r="T539" s="14" t="n"/>
      <c r="U539" s="14" t="n"/>
      <c r="V539" s="1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row>
    <row r="540" ht="15" customHeight="1">
      <c r="A540" s="12" t="n"/>
      <c r="B540" s="13">
        <f>IF(A540="","",EOMONTH(A540,0))</f>
        <v/>
      </c>
      <c r="C540" s="14" t="n"/>
      <c r="D540" s="14" t="n"/>
      <c r="E540" s="14" t="n"/>
      <c r="F540" s="15">
        <f>IF(E540="","",IF(COUNTIF(lst_Jobs,E540&amp;"")&gt;0,"OK","CHECK"))</f>
        <v/>
      </c>
      <c r="G540" s="14" t="n"/>
      <c r="H540" s="14" t="n"/>
      <c r="I540" s="14" t="n"/>
      <c r="J540" s="14" t="n"/>
      <c r="K540" s="14" t="n"/>
      <c r="L540" s="16" t="n"/>
      <c r="M540" s="17">
        <f>IF(L540="","",IF(K540="GST 10%",ROUND(L540*set_GSTRate,2),0))</f>
        <v/>
      </c>
      <c r="N540" s="17">
        <f>IF(L540="","",L540+M540)</f>
        <v/>
      </c>
      <c r="O540" s="14" t="n"/>
      <c r="P540" s="14" t="n"/>
      <c r="Q540" s="14" t="n"/>
      <c r="R540" s="12" t="n"/>
      <c r="S540" s="12" t="n"/>
      <c r="T540" s="14" t="n"/>
      <c r="U540" s="14" t="n"/>
      <c r="V540" s="1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row>
    <row r="541" ht="15" customHeight="1">
      <c r="A541" s="12" t="n"/>
      <c r="B541" s="13">
        <f>IF(A541="","",EOMONTH(A541,0))</f>
        <v/>
      </c>
      <c r="C541" s="14" t="n"/>
      <c r="D541" s="14" t="n"/>
      <c r="E541" s="14" t="n"/>
      <c r="F541" s="15">
        <f>IF(E541="","",IF(COUNTIF(lst_Jobs,E541&amp;"")&gt;0,"OK","CHECK"))</f>
        <v/>
      </c>
      <c r="G541" s="14" t="n"/>
      <c r="H541" s="14" t="n"/>
      <c r="I541" s="14" t="n"/>
      <c r="J541" s="14" t="n"/>
      <c r="K541" s="14" t="n"/>
      <c r="L541" s="16" t="n"/>
      <c r="M541" s="17">
        <f>IF(L541="","",IF(K541="GST 10%",ROUND(L541*set_GSTRate,2),0))</f>
        <v/>
      </c>
      <c r="N541" s="17">
        <f>IF(L541="","",L541+M541)</f>
        <v/>
      </c>
      <c r="O541" s="14" t="n"/>
      <c r="P541" s="14" t="n"/>
      <c r="Q541" s="14" t="n"/>
      <c r="R541" s="12" t="n"/>
      <c r="S541" s="12" t="n"/>
      <c r="T541" s="14" t="n"/>
      <c r="U541" s="14" t="n"/>
      <c r="V541" s="1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row>
    <row r="542" ht="15" customHeight="1">
      <c r="A542" s="12" t="n"/>
      <c r="B542" s="13">
        <f>IF(A542="","",EOMONTH(A542,0))</f>
        <v/>
      </c>
      <c r="C542" s="14" t="n"/>
      <c r="D542" s="14" t="n"/>
      <c r="E542" s="14" t="n"/>
      <c r="F542" s="15">
        <f>IF(E542="","",IF(COUNTIF(lst_Jobs,E542&amp;"")&gt;0,"OK","CHECK"))</f>
        <v/>
      </c>
      <c r="G542" s="14" t="n"/>
      <c r="H542" s="14" t="n"/>
      <c r="I542" s="14" t="n"/>
      <c r="J542" s="14" t="n"/>
      <c r="K542" s="14" t="n"/>
      <c r="L542" s="16" t="n"/>
      <c r="M542" s="17">
        <f>IF(L542="","",IF(K542="GST 10%",ROUND(L542*set_GSTRate,2),0))</f>
        <v/>
      </c>
      <c r="N542" s="17">
        <f>IF(L542="","",L542+M542)</f>
        <v/>
      </c>
      <c r="O542" s="14" t="n"/>
      <c r="P542" s="14" t="n"/>
      <c r="Q542" s="14" t="n"/>
      <c r="R542" s="12" t="n"/>
      <c r="S542" s="12" t="n"/>
      <c r="T542" s="14" t="n"/>
      <c r="U542" s="14" t="n"/>
      <c r="V542" s="1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row>
    <row r="543" ht="15" customHeight="1">
      <c r="A543" s="12" t="n"/>
      <c r="B543" s="13">
        <f>IF(A543="","",EOMONTH(A543,0))</f>
        <v/>
      </c>
      <c r="C543" s="14" t="n"/>
      <c r="D543" s="14" t="n"/>
      <c r="E543" s="14" t="n"/>
      <c r="F543" s="15">
        <f>IF(E543="","",IF(COUNTIF(lst_Jobs,E543&amp;"")&gt;0,"OK","CHECK"))</f>
        <v/>
      </c>
      <c r="G543" s="14" t="n"/>
      <c r="H543" s="14" t="n"/>
      <c r="I543" s="14" t="n"/>
      <c r="J543" s="14" t="n"/>
      <c r="K543" s="14" t="n"/>
      <c r="L543" s="16" t="n"/>
      <c r="M543" s="17">
        <f>IF(L543="","",IF(K543="GST 10%",ROUND(L543*set_GSTRate,2),0))</f>
        <v/>
      </c>
      <c r="N543" s="17">
        <f>IF(L543="","",L543+M543)</f>
        <v/>
      </c>
      <c r="O543" s="14" t="n"/>
      <c r="P543" s="14" t="n"/>
      <c r="Q543" s="14" t="n"/>
      <c r="R543" s="12" t="n"/>
      <c r="S543" s="12" t="n"/>
      <c r="T543" s="14" t="n"/>
      <c r="U543" s="14" t="n"/>
      <c r="V543" s="1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row>
    <row r="544" ht="15" customHeight="1">
      <c r="A544" s="12" t="n"/>
      <c r="B544" s="13">
        <f>IF(A544="","",EOMONTH(A544,0))</f>
        <v/>
      </c>
      <c r="C544" s="14" t="n"/>
      <c r="D544" s="14" t="n"/>
      <c r="E544" s="14" t="n"/>
      <c r="F544" s="15">
        <f>IF(E544="","",IF(COUNTIF(lst_Jobs,E544&amp;"")&gt;0,"OK","CHECK"))</f>
        <v/>
      </c>
      <c r="G544" s="14" t="n"/>
      <c r="H544" s="14" t="n"/>
      <c r="I544" s="14" t="n"/>
      <c r="J544" s="14" t="n"/>
      <c r="K544" s="14" t="n"/>
      <c r="L544" s="16" t="n"/>
      <c r="M544" s="17">
        <f>IF(L544="","",IF(K544="GST 10%",ROUND(L544*set_GSTRate,2),0))</f>
        <v/>
      </c>
      <c r="N544" s="17">
        <f>IF(L544="","",L544+M544)</f>
        <v/>
      </c>
      <c r="O544" s="14" t="n"/>
      <c r="P544" s="14" t="n"/>
      <c r="Q544" s="14" t="n"/>
      <c r="R544" s="12" t="n"/>
      <c r="S544" s="12" t="n"/>
      <c r="T544" s="14" t="n"/>
      <c r="U544" s="14" t="n"/>
      <c r="V544" s="1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row>
    <row r="545" ht="15" customHeight="1">
      <c r="A545" s="12" t="n"/>
      <c r="B545" s="13">
        <f>IF(A545="","",EOMONTH(A545,0))</f>
        <v/>
      </c>
      <c r="C545" s="14" t="n"/>
      <c r="D545" s="14" t="n"/>
      <c r="E545" s="14" t="n"/>
      <c r="F545" s="15">
        <f>IF(E545="","",IF(COUNTIF(lst_Jobs,E545&amp;"")&gt;0,"OK","CHECK"))</f>
        <v/>
      </c>
      <c r="G545" s="14" t="n"/>
      <c r="H545" s="14" t="n"/>
      <c r="I545" s="14" t="n"/>
      <c r="J545" s="14" t="n"/>
      <c r="K545" s="14" t="n"/>
      <c r="L545" s="16" t="n"/>
      <c r="M545" s="17">
        <f>IF(L545="","",IF(K545="GST 10%",ROUND(L545*set_GSTRate,2),0))</f>
        <v/>
      </c>
      <c r="N545" s="17">
        <f>IF(L545="","",L545+M545)</f>
        <v/>
      </c>
      <c r="O545" s="14" t="n"/>
      <c r="P545" s="14" t="n"/>
      <c r="Q545" s="14" t="n"/>
      <c r="R545" s="12" t="n"/>
      <c r="S545" s="12" t="n"/>
      <c r="T545" s="14" t="n"/>
      <c r="U545" s="14" t="n"/>
      <c r="V545" s="1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row>
    <row r="546" ht="15" customHeight="1">
      <c r="A546" s="12" t="n"/>
      <c r="B546" s="13">
        <f>IF(A546="","",EOMONTH(A546,0))</f>
        <v/>
      </c>
      <c r="C546" s="14" t="n"/>
      <c r="D546" s="14" t="n"/>
      <c r="E546" s="14" t="n"/>
      <c r="F546" s="15">
        <f>IF(E546="","",IF(COUNTIF(lst_Jobs,E546&amp;"")&gt;0,"OK","CHECK"))</f>
        <v/>
      </c>
      <c r="G546" s="14" t="n"/>
      <c r="H546" s="14" t="n"/>
      <c r="I546" s="14" t="n"/>
      <c r="J546" s="14" t="n"/>
      <c r="K546" s="14" t="n"/>
      <c r="L546" s="16" t="n"/>
      <c r="M546" s="17">
        <f>IF(L546="","",IF(K546="GST 10%",ROUND(L546*set_GSTRate,2),0))</f>
        <v/>
      </c>
      <c r="N546" s="17">
        <f>IF(L546="","",L546+M546)</f>
        <v/>
      </c>
      <c r="O546" s="14" t="n"/>
      <c r="P546" s="14" t="n"/>
      <c r="Q546" s="14" t="n"/>
      <c r="R546" s="12" t="n"/>
      <c r="S546" s="12" t="n"/>
      <c r="T546" s="14" t="n"/>
      <c r="U546" s="14" t="n"/>
      <c r="V546" s="1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row>
    <row r="547" ht="15" customHeight="1">
      <c r="A547" s="12" t="n"/>
      <c r="B547" s="13">
        <f>IF(A547="","",EOMONTH(A547,0))</f>
        <v/>
      </c>
      <c r="C547" s="14" t="n"/>
      <c r="D547" s="14" t="n"/>
      <c r="E547" s="14" t="n"/>
      <c r="F547" s="15">
        <f>IF(E547="","",IF(COUNTIF(lst_Jobs,E547&amp;"")&gt;0,"OK","CHECK"))</f>
        <v/>
      </c>
      <c r="G547" s="14" t="n"/>
      <c r="H547" s="14" t="n"/>
      <c r="I547" s="14" t="n"/>
      <c r="J547" s="14" t="n"/>
      <c r="K547" s="14" t="n"/>
      <c r="L547" s="16" t="n"/>
      <c r="M547" s="17">
        <f>IF(L547="","",IF(K547="GST 10%",ROUND(L547*set_GSTRate,2),0))</f>
        <v/>
      </c>
      <c r="N547" s="17">
        <f>IF(L547="","",L547+M547)</f>
        <v/>
      </c>
      <c r="O547" s="14" t="n"/>
      <c r="P547" s="14" t="n"/>
      <c r="Q547" s="14" t="n"/>
      <c r="R547" s="12" t="n"/>
      <c r="S547" s="12" t="n"/>
      <c r="T547" s="14" t="n"/>
      <c r="U547" s="14" t="n"/>
      <c r="V547" s="1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row>
    <row r="548" ht="15" customHeight="1">
      <c r="A548" s="12" t="n"/>
      <c r="B548" s="13">
        <f>IF(A548="","",EOMONTH(A548,0))</f>
        <v/>
      </c>
      <c r="C548" s="14" t="n"/>
      <c r="D548" s="14" t="n"/>
      <c r="E548" s="14" t="n"/>
      <c r="F548" s="15">
        <f>IF(E548="","",IF(COUNTIF(lst_Jobs,E548&amp;"")&gt;0,"OK","CHECK"))</f>
        <v/>
      </c>
      <c r="G548" s="14" t="n"/>
      <c r="H548" s="14" t="n"/>
      <c r="I548" s="14" t="n"/>
      <c r="J548" s="14" t="n"/>
      <c r="K548" s="14" t="n"/>
      <c r="L548" s="16" t="n"/>
      <c r="M548" s="17">
        <f>IF(L548="","",IF(K548="GST 10%",ROUND(L548*set_GSTRate,2),0))</f>
        <v/>
      </c>
      <c r="N548" s="17">
        <f>IF(L548="","",L548+M548)</f>
        <v/>
      </c>
      <c r="O548" s="14" t="n"/>
      <c r="P548" s="14" t="n"/>
      <c r="Q548" s="14" t="n"/>
      <c r="R548" s="12" t="n"/>
      <c r="S548" s="12" t="n"/>
      <c r="T548" s="14" t="n"/>
      <c r="U548" s="14" t="n"/>
      <c r="V548" s="1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row>
    <row r="549" ht="15" customHeight="1">
      <c r="A549" s="12" t="n"/>
      <c r="B549" s="13">
        <f>IF(A549="","",EOMONTH(A549,0))</f>
        <v/>
      </c>
      <c r="C549" s="14" t="n"/>
      <c r="D549" s="14" t="n"/>
      <c r="E549" s="14" t="n"/>
      <c r="F549" s="15">
        <f>IF(E549="","",IF(COUNTIF(lst_Jobs,E549&amp;"")&gt;0,"OK","CHECK"))</f>
        <v/>
      </c>
      <c r="G549" s="14" t="n"/>
      <c r="H549" s="14" t="n"/>
      <c r="I549" s="14" t="n"/>
      <c r="J549" s="14" t="n"/>
      <c r="K549" s="14" t="n"/>
      <c r="L549" s="16" t="n"/>
      <c r="M549" s="17">
        <f>IF(L549="","",IF(K549="GST 10%",ROUND(L549*set_GSTRate,2),0))</f>
        <v/>
      </c>
      <c r="N549" s="17">
        <f>IF(L549="","",L549+M549)</f>
        <v/>
      </c>
      <c r="O549" s="14" t="n"/>
      <c r="P549" s="14" t="n"/>
      <c r="Q549" s="14" t="n"/>
      <c r="R549" s="12" t="n"/>
      <c r="S549" s="12" t="n"/>
      <c r="T549" s="14" t="n"/>
      <c r="U549" s="14" t="n"/>
      <c r="V549" s="1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row>
    <row r="550" ht="15" customHeight="1">
      <c r="A550" s="12" t="n"/>
      <c r="B550" s="13">
        <f>IF(A550="","",EOMONTH(A550,0))</f>
        <v/>
      </c>
      <c r="C550" s="14" t="n"/>
      <c r="D550" s="14" t="n"/>
      <c r="E550" s="14" t="n"/>
      <c r="F550" s="15">
        <f>IF(E550="","",IF(COUNTIF(lst_Jobs,E550&amp;"")&gt;0,"OK","CHECK"))</f>
        <v/>
      </c>
      <c r="G550" s="14" t="n"/>
      <c r="H550" s="14" t="n"/>
      <c r="I550" s="14" t="n"/>
      <c r="J550" s="14" t="n"/>
      <c r="K550" s="14" t="n"/>
      <c r="L550" s="16" t="n"/>
      <c r="M550" s="17">
        <f>IF(L550="","",IF(K550="GST 10%",ROUND(L550*set_GSTRate,2),0))</f>
        <v/>
      </c>
      <c r="N550" s="17">
        <f>IF(L550="","",L550+M550)</f>
        <v/>
      </c>
      <c r="O550" s="14" t="n"/>
      <c r="P550" s="14" t="n"/>
      <c r="Q550" s="14" t="n"/>
      <c r="R550" s="12" t="n"/>
      <c r="S550" s="12" t="n"/>
      <c r="T550" s="14" t="n"/>
      <c r="U550" s="14" t="n"/>
      <c r="V550" s="1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row>
    <row r="551" ht="15" customHeight="1">
      <c r="A551" s="12" t="n"/>
      <c r="B551" s="13">
        <f>IF(A551="","",EOMONTH(A551,0))</f>
        <v/>
      </c>
      <c r="C551" s="14" t="n"/>
      <c r="D551" s="14" t="n"/>
      <c r="E551" s="14" t="n"/>
      <c r="F551" s="15">
        <f>IF(E551="","",IF(COUNTIF(lst_Jobs,E551&amp;"")&gt;0,"OK","CHECK"))</f>
        <v/>
      </c>
      <c r="G551" s="14" t="n"/>
      <c r="H551" s="14" t="n"/>
      <c r="I551" s="14" t="n"/>
      <c r="J551" s="14" t="n"/>
      <c r="K551" s="14" t="n"/>
      <c r="L551" s="16" t="n"/>
      <c r="M551" s="17">
        <f>IF(L551="","",IF(K551="GST 10%",ROUND(L551*set_GSTRate,2),0))</f>
        <v/>
      </c>
      <c r="N551" s="17">
        <f>IF(L551="","",L551+M551)</f>
        <v/>
      </c>
      <c r="O551" s="14" t="n"/>
      <c r="P551" s="14" t="n"/>
      <c r="Q551" s="14" t="n"/>
      <c r="R551" s="12" t="n"/>
      <c r="S551" s="12" t="n"/>
      <c r="T551" s="14" t="n"/>
      <c r="U551" s="14" t="n"/>
      <c r="V551" s="1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row>
    <row r="552" ht="15" customHeight="1">
      <c r="A552" s="12" t="n"/>
      <c r="B552" s="13">
        <f>IF(A552="","",EOMONTH(A552,0))</f>
        <v/>
      </c>
      <c r="C552" s="14" t="n"/>
      <c r="D552" s="14" t="n"/>
      <c r="E552" s="14" t="n"/>
      <c r="F552" s="15">
        <f>IF(E552="","",IF(COUNTIF(lst_Jobs,E552&amp;"")&gt;0,"OK","CHECK"))</f>
        <v/>
      </c>
      <c r="G552" s="14" t="n"/>
      <c r="H552" s="14" t="n"/>
      <c r="I552" s="14" t="n"/>
      <c r="J552" s="14" t="n"/>
      <c r="K552" s="14" t="n"/>
      <c r="L552" s="16" t="n"/>
      <c r="M552" s="17">
        <f>IF(L552="","",IF(K552="GST 10%",ROUND(L552*set_GSTRate,2),0))</f>
        <v/>
      </c>
      <c r="N552" s="17">
        <f>IF(L552="","",L552+M552)</f>
        <v/>
      </c>
      <c r="O552" s="14" t="n"/>
      <c r="P552" s="14" t="n"/>
      <c r="Q552" s="14" t="n"/>
      <c r="R552" s="12" t="n"/>
      <c r="S552" s="12" t="n"/>
      <c r="T552" s="14" t="n"/>
      <c r="U552" s="14" t="n"/>
      <c r="V552" s="1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row>
    <row r="553" ht="15" customHeight="1">
      <c r="A553" s="12" t="n"/>
      <c r="B553" s="13">
        <f>IF(A553="","",EOMONTH(A553,0))</f>
        <v/>
      </c>
      <c r="C553" s="14" t="n"/>
      <c r="D553" s="14" t="n"/>
      <c r="E553" s="14" t="n"/>
      <c r="F553" s="15">
        <f>IF(E553="","",IF(COUNTIF(lst_Jobs,E553&amp;"")&gt;0,"OK","CHECK"))</f>
        <v/>
      </c>
      <c r="G553" s="14" t="n"/>
      <c r="H553" s="14" t="n"/>
      <c r="I553" s="14" t="n"/>
      <c r="J553" s="14" t="n"/>
      <c r="K553" s="14" t="n"/>
      <c r="L553" s="16" t="n"/>
      <c r="M553" s="17">
        <f>IF(L553="","",IF(K553="GST 10%",ROUND(L553*set_GSTRate,2),0))</f>
        <v/>
      </c>
      <c r="N553" s="17">
        <f>IF(L553="","",L553+M553)</f>
        <v/>
      </c>
      <c r="O553" s="14" t="n"/>
      <c r="P553" s="14" t="n"/>
      <c r="Q553" s="14" t="n"/>
      <c r="R553" s="12" t="n"/>
      <c r="S553" s="12" t="n"/>
      <c r="T553" s="14" t="n"/>
      <c r="U553" s="14" t="n"/>
      <c r="V553" s="1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row>
    <row r="554" ht="15" customHeight="1">
      <c r="A554" s="12" t="n"/>
      <c r="B554" s="13">
        <f>IF(A554="","",EOMONTH(A554,0))</f>
        <v/>
      </c>
      <c r="C554" s="14" t="n"/>
      <c r="D554" s="14" t="n"/>
      <c r="E554" s="14" t="n"/>
      <c r="F554" s="15">
        <f>IF(E554="","",IF(COUNTIF(lst_Jobs,E554&amp;"")&gt;0,"OK","CHECK"))</f>
        <v/>
      </c>
      <c r="G554" s="14" t="n"/>
      <c r="H554" s="14" t="n"/>
      <c r="I554" s="14" t="n"/>
      <c r="J554" s="14" t="n"/>
      <c r="K554" s="14" t="n"/>
      <c r="L554" s="16" t="n"/>
      <c r="M554" s="17">
        <f>IF(L554="","",IF(K554="GST 10%",ROUND(L554*set_GSTRate,2),0))</f>
        <v/>
      </c>
      <c r="N554" s="17">
        <f>IF(L554="","",L554+M554)</f>
        <v/>
      </c>
      <c r="O554" s="14" t="n"/>
      <c r="P554" s="14" t="n"/>
      <c r="Q554" s="14" t="n"/>
      <c r="R554" s="12" t="n"/>
      <c r="S554" s="12" t="n"/>
      <c r="T554" s="14" t="n"/>
      <c r="U554" s="14" t="n"/>
      <c r="V554" s="1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row>
    <row r="555" ht="15" customHeight="1">
      <c r="A555" s="12" t="n"/>
      <c r="B555" s="13">
        <f>IF(A555="","",EOMONTH(A555,0))</f>
        <v/>
      </c>
      <c r="C555" s="14" t="n"/>
      <c r="D555" s="14" t="n"/>
      <c r="E555" s="14" t="n"/>
      <c r="F555" s="15">
        <f>IF(E555="","",IF(COUNTIF(lst_Jobs,E555&amp;"")&gt;0,"OK","CHECK"))</f>
        <v/>
      </c>
      <c r="G555" s="14" t="n"/>
      <c r="H555" s="14" t="n"/>
      <c r="I555" s="14" t="n"/>
      <c r="J555" s="14" t="n"/>
      <c r="K555" s="14" t="n"/>
      <c r="L555" s="16" t="n"/>
      <c r="M555" s="17">
        <f>IF(L555="","",IF(K555="GST 10%",ROUND(L555*set_GSTRate,2),0))</f>
        <v/>
      </c>
      <c r="N555" s="17">
        <f>IF(L555="","",L555+M555)</f>
        <v/>
      </c>
      <c r="O555" s="14" t="n"/>
      <c r="P555" s="14" t="n"/>
      <c r="Q555" s="14" t="n"/>
      <c r="R555" s="12" t="n"/>
      <c r="S555" s="12" t="n"/>
      <c r="T555" s="14" t="n"/>
      <c r="U555" s="14" t="n"/>
      <c r="V555" s="1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row>
    <row r="556" ht="15" customHeight="1">
      <c r="A556" s="12" t="n"/>
      <c r="B556" s="13">
        <f>IF(A556="","",EOMONTH(A556,0))</f>
        <v/>
      </c>
      <c r="C556" s="14" t="n"/>
      <c r="D556" s="14" t="n"/>
      <c r="E556" s="14" t="n"/>
      <c r="F556" s="15">
        <f>IF(E556="","",IF(COUNTIF(lst_Jobs,E556&amp;"")&gt;0,"OK","CHECK"))</f>
        <v/>
      </c>
      <c r="G556" s="14" t="n"/>
      <c r="H556" s="14" t="n"/>
      <c r="I556" s="14" t="n"/>
      <c r="J556" s="14" t="n"/>
      <c r="K556" s="14" t="n"/>
      <c r="L556" s="16" t="n"/>
      <c r="M556" s="17">
        <f>IF(L556="","",IF(K556="GST 10%",ROUND(L556*set_GSTRate,2),0))</f>
        <v/>
      </c>
      <c r="N556" s="17">
        <f>IF(L556="","",L556+M556)</f>
        <v/>
      </c>
      <c r="O556" s="14" t="n"/>
      <c r="P556" s="14" t="n"/>
      <c r="Q556" s="14" t="n"/>
      <c r="R556" s="12" t="n"/>
      <c r="S556" s="12" t="n"/>
      <c r="T556" s="14" t="n"/>
      <c r="U556" s="14" t="n"/>
      <c r="V556" s="1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row>
    <row r="557" ht="15" customHeight="1">
      <c r="A557" s="12" t="n"/>
      <c r="B557" s="13">
        <f>IF(A557="","",EOMONTH(A557,0))</f>
        <v/>
      </c>
      <c r="C557" s="14" t="n"/>
      <c r="D557" s="14" t="n"/>
      <c r="E557" s="14" t="n"/>
      <c r="F557" s="15">
        <f>IF(E557="","",IF(COUNTIF(lst_Jobs,E557&amp;"")&gt;0,"OK","CHECK"))</f>
        <v/>
      </c>
      <c r="G557" s="14" t="n"/>
      <c r="H557" s="14" t="n"/>
      <c r="I557" s="14" t="n"/>
      <c r="J557" s="14" t="n"/>
      <c r="K557" s="14" t="n"/>
      <c r="L557" s="16" t="n"/>
      <c r="M557" s="17">
        <f>IF(L557="","",IF(K557="GST 10%",ROUND(L557*set_GSTRate,2),0))</f>
        <v/>
      </c>
      <c r="N557" s="17">
        <f>IF(L557="","",L557+M557)</f>
        <v/>
      </c>
      <c r="O557" s="14" t="n"/>
      <c r="P557" s="14" t="n"/>
      <c r="Q557" s="14" t="n"/>
      <c r="R557" s="12" t="n"/>
      <c r="S557" s="12" t="n"/>
      <c r="T557" s="14" t="n"/>
      <c r="U557" s="14" t="n"/>
      <c r="V557" s="1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row>
    <row r="558" ht="15" customHeight="1">
      <c r="A558" s="12" t="n"/>
      <c r="B558" s="13">
        <f>IF(A558="","",EOMONTH(A558,0))</f>
        <v/>
      </c>
      <c r="C558" s="14" t="n"/>
      <c r="D558" s="14" t="n"/>
      <c r="E558" s="14" t="n"/>
      <c r="F558" s="15">
        <f>IF(E558="","",IF(COUNTIF(lst_Jobs,E558&amp;"")&gt;0,"OK","CHECK"))</f>
        <v/>
      </c>
      <c r="G558" s="14" t="n"/>
      <c r="H558" s="14" t="n"/>
      <c r="I558" s="14" t="n"/>
      <c r="J558" s="14" t="n"/>
      <c r="K558" s="14" t="n"/>
      <c r="L558" s="16" t="n"/>
      <c r="M558" s="17">
        <f>IF(L558="","",IF(K558="GST 10%",ROUND(L558*set_GSTRate,2),0))</f>
        <v/>
      </c>
      <c r="N558" s="17">
        <f>IF(L558="","",L558+M558)</f>
        <v/>
      </c>
      <c r="O558" s="14" t="n"/>
      <c r="P558" s="14" t="n"/>
      <c r="Q558" s="14" t="n"/>
      <c r="R558" s="12" t="n"/>
      <c r="S558" s="12" t="n"/>
      <c r="T558" s="14" t="n"/>
      <c r="U558" s="14" t="n"/>
      <c r="V558" s="1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row>
    <row r="559" ht="15" customHeight="1">
      <c r="A559" s="12" t="n"/>
      <c r="B559" s="13">
        <f>IF(A559="","",EOMONTH(A559,0))</f>
        <v/>
      </c>
      <c r="C559" s="14" t="n"/>
      <c r="D559" s="14" t="n"/>
      <c r="E559" s="14" t="n"/>
      <c r="F559" s="15">
        <f>IF(E559="","",IF(COUNTIF(lst_Jobs,E559&amp;"")&gt;0,"OK","CHECK"))</f>
        <v/>
      </c>
      <c r="G559" s="14" t="n"/>
      <c r="H559" s="14" t="n"/>
      <c r="I559" s="14" t="n"/>
      <c r="J559" s="14" t="n"/>
      <c r="K559" s="14" t="n"/>
      <c r="L559" s="16" t="n"/>
      <c r="M559" s="17">
        <f>IF(L559="","",IF(K559="GST 10%",ROUND(L559*set_GSTRate,2),0))</f>
        <v/>
      </c>
      <c r="N559" s="17">
        <f>IF(L559="","",L559+M559)</f>
        <v/>
      </c>
      <c r="O559" s="14" t="n"/>
      <c r="P559" s="14" t="n"/>
      <c r="Q559" s="14" t="n"/>
      <c r="R559" s="12" t="n"/>
      <c r="S559" s="12" t="n"/>
      <c r="T559" s="14" t="n"/>
      <c r="U559" s="14" t="n"/>
      <c r="V559" s="1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row>
    <row r="560" ht="15" customHeight="1">
      <c r="A560" s="12" t="n"/>
      <c r="B560" s="13">
        <f>IF(A560="","",EOMONTH(A560,0))</f>
        <v/>
      </c>
      <c r="C560" s="14" t="n"/>
      <c r="D560" s="14" t="n"/>
      <c r="E560" s="14" t="n"/>
      <c r="F560" s="15">
        <f>IF(E560="","",IF(COUNTIF(lst_Jobs,E560&amp;"")&gt;0,"OK","CHECK"))</f>
        <v/>
      </c>
      <c r="G560" s="14" t="n"/>
      <c r="H560" s="14" t="n"/>
      <c r="I560" s="14" t="n"/>
      <c r="J560" s="14" t="n"/>
      <c r="K560" s="14" t="n"/>
      <c r="L560" s="16" t="n"/>
      <c r="M560" s="17">
        <f>IF(L560="","",IF(K560="GST 10%",ROUND(L560*set_GSTRate,2),0))</f>
        <v/>
      </c>
      <c r="N560" s="17">
        <f>IF(L560="","",L560+M560)</f>
        <v/>
      </c>
      <c r="O560" s="14" t="n"/>
      <c r="P560" s="14" t="n"/>
      <c r="Q560" s="14" t="n"/>
      <c r="R560" s="12" t="n"/>
      <c r="S560" s="12" t="n"/>
      <c r="T560" s="14" t="n"/>
      <c r="U560" s="14" t="n"/>
      <c r="V560" s="1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row>
    <row r="561" ht="15" customHeight="1">
      <c r="A561" s="12" t="n"/>
      <c r="B561" s="13">
        <f>IF(A561="","",EOMONTH(A561,0))</f>
        <v/>
      </c>
      <c r="C561" s="14" t="n"/>
      <c r="D561" s="14" t="n"/>
      <c r="E561" s="14" t="n"/>
      <c r="F561" s="15">
        <f>IF(E561="","",IF(COUNTIF(lst_Jobs,E561&amp;"")&gt;0,"OK","CHECK"))</f>
        <v/>
      </c>
      <c r="G561" s="14" t="n"/>
      <c r="H561" s="14" t="n"/>
      <c r="I561" s="14" t="n"/>
      <c r="J561" s="14" t="n"/>
      <c r="K561" s="14" t="n"/>
      <c r="L561" s="16" t="n"/>
      <c r="M561" s="17">
        <f>IF(L561="","",IF(K561="GST 10%",ROUND(L561*set_GSTRate,2),0))</f>
        <v/>
      </c>
      <c r="N561" s="17">
        <f>IF(L561="","",L561+M561)</f>
        <v/>
      </c>
      <c r="O561" s="14" t="n"/>
      <c r="P561" s="14" t="n"/>
      <c r="Q561" s="14" t="n"/>
      <c r="R561" s="12" t="n"/>
      <c r="S561" s="12" t="n"/>
      <c r="T561" s="14" t="n"/>
      <c r="U561" s="14" t="n"/>
      <c r="V561" s="1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row>
    <row r="562" ht="15" customHeight="1">
      <c r="A562" s="12" t="n"/>
      <c r="B562" s="13">
        <f>IF(A562="","",EOMONTH(A562,0))</f>
        <v/>
      </c>
      <c r="C562" s="14" t="n"/>
      <c r="D562" s="14" t="n"/>
      <c r="E562" s="14" t="n"/>
      <c r="F562" s="15">
        <f>IF(E562="","",IF(COUNTIF(lst_Jobs,E562&amp;"")&gt;0,"OK","CHECK"))</f>
        <v/>
      </c>
      <c r="G562" s="14" t="n"/>
      <c r="H562" s="14" t="n"/>
      <c r="I562" s="14" t="n"/>
      <c r="J562" s="14" t="n"/>
      <c r="K562" s="14" t="n"/>
      <c r="L562" s="16" t="n"/>
      <c r="M562" s="17">
        <f>IF(L562="","",IF(K562="GST 10%",ROUND(L562*set_GSTRate,2),0))</f>
        <v/>
      </c>
      <c r="N562" s="17">
        <f>IF(L562="","",L562+M562)</f>
        <v/>
      </c>
      <c r="O562" s="14" t="n"/>
      <c r="P562" s="14" t="n"/>
      <c r="Q562" s="14" t="n"/>
      <c r="R562" s="12" t="n"/>
      <c r="S562" s="12" t="n"/>
      <c r="T562" s="14" t="n"/>
      <c r="U562" s="14" t="n"/>
      <c r="V562" s="1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row>
    <row r="563" ht="15" customHeight="1">
      <c r="A563" s="12" t="n"/>
      <c r="B563" s="13">
        <f>IF(A563="","",EOMONTH(A563,0))</f>
        <v/>
      </c>
      <c r="C563" s="14" t="n"/>
      <c r="D563" s="14" t="n"/>
      <c r="E563" s="14" t="n"/>
      <c r="F563" s="15">
        <f>IF(E563="","",IF(COUNTIF(lst_Jobs,E563&amp;"")&gt;0,"OK","CHECK"))</f>
        <v/>
      </c>
      <c r="G563" s="14" t="n"/>
      <c r="H563" s="14" t="n"/>
      <c r="I563" s="14" t="n"/>
      <c r="J563" s="14" t="n"/>
      <c r="K563" s="14" t="n"/>
      <c r="L563" s="16" t="n"/>
      <c r="M563" s="17">
        <f>IF(L563="","",IF(K563="GST 10%",ROUND(L563*set_GSTRate,2),0))</f>
        <v/>
      </c>
      <c r="N563" s="17">
        <f>IF(L563="","",L563+M563)</f>
        <v/>
      </c>
      <c r="O563" s="14" t="n"/>
      <c r="P563" s="14" t="n"/>
      <c r="Q563" s="14" t="n"/>
      <c r="R563" s="12" t="n"/>
      <c r="S563" s="12" t="n"/>
      <c r="T563" s="14" t="n"/>
      <c r="U563" s="14" t="n"/>
      <c r="V563" s="1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row>
    <row r="564" ht="15" customHeight="1">
      <c r="A564" s="12" t="n"/>
      <c r="B564" s="13">
        <f>IF(A564="","",EOMONTH(A564,0))</f>
        <v/>
      </c>
      <c r="C564" s="14" t="n"/>
      <c r="D564" s="14" t="n"/>
      <c r="E564" s="14" t="n"/>
      <c r="F564" s="15">
        <f>IF(E564="","",IF(COUNTIF(lst_Jobs,E564&amp;"")&gt;0,"OK","CHECK"))</f>
        <v/>
      </c>
      <c r="G564" s="14" t="n"/>
      <c r="H564" s="14" t="n"/>
      <c r="I564" s="14" t="n"/>
      <c r="J564" s="14" t="n"/>
      <c r="K564" s="14" t="n"/>
      <c r="L564" s="16" t="n"/>
      <c r="M564" s="17">
        <f>IF(L564="","",IF(K564="GST 10%",ROUND(L564*set_GSTRate,2),0))</f>
        <v/>
      </c>
      <c r="N564" s="17">
        <f>IF(L564="","",L564+M564)</f>
        <v/>
      </c>
      <c r="O564" s="14" t="n"/>
      <c r="P564" s="14" t="n"/>
      <c r="Q564" s="14" t="n"/>
      <c r="R564" s="12" t="n"/>
      <c r="S564" s="12" t="n"/>
      <c r="T564" s="14" t="n"/>
      <c r="U564" s="14" t="n"/>
      <c r="V564" s="1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row>
    <row r="565" ht="15" customHeight="1">
      <c r="A565" s="12" t="n"/>
      <c r="B565" s="13">
        <f>IF(A565="","",EOMONTH(A565,0))</f>
        <v/>
      </c>
      <c r="C565" s="14" t="n"/>
      <c r="D565" s="14" t="n"/>
      <c r="E565" s="14" t="n"/>
      <c r="F565" s="15">
        <f>IF(E565="","",IF(COUNTIF(lst_Jobs,E565&amp;"")&gt;0,"OK","CHECK"))</f>
        <v/>
      </c>
      <c r="G565" s="14" t="n"/>
      <c r="H565" s="14" t="n"/>
      <c r="I565" s="14" t="n"/>
      <c r="J565" s="14" t="n"/>
      <c r="K565" s="14" t="n"/>
      <c r="L565" s="16" t="n"/>
      <c r="M565" s="17">
        <f>IF(L565="","",IF(K565="GST 10%",ROUND(L565*set_GSTRate,2),0))</f>
        <v/>
      </c>
      <c r="N565" s="17">
        <f>IF(L565="","",L565+M565)</f>
        <v/>
      </c>
      <c r="O565" s="14" t="n"/>
      <c r="P565" s="14" t="n"/>
      <c r="Q565" s="14" t="n"/>
      <c r="R565" s="12" t="n"/>
      <c r="S565" s="12" t="n"/>
      <c r="T565" s="14" t="n"/>
      <c r="U565" s="14" t="n"/>
      <c r="V565" s="1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row>
    <row r="566" ht="15" customHeight="1">
      <c r="A566" s="12" t="n"/>
      <c r="B566" s="13">
        <f>IF(A566="","",EOMONTH(A566,0))</f>
        <v/>
      </c>
      <c r="C566" s="14" t="n"/>
      <c r="D566" s="14" t="n"/>
      <c r="E566" s="14" t="n"/>
      <c r="F566" s="15">
        <f>IF(E566="","",IF(COUNTIF(lst_Jobs,E566&amp;"")&gt;0,"OK","CHECK"))</f>
        <v/>
      </c>
      <c r="G566" s="14" t="n"/>
      <c r="H566" s="14" t="n"/>
      <c r="I566" s="14" t="n"/>
      <c r="J566" s="14" t="n"/>
      <c r="K566" s="14" t="n"/>
      <c r="L566" s="16" t="n"/>
      <c r="M566" s="17">
        <f>IF(L566="","",IF(K566="GST 10%",ROUND(L566*set_GSTRate,2),0))</f>
        <v/>
      </c>
      <c r="N566" s="17">
        <f>IF(L566="","",L566+M566)</f>
        <v/>
      </c>
      <c r="O566" s="14" t="n"/>
      <c r="P566" s="14" t="n"/>
      <c r="Q566" s="14" t="n"/>
      <c r="R566" s="12" t="n"/>
      <c r="S566" s="12" t="n"/>
      <c r="T566" s="14" t="n"/>
      <c r="U566" s="14" t="n"/>
      <c r="V566" s="1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row>
    <row r="567" ht="15" customHeight="1">
      <c r="A567" s="12" t="n"/>
      <c r="B567" s="13">
        <f>IF(A567="","",EOMONTH(A567,0))</f>
        <v/>
      </c>
      <c r="C567" s="14" t="n"/>
      <c r="D567" s="14" t="n"/>
      <c r="E567" s="14" t="n"/>
      <c r="F567" s="15">
        <f>IF(E567="","",IF(COUNTIF(lst_Jobs,E567&amp;"")&gt;0,"OK","CHECK"))</f>
        <v/>
      </c>
      <c r="G567" s="14" t="n"/>
      <c r="H567" s="14" t="n"/>
      <c r="I567" s="14" t="n"/>
      <c r="J567" s="14" t="n"/>
      <c r="K567" s="14" t="n"/>
      <c r="L567" s="16" t="n"/>
      <c r="M567" s="17">
        <f>IF(L567="","",IF(K567="GST 10%",ROUND(L567*set_GSTRate,2),0))</f>
        <v/>
      </c>
      <c r="N567" s="17">
        <f>IF(L567="","",L567+M567)</f>
        <v/>
      </c>
      <c r="O567" s="14" t="n"/>
      <c r="P567" s="14" t="n"/>
      <c r="Q567" s="14" t="n"/>
      <c r="R567" s="12" t="n"/>
      <c r="S567" s="12" t="n"/>
      <c r="T567" s="14" t="n"/>
      <c r="U567" s="14" t="n"/>
      <c r="V567" s="1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row>
    <row r="568" ht="15" customHeight="1">
      <c r="A568" s="12" t="n"/>
      <c r="B568" s="13">
        <f>IF(A568="","",EOMONTH(A568,0))</f>
        <v/>
      </c>
      <c r="C568" s="14" t="n"/>
      <c r="D568" s="14" t="n"/>
      <c r="E568" s="14" t="n"/>
      <c r="F568" s="15">
        <f>IF(E568="","",IF(COUNTIF(lst_Jobs,E568&amp;"")&gt;0,"OK","CHECK"))</f>
        <v/>
      </c>
      <c r="G568" s="14" t="n"/>
      <c r="H568" s="14" t="n"/>
      <c r="I568" s="14" t="n"/>
      <c r="J568" s="14" t="n"/>
      <c r="K568" s="14" t="n"/>
      <c r="L568" s="16" t="n"/>
      <c r="M568" s="17">
        <f>IF(L568="","",IF(K568="GST 10%",ROUND(L568*set_GSTRate,2),0))</f>
        <v/>
      </c>
      <c r="N568" s="17">
        <f>IF(L568="","",L568+M568)</f>
        <v/>
      </c>
      <c r="O568" s="14" t="n"/>
      <c r="P568" s="14" t="n"/>
      <c r="Q568" s="14" t="n"/>
      <c r="R568" s="12" t="n"/>
      <c r="S568" s="12" t="n"/>
      <c r="T568" s="14" t="n"/>
      <c r="U568" s="14" t="n"/>
      <c r="V568" s="1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row>
    <row r="569" ht="15" customHeight="1">
      <c r="A569" s="12" t="n"/>
      <c r="B569" s="13">
        <f>IF(A569="","",EOMONTH(A569,0))</f>
        <v/>
      </c>
      <c r="C569" s="14" t="n"/>
      <c r="D569" s="14" t="n"/>
      <c r="E569" s="14" t="n"/>
      <c r="F569" s="15">
        <f>IF(E569="","",IF(COUNTIF(lst_Jobs,E569&amp;"")&gt;0,"OK","CHECK"))</f>
        <v/>
      </c>
      <c r="G569" s="14" t="n"/>
      <c r="H569" s="14" t="n"/>
      <c r="I569" s="14" t="n"/>
      <c r="J569" s="14" t="n"/>
      <c r="K569" s="14" t="n"/>
      <c r="L569" s="16" t="n"/>
      <c r="M569" s="17">
        <f>IF(L569="","",IF(K569="GST 10%",ROUND(L569*set_GSTRate,2),0))</f>
        <v/>
      </c>
      <c r="N569" s="17">
        <f>IF(L569="","",L569+M569)</f>
        <v/>
      </c>
      <c r="O569" s="14" t="n"/>
      <c r="P569" s="14" t="n"/>
      <c r="Q569" s="14" t="n"/>
      <c r="R569" s="12" t="n"/>
      <c r="S569" s="12" t="n"/>
      <c r="T569" s="14" t="n"/>
      <c r="U569" s="14" t="n"/>
      <c r="V569" s="1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row>
    <row r="570" ht="15" customHeight="1">
      <c r="A570" s="12" t="n"/>
      <c r="B570" s="13">
        <f>IF(A570="","",EOMONTH(A570,0))</f>
        <v/>
      </c>
      <c r="C570" s="14" t="n"/>
      <c r="D570" s="14" t="n"/>
      <c r="E570" s="14" t="n"/>
      <c r="F570" s="15">
        <f>IF(E570="","",IF(COUNTIF(lst_Jobs,E570&amp;"")&gt;0,"OK","CHECK"))</f>
        <v/>
      </c>
      <c r="G570" s="14" t="n"/>
      <c r="H570" s="14" t="n"/>
      <c r="I570" s="14" t="n"/>
      <c r="J570" s="14" t="n"/>
      <c r="K570" s="14" t="n"/>
      <c r="L570" s="16" t="n"/>
      <c r="M570" s="17">
        <f>IF(L570="","",IF(K570="GST 10%",ROUND(L570*set_GSTRate,2),0))</f>
        <v/>
      </c>
      <c r="N570" s="17">
        <f>IF(L570="","",L570+M570)</f>
        <v/>
      </c>
      <c r="O570" s="14" t="n"/>
      <c r="P570" s="14" t="n"/>
      <c r="Q570" s="14" t="n"/>
      <c r="R570" s="12" t="n"/>
      <c r="S570" s="12" t="n"/>
      <c r="T570" s="14" t="n"/>
      <c r="U570" s="14" t="n"/>
      <c r="V570" s="1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row>
    <row r="571" ht="15" customHeight="1">
      <c r="A571" s="12" t="n"/>
      <c r="B571" s="13">
        <f>IF(A571="","",EOMONTH(A571,0))</f>
        <v/>
      </c>
      <c r="C571" s="14" t="n"/>
      <c r="D571" s="14" t="n"/>
      <c r="E571" s="14" t="n"/>
      <c r="F571" s="15">
        <f>IF(E571="","",IF(COUNTIF(lst_Jobs,E571&amp;"")&gt;0,"OK","CHECK"))</f>
        <v/>
      </c>
      <c r="G571" s="14" t="n"/>
      <c r="H571" s="14" t="n"/>
      <c r="I571" s="14" t="n"/>
      <c r="J571" s="14" t="n"/>
      <c r="K571" s="14" t="n"/>
      <c r="L571" s="16" t="n"/>
      <c r="M571" s="17">
        <f>IF(L571="","",IF(K571="GST 10%",ROUND(L571*set_GSTRate,2),0))</f>
        <v/>
      </c>
      <c r="N571" s="17">
        <f>IF(L571="","",L571+M571)</f>
        <v/>
      </c>
      <c r="O571" s="14" t="n"/>
      <c r="P571" s="14" t="n"/>
      <c r="Q571" s="14" t="n"/>
      <c r="R571" s="12" t="n"/>
      <c r="S571" s="12" t="n"/>
      <c r="T571" s="14" t="n"/>
      <c r="U571" s="14" t="n"/>
      <c r="V571" s="1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row>
    <row r="572" ht="15" customHeight="1">
      <c r="A572" s="12" t="n"/>
      <c r="B572" s="13">
        <f>IF(A572="","",EOMONTH(A572,0))</f>
        <v/>
      </c>
      <c r="C572" s="14" t="n"/>
      <c r="D572" s="14" t="n"/>
      <c r="E572" s="14" t="n"/>
      <c r="F572" s="15">
        <f>IF(E572="","",IF(COUNTIF(lst_Jobs,E572&amp;"")&gt;0,"OK","CHECK"))</f>
        <v/>
      </c>
      <c r="G572" s="14" t="n"/>
      <c r="H572" s="14" t="n"/>
      <c r="I572" s="14" t="n"/>
      <c r="J572" s="14" t="n"/>
      <c r="K572" s="14" t="n"/>
      <c r="L572" s="16" t="n"/>
      <c r="M572" s="17">
        <f>IF(L572="","",IF(K572="GST 10%",ROUND(L572*set_GSTRate,2),0))</f>
        <v/>
      </c>
      <c r="N572" s="17">
        <f>IF(L572="","",L572+M572)</f>
        <v/>
      </c>
      <c r="O572" s="14" t="n"/>
      <c r="P572" s="14" t="n"/>
      <c r="Q572" s="14" t="n"/>
      <c r="R572" s="12" t="n"/>
      <c r="S572" s="12" t="n"/>
      <c r="T572" s="14" t="n"/>
      <c r="U572" s="14" t="n"/>
      <c r="V572" s="1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row>
    <row r="573" ht="15" customHeight="1">
      <c r="A573" s="12" t="n"/>
      <c r="B573" s="13">
        <f>IF(A573="","",EOMONTH(A573,0))</f>
        <v/>
      </c>
      <c r="C573" s="14" t="n"/>
      <c r="D573" s="14" t="n"/>
      <c r="E573" s="14" t="n"/>
      <c r="F573" s="15">
        <f>IF(E573="","",IF(COUNTIF(lst_Jobs,E573&amp;"")&gt;0,"OK","CHECK"))</f>
        <v/>
      </c>
      <c r="G573" s="14" t="n"/>
      <c r="H573" s="14" t="n"/>
      <c r="I573" s="14" t="n"/>
      <c r="J573" s="14" t="n"/>
      <c r="K573" s="14" t="n"/>
      <c r="L573" s="16" t="n"/>
      <c r="M573" s="17">
        <f>IF(L573="","",IF(K573="GST 10%",ROUND(L573*set_GSTRate,2),0))</f>
        <v/>
      </c>
      <c r="N573" s="17">
        <f>IF(L573="","",L573+M573)</f>
        <v/>
      </c>
      <c r="O573" s="14" t="n"/>
      <c r="P573" s="14" t="n"/>
      <c r="Q573" s="14" t="n"/>
      <c r="R573" s="12" t="n"/>
      <c r="S573" s="12" t="n"/>
      <c r="T573" s="14" t="n"/>
      <c r="U573" s="14" t="n"/>
      <c r="V573" s="1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row>
    <row r="574" ht="15" customHeight="1">
      <c r="A574" s="12" t="n"/>
      <c r="B574" s="13">
        <f>IF(A574="","",EOMONTH(A574,0))</f>
        <v/>
      </c>
      <c r="C574" s="14" t="n"/>
      <c r="D574" s="14" t="n"/>
      <c r="E574" s="14" t="n"/>
      <c r="F574" s="15">
        <f>IF(E574="","",IF(COUNTIF(lst_Jobs,E574&amp;"")&gt;0,"OK","CHECK"))</f>
        <v/>
      </c>
      <c r="G574" s="14" t="n"/>
      <c r="H574" s="14" t="n"/>
      <c r="I574" s="14" t="n"/>
      <c r="J574" s="14" t="n"/>
      <c r="K574" s="14" t="n"/>
      <c r="L574" s="16" t="n"/>
      <c r="M574" s="17">
        <f>IF(L574="","",IF(K574="GST 10%",ROUND(L574*set_GSTRate,2),0))</f>
        <v/>
      </c>
      <c r="N574" s="17">
        <f>IF(L574="","",L574+M574)</f>
        <v/>
      </c>
      <c r="O574" s="14" t="n"/>
      <c r="P574" s="14" t="n"/>
      <c r="Q574" s="14" t="n"/>
      <c r="R574" s="12" t="n"/>
      <c r="S574" s="12" t="n"/>
      <c r="T574" s="14" t="n"/>
      <c r="U574" s="14" t="n"/>
      <c r="V574" s="1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row>
    <row r="575" ht="15" customHeight="1">
      <c r="A575" s="12" t="n"/>
      <c r="B575" s="13">
        <f>IF(A575="","",EOMONTH(A575,0))</f>
        <v/>
      </c>
      <c r="C575" s="14" t="n"/>
      <c r="D575" s="14" t="n"/>
      <c r="E575" s="14" t="n"/>
      <c r="F575" s="15">
        <f>IF(E575="","",IF(COUNTIF(lst_Jobs,E575&amp;"")&gt;0,"OK","CHECK"))</f>
        <v/>
      </c>
      <c r="G575" s="14" t="n"/>
      <c r="H575" s="14" t="n"/>
      <c r="I575" s="14" t="n"/>
      <c r="J575" s="14" t="n"/>
      <c r="K575" s="14" t="n"/>
      <c r="L575" s="16" t="n"/>
      <c r="M575" s="17">
        <f>IF(L575="","",IF(K575="GST 10%",ROUND(L575*set_GSTRate,2),0))</f>
        <v/>
      </c>
      <c r="N575" s="17">
        <f>IF(L575="","",L575+M575)</f>
        <v/>
      </c>
      <c r="O575" s="14" t="n"/>
      <c r="P575" s="14" t="n"/>
      <c r="Q575" s="14" t="n"/>
      <c r="R575" s="12" t="n"/>
      <c r="S575" s="12" t="n"/>
      <c r="T575" s="14" t="n"/>
      <c r="U575" s="14" t="n"/>
      <c r="V575" s="1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row>
    <row r="576" ht="15" customHeight="1">
      <c r="A576" s="12" t="n"/>
      <c r="B576" s="13">
        <f>IF(A576="","",EOMONTH(A576,0))</f>
        <v/>
      </c>
      <c r="C576" s="14" t="n"/>
      <c r="D576" s="14" t="n"/>
      <c r="E576" s="14" t="n"/>
      <c r="F576" s="15">
        <f>IF(E576="","",IF(COUNTIF(lst_Jobs,E576&amp;"")&gt;0,"OK","CHECK"))</f>
        <v/>
      </c>
      <c r="G576" s="14" t="n"/>
      <c r="H576" s="14" t="n"/>
      <c r="I576" s="14" t="n"/>
      <c r="J576" s="14" t="n"/>
      <c r="K576" s="14" t="n"/>
      <c r="L576" s="16" t="n"/>
      <c r="M576" s="17">
        <f>IF(L576="","",IF(K576="GST 10%",ROUND(L576*set_GSTRate,2),0))</f>
        <v/>
      </c>
      <c r="N576" s="17">
        <f>IF(L576="","",L576+M576)</f>
        <v/>
      </c>
      <c r="O576" s="14" t="n"/>
      <c r="P576" s="14" t="n"/>
      <c r="Q576" s="14" t="n"/>
      <c r="R576" s="12" t="n"/>
      <c r="S576" s="12" t="n"/>
      <c r="T576" s="14" t="n"/>
      <c r="U576" s="14" t="n"/>
      <c r="V576" s="1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row>
    <row r="577" ht="15" customHeight="1">
      <c r="A577" s="12" t="n"/>
      <c r="B577" s="13">
        <f>IF(A577="","",EOMONTH(A577,0))</f>
        <v/>
      </c>
      <c r="C577" s="14" t="n"/>
      <c r="D577" s="14" t="n"/>
      <c r="E577" s="14" t="n"/>
      <c r="F577" s="15">
        <f>IF(E577="","",IF(COUNTIF(lst_Jobs,E577&amp;"")&gt;0,"OK","CHECK"))</f>
        <v/>
      </c>
      <c r="G577" s="14" t="n"/>
      <c r="H577" s="14" t="n"/>
      <c r="I577" s="14" t="n"/>
      <c r="J577" s="14" t="n"/>
      <c r="K577" s="14" t="n"/>
      <c r="L577" s="16" t="n"/>
      <c r="M577" s="17">
        <f>IF(L577="","",IF(K577="GST 10%",ROUND(L577*set_GSTRate,2),0))</f>
        <v/>
      </c>
      <c r="N577" s="17">
        <f>IF(L577="","",L577+M577)</f>
        <v/>
      </c>
      <c r="O577" s="14" t="n"/>
      <c r="P577" s="14" t="n"/>
      <c r="Q577" s="14" t="n"/>
      <c r="R577" s="12" t="n"/>
      <c r="S577" s="12" t="n"/>
      <c r="T577" s="14" t="n"/>
      <c r="U577" s="14" t="n"/>
      <c r="V577" s="1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2E6B4F"/>
    <outlinePr summaryBelow="1" summaryRight="1"/>
    <pageSetUpPr/>
  </sheetPr>
  <dimension ref="A1:I5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8" t="inlineStr">
        <is>
          <t>Month-End Revenue Close</t>
        </is>
      </c>
    </row>
    <row r="2" ht="16" customHeight="1">
      <c r="A2" s="2" t="inlineStr">
        <is>
          <t>Pick the month, type the Xero figures into the yellow cells, and work down. Everything white or grey calculates itself.</t>
        </is>
      </c>
    </row>
    <row r="3" ht="6" customHeight="1"/>
    <row r="4">
      <c r="A4" s="18" t="inlineStr">
        <is>
          <t>Month being closed</t>
        </is>
      </c>
      <c r="C4" s="19" t="n">
        <v>46265</v>
      </c>
      <c r="D4" s="20" t="inlineStr">
        <is>
          <t>&lt;- month end date</t>
        </is>
      </c>
    </row>
    <row r="6" ht="20" customHeight="1">
      <c r="A6" s="3" t="inlineStr">
        <is>
          <t>1.  REVENUE BY COST CENTRE  -  tracker vs Xero</t>
        </is>
      </c>
    </row>
    <row r="7" ht="30" customHeight="1">
      <c r="A7" s="21" t="inlineStr">
        <is>
          <t>Cost Centre</t>
        </is>
      </c>
      <c r="B7" s="21" t="inlineStr">
        <is>
          <t>Invoiced Ex GST</t>
        </is>
      </c>
      <c r="C7" s="21" t="inlineStr">
        <is>
          <t>GST</t>
        </is>
      </c>
      <c r="D7" s="21" t="inlineStr">
        <is>
          <t>Inc GST</t>
        </is>
      </c>
      <c r="E7" s="21" t="inlineStr">
        <is>
          <t>WIP Movement</t>
        </is>
      </c>
      <c r="F7" s="21" t="inlineStr">
        <is>
          <t>Revenue Recognised</t>
        </is>
      </c>
      <c r="G7" s="21" t="inlineStr">
        <is>
          <t>Xero Revenue (type in)</t>
        </is>
      </c>
      <c r="H7" s="21" t="inlineStr">
        <is>
          <t>Variance</t>
        </is>
      </c>
      <c r="I7" s="21" t="inlineStr">
        <is>
          <t>Check</t>
        </is>
      </c>
    </row>
    <row r="8">
      <c r="A8" s="22" t="inlineStr">
        <is>
          <t>ONSITE</t>
        </is>
      </c>
      <c r="B8" s="23">
        <f>SUMIFS(tbl_Finance[Ex GST],tbl_Finance[Month],$C$4,tbl_Finance[Cost Centre],$A8)</f>
        <v/>
      </c>
      <c r="C8" s="23">
        <f>SUMIFS(tbl_Finance[GST],tbl_Finance[Month],$C$4,tbl_Finance[Cost Centre],$A8)</f>
        <v/>
      </c>
      <c r="D8" s="24">
        <f>B8+C8</f>
        <v/>
      </c>
      <c r="E8" s="23">
        <f>SUMIFS(tbl_WIP[Amount],tbl_WIP[Month],$C$4,tbl_WIP[Cost Centre],$A8)+SUMIF('Deferred Revenue'!$F$6:$F$578,$A8,'Deferred Revenue'!$Q$6:$Q$578)</f>
        <v/>
      </c>
      <c r="F8" s="24">
        <f>B8+E8</f>
        <v/>
      </c>
      <c r="G8" s="25" t="n"/>
      <c r="H8" s="24">
        <f>IF($G8="","",$F8-$G8)</f>
        <v/>
      </c>
      <c r="I8" s="26">
        <f>IF($G8="","Enter Xero figure",IF(ROUND($H8,2)=0,"Reconciled","CHECK - "&amp;TEXT($H8,"$#,##0.00")))</f>
        <v/>
      </c>
    </row>
    <row r="9">
      <c r="A9" s="22" t="inlineStr">
        <is>
          <t>PRODUCTION</t>
        </is>
      </c>
      <c r="B9" s="23">
        <f>SUMIFS(tbl_Finance[Ex GST],tbl_Finance[Month],$C$4,tbl_Finance[Cost Centre],$A9)</f>
        <v/>
      </c>
      <c r="C9" s="23">
        <f>SUMIFS(tbl_Finance[GST],tbl_Finance[Month],$C$4,tbl_Finance[Cost Centre],$A9)</f>
        <v/>
      </c>
      <c r="D9" s="24">
        <f>B9+C9</f>
        <v/>
      </c>
      <c r="E9" s="23">
        <f>SUMIFS(tbl_WIP[Amount],tbl_WIP[Month],$C$4,tbl_WIP[Cost Centre],$A9)+SUMIF('Deferred Revenue'!$F$6:$F$578,$A9,'Deferred Revenue'!$Q$6:$Q$578)</f>
        <v/>
      </c>
      <c r="F9" s="24">
        <f>B9+E9</f>
        <v/>
      </c>
      <c r="G9" s="25" t="n"/>
      <c r="H9" s="24">
        <f>IF($G9="","",$F9-$G9)</f>
        <v/>
      </c>
      <c r="I9" s="26">
        <f>IF($G9="","Enter Xero figure",IF(ROUND($H9,2)=0,"Reconciled","CHECK - "&amp;TEXT($H9,"$#,##0.00")))</f>
        <v/>
      </c>
    </row>
    <row r="10">
      <c r="A10" s="22" t="inlineStr">
        <is>
          <t>VIDEO</t>
        </is>
      </c>
      <c r="B10" s="23">
        <f>SUMIFS(tbl_Finance[Ex GST],tbl_Finance[Month],$C$4,tbl_Finance[Cost Centre],$A10)</f>
        <v/>
      </c>
      <c r="C10" s="23">
        <f>SUMIFS(tbl_Finance[GST],tbl_Finance[Month],$C$4,tbl_Finance[Cost Centre],$A10)</f>
        <v/>
      </c>
      <c r="D10" s="24">
        <f>B10+C10</f>
        <v/>
      </c>
      <c r="E10" s="23">
        <f>SUMIFS(tbl_WIP[Amount],tbl_WIP[Month],$C$4,tbl_WIP[Cost Centre],$A10)+SUMIF('Deferred Revenue'!$F$6:$F$578,$A10,'Deferred Revenue'!$Q$6:$Q$578)</f>
        <v/>
      </c>
      <c r="F10" s="24">
        <f>B10+E10</f>
        <v/>
      </c>
      <c r="G10" s="25" t="n"/>
      <c r="H10" s="24">
        <f>IF($G10="","",$F10-$G10)</f>
        <v/>
      </c>
      <c r="I10" s="26">
        <f>IF($G10="","Enter Xero figure",IF(ROUND($H10,2)=0,"Reconciled","CHECK - "&amp;TEXT($H10,"$#,##0.00")))</f>
        <v/>
      </c>
    </row>
    <row r="11">
      <c r="A11" s="22" t="inlineStr">
        <is>
          <t>INTEGRATION</t>
        </is>
      </c>
      <c r="B11" s="23">
        <f>SUMIFS(tbl_Finance[Ex GST],tbl_Finance[Month],$C$4,tbl_Finance[Cost Centre],$A11)</f>
        <v/>
      </c>
      <c r="C11" s="23">
        <f>SUMIFS(tbl_Finance[GST],tbl_Finance[Month],$C$4,tbl_Finance[Cost Centre],$A11)</f>
        <v/>
      </c>
      <c r="D11" s="24">
        <f>B11+C11</f>
        <v/>
      </c>
      <c r="E11" s="23">
        <f>SUMIFS(tbl_WIP[Amount],tbl_WIP[Month],$C$4,tbl_WIP[Cost Centre],$A11)+SUMIF('Deferred Revenue'!$F$6:$F$578,$A11,'Deferred Revenue'!$Q$6:$Q$578)</f>
        <v/>
      </c>
      <c r="F11" s="24">
        <f>B11+E11</f>
        <v/>
      </c>
      <c r="G11" s="25" t="n"/>
      <c r="H11" s="24">
        <f>IF($G11="","",$F11-$G11)</f>
        <v/>
      </c>
      <c r="I11" s="26">
        <f>IF($G11="","Enter Xero figure",IF(ROUND($H11,2)=0,"Reconciled","CHECK - "&amp;TEXT($H11,"$#,##0.00")))</f>
        <v/>
      </c>
    </row>
    <row r="12">
      <c r="A12" s="22" t="inlineStr">
        <is>
          <t>CONSULTING</t>
        </is>
      </c>
      <c r="B12" s="23">
        <f>SUMIFS(tbl_Finance[Ex GST],tbl_Finance[Month],$C$4,tbl_Finance[Cost Centre],$A12)</f>
        <v/>
      </c>
      <c r="C12" s="23">
        <f>SUMIFS(tbl_Finance[GST],tbl_Finance[Month],$C$4,tbl_Finance[Cost Centre],$A12)</f>
        <v/>
      </c>
      <c r="D12" s="24">
        <f>B12+C12</f>
        <v/>
      </c>
      <c r="E12" s="23">
        <f>SUMIFS(tbl_WIP[Amount],tbl_WIP[Month],$C$4,tbl_WIP[Cost Centre],$A12)+SUMIF('Deferred Revenue'!$F$6:$F$578,$A12,'Deferred Revenue'!$Q$6:$Q$578)</f>
        <v/>
      </c>
      <c r="F12" s="24">
        <f>B12+E12</f>
        <v/>
      </c>
      <c r="G12" s="25" t="n"/>
      <c r="H12" s="24">
        <f>IF($G12="","",$F12-$G12)</f>
        <v/>
      </c>
      <c r="I12" s="26">
        <f>IF($G12="","Enter Xero figure",IF(ROUND($H12,2)=0,"Reconciled","CHECK - "&amp;TEXT($H12,"$#,##0.00")))</f>
        <v/>
      </c>
    </row>
    <row r="13">
      <c r="A13" s="22" t="inlineStr">
        <is>
          <t>CTS</t>
        </is>
      </c>
      <c r="B13" s="23">
        <f>SUMIFS(tbl_Finance[Ex GST],tbl_Finance[Month],$C$4,tbl_Finance[Cost Centre],$A13)</f>
        <v/>
      </c>
      <c r="C13" s="23">
        <f>SUMIFS(tbl_Finance[GST],tbl_Finance[Month],$C$4,tbl_Finance[Cost Centre],$A13)</f>
        <v/>
      </c>
      <c r="D13" s="24">
        <f>B13+C13</f>
        <v/>
      </c>
      <c r="E13" s="23">
        <f>SUMIFS(tbl_WIP[Amount],tbl_WIP[Month],$C$4,tbl_WIP[Cost Centre],$A13)+SUMIF('Deferred Revenue'!$F$6:$F$578,$A13,'Deferred Revenue'!$Q$6:$Q$578)</f>
        <v/>
      </c>
      <c r="F13" s="24">
        <f>B13+E13</f>
        <v/>
      </c>
      <c r="G13" s="25" t="n"/>
      <c r="H13" s="24">
        <f>IF($G13="","",$F13-$G13)</f>
        <v/>
      </c>
      <c r="I13" s="26">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5">
      <c r="A15" s="20" t="inlineStr">
        <is>
          <t>Every line on the Finance sheet carries one cost centre, so these add to the month's invoicing exactly.</t>
        </is>
      </c>
    </row>
    <row r="17" ht="20" customHeight="1">
      <c r="A17" s="3" t="inlineStr">
        <is>
          <t>2.  WORK IN PROGRESS  -  GL 11300</t>
        </is>
      </c>
    </row>
    <row r="18" ht="30" customHeight="1">
      <c r="A18" s="21" t="inlineStr"/>
      <c r="B18" s="21" t="inlineStr">
        <is>
          <t>Amount</t>
        </is>
      </c>
      <c r="C18" s="21" t="inlineStr"/>
      <c r="D18" s="21" t="inlineStr"/>
      <c r="E18" s="21" t="inlineStr"/>
      <c r="F18" s="21" t="inlineStr"/>
      <c r="G18" s="21" t="inlineStr"/>
      <c r="H18" s="21" t="inlineStr"/>
      <c r="I18" s="21" t="inlineStr">
        <is>
          <t>Check</t>
        </is>
      </c>
    </row>
    <row r="19">
      <c r="A19" s="29" t="inlineStr">
        <is>
          <t>Opening WIP balance (all months before this one)</t>
        </is>
      </c>
      <c r="B19" s="24">
        <f>SUMIFS(tbl_WIP[Amount],tbl_WIP[Month],"&lt;&gt;",tbl_WIP[Month],"&lt;"&amp;$C$4)+SUM('Deferred Revenue'!$P$6:$P$578)</f>
        <v/>
      </c>
      <c r="I19" s="30" t="n"/>
    </row>
    <row r="20">
      <c r="A20" s="29" t="inlineStr">
        <is>
          <t>Movement this month</t>
        </is>
      </c>
      <c r="B20" s="24">
        <f>SUMIFS(tbl_WIP[Amount],tbl_WIP[Month],$C$4)+SUM('Deferred Revenue'!$Q$6:$Q$578)</f>
        <v/>
      </c>
      <c r="I20" s="30" t="n"/>
    </row>
    <row r="21">
      <c r="A21" s="31" t="inlineStr">
        <is>
          <t>Closing WIP balance per this tracker</t>
        </is>
      </c>
      <c r="B21" s="32">
        <f>B19+B20</f>
        <v/>
      </c>
      <c r="I21" s="30" t="n"/>
    </row>
    <row r="22">
      <c r="A22" s="29" t="inlineStr">
        <is>
          <t>Closing balance per the WIP Schedule file</t>
        </is>
      </c>
      <c r="B22" s="25" t="n"/>
      <c r="I22" s="30" t="n"/>
    </row>
    <row r="23">
      <c r="A23" s="31" t="inlineStr">
        <is>
          <t>Variance - tracker vs WIP Schedule</t>
        </is>
      </c>
      <c r="B23" s="33">
        <f>IF(B22="","",B21-B22)</f>
        <v/>
      </c>
      <c r="I23" s="34">
        <f>IF(B22="","Enter WIP Schedule figure",IF(ROUND(B23,2)=0,"Reconciled","CHECK"))</f>
        <v/>
      </c>
    </row>
    <row r="24">
      <c r="A24" s="29" t="inlineStr">
        <is>
          <t>Closing balance per Xero GL 11300</t>
        </is>
      </c>
      <c r="B24" s="25" t="n"/>
      <c r="I24" s="30" t="n"/>
    </row>
    <row r="25">
      <c r="A25" s="31" t="inlineStr">
        <is>
          <t>Variance - tracker vs Xero</t>
        </is>
      </c>
      <c r="B25" s="33">
        <f>IF(B24="","",B21-B24)</f>
        <v/>
      </c>
      <c r="I25" s="34">
        <f>IF(B24="","Enter Xero 11300 balance",IF(ROUND(B25,2)=0,"Reconciled","CHECK"))</f>
        <v/>
      </c>
    </row>
    <row r="26">
      <c r="A26" s="20"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21" t="inlineStr">
        <is>
          <t>Check</t>
        </is>
      </c>
      <c r="B29" s="21" t="inlineStr">
        <is>
          <t>Count</t>
        </is>
      </c>
      <c r="C29" s="21" t="inlineStr"/>
      <c r="D29" s="21" t="inlineStr"/>
      <c r="E29" s="21" t="inlineStr"/>
      <c r="F29" s="21" t="inlineStr"/>
      <c r="G29" s="21" t="inlineStr"/>
      <c r="H29" s="21" t="inlineStr"/>
      <c r="I29" s="21" t="inlineStr">
        <is>
          <t>Status</t>
        </is>
      </c>
    </row>
    <row r="30">
      <c r="A30" s="29" t="inlineStr">
        <is>
          <t>Invoice lines with an amount but no date</t>
        </is>
      </c>
      <c r="B30" s="35">
        <f>SUMPRODUCT(--(tbl_Finance[Date]=""),--(tbl_Finance[Ex GST]&lt;&gt;""))</f>
        <v/>
      </c>
      <c r="I30" s="34">
        <f>IF(B30=0,"Clear","REVIEW")</f>
        <v/>
      </c>
    </row>
    <row r="31">
      <c r="A31" s="29" t="inlineStr">
        <is>
          <t>Invoice lines with an amount but no job number</t>
        </is>
      </c>
      <c r="B31" s="35">
        <f>COUNTIFS(tbl_Finance[Ex GST],"&lt;&gt;",tbl_Finance[Job Number],"")</f>
        <v/>
      </c>
      <c r="I31" s="34">
        <f>IF(B31=0,"Clear","REVIEW")</f>
        <v/>
      </c>
    </row>
    <row r="32">
      <c r="A32" s="29" t="inlineStr">
        <is>
          <t>Job numbers not found in the Xero job list</t>
        </is>
      </c>
      <c r="B32" s="35">
        <f>COUNTIF(tbl_Finance[Job in Xero?],"CHECK")</f>
        <v/>
      </c>
      <c r="I32" s="34">
        <f>IF(B32=0,"Clear","REVIEW")</f>
        <v/>
      </c>
    </row>
    <row r="33">
      <c r="A33" s="29" t="inlineStr">
        <is>
          <t>Marked posted to Xero but no invoice number</t>
        </is>
      </c>
      <c r="B33" s="35">
        <f>COUNTIFS(tbl_Finance[Posted to Xero],"Y",tbl_Finance[Xero Invoice No],"")</f>
        <v/>
      </c>
      <c r="I33" s="34">
        <f>IF(B33=0,"Clear","REVIEW")</f>
        <v/>
      </c>
    </row>
    <row r="34">
      <c r="A34" s="29" t="inlineStr">
        <is>
          <t>Invoice lines with an amount but no cost centre</t>
        </is>
      </c>
      <c r="B34" s="35">
        <f>COUNTIFS(tbl_Finance[Ex GST],"&lt;&gt;",tbl_Finance[Cost Centre],"")</f>
        <v/>
      </c>
      <c r="I34" s="34">
        <f>IF(B34=0,"Clear","REVIEW")</f>
        <v/>
      </c>
    </row>
    <row r="35">
      <c r="A35" s="29" t="inlineStr">
        <is>
          <t>Invoice lines with an amount but no tax code</t>
        </is>
      </c>
      <c r="B35" s="35">
        <f>COUNTIFS(tbl_Finance[Ex GST],"&lt;&gt;",tbl_Finance[Tax Code],"")</f>
        <v/>
      </c>
      <c r="I35" s="34">
        <f>IF(B35=0,"Clear","REVIEW")</f>
        <v/>
      </c>
    </row>
    <row r="36">
      <c r="A36" s="29" t="inlineStr">
        <is>
          <t>Invoice lines with an amount but no revenue GL code</t>
        </is>
      </c>
      <c r="B36" s="35">
        <f>COUNTIFS(tbl_Finance[Ex GST],"&lt;&gt;",tbl_Finance[Revenue GL],"")</f>
        <v/>
      </c>
      <c r="I36" s="34">
        <f>IF(B36=0,"Clear","REVIEW")</f>
        <v/>
      </c>
    </row>
    <row r="37">
      <c r="A37" s="29" t="inlineStr">
        <is>
          <t>Anything flagged in the Issue column</t>
        </is>
      </c>
      <c r="B37" s="35">
        <f>COUNTIF(tbl_Finance[Issue],"?*")</f>
        <v/>
      </c>
      <c r="I37" s="34">
        <f>IF(B37=0,"Clear","REVIEW")</f>
        <v/>
      </c>
    </row>
    <row r="38">
      <c r="A38" s="29" t="inlineStr">
        <is>
          <t>Flagged "To WIP = Y" but no matching WIP movement</t>
        </is>
      </c>
      <c r="B38" s="35">
        <f>SUMPRODUCT(--(tbl_Finance[To WIP]="Y"),--(tbl_Finance[Xero Invoice No]&lt;&gt;""),--(COUNTIF(tbl_WIP[Xero Invoice No],tbl_Finance[Xero Invoice No]&amp;"")=0))</f>
        <v/>
      </c>
      <c r="I38" s="34">
        <f>IF(B38=0,"Clear","REVIEW")</f>
        <v/>
      </c>
    </row>
    <row r="39">
      <c r="A39" s="29" t="inlineStr">
        <is>
          <t>WIP movements with an amount but no month or no job</t>
        </is>
      </c>
      <c r="B39" s="35">
        <f>COUNTIFS(tbl_WIP[Month],"",tbl_WIP[Amount],"&lt;&gt;")+COUNTIFS(tbl_WIP[Job Number],"",tbl_WIP[Amount],"&lt;&gt;")</f>
        <v/>
      </c>
      <c r="I39" s="34">
        <f>IF(B39=0,"Clear","REVIEW")</f>
        <v/>
      </c>
    </row>
    <row r="40">
      <c r="A40" s="29" t="inlineStr">
        <is>
          <t>WIP job numbers not found in the Xero job list</t>
        </is>
      </c>
      <c r="B40" s="35">
        <f>COUNTIF(tbl_WIP[Job in Xero?],"CHECK")</f>
        <v/>
      </c>
      <c r="I40" s="34">
        <f>IF(B40=0,"Clear","REVIEW")</f>
        <v/>
      </c>
    </row>
    <row r="41">
      <c r="A41" s="29" t="inlineStr">
        <is>
          <t>Consulting revenue split does not equal the job revenue</t>
        </is>
      </c>
      <c r="B41" s="35">
        <f>COUNTIF(tbl_Consulting[Revenue Split Check],"MISMATCH")</f>
        <v/>
      </c>
      <c r="I41" s="34">
        <f>IF(B41=0,"Clear","REVIEW")</f>
        <v/>
      </c>
    </row>
    <row r="42">
      <c r="A42" s="29" t="inlineStr">
        <is>
          <t>Jobs on a department sheet with no invoice yet</t>
        </is>
      </c>
      <c r="B42" s="35">
        <f>COUNTIFS(tbl_Onsite[Job Number],"&lt;&gt;",tbl_Onsite[Invoices],0)+COUNTIFS(tbl_Production[Job Number],"&lt;&gt;",tbl_Production[Invoices],0)+COUNTIFS(tbl_Consulting[Job Number],"&lt;&gt;",tbl_Consulting[Invoices],0)</f>
        <v/>
      </c>
      <c r="I42" s="34">
        <f>IF(B42=0,"Clear","REVIEW")</f>
        <v/>
      </c>
    </row>
    <row r="43">
      <c r="A43" s="29" t="inlineStr">
        <is>
          <t>Deferred lines that also have a manual WIP journal (would double count)</t>
        </is>
      </c>
      <c r="B43" s="35">
        <f>SUMPRODUCT(--(tbl_Finance[Defer Start]&lt;&gt;""),--(tbl_Finance[Xero Invoice No]&lt;&gt;""),--(COUNTIF(tbl_WIP[Xero Invoice No],tbl_Finance[Xero Invoice No]&amp;"")&gt;0))</f>
        <v/>
      </c>
      <c r="I43" s="34">
        <f>IF(B43=0,"Clear","REVIEW")</f>
        <v/>
      </c>
    </row>
    <row r="44">
      <c r="A44" s="29" t="inlineStr">
        <is>
          <t>Deferred lines missing an end date</t>
        </is>
      </c>
      <c r="B44" s="35">
        <f>SUMPRODUCT(--(tbl_Finance[Defer Start]&lt;&gt;""),--(tbl_Finance[Defer End]=""))</f>
        <v/>
      </c>
      <c r="I44" s="34">
        <f>IF(B44=0,"Clear","REVIEW")</f>
        <v/>
      </c>
    </row>
    <row r="45">
      <c r="A45" s="29" t="inlineStr">
        <is>
          <t>Still sitting at "To Invoice" for the selected month</t>
        </is>
      </c>
      <c r="B45" s="35">
        <f>COUNTIFS(tbl_Finance[Month],$C$4,tbl_Finance[Status],"To Invoice")</f>
        <v/>
      </c>
      <c r="I45" s="34">
        <f>IF(B45=0,"Clear","REVIEW")</f>
        <v/>
      </c>
    </row>
    <row r="46">
      <c r="A46" s="31" t="inlineStr">
        <is>
          <t>Value of invoice lines with no date (excluded from every month)</t>
        </is>
      </c>
      <c r="B46" s="36">
        <f>SUMPRODUCT(--(tbl_Finance[Date]=""),IFERROR(tbl_Finance[Ex GST]*1,0))</f>
        <v/>
      </c>
      <c r="I46" s="34">
        <f>IF(ROUND(B46,2)=0,"Clear","REVIEW")</f>
        <v/>
      </c>
    </row>
    <row r="48" ht="20" customHeight="1">
      <c r="A48" s="3" t="inlineStr">
        <is>
          <t>4.  SIGN-OFF</t>
        </is>
      </c>
    </row>
    <row r="49">
      <c r="A49" s="31" t="inlineStr">
        <is>
          <t>Prepared by</t>
        </is>
      </c>
      <c r="B49" s="37" t="n"/>
      <c r="C49" s="38" t="n"/>
      <c r="D49" s="39" t="n"/>
      <c r="E49" s="20" t="inlineStr">
        <is>
          <t>Accounts Assistant</t>
        </is>
      </c>
    </row>
    <row r="50">
      <c r="A50" s="31" t="inlineStr">
        <is>
          <t>Reviewed by</t>
        </is>
      </c>
      <c r="B50" s="37" t="n"/>
      <c r="C50" s="38" t="n"/>
      <c r="D50" s="39" t="n"/>
      <c r="E50" s="20" t="inlineStr">
        <is>
          <t>Finance Operations Manager</t>
        </is>
      </c>
    </row>
    <row r="51">
      <c r="A51" s="31" t="inlineStr">
        <is>
          <t>Date closed</t>
        </is>
      </c>
      <c r="B51" s="37" t="n"/>
      <c r="C51" s="38" t="n"/>
      <c r="D51" s="39" t="n"/>
    </row>
    <row r="52">
      <c r="A52" s="31" t="inlineStr">
        <is>
          <t>Notes / carried forward items</t>
        </is>
      </c>
      <c r="B52" s="37" t="n"/>
      <c r="C52" s="38" t="n"/>
      <c r="D52" s="39" t="n"/>
    </row>
  </sheetData>
  <mergeCells count="8">
    <mergeCell ref="A28:I28"/>
    <mergeCell ref="B49:D49"/>
    <mergeCell ref="B50:D50"/>
    <mergeCell ref="A17:I17"/>
    <mergeCell ref="B52:D52"/>
    <mergeCell ref="A6:I6"/>
    <mergeCell ref="A48:I48"/>
    <mergeCell ref="B51:D51"/>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18" t="inlineStr">
        <is>
          <t>Month</t>
        </is>
      </c>
      <c r="C4" s="40">
        <f>'Month-End'!C4</f>
        <v/>
      </c>
      <c r="D4" s="20" t="inlineStr">
        <is>
          <t>&lt;- set this on the Month-End sheet</t>
        </is>
      </c>
    </row>
    <row r="6">
      <c r="A6" s="31" t="inlineStr">
        <is>
          <t>Opening total</t>
        </is>
      </c>
      <c r="B6" s="41">
        <f>SUMIFS(tbl_WIP[Amount],tbl_WIP[Month],"&lt;&gt;",tbl_WIP[Month],"&lt;"&amp;$C$4)+SUM('Deferred Revenue'!$P$6:$P$578)</f>
        <v/>
      </c>
    </row>
    <row r="7">
      <c r="A7" s="31" t="inlineStr">
        <is>
          <t>Movement this month</t>
        </is>
      </c>
      <c r="B7" s="41">
        <f>SUMIFS(tbl_WIP[Amount],tbl_WIP[Month],$C$4)+SUM('Deferred Revenue'!$Q$6:$Q$578)</f>
        <v/>
      </c>
    </row>
    <row r="8">
      <c r="A8" s="31" t="inlineStr">
        <is>
          <t>Closing total</t>
        </is>
      </c>
      <c r="B8" s="32">
        <f>B6+B7</f>
        <v/>
      </c>
    </row>
    <row r="9">
      <c r="A9" s="31" t="inlineStr">
        <is>
          <t>Of which is on a job Xero does not have</t>
        </is>
      </c>
      <c r="B9" s="41">
        <f>SUMIFS(tbl_WIP[Amount],tbl_WIP[Job in Xero?],"CHECK",tbl_WIP[Month],"&lt;="&amp;$C$4)</f>
        <v/>
      </c>
    </row>
    <row r="11" ht="30" customHeight="1">
      <c r="A11" s="21" t="inlineStr">
        <is>
          <t>Job Number</t>
        </is>
      </c>
      <c r="B11" s="21" t="inlineStr">
        <is>
          <t>Job Name (Xero)</t>
        </is>
      </c>
      <c r="C11" s="21" t="inlineStr">
        <is>
          <t>Opening</t>
        </is>
      </c>
      <c r="D11" s="21" t="inlineStr">
        <is>
          <t>Movement</t>
        </is>
      </c>
      <c r="E11" s="21" t="inlineStr">
        <is>
          <t>Closing</t>
        </is>
      </c>
      <c r="F11" s="21" t="inlineStr">
        <is>
          <t>Any balance?</t>
        </is>
      </c>
      <c r="G11" s="21" t="inlineStr">
        <is>
          <t>Per WIP Schedule (paste in)</t>
        </is>
      </c>
      <c r="H11" s="21" t="inlineStr">
        <is>
          <t>Variance</t>
        </is>
      </c>
    </row>
    <row r="12">
      <c r="A12" s="42" t="inlineStr">
        <is>
          <t>1144</t>
        </is>
      </c>
      <c r="B12" s="42" t="inlineStr">
        <is>
          <t>Bankwest PER Half Tech</t>
        </is>
      </c>
      <c r="C12" s="43">
        <f>SUMIFS(tbl_WIP[Amount],tbl_WIP[Job Number],$A12,tbl_WIP[Month],"&lt;&gt;",tbl_WIP[Month],"&lt;"&amp;$C$4)+SUMIF('Deferred Revenue'!$E$6:$E$578,$A12,'Deferred Revenue'!$P$6:$P$578)</f>
        <v/>
      </c>
      <c r="D12" s="43">
        <f>SUMIFS(tbl_WIP[Amount],tbl_WIP[Job Number],$A12,tbl_WIP[Month],$C$4)+SUMIF('Deferred Revenue'!$E$6:$E$578,$A12,'Deferred Revenue'!$Q$6:$Q$578)</f>
        <v/>
      </c>
      <c r="E12" s="43">
        <f>C12+D12</f>
        <v/>
      </c>
      <c r="F12" s="44">
        <f>IF(ROUND(C12,2)+ROUND(D12,2)=0,"","yes")</f>
        <v/>
      </c>
      <c r="G12" s="45" t="n"/>
      <c r="H12" s="43">
        <f>IF($G12="","",$E12-$G12)</f>
        <v/>
      </c>
    </row>
    <row r="13">
      <c r="A13" s="42" t="inlineStr">
        <is>
          <t>1350</t>
        </is>
      </c>
      <c r="B13" s="42" t="inlineStr">
        <is>
          <t>CBA Brisbane ONS</t>
        </is>
      </c>
      <c r="C13" s="43">
        <f>SUMIFS(tbl_WIP[Amount],tbl_WIP[Job Number],$A13,tbl_WIP[Month],"&lt;&gt;",tbl_WIP[Month],"&lt;"&amp;$C$4)+SUMIF('Deferred Revenue'!$E$6:$E$578,$A13,'Deferred Revenue'!$P$6:$P$578)</f>
        <v/>
      </c>
      <c r="D13" s="43">
        <f>SUMIFS(tbl_WIP[Amount],tbl_WIP[Job Number],$A13,tbl_WIP[Month],$C$4)+SUMIF('Deferred Revenue'!$E$6:$E$578,$A13,'Deferred Revenue'!$Q$6:$Q$578)</f>
        <v/>
      </c>
      <c r="E13" s="43">
        <f>C13+D13</f>
        <v/>
      </c>
      <c r="F13" s="44">
        <f>IF(ROUND(C13,2)+ROUND(D13,2)=0,"","yes")</f>
        <v/>
      </c>
      <c r="G13" s="45" t="n"/>
      <c r="H13" s="43">
        <f>IF($G13="","",$E13-$G13)</f>
        <v/>
      </c>
    </row>
    <row r="14">
      <c r="A14" s="42" t="inlineStr">
        <is>
          <t>1400</t>
        </is>
      </c>
      <c r="B14" s="42" t="inlineStr">
        <is>
          <t>DTTL Mel Tech FT 2</t>
        </is>
      </c>
      <c r="C14" s="43">
        <f>SUMIFS(tbl_WIP[Amount],tbl_WIP[Job Number],$A14,tbl_WIP[Month],"&lt;&gt;",tbl_WIP[Month],"&lt;"&amp;$C$4)+SUMIF('Deferred Revenue'!$E$6:$E$578,$A14,'Deferred Revenue'!$P$6:$P$578)</f>
        <v/>
      </c>
      <c r="D14" s="43">
        <f>SUMIFS(tbl_WIP[Amount],tbl_WIP[Job Number],$A14,tbl_WIP[Month],$C$4)+SUMIF('Deferred Revenue'!$E$6:$E$578,$A14,'Deferred Revenue'!$Q$6:$Q$578)</f>
        <v/>
      </c>
      <c r="E14" s="43">
        <f>C14+D14</f>
        <v/>
      </c>
      <c r="F14" s="44">
        <f>IF(ROUND(C14,2)+ROUND(D14,2)=0,"","yes")</f>
        <v/>
      </c>
      <c r="G14" s="45" t="n"/>
      <c r="H14" s="43">
        <f>IF($G14="","",$E14-$G14)</f>
        <v/>
      </c>
    </row>
    <row r="15">
      <c r="A15" s="42" t="inlineStr">
        <is>
          <t>1401</t>
        </is>
      </c>
      <c r="B15" s="42" t="inlineStr">
        <is>
          <t>DTTL SYD FT Tech 2</t>
        </is>
      </c>
      <c r="C15" s="43">
        <f>SUMIFS(tbl_WIP[Amount],tbl_WIP[Job Number],$A15,tbl_WIP[Month],"&lt;&gt;",tbl_WIP[Month],"&lt;"&amp;$C$4)+SUMIF('Deferred Revenue'!$E$6:$E$578,$A15,'Deferred Revenue'!$P$6:$P$578)</f>
        <v/>
      </c>
      <c r="D15" s="43">
        <f>SUMIFS(tbl_WIP[Amount],tbl_WIP[Job Number],$A15,tbl_WIP[Month],$C$4)+SUMIF('Deferred Revenue'!$E$6:$E$578,$A15,'Deferred Revenue'!$Q$6:$Q$578)</f>
        <v/>
      </c>
      <c r="E15" s="43">
        <f>C15+D15</f>
        <v/>
      </c>
      <c r="F15" s="44">
        <f>IF(ROUND(C15,2)+ROUND(D15,2)=0,"","yes")</f>
        <v/>
      </c>
      <c r="G15" s="45" t="n"/>
      <c r="H15" s="43">
        <f>IF($G15="","",$E15-$G15)</f>
        <v/>
      </c>
    </row>
    <row r="16">
      <c r="A16" s="42" t="inlineStr">
        <is>
          <t>1530</t>
        </is>
      </c>
      <c r="B16" s="42" t="inlineStr">
        <is>
          <t>DTTL BNE Onsite</t>
        </is>
      </c>
      <c r="C16" s="43">
        <f>SUMIFS(tbl_WIP[Amount],tbl_WIP[Job Number],$A16,tbl_WIP[Month],"&lt;&gt;",tbl_WIP[Month],"&lt;"&amp;$C$4)+SUMIF('Deferred Revenue'!$E$6:$E$578,$A16,'Deferred Revenue'!$P$6:$P$578)</f>
        <v/>
      </c>
      <c r="D16" s="43">
        <f>SUMIFS(tbl_WIP[Amount],tbl_WIP[Job Number],$A16,tbl_WIP[Month],$C$4)+SUMIF('Deferred Revenue'!$E$6:$E$578,$A16,'Deferred Revenue'!$Q$6:$Q$578)</f>
        <v/>
      </c>
      <c r="E16" s="43">
        <f>C16+D16</f>
        <v/>
      </c>
      <c r="F16" s="44">
        <f>IF(ROUND(C16,2)+ROUND(D16,2)=0,"","yes")</f>
        <v/>
      </c>
      <c r="G16" s="45" t="n"/>
      <c r="H16" s="43">
        <f>IF($G16="","",$E16-$G16)</f>
        <v/>
      </c>
    </row>
    <row r="17">
      <c r="A17" s="42" t="inlineStr">
        <is>
          <t>1668</t>
        </is>
      </c>
      <c r="B17" s="42" t="inlineStr">
        <is>
          <t>CBA Dedicated Tech</t>
        </is>
      </c>
      <c r="C17" s="43">
        <f>SUMIFS(tbl_WIP[Amount],tbl_WIP[Job Number],$A17,tbl_WIP[Month],"&lt;&gt;",tbl_WIP[Month],"&lt;"&amp;$C$4)+SUMIF('Deferred Revenue'!$E$6:$E$578,$A17,'Deferred Revenue'!$P$6:$P$578)</f>
        <v/>
      </c>
      <c r="D17" s="43">
        <f>SUMIFS(tbl_WIP[Amount],tbl_WIP[Job Number],$A17,tbl_WIP[Month],$C$4)+SUMIF('Deferred Revenue'!$E$6:$E$578,$A17,'Deferred Revenue'!$Q$6:$Q$578)</f>
        <v/>
      </c>
      <c r="E17" s="43">
        <f>C17+D17</f>
        <v/>
      </c>
      <c r="F17" s="44">
        <f>IF(ROUND(C17,2)+ROUND(D17,2)=0,"","yes")</f>
        <v/>
      </c>
      <c r="G17" s="45" t="n"/>
      <c r="H17" s="43">
        <f>IF($G17="","",$E17-$G17)</f>
        <v/>
      </c>
    </row>
    <row r="18">
      <c r="A18" s="42" t="inlineStr">
        <is>
          <t>1750</t>
        </is>
      </c>
      <c r="B18" s="42" t="inlineStr">
        <is>
          <t>Bankwest Spotify</t>
        </is>
      </c>
      <c r="C18" s="43">
        <f>SUMIFS(tbl_WIP[Amount],tbl_WIP[Job Number],$A18,tbl_WIP[Month],"&lt;&gt;",tbl_WIP[Month],"&lt;"&amp;$C$4)+SUMIF('Deferred Revenue'!$E$6:$E$578,$A18,'Deferred Revenue'!$P$6:$P$578)</f>
        <v/>
      </c>
      <c r="D18" s="43">
        <f>SUMIFS(tbl_WIP[Amount],tbl_WIP[Job Number],$A18,tbl_WIP[Month],$C$4)+SUMIF('Deferred Revenue'!$E$6:$E$578,$A18,'Deferred Revenue'!$Q$6:$Q$578)</f>
        <v/>
      </c>
      <c r="E18" s="43">
        <f>C18+D18</f>
        <v/>
      </c>
      <c r="F18" s="44">
        <f>IF(ROUND(C18,2)+ROUND(D18,2)=0,"","yes")</f>
        <v/>
      </c>
      <c r="G18" s="45" t="n"/>
      <c r="H18" s="43">
        <f>IF($G18="","",$E18-$G18)</f>
        <v/>
      </c>
    </row>
    <row r="19">
      <c r="A19" s="42" t="inlineStr">
        <is>
          <t>1755</t>
        </is>
      </c>
      <c r="B19" s="42" t="inlineStr">
        <is>
          <t>CBA Spotify</t>
        </is>
      </c>
      <c r="C19" s="43">
        <f>SUMIFS(tbl_WIP[Amount],tbl_WIP[Job Number],$A19,tbl_WIP[Month],"&lt;&gt;",tbl_WIP[Month],"&lt;"&amp;$C$4)+SUMIF('Deferred Revenue'!$E$6:$E$578,$A19,'Deferred Revenue'!$P$6:$P$578)</f>
        <v/>
      </c>
      <c r="D19" s="43">
        <f>SUMIFS(tbl_WIP[Amount],tbl_WIP[Job Number],$A19,tbl_WIP[Month],$C$4)+SUMIF('Deferred Revenue'!$E$6:$E$578,$A19,'Deferred Revenue'!$Q$6:$Q$578)</f>
        <v/>
      </c>
      <c r="E19" s="43">
        <f>C19+D19</f>
        <v/>
      </c>
      <c r="F19" s="44">
        <f>IF(ROUND(C19,2)+ROUND(D19,2)=0,"","yes")</f>
        <v/>
      </c>
      <c r="G19" s="45" t="n"/>
      <c r="H19" s="43">
        <f>IF($G19="","",$E19-$G19)</f>
        <v/>
      </c>
    </row>
    <row r="20">
      <c r="A20" s="42" t="inlineStr">
        <is>
          <t>1771</t>
        </is>
      </c>
      <c r="B20" s="42" t="inlineStr">
        <is>
          <t>Integration - Training</t>
        </is>
      </c>
      <c r="C20" s="43">
        <f>SUMIFS(tbl_WIP[Amount],tbl_WIP[Job Number],$A20,tbl_WIP[Month],"&lt;&gt;",tbl_WIP[Month],"&lt;"&amp;$C$4)+SUMIF('Deferred Revenue'!$E$6:$E$578,$A20,'Deferred Revenue'!$P$6:$P$578)</f>
        <v/>
      </c>
      <c r="D20" s="43">
        <f>SUMIFS(tbl_WIP[Amount],tbl_WIP[Job Number],$A20,tbl_WIP[Month],$C$4)+SUMIF('Deferred Revenue'!$E$6:$E$578,$A20,'Deferred Revenue'!$Q$6:$Q$578)</f>
        <v/>
      </c>
      <c r="E20" s="43">
        <f>C20+D20</f>
        <v/>
      </c>
      <c r="F20" s="44">
        <f>IF(ROUND(C20,2)+ROUND(D20,2)=0,"","yes")</f>
        <v/>
      </c>
      <c r="G20" s="45" t="n"/>
      <c r="H20" s="43">
        <f>IF($G20="","",$E20-$G20)</f>
        <v/>
      </c>
    </row>
    <row r="21">
      <c r="A21" s="42" t="inlineStr">
        <is>
          <t>1862</t>
        </is>
      </c>
      <c r="B21" s="42" t="inlineStr">
        <is>
          <t>DTTL ADL Onsite</t>
        </is>
      </c>
      <c r="C21" s="43">
        <f>SUMIFS(tbl_WIP[Amount],tbl_WIP[Job Number],$A21,tbl_WIP[Month],"&lt;&gt;",tbl_WIP[Month],"&lt;"&amp;$C$4)+SUMIF('Deferred Revenue'!$E$6:$E$578,$A21,'Deferred Revenue'!$P$6:$P$578)</f>
        <v/>
      </c>
      <c r="D21" s="43">
        <f>SUMIFS(tbl_WIP[Amount],tbl_WIP[Job Number],$A21,tbl_WIP[Month],$C$4)+SUMIF('Deferred Revenue'!$E$6:$E$578,$A21,'Deferred Revenue'!$Q$6:$Q$578)</f>
        <v/>
      </c>
      <c r="E21" s="43">
        <f>C21+D21</f>
        <v/>
      </c>
      <c r="F21" s="44">
        <f>IF(ROUND(C21,2)+ROUND(D21,2)=0,"","yes")</f>
        <v/>
      </c>
      <c r="G21" s="45" t="n"/>
      <c r="H21" s="43">
        <f>IF($G21="","",$E21-$G21)</f>
        <v/>
      </c>
    </row>
    <row r="22">
      <c r="A22" s="42" t="inlineStr">
        <is>
          <t>20250731</t>
        </is>
      </c>
      <c r="B22" s="42" t="inlineStr">
        <is>
          <t>PWC National Pool of Hours</t>
        </is>
      </c>
      <c r="C22" s="43">
        <f>SUMIFS(tbl_WIP[Amount],tbl_WIP[Job Number],$A22,tbl_WIP[Month],"&lt;&gt;",tbl_WIP[Month],"&lt;"&amp;$C$4)+SUMIF('Deferred Revenue'!$E$6:$E$578,$A22,'Deferred Revenue'!$P$6:$P$578)</f>
        <v/>
      </c>
      <c r="D22" s="43">
        <f>SUMIFS(tbl_WIP[Amount],tbl_WIP[Job Number],$A22,tbl_WIP[Month],$C$4)+SUMIF('Deferred Revenue'!$E$6:$E$578,$A22,'Deferred Revenue'!$Q$6:$Q$578)</f>
        <v/>
      </c>
      <c r="E22" s="43">
        <f>C22+D22</f>
        <v/>
      </c>
      <c r="F22" s="44">
        <f>IF(ROUND(C22,2)+ROUND(D22,2)=0,"","yes")</f>
        <v/>
      </c>
      <c r="G22" s="45" t="n"/>
      <c r="H22" s="43">
        <f>IF($G22="","",$E22-$G22)</f>
        <v/>
      </c>
    </row>
    <row r="23">
      <c r="A23" s="42" t="inlineStr">
        <is>
          <t>2026021101</t>
        </is>
      </c>
      <c r="B23" s="42" t="inlineStr">
        <is>
          <t>AusPayNet Quarterly AV Support &amp; Maintenance 2026</t>
        </is>
      </c>
      <c r="C23" s="43">
        <f>SUMIFS(tbl_WIP[Amount],tbl_WIP[Job Number],$A23,tbl_WIP[Month],"&lt;&gt;",tbl_WIP[Month],"&lt;"&amp;$C$4)+SUMIF('Deferred Revenue'!$E$6:$E$578,$A23,'Deferred Revenue'!$P$6:$P$578)</f>
        <v/>
      </c>
      <c r="D23" s="43">
        <f>SUMIFS(tbl_WIP[Amount],tbl_WIP[Job Number],$A23,tbl_WIP[Month],$C$4)+SUMIF('Deferred Revenue'!$E$6:$E$578,$A23,'Deferred Revenue'!$Q$6:$Q$578)</f>
        <v/>
      </c>
      <c r="E23" s="43">
        <f>C23+D23</f>
        <v/>
      </c>
      <c r="F23" s="44">
        <f>IF(ROUND(C23,2)+ROUND(D23,2)=0,"","yes")</f>
        <v/>
      </c>
      <c r="G23" s="45" t="n"/>
      <c r="H23" s="43">
        <f>IF($G23="","",$E23-$G23)</f>
        <v/>
      </c>
    </row>
    <row r="24">
      <c r="A24" s="42" t="inlineStr">
        <is>
          <t>20260801</t>
        </is>
      </c>
      <c r="B24" s="42" t="inlineStr">
        <is>
          <t>CTS Day 2026</t>
        </is>
      </c>
      <c r="C24" s="43">
        <f>SUMIFS(tbl_WIP[Amount],tbl_WIP[Job Number],$A24,tbl_WIP[Month],"&lt;&gt;",tbl_WIP[Month],"&lt;"&amp;$C$4)+SUMIF('Deferred Revenue'!$E$6:$E$578,$A24,'Deferred Revenue'!$P$6:$P$578)</f>
        <v/>
      </c>
      <c r="D24" s="43">
        <f>SUMIFS(tbl_WIP[Amount],tbl_WIP[Job Number],$A24,tbl_WIP[Month],$C$4)+SUMIF('Deferred Revenue'!$E$6:$E$578,$A24,'Deferred Revenue'!$Q$6:$Q$578)</f>
        <v/>
      </c>
      <c r="E24" s="43">
        <f>C24+D24</f>
        <v/>
      </c>
      <c r="F24" s="44">
        <f>IF(ROUND(C24,2)+ROUND(D24,2)=0,"","yes")</f>
        <v/>
      </c>
      <c r="G24" s="45" t="n"/>
      <c r="H24" s="43">
        <f>IF($G24="","",$E24-$G24)</f>
        <v/>
      </c>
    </row>
    <row r="25">
      <c r="A25" s="42" t="inlineStr">
        <is>
          <t>2192</t>
        </is>
      </c>
      <c r="B25" s="42" t="inlineStr">
        <is>
          <t>Bankwest Additional Tech</t>
        </is>
      </c>
      <c r="C25" s="43">
        <f>SUMIFS(tbl_WIP[Amount],tbl_WIP[Job Number],$A25,tbl_WIP[Month],"&lt;&gt;",tbl_WIP[Month],"&lt;"&amp;$C$4)+SUMIF('Deferred Revenue'!$E$6:$E$578,$A25,'Deferred Revenue'!$P$6:$P$578)</f>
        <v/>
      </c>
      <c r="D25" s="43">
        <f>SUMIFS(tbl_WIP[Amount],tbl_WIP[Job Number],$A25,tbl_WIP[Month],$C$4)+SUMIF('Deferred Revenue'!$E$6:$E$578,$A25,'Deferred Revenue'!$Q$6:$Q$578)</f>
        <v/>
      </c>
      <c r="E25" s="43">
        <f>C25+D25</f>
        <v/>
      </c>
      <c r="F25" s="44">
        <f>IF(ROUND(C25,2)+ROUND(D25,2)=0,"","yes")</f>
        <v/>
      </c>
      <c r="G25" s="45" t="n"/>
      <c r="H25" s="43">
        <f>IF($G25="","",$E25-$G25)</f>
        <v/>
      </c>
    </row>
    <row r="26">
      <c r="A26" s="42" t="inlineStr">
        <is>
          <t>2347</t>
        </is>
      </c>
      <c r="B26" s="42" t="inlineStr">
        <is>
          <t>DTTL Dedicated Tech</t>
        </is>
      </c>
      <c r="C26" s="43">
        <f>SUMIFS(tbl_WIP[Amount],tbl_WIP[Job Number],$A26,tbl_WIP[Month],"&lt;&gt;",tbl_WIP[Month],"&lt;"&amp;$C$4)+SUMIF('Deferred Revenue'!$E$6:$E$578,$A26,'Deferred Revenue'!$P$6:$P$578)</f>
        <v/>
      </c>
      <c r="D26" s="43">
        <f>SUMIFS(tbl_WIP[Amount],tbl_WIP[Job Number],$A26,tbl_WIP[Month],$C$4)+SUMIF('Deferred Revenue'!$E$6:$E$578,$A26,'Deferred Revenue'!$Q$6:$Q$578)</f>
        <v/>
      </c>
      <c r="E26" s="43">
        <f>C26+D26</f>
        <v/>
      </c>
      <c r="F26" s="44">
        <f>IF(ROUND(C26,2)+ROUND(D26,2)=0,"","yes")</f>
        <v/>
      </c>
      <c r="G26" s="45" t="n"/>
      <c r="H26" s="43">
        <f>IF($G26="","",$E26-$G26)</f>
        <v/>
      </c>
    </row>
    <row r="27">
      <c r="A27" s="42" t="inlineStr">
        <is>
          <t>2392</t>
        </is>
      </c>
      <c r="B27" s="42" t="inlineStr">
        <is>
          <t>PWC – MEL Technician</t>
        </is>
      </c>
      <c r="C27" s="43">
        <f>SUMIFS(tbl_WIP[Amount],tbl_WIP[Job Number],$A27,tbl_WIP[Month],"&lt;&gt;",tbl_WIP[Month],"&lt;"&amp;$C$4)+SUMIF('Deferred Revenue'!$E$6:$E$578,$A27,'Deferred Revenue'!$P$6:$P$578)</f>
        <v/>
      </c>
      <c r="D27" s="43">
        <f>SUMIFS(tbl_WIP[Amount],tbl_WIP[Job Number],$A27,tbl_WIP[Month],$C$4)+SUMIF('Deferred Revenue'!$E$6:$E$578,$A27,'Deferred Revenue'!$Q$6:$Q$578)</f>
        <v/>
      </c>
      <c r="E27" s="43">
        <f>C27+D27</f>
        <v/>
      </c>
      <c r="F27" s="44">
        <f>IF(ROUND(C27,2)+ROUND(D27,2)=0,"","yes")</f>
        <v/>
      </c>
      <c r="G27" s="45" t="n"/>
      <c r="H27" s="43">
        <f>IF($G27="","",$E27-$G27)</f>
        <v/>
      </c>
    </row>
    <row r="28">
      <c r="A28" s="42" t="inlineStr">
        <is>
          <t>2402</t>
        </is>
      </c>
      <c r="B28" s="42" t="inlineStr">
        <is>
          <t>DTTL SYD FT Tech 1</t>
        </is>
      </c>
      <c r="C28" s="43">
        <f>SUMIFS(tbl_WIP[Amount],tbl_WIP[Job Number],$A28,tbl_WIP[Month],"&lt;&gt;",tbl_WIP[Month],"&lt;"&amp;$C$4)+SUMIF('Deferred Revenue'!$E$6:$E$578,$A28,'Deferred Revenue'!$P$6:$P$578)</f>
        <v/>
      </c>
      <c r="D28" s="43">
        <f>SUMIFS(tbl_WIP[Amount],tbl_WIP[Job Number],$A28,tbl_WIP[Month],$C$4)+SUMIF('Deferred Revenue'!$E$6:$E$578,$A28,'Deferred Revenue'!$Q$6:$Q$578)</f>
        <v/>
      </c>
      <c r="E28" s="43">
        <f>C28+D28</f>
        <v/>
      </c>
      <c r="F28" s="44">
        <f>IF(ROUND(C28,2)+ROUND(D28,2)=0,"","yes")</f>
        <v/>
      </c>
      <c r="G28" s="45" t="n"/>
      <c r="H28" s="43">
        <f>IF($G28="","",$E28-$G28)</f>
        <v/>
      </c>
    </row>
    <row r="29">
      <c r="A29" s="42" t="inlineStr">
        <is>
          <t>2407312</t>
        </is>
      </c>
      <c r="B29" s="42" t="inlineStr">
        <is>
          <t>Hills Performance Centre</t>
        </is>
      </c>
      <c r="C29" s="43">
        <f>SUMIFS(tbl_WIP[Amount],tbl_WIP[Job Number],$A29,tbl_WIP[Month],"&lt;&gt;",tbl_WIP[Month],"&lt;"&amp;$C$4)+SUMIF('Deferred Revenue'!$E$6:$E$578,$A29,'Deferred Revenue'!$P$6:$P$578)</f>
        <v/>
      </c>
      <c r="D29" s="43">
        <f>SUMIFS(tbl_WIP[Amount],tbl_WIP[Job Number],$A29,tbl_WIP[Month],$C$4)+SUMIF('Deferred Revenue'!$E$6:$E$578,$A29,'Deferred Revenue'!$Q$6:$Q$578)</f>
        <v/>
      </c>
      <c r="E29" s="43">
        <f>C29+D29</f>
        <v/>
      </c>
      <c r="F29" s="44">
        <f>IF(ROUND(C29,2)+ROUND(D29,2)=0,"","yes")</f>
        <v/>
      </c>
      <c r="G29" s="45" t="n"/>
      <c r="H29" s="43">
        <f>IF($G29="","",$E29-$G29)</f>
        <v/>
      </c>
    </row>
    <row r="30">
      <c r="A30" s="42" t="inlineStr">
        <is>
          <t>24102501</t>
        </is>
      </c>
      <c r="B30" s="42" t="inlineStr">
        <is>
          <t>PWC - MEL Tech 12Months</t>
        </is>
      </c>
      <c r="C30" s="43">
        <f>SUMIFS(tbl_WIP[Amount],tbl_WIP[Job Number],$A30,tbl_WIP[Month],"&lt;&gt;",tbl_WIP[Month],"&lt;"&amp;$C$4)+SUMIF('Deferred Revenue'!$E$6:$E$578,$A30,'Deferred Revenue'!$P$6:$P$578)</f>
        <v/>
      </c>
      <c r="D30" s="43">
        <f>SUMIFS(tbl_WIP[Amount],tbl_WIP[Job Number],$A30,tbl_WIP[Month],$C$4)+SUMIF('Deferred Revenue'!$E$6:$E$578,$A30,'Deferred Revenue'!$Q$6:$Q$578)</f>
        <v/>
      </c>
      <c r="E30" s="43">
        <f>C30+D30</f>
        <v/>
      </c>
      <c r="F30" s="44">
        <f>IF(ROUND(C30,2)+ROUND(D30,2)=0,"","yes")</f>
        <v/>
      </c>
      <c r="G30" s="45" t="n"/>
      <c r="H30" s="43">
        <f>IF($G30="","",$E30-$G30)</f>
        <v/>
      </c>
    </row>
    <row r="31">
      <c r="A31" s="42" t="inlineStr">
        <is>
          <t>24121001</t>
        </is>
      </c>
      <c r="B31" s="42" t="inlineStr">
        <is>
          <t>BW PER Studio Equipment Supply</t>
        </is>
      </c>
      <c r="C31" s="43">
        <f>SUMIFS(tbl_WIP[Amount],tbl_WIP[Job Number],$A31,tbl_WIP[Month],"&lt;&gt;",tbl_WIP[Month],"&lt;"&amp;$C$4)+SUMIF('Deferred Revenue'!$E$6:$E$578,$A31,'Deferred Revenue'!$P$6:$P$578)</f>
        <v/>
      </c>
      <c r="D31" s="43">
        <f>SUMIFS(tbl_WIP[Amount],tbl_WIP[Job Number],$A31,tbl_WIP[Month],$C$4)+SUMIF('Deferred Revenue'!$E$6:$E$578,$A31,'Deferred Revenue'!$Q$6:$Q$578)</f>
        <v/>
      </c>
      <c r="E31" s="43">
        <f>C31+D31</f>
        <v/>
      </c>
      <c r="F31" s="44">
        <f>IF(ROUND(C31,2)+ROUND(D31,2)=0,"","yes")</f>
        <v/>
      </c>
      <c r="G31" s="45" t="n"/>
      <c r="H31" s="43">
        <f>IF($G31="","",$E31-$G31)</f>
        <v/>
      </c>
    </row>
    <row r="32">
      <c r="A32" s="42" t="inlineStr">
        <is>
          <t>2479</t>
        </is>
      </c>
      <c r="B32" s="42" t="inlineStr">
        <is>
          <t>CONSULTING - Quotes</t>
        </is>
      </c>
      <c r="C32" s="43">
        <f>SUMIFS(tbl_WIP[Amount],tbl_WIP[Job Number],$A32,tbl_WIP[Month],"&lt;&gt;",tbl_WIP[Month],"&lt;"&amp;$C$4)+SUMIF('Deferred Revenue'!$E$6:$E$578,$A32,'Deferred Revenue'!$P$6:$P$578)</f>
        <v/>
      </c>
      <c r="D32" s="43">
        <f>SUMIFS(tbl_WIP[Amount],tbl_WIP[Job Number],$A32,tbl_WIP[Month],$C$4)+SUMIF('Deferred Revenue'!$E$6:$E$578,$A32,'Deferred Revenue'!$Q$6:$Q$578)</f>
        <v/>
      </c>
      <c r="E32" s="43">
        <f>C32+D32</f>
        <v/>
      </c>
      <c r="F32" s="44">
        <f>IF(ROUND(C32,2)+ROUND(D32,2)=0,"","yes")</f>
        <v/>
      </c>
      <c r="G32" s="45" t="n"/>
      <c r="H32" s="43">
        <f>IF($G32="","",$E32-$G32)</f>
        <v/>
      </c>
    </row>
    <row r="33">
      <c r="A33" s="42" t="inlineStr">
        <is>
          <t>2480</t>
        </is>
      </c>
      <c r="B33" s="42" t="inlineStr">
        <is>
          <t>ONSITE - Quotes</t>
        </is>
      </c>
      <c r="C33" s="43">
        <f>SUMIFS(tbl_WIP[Amount],tbl_WIP[Job Number],$A33,tbl_WIP[Month],"&lt;&gt;",tbl_WIP[Month],"&lt;"&amp;$C$4)+SUMIF('Deferred Revenue'!$E$6:$E$578,$A33,'Deferred Revenue'!$P$6:$P$578)</f>
        <v/>
      </c>
      <c r="D33" s="43">
        <f>SUMIFS(tbl_WIP[Amount],tbl_WIP[Job Number],$A33,tbl_WIP[Month],$C$4)+SUMIF('Deferred Revenue'!$E$6:$E$578,$A33,'Deferred Revenue'!$Q$6:$Q$578)</f>
        <v/>
      </c>
      <c r="E33" s="43">
        <f>C33+D33</f>
        <v/>
      </c>
      <c r="F33" s="44">
        <f>IF(ROUND(C33,2)+ROUND(D33,2)=0,"","yes")</f>
        <v/>
      </c>
      <c r="G33" s="45" t="n"/>
      <c r="H33" s="43">
        <f>IF($G33="","",$E33-$G33)</f>
        <v/>
      </c>
    </row>
    <row r="34">
      <c r="A34" s="42" t="inlineStr">
        <is>
          <t>2481</t>
        </is>
      </c>
      <c r="B34" s="42" t="inlineStr">
        <is>
          <t>Production - Quotes</t>
        </is>
      </c>
      <c r="C34" s="43">
        <f>SUMIFS(tbl_WIP[Amount],tbl_WIP[Job Number],$A34,tbl_WIP[Month],"&lt;&gt;",tbl_WIP[Month],"&lt;"&amp;$C$4)+SUMIF('Deferred Revenue'!$E$6:$E$578,$A34,'Deferred Revenue'!$P$6:$P$578)</f>
        <v/>
      </c>
      <c r="D34" s="43">
        <f>SUMIFS(tbl_WIP[Amount],tbl_WIP[Job Number],$A34,tbl_WIP[Month],$C$4)+SUMIF('Deferred Revenue'!$E$6:$E$578,$A34,'Deferred Revenue'!$Q$6:$Q$578)</f>
        <v/>
      </c>
      <c r="E34" s="43">
        <f>C34+D34</f>
        <v/>
      </c>
      <c r="F34" s="44">
        <f>IF(ROUND(C34,2)+ROUND(D34,2)=0,"","yes")</f>
        <v/>
      </c>
      <c r="G34" s="45" t="n"/>
      <c r="H34" s="43">
        <f>IF($G34="","",$E34-$G34)</f>
        <v/>
      </c>
    </row>
    <row r="35">
      <c r="A35" s="42" t="inlineStr">
        <is>
          <t>2482</t>
        </is>
      </c>
      <c r="B35" s="42" t="inlineStr">
        <is>
          <t>VIDEO - Quotes</t>
        </is>
      </c>
      <c r="C35" s="43">
        <f>SUMIFS(tbl_WIP[Amount],tbl_WIP[Job Number],$A35,tbl_WIP[Month],"&lt;&gt;",tbl_WIP[Month],"&lt;"&amp;$C$4)+SUMIF('Deferred Revenue'!$E$6:$E$578,$A35,'Deferred Revenue'!$P$6:$P$578)</f>
        <v/>
      </c>
      <c r="D35" s="43">
        <f>SUMIFS(tbl_WIP[Amount],tbl_WIP[Job Number],$A35,tbl_WIP[Month],$C$4)+SUMIF('Deferred Revenue'!$E$6:$E$578,$A35,'Deferred Revenue'!$Q$6:$Q$578)</f>
        <v/>
      </c>
      <c r="E35" s="43">
        <f>C35+D35</f>
        <v/>
      </c>
      <c r="F35" s="44">
        <f>IF(ROUND(C35,2)+ROUND(D35,2)=0,"","yes")</f>
        <v/>
      </c>
      <c r="G35" s="45" t="n"/>
      <c r="H35" s="43">
        <f>IF($G35="","",$E35-$G35)</f>
        <v/>
      </c>
    </row>
    <row r="36">
      <c r="A36" s="42" t="inlineStr">
        <is>
          <t>2488</t>
        </is>
      </c>
      <c r="B36" s="42" t="inlineStr">
        <is>
          <t>PWC IT P/T BNE</t>
        </is>
      </c>
      <c r="C36" s="43">
        <f>SUMIFS(tbl_WIP[Amount],tbl_WIP[Job Number],$A36,tbl_WIP[Month],"&lt;&gt;",tbl_WIP[Month],"&lt;"&amp;$C$4)+SUMIF('Deferred Revenue'!$E$6:$E$578,$A36,'Deferred Revenue'!$P$6:$P$578)</f>
        <v/>
      </c>
      <c r="D36" s="43">
        <f>SUMIFS(tbl_WIP[Amount],tbl_WIP[Job Number],$A36,tbl_WIP[Month],$C$4)+SUMIF('Deferred Revenue'!$E$6:$E$578,$A36,'Deferred Revenue'!$Q$6:$Q$578)</f>
        <v/>
      </c>
      <c r="E36" s="43">
        <f>C36+D36</f>
        <v/>
      </c>
      <c r="F36" s="44">
        <f>IF(ROUND(C36,2)+ROUND(D36,2)=0,"","yes")</f>
        <v/>
      </c>
      <c r="G36" s="45" t="n"/>
      <c r="H36" s="43">
        <f>IF($G36="","",$E36-$G36)</f>
        <v/>
      </c>
    </row>
    <row r="37">
      <c r="A37" s="42" t="inlineStr">
        <is>
          <t>25011601</t>
        </is>
      </c>
      <c r="B37" s="42" t="inlineStr">
        <is>
          <t>DTTL Hobart ITS AV Ref</t>
        </is>
      </c>
      <c r="C37" s="43">
        <f>SUMIFS(tbl_WIP[Amount],tbl_WIP[Job Number],$A37,tbl_WIP[Month],"&lt;&gt;",tbl_WIP[Month],"&lt;"&amp;$C$4)+SUMIF('Deferred Revenue'!$E$6:$E$578,$A37,'Deferred Revenue'!$P$6:$P$578)</f>
        <v/>
      </c>
      <c r="D37" s="43">
        <f>SUMIFS(tbl_WIP[Amount],tbl_WIP[Job Number],$A37,tbl_WIP[Month],$C$4)+SUMIF('Deferred Revenue'!$E$6:$E$578,$A37,'Deferred Revenue'!$Q$6:$Q$578)</f>
        <v/>
      </c>
      <c r="E37" s="43">
        <f>C37+D37</f>
        <v/>
      </c>
      <c r="F37" s="44">
        <f>IF(ROUND(C37,2)+ROUND(D37,2)=0,"","yes")</f>
        <v/>
      </c>
      <c r="G37" s="45" t="n"/>
      <c r="H37" s="43">
        <f>IF($G37="","",$E37-$G37)</f>
        <v/>
      </c>
    </row>
    <row r="38">
      <c r="A38" s="42" t="inlineStr">
        <is>
          <t>2501738</t>
        </is>
      </c>
      <c r="B38" s="42" t="inlineStr">
        <is>
          <t>APA HYR25 &amp; FYR25</t>
        </is>
      </c>
      <c r="C38" s="43">
        <f>SUMIFS(tbl_WIP[Amount],tbl_WIP[Job Number],$A38,tbl_WIP[Month],"&lt;&gt;",tbl_WIP[Month],"&lt;"&amp;$C$4)+SUMIF('Deferred Revenue'!$E$6:$E$578,$A38,'Deferred Revenue'!$P$6:$P$578)</f>
        <v/>
      </c>
      <c r="D38" s="43">
        <f>SUMIFS(tbl_WIP[Amount],tbl_WIP[Job Number],$A38,tbl_WIP[Month],$C$4)+SUMIF('Deferred Revenue'!$E$6:$E$578,$A38,'Deferred Revenue'!$Q$6:$Q$578)</f>
        <v/>
      </c>
      <c r="E38" s="43">
        <f>C38+D38</f>
        <v/>
      </c>
      <c r="F38" s="44">
        <f>IF(ROUND(C38,2)+ROUND(D38,2)=0,"","yes")</f>
        <v/>
      </c>
      <c r="G38" s="45" t="n"/>
      <c r="H38" s="43">
        <f>IF($G38="","",$E38-$G38)</f>
        <v/>
      </c>
    </row>
    <row r="39">
      <c r="A39" s="42" t="inlineStr">
        <is>
          <t>2502</t>
        </is>
      </c>
      <c r="B39" s="42" t="inlineStr">
        <is>
          <t>ONS CBA (non-chargeable)</t>
        </is>
      </c>
      <c r="C39" s="43">
        <f>SUMIFS(tbl_WIP[Amount],tbl_WIP[Job Number],$A39,tbl_WIP[Month],"&lt;&gt;",tbl_WIP[Month],"&lt;"&amp;$C$4)+SUMIF('Deferred Revenue'!$E$6:$E$578,$A39,'Deferred Revenue'!$P$6:$P$578)</f>
        <v/>
      </c>
      <c r="D39" s="43">
        <f>SUMIFS(tbl_WIP[Amount],tbl_WIP[Job Number],$A39,tbl_WIP[Month],$C$4)+SUMIF('Deferred Revenue'!$E$6:$E$578,$A39,'Deferred Revenue'!$Q$6:$Q$578)</f>
        <v/>
      </c>
      <c r="E39" s="43">
        <f>C39+D39</f>
        <v/>
      </c>
      <c r="F39" s="44">
        <f>IF(ROUND(C39,2)+ROUND(D39,2)=0,"","yes")</f>
        <v/>
      </c>
      <c r="G39" s="45" t="n"/>
      <c r="H39" s="43">
        <f>IF($G39="","",$E39-$G39)</f>
        <v/>
      </c>
    </row>
    <row r="40">
      <c r="A40" s="42" t="inlineStr">
        <is>
          <t>25021901</t>
        </is>
      </c>
      <c r="B40" s="42" t="inlineStr">
        <is>
          <t>DAFF Technology Standard</t>
        </is>
      </c>
      <c r="C40" s="43">
        <f>SUMIFS(tbl_WIP[Amount],tbl_WIP[Job Number],$A40,tbl_WIP[Month],"&lt;&gt;",tbl_WIP[Month],"&lt;"&amp;$C$4)+SUMIF('Deferred Revenue'!$E$6:$E$578,$A40,'Deferred Revenue'!$P$6:$P$578)</f>
        <v/>
      </c>
      <c r="D40" s="43">
        <f>SUMIFS(tbl_WIP[Amount],tbl_WIP[Job Number],$A40,tbl_WIP[Month],$C$4)+SUMIF('Deferred Revenue'!$E$6:$E$578,$A40,'Deferred Revenue'!$Q$6:$Q$578)</f>
        <v/>
      </c>
      <c r="E40" s="43">
        <f>C40+D40</f>
        <v/>
      </c>
      <c r="F40" s="44">
        <f>IF(ROUND(C40,2)+ROUND(D40,2)=0,"","yes")</f>
        <v/>
      </c>
      <c r="G40" s="45" t="n"/>
      <c r="H40" s="43">
        <f>IF($G40="","",$E40-$G40)</f>
        <v/>
      </c>
    </row>
    <row r="41">
      <c r="A41" s="42" t="inlineStr">
        <is>
          <t>2503</t>
        </is>
      </c>
      <c r="B41" s="42" t="inlineStr">
        <is>
          <t>ONS DTTL (non-chargeable)</t>
        </is>
      </c>
      <c r="C41" s="43">
        <f>SUMIFS(tbl_WIP[Amount],tbl_WIP[Job Number],$A41,tbl_WIP[Month],"&lt;&gt;",tbl_WIP[Month],"&lt;"&amp;$C$4)+SUMIF('Deferred Revenue'!$E$6:$E$578,$A41,'Deferred Revenue'!$P$6:$P$578)</f>
        <v/>
      </c>
      <c r="D41" s="43">
        <f>SUMIFS(tbl_WIP[Amount],tbl_WIP[Job Number],$A41,tbl_WIP[Month],$C$4)+SUMIF('Deferred Revenue'!$E$6:$E$578,$A41,'Deferred Revenue'!$Q$6:$Q$578)</f>
        <v/>
      </c>
      <c r="E41" s="43">
        <f>C41+D41</f>
        <v/>
      </c>
      <c r="F41" s="44">
        <f>IF(ROUND(C41,2)+ROUND(D41,2)=0,"","yes")</f>
        <v/>
      </c>
      <c r="G41" s="45" t="n"/>
      <c r="H41" s="43">
        <f>IF($G41="","",$E41-$G41)</f>
        <v/>
      </c>
    </row>
    <row r="42">
      <c r="A42" s="42" t="inlineStr">
        <is>
          <t>25032701</t>
        </is>
      </c>
      <c r="B42" s="42" t="inlineStr">
        <is>
          <t>St Catherines Chargeable</t>
        </is>
      </c>
      <c r="C42" s="43">
        <f>SUMIFS(tbl_WIP[Amount],tbl_WIP[Job Number],$A42,tbl_WIP[Month],"&lt;&gt;",tbl_WIP[Month],"&lt;"&amp;$C$4)+SUMIF('Deferred Revenue'!$E$6:$E$578,$A42,'Deferred Revenue'!$P$6:$P$578)</f>
        <v/>
      </c>
      <c r="D42" s="43">
        <f>SUMIFS(tbl_WIP[Amount],tbl_WIP[Job Number],$A42,tbl_WIP[Month],$C$4)+SUMIF('Deferred Revenue'!$E$6:$E$578,$A42,'Deferred Revenue'!$Q$6:$Q$578)</f>
        <v/>
      </c>
      <c r="E42" s="43">
        <f>C42+D42</f>
        <v/>
      </c>
      <c r="F42" s="44">
        <f>IF(ROUND(C42,2)+ROUND(D42,2)=0,"","yes")</f>
        <v/>
      </c>
      <c r="G42" s="45" t="n"/>
      <c r="H42" s="43">
        <f>IF($G42="","",$E42-$G42)</f>
        <v/>
      </c>
    </row>
    <row r="43">
      <c r="A43" s="42" t="inlineStr">
        <is>
          <t>25032701NC</t>
        </is>
      </c>
      <c r="B43" s="42" t="inlineStr">
        <is>
          <t>St Catherines Non-Chgble</t>
        </is>
      </c>
      <c r="C43" s="43">
        <f>SUMIFS(tbl_WIP[Amount],tbl_WIP[Job Number],$A43,tbl_WIP[Month],"&lt;&gt;",tbl_WIP[Month],"&lt;"&amp;$C$4)+SUMIF('Deferred Revenue'!$E$6:$E$578,$A43,'Deferred Revenue'!$P$6:$P$578)</f>
        <v/>
      </c>
      <c r="D43" s="43">
        <f>SUMIFS(tbl_WIP[Amount],tbl_WIP[Job Number],$A43,tbl_WIP[Month],$C$4)+SUMIF('Deferred Revenue'!$E$6:$E$578,$A43,'Deferred Revenue'!$Q$6:$Q$578)</f>
        <v/>
      </c>
      <c r="E43" s="43">
        <f>C43+D43</f>
        <v/>
      </c>
      <c r="F43" s="44">
        <f>IF(ROUND(C43,2)+ROUND(D43,2)=0,"","yes")</f>
        <v/>
      </c>
      <c r="G43" s="45" t="n"/>
      <c r="H43" s="43">
        <f>IF($G43="","",$E43-$G43)</f>
        <v/>
      </c>
    </row>
    <row r="44">
      <c r="A44" s="42" t="inlineStr">
        <is>
          <t>2504</t>
        </is>
      </c>
      <c r="B44" s="42" t="inlineStr">
        <is>
          <t>ONS WBC (non-chargeable)</t>
        </is>
      </c>
      <c r="C44" s="43">
        <f>SUMIFS(tbl_WIP[Amount],tbl_WIP[Job Number],$A44,tbl_WIP[Month],"&lt;&gt;",tbl_WIP[Month],"&lt;"&amp;$C$4)+SUMIF('Deferred Revenue'!$E$6:$E$578,$A44,'Deferred Revenue'!$P$6:$P$578)</f>
        <v/>
      </c>
      <c r="D44" s="43">
        <f>SUMIFS(tbl_WIP[Amount],tbl_WIP[Job Number],$A44,tbl_WIP[Month],$C$4)+SUMIF('Deferred Revenue'!$E$6:$E$578,$A44,'Deferred Revenue'!$Q$6:$Q$578)</f>
        <v/>
      </c>
      <c r="E44" s="43">
        <f>C44+D44</f>
        <v/>
      </c>
      <c r="F44" s="44">
        <f>IF(ROUND(C44,2)+ROUND(D44,2)=0,"","yes")</f>
        <v/>
      </c>
      <c r="G44" s="45" t="n"/>
      <c r="H44" s="43">
        <f>IF($G44="","",$E44-$G44)</f>
        <v/>
      </c>
    </row>
    <row r="45">
      <c r="A45" s="42" t="inlineStr">
        <is>
          <t>25041502</t>
        </is>
      </c>
      <c r="B45" s="42" t="inlineStr">
        <is>
          <t>PDNSW DB License Ext</t>
        </is>
      </c>
      <c r="C45" s="43">
        <f>SUMIFS(tbl_WIP[Amount],tbl_WIP[Job Number],$A45,tbl_WIP[Month],"&lt;&gt;",tbl_WIP[Month],"&lt;"&amp;$C$4)+SUMIF('Deferred Revenue'!$E$6:$E$578,$A45,'Deferred Revenue'!$P$6:$P$578)</f>
        <v/>
      </c>
      <c r="D45" s="43">
        <f>SUMIFS(tbl_WIP[Amount],tbl_WIP[Job Number],$A45,tbl_WIP[Month],$C$4)+SUMIF('Deferred Revenue'!$E$6:$E$578,$A45,'Deferred Revenue'!$Q$6:$Q$578)</f>
        <v/>
      </c>
      <c r="E45" s="43">
        <f>C45+D45</f>
        <v/>
      </c>
      <c r="F45" s="44">
        <f>IF(ROUND(C45,2)+ROUND(D45,2)=0,"","yes")</f>
        <v/>
      </c>
      <c r="G45" s="45" t="n"/>
      <c r="H45" s="43">
        <f>IF($G45="","",$E45-$G45)</f>
        <v/>
      </c>
    </row>
    <row r="46">
      <c r="A46" s="42" t="inlineStr">
        <is>
          <t>2505</t>
        </is>
      </c>
      <c r="B46" s="42" t="inlineStr">
        <is>
          <t>ONS PWC (non-chargeable)</t>
        </is>
      </c>
      <c r="C46" s="43">
        <f>SUMIFS(tbl_WIP[Amount],tbl_WIP[Job Number],$A46,tbl_WIP[Month],"&lt;&gt;",tbl_WIP[Month],"&lt;"&amp;$C$4)+SUMIF('Deferred Revenue'!$E$6:$E$578,$A46,'Deferred Revenue'!$P$6:$P$578)</f>
        <v/>
      </c>
      <c r="D46" s="43">
        <f>SUMIFS(tbl_WIP[Amount],tbl_WIP[Job Number],$A46,tbl_WIP[Month],$C$4)+SUMIF('Deferred Revenue'!$E$6:$E$578,$A46,'Deferred Revenue'!$Q$6:$Q$578)</f>
        <v/>
      </c>
      <c r="E46" s="43">
        <f>C46+D46</f>
        <v/>
      </c>
      <c r="F46" s="44">
        <f>IF(ROUND(C46,2)+ROUND(D46,2)=0,"","yes")</f>
        <v/>
      </c>
      <c r="G46" s="45" t="n"/>
      <c r="H46" s="43">
        <f>IF($G46="","",$E46-$G46)</f>
        <v/>
      </c>
    </row>
    <row r="47">
      <c r="A47" s="42" t="inlineStr">
        <is>
          <t>25051302</t>
        </is>
      </c>
      <c r="B47" s="42" t="inlineStr">
        <is>
          <t>NSW Prop Bradfield Desk Booking + Penrith Additional</t>
        </is>
      </c>
      <c r="C47" s="43">
        <f>SUMIFS(tbl_WIP[Amount],tbl_WIP[Job Number],$A47,tbl_WIP[Month],"&lt;&gt;",tbl_WIP[Month],"&lt;"&amp;$C$4)+SUMIF('Deferred Revenue'!$E$6:$E$578,$A47,'Deferred Revenue'!$P$6:$P$578)</f>
        <v/>
      </c>
      <c r="D47" s="43">
        <f>SUMIFS(tbl_WIP[Amount],tbl_WIP[Job Number],$A47,tbl_WIP[Month],$C$4)+SUMIF('Deferred Revenue'!$E$6:$E$578,$A47,'Deferred Revenue'!$Q$6:$Q$578)</f>
        <v/>
      </c>
      <c r="E47" s="43">
        <f>C47+D47</f>
        <v/>
      </c>
      <c r="F47" s="44">
        <f>IF(ROUND(C47,2)+ROUND(D47,2)=0,"","yes")</f>
        <v/>
      </c>
      <c r="G47" s="45" t="n"/>
      <c r="H47" s="43">
        <f>IF($G47="","",$E47-$G47)</f>
        <v/>
      </c>
    </row>
    <row r="48">
      <c r="A48" s="42" t="inlineStr">
        <is>
          <t>25051403</t>
        </is>
      </c>
      <c r="B48" s="42" t="inlineStr">
        <is>
          <t>DTTL SYD Tech Supp TMT AP</t>
        </is>
      </c>
      <c r="C48" s="43">
        <f>SUMIFS(tbl_WIP[Amount],tbl_WIP[Job Number],$A48,tbl_WIP[Month],"&lt;&gt;",tbl_WIP[Month],"&lt;"&amp;$C$4)+SUMIF('Deferred Revenue'!$E$6:$E$578,$A48,'Deferred Revenue'!$P$6:$P$578)</f>
        <v/>
      </c>
      <c r="D48" s="43">
        <f>SUMIFS(tbl_WIP[Amount],tbl_WIP[Job Number],$A48,tbl_WIP[Month],$C$4)+SUMIF('Deferred Revenue'!$E$6:$E$578,$A48,'Deferred Revenue'!$Q$6:$Q$578)</f>
        <v/>
      </c>
      <c r="E48" s="43">
        <f>C48+D48</f>
        <v/>
      </c>
      <c r="F48" s="44">
        <f>IF(ROUND(C48,2)+ROUND(D48,2)=0,"","yes")</f>
        <v/>
      </c>
      <c r="G48" s="45" t="n"/>
      <c r="H48" s="43">
        <f>IF($G48="","",$E48-$G48)</f>
        <v/>
      </c>
    </row>
    <row r="49">
      <c r="A49" s="42" t="inlineStr">
        <is>
          <t>25052802</t>
        </is>
      </c>
      <c r="B49" s="42" t="inlineStr">
        <is>
          <t>Aus Retirement Trust Members Meeting 2025</t>
        </is>
      </c>
      <c r="C49" s="43">
        <f>SUMIFS(tbl_WIP[Amount],tbl_WIP[Job Number],$A49,tbl_WIP[Month],"&lt;&gt;",tbl_WIP[Month],"&lt;"&amp;$C$4)+SUMIF('Deferred Revenue'!$E$6:$E$578,$A49,'Deferred Revenue'!$P$6:$P$578)</f>
        <v/>
      </c>
      <c r="D49" s="43">
        <f>SUMIFS(tbl_WIP[Amount],tbl_WIP[Job Number],$A49,tbl_WIP[Month],$C$4)+SUMIF('Deferred Revenue'!$E$6:$E$578,$A49,'Deferred Revenue'!$Q$6:$Q$578)</f>
        <v/>
      </c>
      <c r="E49" s="43">
        <f>C49+D49</f>
        <v/>
      </c>
      <c r="F49" s="44">
        <f>IF(ROUND(C49,2)+ROUND(D49,2)=0,"","yes")</f>
        <v/>
      </c>
      <c r="G49" s="45" t="n"/>
      <c r="H49" s="43">
        <f>IF($G49="","",$E49-$G49)</f>
        <v/>
      </c>
    </row>
    <row r="50">
      <c r="A50" s="42" t="inlineStr">
        <is>
          <t>2505901</t>
        </is>
      </c>
      <c r="B50" s="42" t="inlineStr">
        <is>
          <t>COS Projector Lens Supply</t>
        </is>
      </c>
      <c r="C50" s="43">
        <f>SUMIFS(tbl_WIP[Amount],tbl_WIP[Job Number],$A50,tbl_WIP[Month],"&lt;&gt;",tbl_WIP[Month],"&lt;"&amp;$C$4)+SUMIF('Deferred Revenue'!$E$6:$E$578,$A50,'Deferred Revenue'!$P$6:$P$578)</f>
        <v/>
      </c>
      <c r="D50" s="43">
        <f>SUMIFS(tbl_WIP[Amount],tbl_WIP[Job Number],$A50,tbl_WIP[Month],$C$4)+SUMIF('Deferred Revenue'!$E$6:$E$578,$A50,'Deferred Revenue'!$Q$6:$Q$578)</f>
        <v/>
      </c>
      <c r="E50" s="43">
        <f>C50+D50</f>
        <v/>
      </c>
      <c r="F50" s="44">
        <f>IF(ROUND(C50,2)+ROUND(D50,2)=0,"","yes")</f>
        <v/>
      </c>
      <c r="G50" s="45" t="n"/>
      <c r="H50" s="43">
        <f>IF($G50="","",$E50-$G50)</f>
        <v/>
      </c>
    </row>
    <row r="51">
      <c r="A51" s="42" t="inlineStr">
        <is>
          <t>2506</t>
        </is>
      </c>
      <c r="B51" s="42" t="inlineStr">
        <is>
          <t>ONS BWEST (non-chargeable)</t>
        </is>
      </c>
      <c r="C51" s="43">
        <f>SUMIFS(tbl_WIP[Amount],tbl_WIP[Job Number],$A51,tbl_WIP[Month],"&lt;&gt;",tbl_WIP[Month],"&lt;"&amp;$C$4)+SUMIF('Deferred Revenue'!$E$6:$E$578,$A51,'Deferred Revenue'!$P$6:$P$578)</f>
        <v/>
      </c>
      <c r="D51" s="43">
        <f>SUMIFS(tbl_WIP[Amount],tbl_WIP[Job Number],$A51,tbl_WIP[Month],$C$4)+SUMIF('Deferred Revenue'!$E$6:$E$578,$A51,'Deferred Revenue'!$Q$6:$Q$578)</f>
        <v/>
      </c>
      <c r="E51" s="43">
        <f>C51+D51</f>
        <v/>
      </c>
      <c r="F51" s="44">
        <f>IF(ROUND(C51,2)+ROUND(D51,2)=0,"","yes")</f>
        <v/>
      </c>
      <c r="G51" s="45" t="n"/>
      <c r="H51" s="43">
        <f>IF($G51="","",$E51-$G51)</f>
        <v/>
      </c>
    </row>
    <row r="52">
      <c r="A52" s="42" t="inlineStr">
        <is>
          <t>25060301</t>
        </is>
      </c>
      <c r="B52" s="42" t="inlineStr">
        <is>
          <t>6PSQ L12 Desk Booking</t>
        </is>
      </c>
      <c r="C52" s="43">
        <f>SUMIFS(tbl_WIP[Amount],tbl_WIP[Job Number],$A52,tbl_WIP[Month],"&lt;&gt;",tbl_WIP[Month],"&lt;"&amp;$C$4)+SUMIF('Deferred Revenue'!$E$6:$E$578,$A52,'Deferred Revenue'!$P$6:$P$578)</f>
        <v/>
      </c>
      <c r="D52" s="43">
        <f>SUMIFS(tbl_WIP[Amount],tbl_WIP[Job Number],$A52,tbl_WIP[Month],$C$4)+SUMIF('Deferred Revenue'!$E$6:$E$578,$A52,'Deferred Revenue'!$Q$6:$Q$578)</f>
        <v/>
      </c>
      <c r="E52" s="43">
        <f>C52+D52</f>
        <v/>
      </c>
      <c r="F52" s="44">
        <f>IF(ROUND(C52,2)+ROUND(D52,2)=0,"","yes")</f>
        <v/>
      </c>
      <c r="G52" s="45" t="n"/>
      <c r="H52" s="43">
        <f>IF($G52="","",$E52-$G52)</f>
        <v/>
      </c>
    </row>
    <row r="53">
      <c r="A53" s="42" t="inlineStr">
        <is>
          <t>25060307</t>
        </is>
      </c>
      <c r="B53" s="42" t="inlineStr">
        <is>
          <t>DPIE Molesworth St D/B</t>
        </is>
      </c>
      <c r="C53" s="43">
        <f>SUMIFS(tbl_WIP[Amount],tbl_WIP[Job Number],$A53,tbl_WIP[Month],"&lt;&gt;",tbl_WIP[Month],"&lt;"&amp;$C$4)+SUMIF('Deferred Revenue'!$E$6:$E$578,$A53,'Deferred Revenue'!$P$6:$P$578)</f>
        <v/>
      </c>
      <c r="D53" s="43">
        <f>SUMIFS(tbl_WIP[Amount],tbl_WIP[Job Number],$A53,tbl_WIP[Month],$C$4)+SUMIF('Deferred Revenue'!$E$6:$E$578,$A53,'Deferred Revenue'!$Q$6:$Q$578)</f>
        <v/>
      </c>
      <c r="E53" s="43">
        <f>C53+D53</f>
        <v/>
      </c>
      <c r="F53" s="44">
        <f>IF(ROUND(C53,2)+ROUND(D53,2)=0,"","yes")</f>
        <v/>
      </c>
      <c r="G53" s="45" t="n"/>
      <c r="H53" s="43">
        <f>IF($G53="","",$E53-$G53)</f>
        <v/>
      </c>
    </row>
    <row r="54">
      <c r="A54" s="42" t="inlineStr">
        <is>
          <t>2506208</t>
        </is>
      </c>
      <c r="B54" s="42" t="inlineStr">
        <is>
          <t>CBA AGM 2026</t>
        </is>
      </c>
      <c r="C54" s="43">
        <f>SUMIFS(tbl_WIP[Amount],tbl_WIP[Job Number],$A54,tbl_WIP[Month],"&lt;&gt;",tbl_WIP[Month],"&lt;"&amp;$C$4)+SUMIF('Deferred Revenue'!$E$6:$E$578,$A54,'Deferred Revenue'!$P$6:$P$578)</f>
        <v/>
      </c>
      <c r="D54" s="43">
        <f>SUMIFS(tbl_WIP[Amount],tbl_WIP[Job Number],$A54,tbl_WIP[Month],$C$4)+SUMIF('Deferred Revenue'!$E$6:$E$578,$A54,'Deferred Revenue'!$Q$6:$Q$578)</f>
        <v/>
      </c>
      <c r="E54" s="43">
        <f>C54+D54</f>
        <v/>
      </c>
      <c r="F54" s="44">
        <f>IF(ROUND(C54,2)+ROUND(D54,2)=0,"","yes")</f>
        <v/>
      </c>
      <c r="G54" s="45" t="n"/>
      <c r="H54" s="43">
        <f>IF($G54="","",$E54-$G54)</f>
        <v/>
      </c>
    </row>
    <row r="55">
      <c r="A55" s="42" t="inlineStr">
        <is>
          <t>2506208V</t>
        </is>
      </c>
      <c r="B55" s="42" t="inlineStr">
        <is>
          <t>CBA AGM 2026</t>
        </is>
      </c>
      <c r="C55" s="43">
        <f>SUMIFS(tbl_WIP[Amount],tbl_WIP[Job Number],$A55,tbl_WIP[Month],"&lt;&gt;",tbl_WIP[Month],"&lt;"&amp;$C$4)+SUMIF('Deferred Revenue'!$E$6:$E$578,$A55,'Deferred Revenue'!$P$6:$P$578)</f>
        <v/>
      </c>
      <c r="D55" s="43">
        <f>SUMIFS(tbl_WIP[Amount],tbl_WIP[Job Number],$A55,tbl_WIP[Month],$C$4)+SUMIF('Deferred Revenue'!$E$6:$E$578,$A55,'Deferred Revenue'!$Q$6:$Q$578)</f>
        <v/>
      </c>
      <c r="E55" s="43">
        <f>C55+D55</f>
        <v/>
      </c>
      <c r="F55" s="44">
        <f>IF(ROUND(C55,2)+ROUND(D55,2)=0,"","yes")</f>
        <v/>
      </c>
      <c r="G55" s="45" t="n"/>
      <c r="H55" s="43">
        <f>IF($G55="","",$E55-$G55)</f>
        <v/>
      </c>
    </row>
    <row r="56">
      <c r="A56" s="42" t="inlineStr">
        <is>
          <t>25063001V</t>
        </is>
      </c>
      <c r="B56" s="42" t="inlineStr">
        <is>
          <t>APA All Hands Staff</t>
        </is>
      </c>
      <c r="C56" s="43">
        <f>SUMIFS(tbl_WIP[Amount],tbl_WIP[Job Number],$A56,tbl_WIP[Month],"&lt;&gt;",tbl_WIP[Month],"&lt;"&amp;$C$4)+SUMIF('Deferred Revenue'!$E$6:$E$578,$A56,'Deferred Revenue'!$P$6:$P$578)</f>
        <v/>
      </c>
      <c r="D56" s="43">
        <f>SUMIFS(tbl_WIP[Amount],tbl_WIP[Job Number],$A56,tbl_WIP[Month],$C$4)+SUMIF('Deferred Revenue'!$E$6:$E$578,$A56,'Deferred Revenue'!$Q$6:$Q$578)</f>
        <v/>
      </c>
      <c r="E56" s="43">
        <f>C56+D56</f>
        <v/>
      </c>
      <c r="F56" s="44">
        <f>IF(ROUND(C56,2)+ROUND(D56,2)=0,"","yes")</f>
        <v/>
      </c>
      <c r="G56" s="45" t="n"/>
      <c r="H56" s="43">
        <f>IF($G56="","",$E56-$G56)</f>
        <v/>
      </c>
    </row>
    <row r="57">
      <c r="A57" s="42" t="inlineStr">
        <is>
          <t>25070702</t>
        </is>
      </c>
      <c r="B57" s="42" t="inlineStr">
        <is>
          <t>APA VMS Brisbane &amp; Darwin</t>
        </is>
      </c>
      <c r="C57" s="43">
        <f>SUMIFS(tbl_WIP[Amount],tbl_WIP[Job Number],$A57,tbl_WIP[Month],"&lt;&gt;",tbl_WIP[Month],"&lt;"&amp;$C$4)+SUMIF('Deferred Revenue'!$E$6:$E$578,$A57,'Deferred Revenue'!$P$6:$P$578)</f>
        <v/>
      </c>
      <c r="D57" s="43">
        <f>SUMIFS(tbl_WIP[Amount],tbl_WIP[Job Number],$A57,tbl_WIP[Month],$C$4)+SUMIF('Deferred Revenue'!$E$6:$E$578,$A57,'Deferred Revenue'!$Q$6:$Q$578)</f>
        <v/>
      </c>
      <c r="E57" s="43">
        <f>C57+D57</f>
        <v/>
      </c>
      <c r="F57" s="44">
        <f>IF(ROUND(C57,2)+ROUND(D57,2)=0,"","yes")</f>
        <v/>
      </c>
      <c r="G57" s="45" t="n"/>
      <c r="H57" s="43">
        <f>IF($G57="","",$E57-$G57)</f>
        <v/>
      </c>
    </row>
    <row r="58">
      <c r="A58" s="42" t="inlineStr">
        <is>
          <t>2507203</t>
        </is>
      </c>
      <c r="B58" s="42" t="inlineStr">
        <is>
          <t>Hills Grammar Airmedia Supply</t>
        </is>
      </c>
      <c r="C58" s="43">
        <f>SUMIFS(tbl_WIP[Amount],tbl_WIP[Job Number],$A58,tbl_WIP[Month],"&lt;&gt;",tbl_WIP[Month],"&lt;"&amp;$C$4)+SUMIF('Deferred Revenue'!$E$6:$E$578,$A58,'Deferred Revenue'!$P$6:$P$578)</f>
        <v/>
      </c>
      <c r="D58" s="43">
        <f>SUMIFS(tbl_WIP[Amount],tbl_WIP[Job Number],$A58,tbl_WIP[Month],$C$4)+SUMIF('Deferred Revenue'!$E$6:$E$578,$A58,'Deferred Revenue'!$Q$6:$Q$578)</f>
        <v/>
      </c>
      <c r="E58" s="43">
        <f>C58+D58</f>
        <v/>
      </c>
      <c r="F58" s="44">
        <f>IF(ROUND(C58,2)+ROUND(D58,2)=0,"","yes")</f>
        <v/>
      </c>
      <c r="G58" s="45" t="n"/>
      <c r="H58" s="43">
        <f>IF($G58="","",$E58-$G58)</f>
        <v/>
      </c>
    </row>
    <row r="59">
      <c r="A59" s="42" t="inlineStr">
        <is>
          <t>25081402</t>
        </is>
      </c>
      <c r="B59" s="42" t="inlineStr">
        <is>
          <t>Hills Grammar Loan Airmedia Purchase</t>
        </is>
      </c>
      <c r="C59" s="43">
        <f>SUMIFS(tbl_WIP[Amount],tbl_WIP[Job Number],$A59,tbl_WIP[Month],"&lt;&gt;",tbl_WIP[Month],"&lt;"&amp;$C$4)+SUMIF('Deferred Revenue'!$E$6:$E$578,$A59,'Deferred Revenue'!$P$6:$P$578)</f>
        <v/>
      </c>
      <c r="D59" s="43">
        <f>SUMIFS(tbl_WIP[Amount],tbl_WIP[Job Number],$A59,tbl_WIP[Month],$C$4)+SUMIF('Deferred Revenue'!$E$6:$E$578,$A59,'Deferred Revenue'!$Q$6:$Q$578)</f>
        <v/>
      </c>
      <c r="E59" s="43">
        <f>C59+D59</f>
        <v/>
      </c>
      <c r="F59" s="44">
        <f>IF(ROUND(C59,2)+ROUND(D59,2)=0,"","yes")</f>
        <v/>
      </c>
      <c r="G59" s="45" t="n"/>
      <c r="H59" s="43">
        <f>IF($G59="","",$E59-$G59)</f>
        <v/>
      </c>
    </row>
    <row r="60">
      <c r="A60" s="42" t="inlineStr">
        <is>
          <t>25082501</t>
        </is>
      </c>
      <c r="B60" s="42" t="inlineStr">
        <is>
          <t>APA Sydney Tablet Brackets</t>
        </is>
      </c>
      <c r="C60" s="43">
        <f>SUMIFS(tbl_WIP[Amount],tbl_WIP[Job Number],$A60,tbl_WIP[Month],"&lt;&gt;",tbl_WIP[Month],"&lt;"&amp;$C$4)+SUMIF('Deferred Revenue'!$E$6:$E$578,$A60,'Deferred Revenue'!$P$6:$P$578)</f>
        <v/>
      </c>
      <c r="D60" s="43">
        <f>SUMIFS(tbl_WIP[Amount],tbl_WIP[Job Number],$A60,tbl_WIP[Month],$C$4)+SUMIF('Deferred Revenue'!$E$6:$E$578,$A60,'Deferred Revenue'!$Q$6:$Q$578)</f>
        <v/>
      </c>
      <c r="E60" s="43">
        <f>C60+D60</f>
        <v/>
      </c>
      <c r="F60" s="44">
        <f>IF(ROUND(C60,2)+ROUND(D60,2)=0,"","yes")</f>
        <v/>
      </c>
      <c r="G60" s="45" t="n"/>
      <c r="H60" s="43">
        <f>IF($G60="","",$E60-$G60)</f>
        <v/>
      </c>
    </row>
    <row r="61">
      <c r="A61" s="42" t="inlineStr">
        <is>
          <t>25091703</t>
        </is>
      </c>
      <c r="B61" s="42" t="inlineStr">
        <is>
          <t>Scentre Group Marion Superscreen (D10396) Test and Cert</t>
        </is>
      </c>
      <c r="C61" s="43">
        <f>SUMIFS(tbl_WIP[Amount],tbl_WIP[Job Number],$A61,tbl_WIP[Month],"&lt;&gt;",tbl_WIP[Month],"&lt;"&amp;$C$4)+SUMIF('Deferred Revenue'!$E$6:$E$578,$A61,'Deferred Revenue'!$P$6:$P$578)</f>
        <v/>
      </c>
      <c r="D61" s="43">
        <f>SUMIFS(tbl_WIP[Amount],tbl_WIP[Job Number],$A61,tbl_WIP[Month],$C$4)+SUMIF('Deferred Revenue'!$E$6:$E$578,$A61,'Deferred Revenue'!$Q$6:$Q$578)</f>
        <v/>
      </c>
      <c r="E61" s="43">
        <f>C61+D61</f>
        <v/>
      </c>
      <c r="F61" s="44">
        <f>IF(ROUND(C61,2)+ROUND(D61,2)=0,"","yes")</f>
        <v/>
      </c>
      <c r="G61" s="45" t="n"/>
      <c r="H61" s="43">
        <f>IF($G61="","",$E61-$G61)</f>
        <v/>
      </c>
    </row>
    <row r="62">
      <c r="A62" s="42" t="inlineStr">
        <is>
          <t>25101301</t>
        </is>
      </c>
      <c r="B62" s="42" t="inlineStr">
        <is>
          <t>PWC IT Support – Melbourne</t>
        </is>
      </c>
      <c r="C62" s="43">
        <f>SUMIFS(tbl_WIP[Amount],tbl_WIP[Job Number],$A62,tbl_WIP[Month],"&lt;&gt;",tbl_WIP[Month],"&lt;"&amp;$C$4)+SUMIF('Deferred Revenue'!$E$6:$E$578,$A62,'Deferred Revenue'!$P$6:$P$578)</f>
        <v/>
      </c>
      <c r="D62" s="43">
        <f>SUMIFS(tbl_WIP[Amount],tbl_WIP[Job Number],$A62,tbl_WIP[Month],$C$4)+SUMIF('Deferred Revenue'!$E$6:$E$578,$A62,'Deferred Revenue'!$Q$6:$Q$578)</f>
        <v/>
      </c>
      <c r="E62" s="43">
        <f>C62+D62</f>
        <v/>
      </c>
      <c r="F62" s="44">
        <f>IF(ROUND(C62,2)+ROUND(D62,2)=0,"","yes")</f>
        <v/>
      </c>
      <c r="G62" s="45" t="n"/>
      <c r="H62" s="43">
        <f>IF($G62="","",$E62-$G62)</f>
        <v/>
      </c>
    </row>
    <row r="63">
      <c r="A63" s="42" t="inlineStr">
        <is>
          <t>25101301B</t>
        </is>
      </c>
      <c r="B63" s="42" t="inlineStr">
        <is>
          <t>PWC IT Support – Sydney</t>
        </is>
      </c>
      <c r="C63" s="43">
        <f>SUMIFS(tbl_WIP[Amount],tbl_WIP[Job Number],$A63,tbl_WIP[Month],"&lt;&gt;",tbl_WIP[Month],"&lt;"&amp;$C$4)+SUMIF('Deferred Revenue'!$E$6:$E$578,$A63,'Deferred Revenue'!$P$6:$P$578)</f>
        <v/>
      </c>
      <c r="D63" s="43">
        <f>SUMIFS(tbl_WIP[Amount],tbl_WIP[Job Number],$A63,tbl_WIP[Month],$C$4)+SUMIF('Deferred Revenue'!$E$6:$E$578,$A63,'Deferred Revenue'!$Q$6:$Q$578)</f>
        <v/>
      </c>
      <c r="E63" s="43">
        <f>C63+D63</f>
        <v/>
      </c>
      <c r="F63" s="44">
        <f>IF(ROUND(C63,2)+ROUND(D63,2)=0,"","yes")</f>
        <v/>
      </c>
      <c r="G63" s="45" t="n"/>
      <c r="H63" s="43">
        <f>IF($G63="","",$E63-$G63)</f>
        <v/>
      </c>
    </row>
    <row r="64">
      <c r="A64" s="42" t="inlineStr">
        <is>
          <t>2510202</t>
        </is>
      </c>
      <c r="B64" s="42" t="inlineStr">
        <is>
          <t>HP Poly Room Assessment</t>
        </is>
      </c>
      <c r="C64" s="43">
        <f>SUMIFS(tbl_WIP[Amount],tbl_WIP[Job Number],$A64,tbl_WIP[Month],"&lt;&gt;",tbl_WIP[Month],"&lt;"&amp;$C$4)+SUMIF('Deferred Revenue'!$E$6:$E$578,$A64,'Deferred Revenue'!$P$6:$P$578)</f>
        <v/>
      </c>
      <c r="D64" s="43">
        <f>SUMIFS(tbl_WIP[Amount],tbl_WIP[Job Number],$A64,tbl_WIP[Month],$C$4)+SUMIF('Deferred Revenue'!$E$6:$E$578,$A64,'Deferred Revenue'!$Q$6:$Q$578)</f>
        <v/>
      </c>
      <c r="E64" s="43">
        <f>C64+D64</f>
        <v/>
      </c>
      <c r="F64" s="44">
        <f>IF(ROUND(C64,2)+ROUND(D64,2)=0,"","yes")</f>
        <v/>
      </c>
      <c r="G64" s="45" t="n"/>
      <c r="H64" s="43">
        <f>IF($G64="","",$E64-$G64)</f>
        <v/>
      </c>
    </row>
    <row r="65">
      <c r="A65" s="42" t="inlineStr">
        <is>
          <t>2510205</t>
        </is>
      </c>
      <c r="B65" s="42" t="inlineStr">
        <is>
          <t>NSW Property RGB Desk Booking</t>
        </is>
      </c>
      <c r="C65" s="43">
        <f>SUMIFS(tbl_WIP[Amount],tbl_WIP[Job Number],$A65,tbl_WIP[Month],"&lt;&gt;",tbl_WIP[Month],"&lt;"&amp;$C$4)+SUMIF('Deferred Revenue'!$E$6:$E$578,$A65,'Deferred Revenue'!$P$6:$P$578)</f>
        <v/>
      </c>
      <c r="D65" s="43">
        <f>SUMIFS(tbl_WIP[Amount],tbl_WIP[Job Number],$A65,tbl_WIP[Month],$C$4)+SUMIF('Deferred Revenue'!$E$6:$E$578,$A65,'Deferred Revenue'!$Q$6:$Q$578)</f>
        <v/>
      </c>
      <c r="E65" s="43">
        <f>C65+D65</f>
        <v/>
      </c>
      <c r="F65" s="44">
        <f>IF(ROUND(C65,2)+ROUND(D65,2)=0,"","yes")</f>
        <v/>
      </c>
      <c r="G65" s="45" t="n"/>
      <c r="H65" s="43">
        <f>IF($G65="","",$E65-$G65)</f>
        <v/>
      </c>
    </row>
    <row r="66">
      <c r="A66" s="42" t="inlineStr">
        <is>
          <t>2510210</t>
        </is>
      </c>
      <c r="B66" s="42" t="inlineStr">
        <is>
          <t>Scentre Group Westfield Bondi Screen Tests</t>
        </is>
      </c>
      <c r="C66" s="43">
        <f>SUMIFS(tbl_WIP[Amount],tbl_WIP[Job Number],$A66,tbl_WIP[Month],"&lt;&gt;",tbl_WIP[Month],"&lt;"&amp;$C$4)+SUMIF('Deferred Revenue'!$E$6:$E$578,$A66,'Deferred Revenue'!$P$6:$P$578)</f>
        <v/>
      </c>
      <c r="D66" s="43">
        <f>SUMIFS(tbl_WIP[Amount],tbl_WIP[Job Number],$A66,tbl_WIP[Month],$C$4)+SUMIF('Deferred Revenue'!$E$6:$E$578,$A66,'Deferred Revenue'!$Q$6:$Q$578)</f>
        <v/>
      </c>
      <c r="E66" s="43">
        <f>C66+D66</f>
        <v/>
      </c>
      <c r="F66" s="44">
        <f>IF(ROUND(C66,2)+ROUND(D66,2)=0,"","yes")</f>
        <v/>
      </c>
      <c r="G66" s="45" t="n"/>
      <c r="H66" s="43">
        <f>IF($G66="","",$E66-$G66)</f>
        <v/>
      </c>
    </row>
    <row r="67">
      <c r="A67" s="42" t="inlineStr">
        <is>
          <t>25102701</t>
        </is>
      </c>
      <c r="B67" s="42" t="inlineStr">
        <is>
          <t>DEWR - Studio Upgrade - Consulting, Design</t>
        </is>
      </c>
      <c r="C67" s="43">
        <f>SUMIFS(tbl_WIP[Amount],tbl_WIP[Job Number],$A67,tbl_WIP[Month],"&lt;&gt;",tbl_WIP[Month],"&lt;"&amp;$C$4)+SUMIF('Deferred Revenue'!$E$6:$E$578,$A67,'Deferred Revenue'!$P$6:$P$578)</f>
        <v/>
      </c>
      <c r="D67" s="43">
        <f>SUMIFS(tbl_WIP[Amount],tbl_WIP[Job Number],$A67,tbl_WIP[Month],$C$4)+SUMIF('Deferred Revenue'!$E$6:$E$578,$A67,'Deferred Revenue'!$Q$6:$Q$578)</f>
        <v/>
      </c>
      <c r="E67" s="43">
        <f>C67+D67</f>
        <v/>
      </c>
      <c r="F67" s="44">
        <f>IF(ROUND(C67,2)+ROUND(D67,2)=0,"","yes")</f>
        <v/>
      </c>
      <c r="G67" s="45" t="n"/>
      <c r="H67" s="43">
        <f>IF($G67="","",$E67-$G67)</f>
        <v/>
      </c>
    </row>
    <row r="68">
      <c r="A68" s="42" t="inlineStr">
        <is>
          <t>25102801</t>
        </is>
      </c>
      <c r="B68" s="42" t="inlineStr">
        <is>
          <t>DTTL SYD QQT Additional Mics Install in L45 Seminar Space</t>
        </is>
      </c>
      <c r="C68" s="43">
        <f>SUMIFS(tbl_WIP[Amount],tbl_WIP[Job Number],$A68,tbl_WIP[Month],"&lt;&gt;",tbl_WIP[Month],"&lt;"&amp;$C$4)+SUMIF('Deferred Revenue'!$E$6:$E$578,$A68,'Deferred Revenue'!$P$6:$P$578)</f>
        <v/>
      </c>
      <c r="D68" s="43">
        <f>SUMIFS(tbl_WIP[Amount],tbl_WIP[Job Number],$A68,tbl_WIP[Month],$C$4)+SUMIF('Deferred Revenue'!$E$6:$E$578,$A68,'Deferred Revenue'!$Q$6:$Q$578)</f>
        <v/>
      </c>
      <c r="E68" s="43">
        <f>C68+D68</f>
        <v/>
      </c>
      <c r="F68" s="44">
        <f>IF(ROUND(C68,2)+ROUND(D68,2)=0,"","yes")</f>
        <v/>
      </c>
      <c r="G68" s="45" t="n"/>
      <c r="H68" s="43">
        <f>IF($G68="","",$E68-$G68)</f>
        <v/>
      </c>
    </row>
    <row r="69">
      <c r="A69" s="42" t="inlineStr">
        <is>
          <t>25102802</t>
        </is>
      </c>
      <c r="B69" s="42" t="inlineStr">
        <is>
          <t>Novigi Meeting Space Inspection</t>
        </is>
      </c>
      <c r="C69" s="43">
        <f>SUMIFS(tbl_WIP[Amount],tbl_WIP[Job Number],$A69,tbl_WIP[Month],"&lt;&gt;",tbl_WIP[Month],"&lt;"&amp;$C$4)+SUMIF('Deferred Revenue'!$E$6:$E$578,$A69,'Deferred Revenue'!$P$6:$P$578)</f>
        <v/>
      </c>
      <c r="D69" s="43">
        <f>SUMIFS(tbl_WIP[Amount],tbl_WIP[Job Number],$A69,tbl_WIP[Month],$C$4)+SUMIF('Deferred Revenue'!$E$6:$E$578,$A69,'Deferred Revenue'!$Q$6:$Q$578)</f>
        <v/>
      </c>
      <c r="E69" s="43">
        <f>C69+D69</f>
        <v/>
      </c>
      <c r="F69" s="44">
        <f>IF(ROUND(C69,2)+ROUND(D69,2)=0,"","yes")</f>
        <v/>
      </c>
      <c r="G69" s="45" t="n"/>
      <c r="H69" s="43">
        <f>IF($G69="","",$E69-$G69)</f>
        <v/>
      </c>
    </row>
    <row r="70">
      <c r="A70" s="42" t="inlineStr">
        <is>
          <t>2510804</t>
        </is>
      </c>
      <c r="B70" s="42" t="inlineStr">
        <is>
          <t>CommSecurity Presynct QLD Desk Booking</t>
        </is>
      </c>
      <c r="C70" s="43">
        <f>SUMIFS(tbl_WIP[Amount],tbl_WIP[Job Number],$A70,tbl_WIP[Month],"&lt;&gt;",tbl_WIP[Month],"&lt;"&amp;$C$4)+SUMIF('Deferred Revenue'!$E$6:$E$578,$A70,'Deferred Revenue'!$P$6:$P$578)</f>
        <v/>
      </c>
      <c r="D70" s="43">
        <f>SUMIFS(tbl_WIP[Amount],tbl_WIP[Job Number],$A70,tbl_WIP[Month],$C$4)+SUMIF('Deferred Revenue'!$E$6:$E$578,$A70,'Deferred Revenue'!$Q$6:$Q$578)</f>
        <v/>
      </c>
      <c r="E70" s="43">
        <f>C70+D70</f>
        <v/>
      </c>
      <c r="F70" s="44">
        <f>IF(ROUND(C70,2)+ROUND(D70,2)=0,"","yes")</f>
        <v/>
      </c>
      <c r="G70" s="45" t="n"/>
      <c r="H70" s="43">
        <f>IF($G70="","",$E70-$G70)</f>
        <v/>
      </c>
    </row>
    <row r="71">
      <c r="A71" s="42" t="inlineStr">
        <is>
          <t>2510805</t>
        </is>
      </c>
      <c r="B71" s="42" t="inlineStr">
        <is>
          <t>PNSW Reconstruction Authority Newcastle</t>
        </is>
      </c>
      <c r="C71" s="43">
        <f>SUMIFS(tbl_WIP[Amount],tbl_WIP[Job Number],$A71,tbl_WIP[Month],"&lt;&gt;",tbl_WIP[Month],"&lt;"&amp;$C$4)+SUMIF('Deferred Revenue'!$E$6:$E$578,$A71,'Deferred Revenue'!$P$6:$P$578)</f>
        <v/>
      </c>
      <c r="D71" s="43">
        <f>SUMIFS(tbl_WIP[Amount],tbl_WIP[Job Number],$A71,tbl_WIP[Month],$C$4)+SUMIF('Deferred Revenue'!$E$6:$E$578,$A71,'Deferred Revenue'!$Q$6:$Q$578)</f>
        <v/>
      </c>
      <c r="E71" s="43">
        <f>C71+D71</f>
        <v/>
      </c>
      <c r="F71" s="44">
        <f>IF(ROUND(C71,2)+ROUND(D71,2)=0,"","yes")</f>
        <v/>
      </c>
      <c r="G71" s="45" t="n"/>
      <c r="H71" s="43">
        <f>IF($G71="","",$E71-$G71)</f>
        <v/>
      </c>
    </row>
    <row r="72">
      <c r="A72" s="42" t="inlineStr">
        <is>
          <t>25111203</t>
        </is>
      </c>
      <c r="B72" s="42" t="inlineStr">
        <is>
          <t>CoS | Barco E3 Sale</t>
        </is>
      </c>
      <c r="C72" s="43">
        <f>SUMIFS(tbl_WIP[Amount],tbl_WIP[Job Number],$A72,tbl_WIP[Month],"&lt;&gt;",tbl_WIP[Month],"&lt;"&amp;$C$4)+SUMIF('Deferred Revenue'!$E$6:$E$578,$A72,'Deferred Revenue'!$P$6:$P$578)</f>
        <v/>
      </c>
      <c r="D72" s="43">
        <f>SUMIFS(tbl_WIP[Amount],tbl_WIP[Job Number],$A72,tbl_WIP[Month],$C$4)+SUMIF('Deferred Revenue'!$E$6:$E$578,$A72,'Deferred Revenue'!$Q$6:$Q$578)</f>
        <v/>
      </c>
      <c r="E72" s="43">
        <f>C72+D72</f>
        <v/>
      </c>
      <c r="F72" s="44">
        <f>IF(ROUND(C72,2)+ROUND(D72,2)=0,"","yes")</f>
        <v/>
      </c>
      <c r="G72" s="45" t="n"/>
      <c r="H72" s="43">
        <f>IF($G72="","",$E72-$G72)</f>
        <v/>
      </c>
    </row>
    <row r="73">
      <c r="A73" s="42" t="inlineStr">
        <is>
          <t>25112801</t>
        </is>
      </c>
      <c r="B73" s="42" t="inlineStr">
        <is>
          <t>APA MEL - iPad &amp; Bouncepad Sale</t>
        </is>
      </c>
      <c r="C73" s="43">
        <f>SUMIFS(tbl_WIP[Amount],tbl_WIP[Job Number],$A73,tbl_WIP[Month],"&lt;&gt;",tbl_WIP[Month],"&lt;"&amp;$C$4)+SUMIF('Deferred Revenue'!$E$6:$E$578,$A73,'Deferred Revenue'!$P$6:$P$578)</f>
        <v/>
      </c>
      <c r="D73" s="43">
        <f>SUMIFS(tbl_WIP[Amount],tbl_WIP[Job Number],$A73,tbl_WIP[Month],$C$4)+SUMIF('Deferred Revenue'!$E$6:$E$578,$A73,'Deferred Revenue'!$Q$6:$Q$578)</f>
        <v/>
      </c>
      <c r="E73" s="43">
        <f>C73+D73</f>
        <v/>
      </c>
      <c r="F73" s="44">
        <f>IF(ROUND(C73,2)+ROUND(D73,2)=0,"","yes")</f>
        <v/>
      </c>
      <c r="G73" s="45" t="n"/>
      <c r="H73" s="43">
        <f>IF($G73="","",$E73-$G73)</f>
        <v/>
      </c>
    </row>
    <row r="74">
      <c r="A74" s="42" t="inlineStr">
        <is>
          <t>25121001</t>
        </is>
      </c>
      <c r="B74" s="42" t="inlineStr">
        <is>
          <t>HP Poly Mic System Sale and Install at Mission Australia</t>
        </is>
      </c>
      <c r="C74" s="43">
        <f>SUMIFS(tbl_WIP[Amount],tbl_WIP[Job Number],$A74,tbl_WIP[Month],"&lt;&gt;",tbl_WIP[Month],"&lt;"&amp;$C$4)+SUMIF('Deferred Revenue'!$E$6:$E$578,$A74,'Deferred Revenue'!$P$6:$P$578)</f>
        <v/>
      </c>
      <c r="D74" s="43">
        <f>SUMIFS(tbl_WIP[Amount],tbl_WIP[Job Number],$A74,tbl_WIP[Month],$C$4)+SUMIF('Deferred Revenue'!$E$6:$E$578,$A74,'Deferred Revenue'!$Q$6:$Q$578)</f>
        <v/>
      </c>
      <c r="E74" s="43">
        <f>C74+D74</f>
        <v/>
      </c>
      <c r="F74" s="44">
        <f>IF(ROUND(C74,2)+ROUND(D74,2)=0,"","yes")</f>
        <v/>
      </c>
      <c r="G74" s="45" t="n"/>
      <c r="H74" s="43">
        <f>IF($G74="","",$E74-$G74)</f>
        <v/>
      </c>
    </row>
    <row r="75">
      <c r="A75" s="42" t="inlineStr">
        <is>
          <t>25121007</t>
        </is>
      </c>
      <c r="B75" s="42" t="inlineStr">
        <is>
          <t>Novigi SYD/MEL boardroom Mic upgrade + Cable Tidy</t>
        </is>
      </c>
      <c r="C75" s="43">
        <f>SUMIFS(tbl_WIP[Amount],tbl_WIP[Job Number],$A75,tbl_WIP[Month],"&lt;&gt;",tbl_WIP[Month],"&lt;"&amp;$C$4)+SUMIF('Deferred Revenue'!$E$6:$E$578,$A75,'Deferred Revenue'!$P$6:$P$578)</f>
        <v/>
      </c>
      <c r="D75" s="43">
        <f>SUMIFS(tbl_WIP[Amount],tbl_WIP[Job Number],$A75,tbl_WIP[Month],$C$4)+SUMIF('Deferred Revenue'!$E$6:$E$578,$A75,'Deferred Revenue'!$Q$6:$Q$578)</f>
        <v/>
      </c>
      <c r="E75" s="43">
        <f>C75+D75</f>
        <v/>
      </c>
      <c r="F75" s="44">
        <f>IF(ROUND(C75,2)+ROUND(D75,2)=0,"","yes")</f>
        <v/>
      </c>
      <c r="G75" s="45" t="n"/>
      <c r="H75" s="43">
        <f>IF($G75="","",$E75-$G75)</f>
        <v/>
      </c>
    </row>
    <row r="76">
      <c r="A76" s="42" t="inlineStr">
        <is>
          <t>25121208</t>
        </is>
      </c>
      <c r="B76" s="42" t="inlineStr">
        <is>
          <t>APA HYR &amp; FYR Package 2026</t>
        </is>
      </c>
      <c r="C76" s="43">
        <f>SUMIFS(tbl_WIP[Amount],tbl_WIP[Job Number],$A76,tbl_WIP[Month],"&lt;&gt;",tbl_WIP[Month],"&lt;"&amp;$C$4)+SUMIF('Deferred Revenue'!$E$6:$E$578,$A76,'Deferred Revenue'!$P$6:$P$578)</f>
        <v/>
      </c>
      <c r="D76" s="43">
        <f>SUMIFS(tbl_WIP[Amount],tbl_WIP[Job Number],$A76,tbl_WIP[Month],$C$4)+SUMIF('Deferred Revenue'!$E$6:$E$578,$A76,'Deferred Revenue'!$Q$6:$Q$578)</f>
        <v/>
      </c>
      <c r="E76" s="43">
        <f>C76+D76</f>
        <v/>
      </c>
      <c r="F76" s="44">
        <f>IF(ROUND(C76,2)+ROUND(D76,2)=0,"","yes")</f>
        <v/>
      </c>
      <c r="G76" s="45" t="n"/>
      <c r="H76" s="43">
        <f>IF($G76="","",$E76-$G76)</f>
        <v/>
      </c>
    </row>
    <row r="77">
      <c r="A77" s="42" t="inlineStr">
        <is>
          <t>2512503</t>
        </is>
      </c>
      <c r="B77" s="42" t="inlineStr">
        <is>
          <t>Ventia EOY Town Hall 10.12.2025</t>
        </is>
      </c>
      <c r="C77" s="43">
        <f>SUMIFS(tbl_WIP[Amount],tbl_WIP[Job Number],$A77,tbl_WIP[Month],"&lt;&gt;",tbl_WIP[Month],"&lt;"&amp;$C$4)+SUMIF('Deferred Revenue'!$E$6:$E$578,$A77,'Deferred Revenue'!$P$6:$P$578)</f>
        <v/>
      </c>
      <c r="D77" s="43">
        <f>SUMIFS(tbl_WIP[Amount],tbl_WIP[Job Number],$A77,tbl_WIP[Month],$C$4)+SUMIF('Deferred Revenue'!$E$6:$E$578,$A77,'Deferred Revenue'!$Q$6:$Q$578)</f>
        <v/>
      </c>
      <c r="E77" s="43">
        <f>C77+D77</f>
        <v/>
      </c>
      <c r="F77" s="44">
        <f>IF(ROUND(C77,2)+ROUND(D77,2)=0,"","yes")</f>
        <v/>
      </c>
      <c r="G77" s="45" t="n"/>
      <c r="H77" s="43">
        <f>IF($G77="","",$E77-$G77)</f>
        <v/>
      </c>
    </row>
    <row r="78">
      <c r="A78" s="42" t="inlineStr">
        <is>
          <t>2512503V</t>
        </is>
      </c>
      <c r="B78" s="42" t="inlineStr">
        <is>
          <t>Ventia EOY Town Hall 10.12.2025</t>
        </is>
      </c>
      <c r="C78" s="43">
        <f>SUMIFS(tbl_WIP[Amount],tbl_WIP[Job Number],$A78,tbl_WIP[Month],"&lt;&gt;",tbl_WIP[Month],"&lt;"&amp;$C$4)+SUMIF('Deferred Revenue'!$E$6:$E$578,$A78,'Deferred Revenue'!$P$6:$P$578)</f>
        <v/>
      </c>
      <c r="D78" s="43">
        <f>SUMIFS(tbl_WIP[Amount],tbl_WIP[Job Number],$A78,tbl_WIP[Month],$C$4)+SUMIF('Deferred Revenue'!$E$6:$E$578,$A78,'Deferred Revenue'!$Q$6:$Q$578)</f>
        <v/>
      </c>
      <c r="E78" s="43">
        <f>C78+D78</f>
        <v/>
      </c>
      <c r="F78" s="44">
        <f>IF(ROUND(C78,2)+ROUND(D78,2)=0,"","yes")</f>
        <v/>
      </c>
      <c r="G78" s="45" t="n"/>
      <c r="H78" s="43">
        <f>IF($G78="","",$E78-$G78)</f>
        <v/>
      </c>
    </row>
    <row r="79">
      <c r="A79" s="42" t="inlineStr">
        <is>
          <t>2512804</t>
        </is>
      </c>
      <c r="B79" s="42" t="inlineStr">
        <is>
          <t>RSNSW Ordinary General Meeting 5.8.26</t>
        </is>
      </c>
      <c r="C79" s="43">
        <f>SUMIFS(tbl_WIP[Amount],tbl_WIP[Job Number],$A79,tbl_WIP[Month],"&lt;&gt;",tbl_WIP[Month],"&lt;"&amp;$C$4)+SUMIF('Deferred Revenue'!$E$6:$E$578,$A79,'Deferred Revenue'!$P$6:$P$578)</f>
        <v/>
      </c>
      <c r="D79" s="43">
        <f>SUMIFS(tbl_WIP[Amount],tbl_WIP[Job Number],$A79,tbl_WIP[Month],$C$4)+SUMIF('Deferred Revenue'!$E$6:$E$578,$A79,'Deferred Revenue'!$Q$6:$Q$578)</f>
        <v/>
      </c>
      <c r="E79" s="43">
        <f>C79+D79</f>
        <v/>
      </c>
      <c r="F79" s="44">
        <f>IF(ROUND(C79,2)+ROUND(D79,2)=0,"","yes")</f>
        <v/>
      </c>
      <c r="G79" s="45" t="n"/>
      <c r="H79" s="43">
        <f>IF($G79="","",$E79-$G79)</f>
        <v/>
      </c>
    </row>
    <row r="80">
      <c r="A80" s="42" t="inlineStr">
        <is>
          <t>2512804V</t>
        </is>
      </c>
      <c r="B80" s="42" t="inlineStr">
        <is>
          <t>RSNSW Ordinary General Meeting 5.8.26</t>
        </is>
      </c>
      <c r="C80" s="43">
        <f>SUMIFS(tbl_WIP[Amount],tbl_WIP[Job Number],$A80,tbl_WIP[Month],"&lt;&gt;",tbl_WIP[Month],"&lt;"&amp;$C$4)+SUMIF('Deferred Revenue'!$E$6:$E$578,$A80,'Deferred Revenue'!$P$6:$P$578)</f>
        <v/>
      </c>
      <c r="D80" s="43">
        <f>SUMIFS(tbl_WIP[Amount],tbl_WIP[Job Number],$A80,tbl_WIP[Month],$C$4)+SUMIF('Deferred Revenue'!$E$6:$E$578,$A80,'Deferred Revenue'!$Q$6:$Q$578)</f>
        <v/>
      </c>
      <c r="E80" s="43">
        <f>C80+D80</f>
        <v/>
      </c>
      <c r="F80" s="44">
        <f>IF(ROUND(C80,2)+ROUND(D80,2)=0,"","yes")</f>
        <v/>
      </c>
      <c r="G80" s="45" t="n"/>
      <c r="H80" s="43">
        <f>IF($G80="","",$E80-$G80)</f>
        <v/>
      </c>
    </row>
    <row r="81">
      <c r="A81" s="42" t="inlineStr">
        <is>
          <t>2512805</t>
        </is>
      </c>
      <c r="B81" s="42" t="inlineStr">
        <is>
          <t>RSNSW Ordinary General Meeting 7.10.2026</t>
        </is>
      </c>
      <c r="C81" s="43">
        <f>SUMIFS(tbl_WIP[Amount],tbl_WIP[Job Number],$A81,tbl_WIP[Month],"&lt;&gt;",tbl_WIP[Month],"&lt;"&amp;$C$4)+SUMIF('Deferred Revenue'!$E$6:$E$578,$A81,'Deferred Revenue'!$P$6:$P$578)</f>
        <v/>
      </c>
      <c r="D81" s="43">
        <f>SUMIFS(tbl_WIP[Amount],tbl_WIP[Job Number],$A81,tbl_WIP[Month],$C$4)+SUMIF('Deferred Revenue'!$E$6:$E$578,$A81,'Deferred Revenue'!$Q$6:$Q$578)</f>
        <v/>
      </c>
      <c r="E81" s="43">
        <f>C81+D81</f>
        <v/>
      </c>
      <c r="F81" s="44">
        <f>IF(ROUND(C81,2)+ROUND(D81,2)=0,"","yes")</f>
        <v/>
      </c>
      <c r="G81" s="45" t="n"/>
      <c r="H81" s="43">
        <f>IF($G81="","",$E81-$G81)</f>
        <v/>
      </c>
    </row>
    <row r="82">
      <c r="A82" s="42" t="inlineStr">
        <is>
          <t>2512805V</t>
        </is>
      </c>
      <c r="B82" s="42" t="inlineStr">
        <is>
          <t>RSNSW Ordinary General Meeting 7.10.2026</t>
        </is>
      </c>
      <c r="C82" s="43">
        <f>SUMIFS(tbl_WIP[Amount],tbl_WIP[Job Number],$A82,tbl_WIP[Month],"&lt;&gt;",tbl_WIP[Month],"&lt;"&amp;$C$4)+SUMIF('Deferred Revenue'!$E$6:$E$578,$A82,'Deferred Revenue'!$P$6:$P$578)</f>
        <v/>
      </c>
      <c r="D82" s="43">
        <f>SUMIFS(tbl_WIP[Amount],tbl_WIP[Job Number],$A82,tbl_WIP[Month],$C$4)+SUMIF('Deferred Revenue'!$E$6:$E$578,$A82,'Deferred Revenue'!$Q$6:$Q$578)</f>
        <v/>
      </c>
      <c r="E82" s="43">
        <f>C82+D82</f>
        <v/>
      </c>
      <c r="F82" s="44">
        <f>IF(ROUND(C82,2)+ROUND(D82,2)=0,"","yes")</f>
        <v/>
      </c>
      <c r="G82" s="45" t="n"/>
      <c r="H82" s="43">
        <f>IF($G82="","",$E82-$G82)</f>
        <v/>
      </c>
    </row>
    <row r="83">
      <c r="A83" s="42" t="inlineStr">
        <is>
          <t>2512806</t>
        </is>
      </c>
      <c r="B83" s="42" t="inlineStr">
        <is>
          <t>RSNSW Ordinary General Meeting 2.12.26</t>
        </is>
      </c>
      <c r="C83" s="43">
        <f>SUMIFS(tbl_WIP[Amount],tbl_WIP[Job Number],$A83,tbl_WIP[Month],"&lt;&gt;",tbl_WIP[Month],"&lt;"&amp;$C$4)+SUMIF('Deferred Revenue'!$E$6:$E$578,$A83,'Deferred Revenue'!$P$6:$P$578)</f>
        <v/>
      </c>
      <c r="D83" s="43">
        <f>SUMIFS(tbl_WIP[Amount],tbl_WIP[Job Number],$A83,tbl_WIP[Month],$C$4)+SUMIF('Deferred Revenue'!$E$6:$E$578,$A83,'Deferred Revenue'!$Q$6:$Q$578)</f>
        <v/>
      </c>
      <c r="E83" s="43">
        <f>C83+D83</f>
        <v/>
      </c>
      <c r="F83" s="44">
        <f>IF(ROUND(C83,2)+ROUND(D83,2)=0,"","yes")</f>
        <v/>
      </c>
      <c r="G83" s="45" t="n"/>
      <c r="H83" s="43">
        <f>IF($G83="","",$E83-$G83)</f>
        <v/>
      </c>
    </row>
    <row r="84">
      <c r="A84" s="42" t="inlineStr">
        <is>
          <t>2512806V</t>
        </is>
      </c>
      <c r="B84" s="42" t="inlineStr">
        <is>
          <t>RSNSW Ordinary General Meeting 2.12.26</t>
        </is>
      </c>
      <c r="C84" s="43">
        <f>SUMIFS(tbl_WIP[Amount],tbl_WIP[Job Number],$A84,tbl_WIP[Month],"&lt;&gt;",tbl_WIP[Month],"&lt;"&amp;$C$4)+SUMIF('Deferred Revenue'!$E$6:$E$578,$A84,'Deferred Revenue'!$P$6:$P$578)</f>
        <v/>
      </c>
      <c r="D84" s="43">
        <f>SUMIFS(tbl_WIP[Amount],tbl_WIP[Job Number],$A84,tbl_WIP[Month],$C$4)+SUMIF('Deferred Revenue'!$E$6:$E$578,$A84,'Deferred Revenue'!$Q$6:$Q$578)</f>
        <v/>
      </c>
      <c r="E84" s="43">
        <f>C84+D84</f>
        <v/>
      </c>
      <c r="F84" s="44">
        <f>IF(ROUND(C84,2)+ROUND(D84,2)=0,"","yes")</f>
        <v/>
      </c>
      <c r="G84" s="45" t="n"/>
      <c r="H84" s="43">
        <f>IF($G84="","",$E84-$G84)</f>
        <v/>
      </c>
    </row>
    <row r="85">
      <c r="A85" s="42" t="inlineStr">
        <is>
          <t>2519</t>
        </is>
      </c>
      <c r="B85" s="42" t="inlineStr">
        <is>
          <t>NSW Prop-6PSQ Visitor MG</t>
        </is>
      </c>
      <c r="C85" s="43">
        <f>SUMIFS(tbl_WIP[Amount],tbl_WIP[Job Number],$A85,tbl_WIP[Month],"&lt;&gt;",tbl_WIP[Month],"&lt;"&amp;$C$4)+SUMIF('Deferred Revenue'!$E$6:$E$578,$A85,'Deferred Revenue'!$P$6:$P$578)</f>
        <v/>
      </c>
      <c r="D85" s="43">
        <f>SUMIFS(tbl_WIP[Amount],tbl_WIP[Job Number],$A85,tbl_WIP[Month],$C$4)+SUMIF('Deferred Revenue'!$E$6:$E$578,$A85,'Deferred Revenue'!$Q$6:$Q$578)</f>
        <v/>
      </c>
      <c r="E85" s="43">
        <f>C85+D85</f>
        <v/>
      </c>
      <c r="F85" s="44">
        <f>IF(ROUND(C85,2)+ROUND(D85,2)=0,"","yes")</f>
        <v/>
      </c>
      <c r="G85" s="45" t="n"/>
      <c r="H85" s="43">
        <f>IF($G85="","",$E85-$G85)</f>
        <v/>
      </c>
    </row>
    <row r="86">
      <c r="A86" s="42" t="inlineStr">
        <is>
          <t>2521</t>
        </is>
      </c>
      <c r="B86" s="42" t="inlineStr">
        <is>
          <t>PWC - PER Tech</t>
        </is>
      </c>
      <c r="C86" s="43">
        <f>SUMIFS(tbl_WIP[Amount],tbl_WIP[Job Number],$A86,tbl_WIP[Month],"&lt;&gt;",tbl_WIP[Month],"&lt;"&amp;$C$4)+SUMIF('Deferred Revenue'!$E$6:$E$578,$A86,'Deferred Revenue'!$P$6:$P$578)</f>
        <v/>
      </c>
      <c r="D86" s="43">
        <f>SUMIFS(tbl_WIP[Amount],tbl_WIP[Job Number],$A86,tbl_WIP[Month],$C$4)+SUMIF('Deferred Revenue'!$E$6:$E$578,$A86,'Deferred Revenue'!$Q$6:$Q$578)</f>
        <v/>
      </c>
      <c r="E86" s="43">
        <f>C86+D86</f>
        <v/>
      </c>
      <c r="F86" s="44">
        <f>IF(ROUND(C86,2)+ROUND(D86,2)=0,"","yes")</f>
        <v/>
      </c>
      <c r="G86" s="45" t="n"/>
      <c r="H86" s="43">
        <f>IF($G86="","",$E86-$G86)</f>
        <v/>
      </c>
    </row>
    <row r="87">
      <c r="A87" s="42" t="inlineStr">
        <is>
          <t>2540</t>
        </is>
      </c>
      <c r="B87" s="42" t="inlineStr">
        <is>
          <t>PWC - SYD Tech</t>
        </is>
      </c>
      <c r="C87" s="43">
        <f>SUMIFS(tbl_WIP[Amount],tbl_WIP[Job Number],$A87,tbl_WIP[Month],"&lt;&gt;",tbl_WIP[Month],"&lt;"&amp;$C$4)+SUMIF('Deferred Revenue'!$E$6:$E$578,$A87,'Deferred Revenue'!$P$6:$P$578)</f>
        <v/>
      </c>
      <c r="D87" s="43">
        <f>SUMIFS(tbl_WIP[Amount],tbl_WIP[Job Number],$A87,tbl_WIP[Month],$C$4)+SUMIF('Deferred Revenue'!$E$6:$E$578,$A87,'Deferred Revenue'!$Q$6:$Q$578)</f>
        <v/>
      </c>
      <c r="E87" s="43">
        <f>C87+D87</f>
        <v/>
      </c>
      <c r="F87" s="44">
        <f>IF(ROUND(C87,2)+ROUND(D87,2)=0,"","yes")</f>
        <v/>
      </c>
      <c r="G87" s="45" t="n"/>
      <c r="H87" s="43">
        <f>IF($G87="","",$E87-$G87)</f>
        <v/>
      </c>
    </row>
    <row r="88">
      <c r="A88" s="42" t="inlineStr">
        <is>
          <t>2543</t>
        </is>
      </c>
      <c r="B88" s="42" t="inlineStr">
        <is>
          <t>DTTL MEL Tech (PT)</t>
        </is>
      </c>
      <c r="C88" s="43">
        <f>SUMIFS(tbl_WIP[Amount],tbl_WIP[Job Number],$A88,tbl_WIP[Month],"&lt;&gt;",tbl_WIP[Month],"&lt;"&amp;$C$4)+SUMIF('Deferred Revenue'!$E$6:$E$578,$A88,'Deferred Revenue'!$P$6:$P$578)</f>
        <v/>
      </c>
      <c r="D88" s="43">
        <f>SUMIFS(tbl_WIP[Amount],tbl_WIP[Job Number],$A88,tbl_WIP[Month],$C$4)+SUMIF('Deferred Revenue'!$E$6:$E$578,$A88,'Deferred Revenue'!$Q$6:$Q$578)</f>
        <v/>
      </c>
      <c r="E88" s="43">
        <f>C88+D88</f>
        <v/>
      </c>
      <c r="F88" s="44">
        <f>IF(ROUND(C88,2)+ROUND(D88,2)=0,"","yes")</f>
        <v/>
      </c>
      <c r="G88" s="45" t="n"/>
      <c r="H88" s="43">
        <f>IF($G88="","",$E88-$G88)</f>
        <v/>
      </c>
    </row>
    <row r="89">
      <c r="A89" s="42" t="inlineStr">
        <is>
          <t>2591012</t>
        </is>
      </c>
      <c r="B89" s="42" t="inlineStr">
        <is>
          <t>St. Luke's Non-chargeable</t>
        </is>
      </c>
      <c r="C89" s="43">
        <f>SUMIFS(tbl_WIP[Amount],tbl_WIP[Job Number],$A89,tbl_WIP[Month],"&lt;&gt;",tbl_WIP[Month],"&lt;"&amp;$C$4)+SUMIF('Deferred Revenue'!$E$6:$E$578,$A89,'Deferred Revenue'!$P$6:$P$578)</f>
        <v/>
      </c>
      <c r="D89" s="43">
        <f>SUMIFS(tbl_WIP[Amount],tbl_WIP[Job Number],$A89,tbl_WIP[Month],$C$4)+SUMIF('Deferred Revenue'!$E$6:$E$578,$A89,'Deferred Revenue'!$Q$6:$Q$578)</f>
        <v/>
      </c>
      <c r="E89" s="43">
        <f>C89+D89</f>
        <v/>
      </c>
      <c r="F89" s="44">
        <f>IF(ROUND(C89,2)+ROUND(D89,2)=0,"","yes")</f>
        <v/>
      </c>
      <c r="G89" s="45" t="n"/>
      <c r="H89" s="43">
        <f>IF($G89="","",$E89-$G89)</f>
        <v/>
      </c>
    </row>
    <row r="90">
      <c r="A90" s="42" t="inlineStr">
        <is>
          <t>2591012C</t>
        </is>
      </c>
      <c r="B90" s="42" t="inlineStr">
        <is>
          <t>St. Luke's Church</t>
        </is>
      </c>
      <c r="C90" s="43">
        <f>SUMIFS(tbl_WIP[Amount],tbl_WIP[Job Number],$A90,tbl_WIP[Month],"&lt;&gt;",tbl_WIP[Month],"&lt;"&amp;$C$4)+SUMIF('Deferred Revenue'!$E$6:$E$578,$A90,'Deferred Revenue'!$P$6:$P$578)</f>
        <v/>
      </c>
      <c r="D90" s="43">
        <f>SUMIFS(tbl_WIP[Amount],tbl_WIP[Job Number],$A90,tbl_WIP[Month],$C$4)+SUMIF('Deferred Revenue'!$E$6:$E$578,$A90,'Deferred Revenue'!$Q$6:$Q$578)</f>
        <v/>
      </c>
      <c r="E90" s="43">
        <f>C90+D90</f>
        <v/>
      </c>
      <c r="F90" s="44">
        <f>IF(ROUND(C90,2)+ROUND(D90,2)=0,"","yes")</f>
        <v/>
      </c>
      <c r="G90" s="45" t="n"/>
      <c r="H90" s="43">
        <f>IF($G90="","",$E90-$G90)</f>
        <v/>
      </c>
    </row>
    <row r="91">
      <c r="A91" s="42" t="inlineStr">
        <is>
          <t>2593</t>
        </is>
      </c>
      <c r="B91" s="42" t="inlineStr">
        <is>
          <t>PWC CBR Technician</t>
        </is>
      </c>
      <c r="C91" s="43">
        <f>SUMIFS(tbl_WIP[Amount],tbl_WIP[Job Number],$A91,tbl_WIP[Month],"&lt;&gt;",tbl_WIP[Month],"&lt;"&amp;$C$4)+SUMIF('Deferred Revenue'!$E$6:$E$578,$A91,'Deferred Revenue'!$P$6:$P$578)</f>
        <v/>
      </c>
      <c r="D91" s="43">
        <f>SUMIFS(tbl_WIP[Amount],tbl_WIP[Job Number],$A91,tbl_WIP[Month],$C$4)+SUMIF('Deferred Revenue'!$E$6:$E$578,$A91,'Deferred Revenue'!$Q$6:$Q$578)</f>
        <v/>
      </c>
      <c r="E91" s="43">
        <f>C91+D91</f>
        <v/>
      </c>
      <c r="F91" s="44">
        <f>IF(ROUND(C91,2)+ROUND(D91,2)=0,"","yes")</f>
        <v/>
      </c>
      <c r="G91" s="45" t="n"/>
      <c r="H91" s="43">
        <f>IF($G91="","",$E91-$G91)</f>
        <v/>
      </c>
    </row>
    <row r="92">
      <c r="A92" s="42" t="inlineStr">
        <is>
          <t>2598</t>
        </is>
      </c>
      <c r="B92" s="42" t="inlineStr">
        <is>
          <t>DTTL WA Tech</t>
        </is>
      </c>
      <c r="C92" s="43">
        <f>SUMIFS(tbl_WIP[Amount],tbl_WIP[Job Number],$A92,tbl_WIP[Month],"&lt;&gt;",tbl_WIP[Month],"&lt;"&amp;$C$4)+SUMIF('Deferred Revenue'!$E$6:$E$578,$A92,'Deferred Revenue'!$P$6:$P$578)</f>
        <v/>
      </c>
      <c r="D92" s="43">
        <f>SUMIFS(tbl_WIP[Amount],tbl_WIP[Job Number],$A92,tbl_WIP[Month],$C$4)+SUMIF('Deferred Revenue'!$E$6:$E$578,$A92,'Deferred Revenue'!$Q$6:$Q$578)</f>
        <v/>
      </c>
      <c r="E92" s="43">
        <f>C92+D92</f>
        <v/>
      </c>
      <c r="F92" s="44">
        <f>IF(ROUND(C92,2)+ROUND(D92,2)=0,"","yes")</f>
        <v/>
      </c>
      <c r="G92" s="45" t="n"/>
      <c r="H92" s="43">
        <f>IF($G92="","",$E92-$G92)</f>
        <v/>
      </c>
    </row>
    <row r="93">
      <c r="A93" s="42" t="inlineStr">
        <is>
          <t>26011404</t>
        </is>
      </c>
      <c r="B93" s="42" t="inlineStr">
        <is>
          <t>ASX CEO Connect (Extended Results) 1.9.26</t>
        </is>
      </c>
      <c r="C93" s="43">
        <f>SUMIFS(tbl_WIP[Amount],tbl_WIP[Job Number],$A93,tbl_WIP[Month],"&lt;&gt;",tbl_WIP[Month],"&lt;"&amp;$C$4)+SUMIF('Deferred Revenue'!$E$6:$E$578,$A93,'Deferred Revenue'!$P$6:$P$578)</f>
        <v/>
      </c>
      <c r="D93" s="43">
        <f>SUMIFS(tbl_WIP[Amount],tbl_WIP[Job Number],$A93,tbl_WIP[Month],$C$4)+SUMIF('Deferred Revenue'!$E$6:$E$578,$A93,'Deferred Revenue'!$Q$6:$Q$578)</f>
        <v/>
      </c>
      <c r="E93" s="43">
        <f>C93+D93</f>
        <v/>
      </c>
      <c r="F93" s="44">
        <f>IF(ROUND(C93,2)+ROUND(D93,2)=0,"","yes")</f>
        <v/>
      </c>
      <c r="G93" s="45" t="n"/>
      <c r="H93" s="43">
        <f>IF($G93="","",$E93-$G93)</f>
        <v/>
      </c>
    </row>
    <row r="94">
      <c r="A94" s="42" t="inlineStr">
        <is>
          <t>26011404V</t>
        </is>
      </c>
      <c r="B94" s="42" t="inlineStr">
        <is>
          <t>ASX CEO Connect (Extended Results) 1.9.26</t>
        </is>
      </c>
      <c r="C94" s="43">
        <f>SUMIFS(tbl_WIP[Amount],tbl_WIP[Job Number],$A94,tbl_WIP[Month],"&lt;&gt;",tbl_WIP[Month],"&lt;"&amp;$C$4)+SUMIF('Deferred Revenue'!$E$6:$E$578,$A94,'Deferred Revenue'!$P$6:$P$578)</f>
        <v/>
      </c>
      <c r="D94" s="43">
        <f>SUMIFS(tbl_WIP[Amount],tbl_WIP[Job Number],$A94,tbl_WIP[Month],$C$4)+SUMIF('Deferred Revenue'!$E$6:$E$578,$A94,'Deferred Revenue'!$Q$6:$Q$578)</f>
        <v/>
      </c>
      <c r="E94" s="43">
        <f>C94+D94</f>
        <v/>
      </c>
      <c r="F94" s="44">
        <f>IF(ROUND(C94,2)+ROUND(D94,2)=0,"","yes")</f>
        <v/>
      </c>
      <c r="G94" s="45" t="n"/>
      <c r="H94" s="43">
        <f>IF($G94="","",$E94-$G94)</f>
        <v/>
      </c>
    </row>
    <row r="95">
      <c r="A95" s="42" t="inlineStr">
        <is>
          <t>26011407</t>
        </is>
      </c>
      <c r="B95" s="42" t="inlineStr">
        <is>
          <t>ASX CEO Connect 27.10.26</t>
        </is>
      </c>
      <c r="C95" s="43">
        <f>SUMIFS(tbl_WIP[Amount],tbl_WIP[Job Number],$A95,tbl_WIP[Month],"&lt;&gt;",tbl_WIP[Month],"&lt;"&amp;$C$4)+SUMIF('Deferred Revenue'!$E$6:$E$578,$A95,'Deferred Revenue'!$P$6:$P$578)</f>
        <v/>
      </c>
      <c r="D95" s="43">
        <f>SUMIFS(tbl_WIP[Amount],tbl_WIP[Job Number],$A95,tbl_WIP[Month],$C$4)+SUMIF('Deferred Revenue'!$E$6:$E$578,$A95,'Deferred Revenue'!$Q$6:$Q$578)</f>
        <v/>
      </c>
      <c r="E95" s="43">
        <f>C95+D95</f>
        <v/>
      </c>
      <c r="F95" s="44">
        <f>IF(ROUND(C95,2)+ROUND(D95,2)=0,"","yes")</f>
        <v/>
      </c>
      <c r="G95" s="45" t="n"/>
      <c r="H95" s="43">
        <f>IF($G95="","",$E95-$G95)</f>
        <v/>
      </c>
    </row>
    <row r="96">
      <c r="A96" s="42" t="inlineStr">
        <is>
          <t>26011407V</t>
        </is>
      </c>
      <c r="B96" s="42" t="inlineStr">
        <is>
          <t>ASX CEO Connect 27.10.26</t>
        </is>
      </c>
      <c r="C96" s="43">
        <f>SUMIFS(tbl_WIP[Amount],tbl_WIP[Job Number],$A96,tbl_WIP[Month],"&lt;&gt;",tbl_WIP[Month],"&lt;"&amp;$C$4)+SUMIF('Deferred Revenue'!$E$6:$E$578,$A96,'Deferred Revenue'!$P$6:$P$578)</f>
        <v/>
      </c>
      <c r="D96" s="43">
        <f>SUMIFS(tbl_WIP[Amount],tbl_WIP[Job Number],$A96,tbl_WIP[Month],$C$4)+SUMIF('Deferred Revenue'!$E$6:$E$578,$A96,'Deferred Revenue'!$Q$6:$Q$578)</f>
        <v/>
      </c>
      <c r="E96" s="43">
        <f>C96+D96</f>
        <v/>
      </c>
      <c r="F96" s="44">
        <f>IF(ROUND(C96,2)+ROUND(D96,2)=0,"","yes")</f>
        <v/>
      </c>
      <c r="G96" s="45" t="n"/>
      <c r="H96" s="43">
        <f>IF($G96="","",$E96-$G96)</f>
        <v/>
      </c>
    </row>
    <row r="97">
      <c r="A97" s="42" t="inlineStr">
        <is>
          <t>26011408</t>
        </is>
      </c>
      <c r="B97" s="42" t="inlineStr">
        <is>
          <t>ASX CEO Connect 1.12.26</t>
        </is>
      </c>
      <c r="C97" s="43">
        <f>SUMIFS(tbl_WIP[Amount],tbl_WIP[Job Number],$A97,tbl_WIP[Month],"&lt;&gt;",tbl_WIP[Month],"&lt;"&amp;$C$4)+SUMIF('Deferred Revenue'!$E$6:$E$578,$A97,'Deferred Revenue'!$P$6:$P$578)</f>
        <v/>
      </c>
      <c r="D97" s="43">
        <f>SUMIFS(tbl_WIP[Amount],tbl_WIP[Job Number],$A97,tbl_WIP[Month],$C$4)+SUMIF('Deferred Revenue'!$E$6:$E$578,$A97,'Deferred Revenue'!$Q$6:$Q$578)</f>
        <v/>
      </c>
      <c r="E97" s="43">
        <f>C97+D97</f>
        <v/>
      </c>
      <c r="F97" s="44">
        <f>IF(ROUND(C97,2)+ROUND(D97,2)=0,"","yes")</f>
        <v/>
      </c>
      <c r="G97" s="45" t="n"/>
      <c r="H97" s="43">
        <f>IF($G97="","",$E97-$G97)</f>
        <v/>
      </c>
    </row>
    <row r="98">
      <c r="A98" s="42" t="inlineStr">
        <is>
          <t>26011408V</t>
        </is>
      </c>
      <c r="B98" s="42" t="inlineStr">
        <is>
          <t>ASX CEO Connect 1.12.26</t>
        </is>
      </c>
      <c r="C98" s="43">
        <f>SUMIFS(tbl_WIP[Amount],tbl_WIP[Job Number],$A98,tbl_WIP[Month],"&lt;&gt;",tbl_WIP[Month],"&lt;"&amp;$C$4)+SUMIF('Deferred Revenue'!$E$6:$E$578,$A98,'Deferred Revenue'!$P$6:$P$578)</f>
        <v/>
      </c>
      <c r="D98" s="43">
        <f>SUMIFS(tbl_WIP[Amount],tbl_WIP[Job Number],$A98,tbl_WIP[Month],$C$4)+SUMIF('Deferred Revenue'!$E$6:$E$578,$A98,'Deferred Revenue'!$Q$6:$Q$578)</f>
        <v/>
      </c>
      <c r="E98" s="43">
        <f>C98+D98</f>
        <v/>
      </c>
      <c r="F98" s="44">
        <f>IF(ROUND(C98,2)+ROUND(D98,2)=0,"","yes")</f>
        <v/>
      </c>
      <c r="G98" s="45" t="n"/>
      <c r="H98" s="43">
        <f>IF($G98="","",$E98-$G98)</f>
        <v/>
      </c>
    </row>
    <row r="99">
      <c r="A99" s="42" t="inlineStr">
        <is>
          <t>26011409</t>
        </is>
      </c>
      <c r="B99" s="42" t="inlineStr">
        <is>
          <t>ASX Investor Days Sydney &amp; Melbourne 2026</t>
        </is>
      </c>
      <c r="C99" s="43">
        <f>SUMIFS(tbl_WIP[Amount],tbl_WIP[Job Number],$A99,tbl_WIP[Month],"&lt;&gt;",tbl_WIP[Month],"&lt;"&amp;$C$4)+SUMIF('Deferred Revenue'!$E$6:$E$578,$A99,'Deferred Revenue'!$P$6:$P$578)</f>
        <v/>
      </c>
      <c r="D99" s="43">
        <f>SUMIFS(tbl_WIP[Amount],tbl_WIP[Job Number],$A99,tbl_WIP[Month],$C$4)+SUMIF('Deferred Revenue'!$E$6:$E$578,$A99,'Deferred Revenue'!$Q$6:$Q$578)</f>
        <v/>
      </c>
      <c r="E99" s="43">
        <f>C99+D99</f>
        <v/>
      </c>
      <c r="F99" s="44">
        <f>IF(ROUND(C99,2)+ROUND(D99,2)=0,"","yes")</f>
        <v/>
      </c>
      <c r="G99" s="45" t="n"/>
      <c r="H99" s="43">
        <f>IF($G99="","",$E99-$G99)</f>
        <v/>
      </c>
    </row>
    <row r="100">
      <c r="A100" s="42" t="inlineStr">
        <is>
          <t>26011501</t>
        </is>
      </c>
      <c r="B100" s="42" t="inlineStr">
        <is>
          <t>ASX Refinitiv Charity Golf Classic H/L Vid 2026</t>
        </is>
      </c>
      <c r="C100" s="43">
        <f>SUMIFS(tbl_WIP[Amount],tbl_WIP[Job Number],$A100,tbl_WIP[Month],"&lt;&gt;",tbl_WIP[Month],"&lt;"&amp;$C$4)+SUMIF('Deferred Revenue'!$E$6:$E$578,$A100,'Deferred Revenue'!$P$6:$P$578)</f>
        <v/>
      </c>
      <c r="D100" s="43">
        <f>SUMIFS(tbl_WIP[Amount],tbl_WIP[Job Number],$A100,tbl_WIP[Month],$C$4)+SUMIF('Deferred Revenue'!$E$6:$E$578,$A100,'Deferred Revenue'!$Q$6:$Q$578)</f>
        <v/>
      </c>
      <c r="E100" s="43">
        <f>C100+D100</f>
        <v/>
      </c>
      <c r="F100" s="44">
        <f>IF(ROUND(C100,2)+ROUND(D100,2)=0,"","yes")</f>
        <v/>
      </c>
      <c r="G100" s="45" t="n"/>
      <c r="H100" s="43">
        <f>IF($G100="","",$E100-$G100)</f>
        <v/>
      </c>
    </row>
    <row r="101">
      <c r="A101" s="42" t="inlineStr">
        <is>
          <t>26011502</t>
        </is>
      </c>
      <c r="B101" s="42" t="inlineStr">
        <is>
          <t>ASX Charity Regatta Highlights Video 2026</t>
        </is>
      </c>
      <c r="C101" s="43">
        <f>SUMIFS(tbl_WIP[Amount],tbl_WIP[Job Number],$A101,tbl_WIP[Month],"&lt;&gt;",tbl_WIP[Month],"&lt;"&amp;$C$4)+SUMIF('Deferred Revenue'!$E$6:$E$578,$A101,'Deferred Revenue'!$P$6:$P$578)</f>
        <v/>
      </c>
      <c r="D101" s="43">
        <f>SUMIFS(tbl_WIP[Amount],tbl_WIP[Job Number],$A101,tbl_WIP[Month],$C$4)+SUMIF('Deferred Revenue'!$E$6:$E$578,$A101,'Deferred Revenue'!$Q$6:$Q$578)</f>
        <v/>
      </c>
      <c r="E101" s="43">
        <f>C101+D101</f>
        <v/>
      </c>
      <c r="F101" s="44">
        <f>IF(ROUND(C101,2)+ROUND(D101,2)=0,"","yes")</f>
        <v/>
      </c>
      <c r="G101" s="45" t="n"/>
      <c r="H101" s="43">
        <f>IF($G101="","",$E101-$G101)</f>
        <v/>
      </c>
    </row>
    <row r="102">
      <c r="A102" s="42" t="inlineStr">
        <is>
          <t>26012301</t>
        </is>
      </c>
      <c r="B102" s="42" t="inlineStr">
        <is>
          <t>PWC IT Support - Brisbane</t>
        </is>
      </c>
      <c r="C102" s="43">
        <f>SUMIFS(tbl_WIP[Amount],tbl_WIP[Job Number],$A102,tbl_WIP[Month],"&lt;&gt;",tbl_WIP[Month],"&lt;"&amp;$C$4)+SUMIF('Deferred Revenue'!$E$6:$E$578,$A102,'Deferred Revenue'!$P$6:$P$578)</f>
        <v/>
      </c>
      <c r="D102" s="43">
        <f>SUMIFS(tbl_WIP[Amount],tbl_WIP[Job Number],$A102,tbl_WIP[Month],$C$4)+SUMIF('Deferred Revenue'!$E$6:$E$578,$A102,'Deferred Revenue'!$Q$6:$Q$578)</f>
        <v/>
      </c>
      <c r="E102" s="43">
        <f>C102+D102</f>
        <v/>
      </c>
      <c r="F102" s="44">
        <f>IF(ROUND(C102,2)+ROUND(D102,2)=0,"","yes")</f>
        <v/>
      </c>
      <c r="G102" s="45" t="n"/>
      <c r="H102" s="43">
        <f>IF($G102="","",$E102-$G102)</f>
        <v/>
      </c>
    </row>
    <row r="103">
      <c r="A103" s="42" t="inlineStr">
        <is>
          <t>2601701</t>
        </is>
      </c>
      <c r="B103" s="42" t="inlineStr">
        <is>
          <t>CEOi - TLP Brand Video</t>
        </is>
      </c>
      <c r="C103" s="43">
        <f>SUMIFS(tbl_WIP[Amount],tbl_WIP[Job Number],$A103,tbl_WIP[Month],"&lt;&gt;",tbl_WIP[Month],"&lt;"&amp;$C$4)+SUMIF('Deferred Revenue'!$E$6:$E$578,$A103,'Deferred Revenue'!$P$6:$P$578)</f>
        <v/>
      </c>
      <c r="D103" s="43">
        <f>SUMIFS(tbl_WIP[Amount],tbl_WIP[Job Number],$A103,tbl_WIP[Month],$C$4)+SUMIF('Deferred Revenue'!$E$6:$E$578,$A103,'Deferred Revenue'!$Q$6:$Q$578)</f>
        <v/>
      </c>
      <c r="E103" s="43">
        <f>C103+D103</f>
        <v/>
      </c>
      <c r="F103" s="44">
        <f>IF(ROUND(C103,2)+ROUND(D103,2)=0,"","yes")</f>
        <v/>
      </c>
      <c r="G103" s="45" t="n"/>
      <c r="H103" s="43">
        <f>IF($G103="","",$E103-$G103)</f>
        <v/>
      </c>
    </row>
    <row r="104">
      <c r="A104" s="42" t="inlineStr">
        <is>
          <t>26021602</t>
        </is>
      </c>
      <c r="B104" s="42" t="inlineStr">
        <is>
          <t>Gen E ABS AV Support (Canberra)</t>
        </is>
      </c>
      <c r="C104" s="43">
        <f>SUMIFS(tbl_WIP[Amount],tbl_WIP[Job Number],$A104,tbl_WIP[Month],"&lt;&gt;",tbl_WIP[Month],"&lt;"&amp;$C$4)+SUMIF('Deferred Revenue'!$E$6:$E$578,$A104,'Deferred Revenue'!$P$6:$P$578)</f>
        <v/>
      </c>
      <c r="D104" s="43">
        <f>SUMIFS(tbl_WIP[Amount],tbl_WIP[Job Number],$A104,tbl_WIP[Month],$C$4)+SUMIF('Deferred Revenue'!$E$6:$E$578,$A104,'Deferred Revenue'!$Q$6:$Q$578)</f>
        <v/>
      </c>
      <c r="E104" s="43">
        <f>C104+D104</f>
        <v/>
      </c>
      <c r="F104" s="44">
        <f>IF(ROUND(C104,2)+ROUND(D104,2)=0,"","yes")</f>
        <v/>
      </c>
      <c r="G104" s="45" t="n"/>
      <c r="H104" s="43">
        <f>IF($G104="","",$E104-$G104)</f>
        <v/>
      </c>
    </row>
    <row r="105">
      <c r="A105" s="42" t="inlineStr">
        <is>
          <t>26021602N</t>
        </is>
      </c>
      <c r="B105" s="42" t="inlineStr">
        <is>
          <t>Gen E ABS AV Support (Canberra) [ONS non-chargeable]</t>
        </is>
      </c>
      <c r="C105" s="43">
        <f>SUMIFS(tbl_WIP[Amount],tbl_WIP[Job Number],$A105,tbl_WIP[Month],"&lt;&gt;",tbl_WIP[Month],"&lt;"&amp;$C$4)+SUMIF('Deferred Revenue'!$E$6:$E$578,$A105,'Deferred Revenue'!$P$6:$P$578)</f>
        <v/>
      </c>
      <c r="D105" s="43">
        <f>SUMIFS(tbl_WIP[Amount],tbl_WIP[Job Number],$A105,tbl_WIP[Month],$C$4)+SUMIF('Deferred Revenue'!$E$6:$E$578,$A105,'Deferred Revenue'!$Q$6:$Q$578)</f>
        <v/>
      </c>
      <c r="E105" s="43">
        <f>C105+D105</f>
        <v/>
      </c>
      <c r="F105" s="44">
        <f>IF(ROUND(C105,2)+ROUND(D105,2)=0,"","yes")</f>
        <v/>
      </c>
      <c r="G105" s="45" t="n"/>
      <c r="H105" s="43">
        <f>IF($G105="","",$E105-$G105)</f>
        <v/>
      </c>
    </row>
    <row r="106">
      <c r="A106" s="42" t="inlineStr">
        <is>
          <t>26021801</t>
        </is>
      </c>
      <c r="B106" s="42" t="inlineStr">
        <is>
          <t>Aware Super Seminar Room AV Upgrade</t>
        </is>
      </c>
      <c r="C106" s="43">
        <f>SUMIFS(tbl_WIP[Amount],tbl_WIP[Job Number],$A106,tbl_WIP[Month],"&lt;&gt;",tbl_WIP[Month],"&lt;"&amp;$C$4)+SUMIF('Deferred Revenue'!$E$6:$E$578,$A106,'Deferred Revenue'!$P$6:$P$578)</f>
        <v/>
      </c>
      <c r="D106" s="43">
        <f>SUMIFS(tbl_WIP[Amount],tbl_WIP[Job Number],$A106,tbl_WIP[Month],$C$4)+SUMIF('Deferred Revenue'!$E$6:$E$578,$A106,'Deferred Revenue'!$Q$6:$Q$578)</f>
        <v/>
      </c>
      <c r="E106" s="43">
        <f>C106+D106</f>
        <v/>
      </c>
      <c r="F106" s="44">
        <f>IF(ROUND(C106,2)+ROUND(D106,2)=0,"","yes")</f>
        <v/>
      </c>
      <c r="G106" s="45" t="n"/>
      <c r="H106" s="43">
        <f>IF($G106="","",$E106-$G106)</f>
        <v/>
      </c>
    </row>
    <row r="107">
      <c r="A107" s="42" t="inlineStr">
        <is>
          <t>2602203</t>
        </is>
      </c>
      <c r="B107" s="42" t="inlineStr">
        <is>
          <t>YSG Studio Orange Room Upgrade</t>
        </is>
      </c>
      <c r="C107" s="43">
        <f>SUMIFS(tbl_WIP[Amount],tbl_WIP[Job Number],$A107,tbl_WIP[Month],"&lt;&gt;",tbl_WIP[Month],"&lt;"&amp;$C$4)+SUMIF('Deferred Revenue'!$E$6:$E$578,$A107,'Deferred Revenue'!$P$6:$P$578)</f>
        <v/>
      </c>
      <c r="D107" s="43">
        <f>SUMIFS(tbl_WIP[Amount],tbl_WIP[Job Number],$A107,tbl_WIP[Month],$C$4)+SUMIF('Deferred Revenue'!$E$6:$E$578,$A107,'Deferred Revenue'!$Q$6:$Q$578)</f>
        <v/>
      </c>
      <c r="E107" s="43">
        <f>C107+D107</f>
        <v/>
      </c>
      <c r="F107" s="44">
        <f>IF(ROUND(C107,2)+ROUND(D107,2)=0,"","yes")</f>
        <v/>
      </c>
      <c r="G107" s="45" t="n"/>
      <c r="H107" s="43">
        <f>IF($G107="","",$E107-$G107)</f>
        <v/>
      </c>
    </row>
    <row r="108">
      <c r="A108" s="42" t="inlineStr">
        <is>
          <t>26022301</t>
        </is>
      </c>
      <c r="B108" s="42" t="inlineStr">
        <is>
          <t>Aware Super AV Maintenance</t>
        </is>
      </c>
      <c r="C108" s="43">
        <f>SUMIFS(tbl_WIP[Amount],tbl_WIP[Job Number],$A108,tbl_WIP[Month],"&lt;&gt;",tbl_WIP[Month],"&lt;"&amp;$C$4)+SUMIF('Deferred Revenue'!$E$6:$E$578,$A108,'Deferred Revenue'!$P$6:$P$578)</f>
        <v/>
      </c>
      <c r="D108" s="43">
        <f>SUMIFS(tbl_WIP[Amount],tbl_WIP[Job Number],$A108,tbl_WIP[Month],$C$4)+SUMIF('Deferred Revenue'!$E$6:$E$578,$A108,'Deferred Revenue'!$Q$6:$Q$578)</f>
        <v/>
      </c>
      <c r="E108" s="43">
        <f>C108+D108</f>
        <v/>
      </c>
      <c r="F108" s="44">
        <f>IF(ROUND(C108,2)+ROUND(D108,2)=0,"","yes")</f>
        <v/>
      </c>
      <c r="G108" s="45" t="n"/>
      <c r="H108" s="43">
        <f>IF($G108="","",$E108-$G108)</f>
        <v/>
      </c>
    </row>
    <row r="109">
      <c r="A109" s="42" t="inlineStr">
        <is>
          <t>26022301C</t>
        </is>
      </c>
      <c r="B109" s="42" t="inlineStr">
        <is>
          <t>Aware Super AV Maintenance</t>
        </is>
      </c>
      <c r="C109" s="43">
        <f>SUMIFS(tbl_WIP[Amount],tbl_WIP[Job Number],$A109,tbl_WIP[Month],"&lt;&gt;",tbl_WIP[Month],"&lt;"&amp;$C$4)+SUMIF('Deferred Revenue'!$E$6:$E$578,$A109,'Deferred Revenue'!$P$6:$P$578)</f>
        <v/>
      </c>
      <c r="D109" s="43">
        <f>SUMIFS(tbl_WIP[Amount],tbl_WIP[Job Number],$A109,tbl_WIP[Month],$C$4)+SUMIF('Deferred Revenue'!$E$6:$E$578,$A109,'Deferred Revenue'!$Q$6:$Q$578)</f>
        <v/>
      </c>
      <c r="E109" s="43">
        <f>C109+D109</f>
        <v/>
      </c>
      <c r="F109" s="44">
        <f>IF(ROUND(C109,2)+ROUND(D109,2)=0,"","yes")</f>
        <v/>
      </c>
      <c r="G109" s="45" t="n"/>
      <c r="H109" s="43">
        <f>IF($G109="","",$E109-$G109)</f>
        <v/>
      </c>
    </row>
    <row r="110">
      <c r="A110" s="42" t="inlineStr">
        <is>
          <t>26022301NC</t>
        </is>
      </c>
      <c r="B110" s="42" t="inlineStr">
        <is>
          <t>Aware Super AV Maintenance Non-chargeable</t>
        </is>
      </c>
      <c r="C110" s="43">
        <f>SUMIFS(tbl_WIP[Amount],tbl_WIP[Job Number],$A110,tbl_WIP[Month],"&lt;&gt;",tbl_WIP[Month],"&lt;"&amp;$C$4)+SUMIF('Deferred Revenue'!$E$6:$E$578,$A110,'Deferred Revenue'!$P$6:$P$578)</f>
        <v/>
      </c>
      <c r="D110" s="43">
        <f>SUMIFS(tbl_WIP[Amount],tbl_WIP[Job Number],$A110,tbl_WIP[Month],$C$4)+SUMIF('Deferred Revenue'!$E$6:$E$578,$A110,'Deferred Revenue'!$Q$6:$Q$578)</f>
        <v/>
      </c>
      <c r="E110" s="43">
        <f>C110+D110</f>
        <v/>
      </c>
      <c r="F110" s="44">
        <f>IF(ROUND(C110,2)+ROUND(D110,2)=0,"","yes")</f>
        <v/>
      </c>
      <c r="G110" s="45" t="n"/>
      <c r="H110" s="43">
        <f>IF($G110="","",$E110-$G110)</f>
        <v/>
      </c>
    </row>
    <row r="111">
      <c r="A111" s="42" t="inlineStr">
        <is>
          <t>26022301P</t>
        </is>
      </c>
      <c r="B111" s="42" t="inlineStr">
        <is>
          <t>Aware Super AV Maintenance</t>
        </is>
      </c>
      <c r="C111" s="43">
        <f>SUMIFS(tbl_WIP[Amount],tbl_WIP[Job Number],$A111,tbl_WIP[Month],"&lt;&gt;",tbl_WIP[Month],"&lt;"&amp;$C$4)+SUMIF('Deferred Revenue'!$E$6:$E$578,$A111,'Deferred Revenue'!$P$6:$P$578)</f>
        <v/>
      </c>
      <c r="D111" s="43">
        <f>SUMIFS(tbl_WIP[Amount],tbl_WIP[Job Number],$A111,tbl_WIP[Month],$C$4)+SUMIF('Deferred Revenue'!$E$6:$E$578,$A111,'Deferred Revenue'!$Q$6:$Q$578)</f>
        <v/>
      </c>
      <c r="E111" s="43">
        <f>C111+D111</f>
        <v/>
      </c>
      <c r="F111" s="44">
        <f>IF(ROUND(C111,2)+ROUND(D111,2)=0,"","yes")</f>
        <v/>
      </c>
      <c r="G111" s="45" t="n"/>
      <c r="H111" s="43">
        <f>IF($G111="","",$E111-$G111)</f>
        <v/>
      </c>
    </row>
    <row r="112">
      <c r="A112" s="42" t="inlineStr">
        <is>
          <t>26022302</t>
        </is>
      </c>
      <c r="B112" s="42" t="inlineStr">
        <is>
          <t>GP - Talking Philanthropy - 18.9.26</t>
        </is>
      </c>
      <c r="C112" s="43">
        <f>SUMIFS(tbl_WIP[Amount],tbl_WIP[Job Number],$A112,tbl_WIP[Month],"&lt;&gt;",tbl_WIP[Month],"&lt;"&amp;$C$4)+SUMIF('Deferred Revenue'!$E$6:$E$578,$A112,'Deferred Revenue'!$P$6:$P$578)</f>
        <v/>
      </c>
      <c r="D112" s="43">
        <f>SUMIFS(tbl_WIP[Amount],tbl_WIP[Job Number],$A112,tbl_WIP[Month],$C$4)+SUMIF('Deferred Revenue'!$E$6:$E$578,$A112,'Deferred Revenue'!$Q$6:$Q$578)</f>
        <v/>
      </c>
      <c r="E112" s="43">
        <f>C112+D112</f>
        <v/>
      </c>
      <c r="F112" s="44">
        <f>IF(ROUND(C112,2)+ROUND(D112,2)=0,"","yes")</f>
        <v/>
      </c>
      <c r="G112" s="45" t="n"/>
      <c r="H112" s="43">
        <f>IF($G112="","",$E112-$G112)</f>
        <v/>
      </c>
    </row>
    <row r="113">
      <c r="A113" s="42" t="inlineStr">
        <is>
          <t>26022302V</t>
        </is>
      </c>
      <c r="B113" s="42" t="inlineStr">
        <is>
          <t>GP - Talking Philanthropy - 18.9.26</t>
        </is>
      </c>
      <c r="C113" s="43">
        <f>SUMIFS(tbl_WIP[Amount],tbl_WIP[Job Number],$A113,tbl_WIP[Month],"&lt;&gt;",tbl_WIP[Month],"&lt;"&amp;$C$4)+SUMIF('Deferred Revenue'!$E$6:$E$578,$A113,'Deferred Revenue'!$P$6:$P$578)</f>
        <v/>
      </c>
      <c r="D113" s="43">
        <f>SUMIFS(tbl_WIP[Amount],tbl_WIP[Job Number],$A113,tbl_WIP[Month],$C$4)+SUMIF('Deferred Revenue'!$E$6:$E$578,$A113,'Deferred Revenue'!$Q$6:$Q$578)</f>
        <v/>
      </c>
      <c r="E113" s="43">
        <f>C113+D113</f>
        <v/>
      </c>
      <c r="F113" s="44">
        <f>IF(ROUND(C113,2)+ROUND(D113,2)=0,"","yes")</f>
        <v/>
      </c>
      <c r="G113" s="45" t="n"/>
      <c r="H113" s="43">
        <f>IF($G113="","",$E113-$G113)</f>
        <v/>
      </c>
    </row>
    <row r="114">
      <c r="A114" s="42" t="inlineStr">
        <is>
          <t>26022601</t>
        </is>
      </c>
      <c r="B114" s="42" t="inlineStr">
        <is>
          <t>ART - Annual Members Meeting - 25.11.26</t>
        </is>
      </c>
      <c r="C114" s="43">
        <f>SUMIFS(tbl_WIP[Amount],tbl_WIP[Job Number],$A114,tbl_WIP[Month],"&lt;&gt;",tbl_WIP[Month],"&lt;"&amp;$C$4)+SUMIF('Deferred Revenue'!$E$6:$E$578,$A114,'Deferred Revenue'!$P$6:$P$578)</f>
        <v/>
      </c>
      <c r="D114" s="43">
        <f>SUMIFS(tbl_WIP[Amount],tbl_WIP[Job Number],$A114,tbl_WIP[Month],$C$4)+SUMIF('Deferred Revenue'!$E$6:$E$578,$A114,'Deferred Revenue'!$Q$6:$Q$578)</f>
        <v/>
      </c>
      <c r="E114" s="43">
        <f>C114+D114</f>
        <v/>
      </c>
      <c r="F114" s="44">
        <f>IF(ROUND(C114,2)+ROUND(D114,2)=0,"","yes")</f>
        <v/>
      </c>
      <c r="G114" s="45" t="n"/>
      <c r="H114" s="43">
        <f>IF($G114="","",$E114-$G114)</f>
        <v/>
      </c>
    </row>
    <row r="115">
      <c r="A115" s="42" t="inlineStr">
        <is>
          <t>26022601V</t>
        </is>
      </c>
      <c r="B115" s="42" t="inlineStr">
        <is>
          <t>ART - Annual Members Meeting - 25.11.26</t>
        </is>
      </c>
      <c r="C115" s="43">
        <f>SUMIFS(tbl_WIP[Amount],tbl_WIP[Job Number],$A115,tbl_WIP[Month],"&lt;&gt;",tbl_WIP[Month],"&lt;"&amp;$C$4)+SUMIF('Deferred Revenue'!$E$6:$E$578,$A115,'Deferred Revenue'!$P$6:$P$578)</f>
        <v/>
      </c>
      <c r="D115" s="43">
        <f>SUMIFS(tbl_WIP[Amount],tbl_WIP[Job Number],$A115,tbl_WIP[Month],$C$4)+SUMIF('Deferred Revenue'!$E$6:$E$578,$A115,'Deferred Revenue'!$Q$6:$Q$578)</f>
        <v/>
      </c>
      <c r="E115" s="43">
        <f>C115+D115</f>
        <v/>
      </c>
      <c r="F115" s="44">
        <f>IF(ROUND(C115,2)+ROUND(D115,2)=0,"","yes")</f>
        <v/>
      </c>
      <c r="G115" s="45" t="n"/>
      <c r="H115" s="43">
        <f>IF($G115="","",$E115-$G115)</f>
        <v/>
      </c>
    </row>
    <row r="116">
      <c r="A116" s="42" t="inlineStr">
        <is>
          <t>2602901</t>
        </is>
      </c>
      <c r="B116" s="42" t="inlineStr">
        <is>
          <t>HP-Telstra: Phone Modification</t>
        </is>
      </c>
      <c r="C116" s="43">
        <f>SUMIFS(tbl_WIP[Amount],tbl_WIP[Job Number],$A116,tbl_WIP[Month],"&lt;&gt;",tbl_WIP[Month],"&lt;"&amp;$C$4)+SUMIF('Deferred Revenue'!$E$6:$E$578,$A116,'Deferred Revenue'!$P$6:$P$578)</f>
        <v/>
      </c>
      <c r="D116" s="43">
        <f>SUMIFS(tbl_WIP[Amount],tbl_WIP[Job Number],$A116,tbl_WIP[Month],$C$4)+SUMIF('Deferred Revenue'!$E$6:$E$578,$A116,'Deferred Revenue'!$Q$6:$Q$578)</f>
        <v/>
      </c>
      <c r="E116" s="43">
        <f>C116+D116</f>
        <v/>
      </c>
      <c r="F116" s="44">
        <f>IF(ROUND(C116,2)+ROUND(D116,2)=0,"","yes")</f>
        <v/>
      </c>
      <c r="G116" s="45" t="n"/>
      <c r="H116" s="43">
        <f>IF($G116="","",$E116-$G116)</f>
        <v/>
      </c>
    </row>
    <row r="117">
      <c r="A117" s="42" t="inlineStr">
        <is>
          <t>2603104</t>
        </is>
      </c>
      <c r="B117" s="42" t="inlineStr">
        <is>
          <t>Cochlear FY26 Results 18.8.26</t>
        </is>
      </c>
      <c r="C117" s="43">
        <f>SUMIFS(tbl_WIP[Amount],tbl_WIP[Job Number],$A117,tbl_WIP[Month],"&lt;&gt;",tbl_WIP[Month],"&lt;"&amp;$C$4)+SUMIF('Deferred Revenue'!$E$6:$E$578,$A117,'Deferred Revenue'!$P$6:$P$578)</f>
        <v/>
      </c>
      <c r="D117" s="43">
        <f>SUMIFS(tbl_WIP[Amount],tbl_WIP[Job Number],$A117,tbl_WIP[Month],$C$4)+SUMIF('Deferred Revenue'!$E$6:$E$578,$A117,'Deferred Revenue'!$Q$6:$Q$578)</f>
        <v/>
      </c>
      <c r="E117" s="43">
        <f>C117+D117</f>
        <v/>
      </c>
      <c r="F117" s="44">
        <f>IF(ROUND(C117,2)+ROUND(D117,2)=0,"","yes")</f>
        <v/>
      </c>
      <c r="G117" s="45" t="n"/>
      <c r="H117" s="43">
        <f>IF($G117="","",$E117-$G117)</f>
        <v/>
      </c>
    </row>
    <row r="118">
      <c r="A118" s="42" t="inlineStr">
        <is>
          <t>2603104V</t>
        </is>
      </c>
      <c r="B118" s="42" t="inlineStr">
        <is>
          <t>Cochlear FY26 Results 18.8.26</t>
        </is>
      </c>
      <c r="C118" s="43">
        <f>SUMIFS(tbl_WIP[Amount],tbl_WIP[Job Number],$A118,tbl_WIP[Month],"&lt;&gt;",tbl_WIP[Month],"&lt;"&amp;$C$4)+SUMIF('Deferred Revenue'!$E$6:$E$578,$A118,'Deferred Revenue'!$P$6:$P$578)</f>
        <v/>
      </c>
      <c r="D118" s="43">
        <f>SUMIFS(tbl_WIP[Amount],tbl_WIP[Job Number],$A118,tbl_WIP[Month],$C$4)+SUMIF('Deferred Revenue'!$E$6:$E$578,$A118,'Deferred Revenue'!$Q$6:$Q$578)</f>
        <v/>
      </c>
      <c r="E118" s="43">
        <f>C118+D118</f>
        <v/>
      </c>
      <c r="F118" s="44">
        <f>IF(ROUND(C118,2)+ROUND(D118,2)=0,"","yes")</f>
        <v/>
      </c>
      <c r="G118" s="45" t="n"/>
      <c r="H118" s="43">
        <f>IF($G118="","",$E118-$G118)</f>
        <v/>
      </c>
    </row>
    <row r="119">
      <c r="A119" s="42" t="inlineStr">
        <is>
          <t>2603105</t>
        </is>
      </c>
      <c r="B119" s="42" t="inlineStr">
        <is>
          <t>Cochlear - AGM - 26.10.26</t>
        </is>
      </c>
      <c r="C119" s="43">
        <f>SUMIFS(tbl_WIP[Amount],tbl_WIP[Job Number],$A119,tbl_WIP[Month],"&lt;&gt;",tbl_WIP[Month],"&lt;"&amp;$C$4)+SUMIF('Deferred Revenue'!$E$6:$E$578,$A119,'Deferred Revenue'!$P$6:$P$578)</f>
        <v/>
      </c>
      <c r="D119" s="43">
        <f>SUMIFS(tbl_WIP[Amount],tbl_WIP[Job Number],$A119,tbl_WIP[Month],$C$4)+SUMIF('Deferred Revenue'!$E$6:$E$578,$A119,'Deferred Revenue'!$Q$6:$Q$578)</f>
        <v/>
      </c>
      <c r="E119" s="43">
        <f>C119+D119</f>
        <v/>
      </c>
      <c r="F119" s="44">
        <f>IF(ROUND(C119,2)+ROUND(D119,2)=0,"","yes")</f>
        <v/>
      </c>
      <c r="G119" s="45" t="n"/>
      <c r="H119" s="43">
        <f>IF($G119="","",$E119-$G119)</f>
        <v/>
      </c>
    </row>
    <row r="120">
      <c r="A120" s="42" t="inlineStr">
        <is>
          <t>2603105V</t>
        </is>
      </c>
      <c r="B120" s="42" t="inlineStr">
        <is>
          <t>Cochlear - AGM - 26.10.26</t>
        </is>
      </c>
      <c r="C120" s="43">
        <f>SUMIFS(tbl_WIP[Amount],tbl_WIP[Job Number],$A120,tbl_WIP[Month],"&lt;&gt;",tbl_WIP[Month],"&lt;"&amp;$C$4)+SUMIF('Deferred Revenue'!$E$6:$E$578,$A120,'Deferred Revenue'!$P$6:$P$578)</f>
        <v/>
      </c>
      <c r="D120" s="43">
        <f>SUMIFS(tbl_WIP[Amount],tbl_WIP[Job Number],$A120,tbl_WIP[Month],$C$4)+SUMIF('Deferred Revenue'!$E$6:$E$578,$A120,'Deferred Revenue'!$Q$6:$Q$578)</f>
        <v/>
      </c>
      <c r="E120" s="43">
        <f>C120+D120</f>
        <v/>
      </c>
      <c r="F120" s="44">
        <f>IF(ROUND(C120,2)+ROUND(D120,2)=0,"","yes")</f>
        <v/>
      </c>
      <c r="G120" s="45" t="n"/>
      <c r="H120" s="43">
        <f>IF($G120="","",$E120-$G120)</f>
        <v/>
      </c>
    </row>
    <row r="121">
      <c r="A121" s="42" t="inlineStr">
        <is>
          <t>2603202</t>
        </is>
      </c>
      <c r="B121" s="42" t="inlineStr">
        <is>
          <t>Property NSW 5 O’Keefe Ave Nowra Workplace Hub</t>
        </is>
      </c>
      <c r="C121" s="43">
        <f>SUMIFS(tbl_WIP[Amount],tbl_WIP[Job Number],$A121,tbl_WIP[Month],"&lt;&gt;",tbl_WIP[Month],"&lt;"&amp;$C$4)+SUMIF('Deferred Revenue'!$E$6:$E$578,$A121,'Deferred Revenue'!$P$6:$P$578)</f>
        <v/>
      </c>
      <c r="D121" s="43">
        <f>SUMIFS(tbl_WIP[Amount],tbl_WIP[Job Number],$A121,tbl_WIP[Month],$C$4)+SUMIF('Deferred Revenue'!$E$6:$E$578,$A121,'Deferred Revenue'!$Q$6:$Q$578)</f>
        <v/>
      </c>
      <c r="E121" s="43">
        <f>C121+D121</f>
        <v/>
      </c>
      <c r="F121" s="44">
        <f>IF(ROUND(C121,2)+ROUND(D121,2)=0,"","yes")</f>
        <v/>
      </c>
      <c r="G121" s="45" t="n"/>
      <c r="H121" s="43">
        <f>IF($G121="","",$E121-$G121)</f>
        <v/>
      </c>
    </row>
    <row r="122">
      <c r="A122" s="42" t="inlineStr">
        <is>
          <t>26032301</t>
        </is>
      </c>
      <c r="B122" s="42" t="inlineStr">
        <is>
          <t>RSNSW - OGM - 1.7.2026</t>
        </is>
      </c>
      <c r="C122" s="43">
        <f>SUMIFS(tbl_WIP[Amount],tbl_WIP[Job Number],$A122,tbl_WIP[Month],"&lt;&gt;",tbl_WIP[Month],"&lt;"&amp;$C$4)+SUMIF('Deferred Revenue'!$E$6:$E$578,$A122,'Deferred Revenue'!$P$6:$P$578)</f>
        <v/>
      </c>
      <c r="D122" s="43">
        <f>SUMIFS(tbl_WIP[Amount],tbl_WIP[Job Number],$A122,tbl_WIP[Month],$C$4)+SUMIF('Deferred Revenue'!$E$6:$E$578,$A122,'Deferred Revenue'!$Q$6:$Q$578)</f>
        <v/>
      </c>
      <c r="E122" s="43">
        <f>C122+D122</f>
        <v/>
      </c>
      <c r="F122" s="44">
        <f>IF(ROUND(C122,2)+ROUND(D122,2)=0,"","yes")</f>
        <v/>
      </c>
      <c r="G122" s="45" t="n"/>
      <c r="H122" s="43">
        <f>IF($G122="","",$E122-$G122)</f>
        <v/>
      </c>
    </row>
    <row r="123">
      <c r="A123" s="42" t="inlineStr">
        <is>
          <t>26032301V</t>
        </is>
      </c>
      <c r="B123" s="42" t="inlineStr">
        <is>
          <t>RSNSW - OGM - 1.7.2026</t>
        </is>
      </c>
      <c r="C123" s="43">
        <f>SUMIFS(tbl_WIP[Amount],tbl_WIP[Job Number],$A123,tbl_WIP[Month],"&lt;&gt;",tbl_WIP[Month],"&lt;"&amp;$C$4)+SUMIF('Deferred Revenue'!$E$6:$E$578,$A123,'Deferred Revenue'!$P$6:$P$578)</f>
        <v/>
      </c>
      <c r="D123" s="43">
        <f>SUMIFS(tbl_WIP[Amount],tbl_WIP[Job Number],$A123,tbl_WIP[Month],$C$4)+SUMIF('Deferred Revenue'!$E$6:$E$578,$A123,'Deferred Revenue'!$Q$6:$Q$578)</f>
        <v/>
      </c>
      <c r="E123" s="43">
        <f>C123+D123</f>
        <v/>
      </c>
      <c r="F123" s="44">
        <f>IF(ROUND(C123,2)+ROUND(D123,2)=0,"","yes")</f>
        <v/>
      </c>
      <c r="G123" s="45" t="n"/>
      <c r="H123" s="43">
        <f>IF($G123="","",$E123-$G123)</f>
        <v/>
      </c>
    </row>
    <row r="124">
      <c r="A124" s="42" t="inlineStr">
        <is>
          <t>26032302</t>
        </is>
      </c>
      <c r="B124" s="42" t="inlineStr">
        <is>
          <t>RSNSW - OGM - 2.9.2026</t>
        </is>
      </c>
      <c r="C124" s="43">
        <f>SUMIFS(tbl_WIP[Amount],tbl_WIP[Job Number],$A124,tbl_WIP[Month],"&lt;&gt;",tbl_WIP[Month],"&lt;"&amp;$C$4)+SUMIF('Deferred Revenue'!$E$6:$E$578,$A124,'Deferred Revenue'!$P$6:$P$578)</f>
        <v/>
      </c>
      <c r="D124" s="43">
        <f>SUMIFS(tbl_WIP[Amount],tbl_WIP[Job Number],$A124,tbl_WIP[Month],$C$4)+SUMIF('Deferred Revenue'!$E$6:$E$578,$A124,'Deferred Revenue'!$Q$6:$Q$578)</f>
        <v/>
      </c>
      <c r="E124" s="43">
        <f>C124+D124</f>
        <v/>
      </c>
      <c r="F124" s="44">
        <f>IF(ROUND(C124,2)+ROUND(D124,2)=0,"","yes")</f>
        <v/>
      </c>
      <c r="G124" s="45" t="n"/>
      <c r="H124" s="43">
        <f>IF($G124="","",$E124-$G124)</f>
        <v/>
      </c>
    </row>
    <row r="125">
      <c r="A125" s="42" t="inlineStr">
        <is>
          <t>26032302V</t>
        </is>
      </c>
      <c r="B125" s="42" t="inlineStr">
        <is>
          <t>RSNSW - OGM - 2.9.2026</t>
        </is>
      </c>
      <c r="C125" s="43">
        <f>SUMIFS(tbl_WIP[Amount],tbl_WIP[Job Number],$A125,tbl_WIP[Month],"&lt;&gt;",tbl_WIP[Month],"&lt;"&amp;$C$4)+SUMIF('Deferred Revenue'!$E$6:$E$578,$A125,'Deferred Revenue'!$P$6:$P$578)</f>
        <v/>
      </c>
      <c r="D125" s="43">
        <f>SUMIFS(tbl_WIP[Amount],tbl_WIP[Job Number],$A125,tbl_WIP[Month],$C$4)+SUMIF('Deferred Revenue'!$E$6:$E$578,$A125,'Deferred Revenue'!$Q$6:$Q$578)</f>
        <v/>
      </c>
      <c r="E125" s="43">
        <f>C125+D125</f>
        <v/>
      </c>
      <c r="F125" s="44">
        <f>IF(ROUND(C125,2)+ROUND(D125,2)=0,"","yes")</f>
        <v/>
      </c>
      <c r="G125" s="45" t="n"/>
      <c r="H125" s="43">
        <f>IF($G125="","",$E125-$G125)</f>
        <v/>
      </c>
    </row>
    <row r="126">
      <c r="A126" s="42" t="inlineStr">
        <is>
          <t>26032501</t>
        </is>
      </c>
      <c r="B126" s="42" t="inlineStr">
        <is>
          <t>ChorusCall - Regal Partners AGM - 28.5.26</t>
        </is>
      </c>
      <c r="C126" s="43">
        <f>SUMIFS(tbl_WIP[Amount],tbl_WIP[Job Number],$A126,tbl_WIP[Month],"&lt;&gt;",tbl_WIP[Month],"&lt;"&amp;$C$4)+SUMIF('Deferred Revenue'!$E$6:$E$578,$A126,'Deferred Revenue'!$P$6:$P$578)</f>
        <v/>
      </c>
      <c r="D126" s="43">
        <f>SUMIFS(tbl_WIP[Amount],tbl_WIP[Job Number],$A126,tbl_WIP[Month],$C$4)+SUMIF('Deferred Revenue'!$E$6:$E$578,$A126,'Deferred Revenue'!$Q$6:$Q$578)</f>
        <v/>
      </c>
      <c r="E126" s="43">
        <f>C126+D126</f>
        <v/>
      </c>
      <c r="F126" s="44">
        <f>IF(ROUND(C126,2)+ROUND(D126,2)=0,"","yes")</f>
        <v/>
      </c>
      <c r="G126" s="45" t="n"/>
      <c r="H126" s="43">
        <f>IF($G126="","",$E126-$G126)</f>
        <v/>
      </c>
    </row>
    <row r="127">
      <c r="A127" s="42" t="inlineStr">
        <is>
          <t>26032502</t>
        </is>
      </c>
      <c r="B127" s="42" t="inlineStr">
        <is>
          <t>3YS Owls - Governance Top 100 2026 - 30.10.26</t>
        </is>
      </c>
      <c r="C127" s="43">
        <f>SUMIFS(tbl_WIP[Amount],tbl_WIP[Job Number],$A127,tbl_WIP[Month],"&lt;&gt;",tbl_WIP[Month],"&lt;"&amp;$C$4)+SUMIF('Deferred Revenue'!$E$6:$E$578,$A127,'Deferred Revenue'!$P$6:$P$578)</f>
        <v/>
      </c>
      <c r="D127" s="43">
        <f>SUMIFS(tbl_WIP[Amount],tbl_WIP[Job Number],$A127,tbl_WIP[Month],$C$4)+SUMIF('Deferred Revenue'!$E$6:$E$578,$A127,'Deferred Revenue'!$Q$6:$Q$578)</f>
        <v/>
      </c>
      <c r="E127" s="43">
        <f>C127+D127</f>
        <v/>
      </c>
      <c r="F127" s="44">
        <f>IF(ROUND(C127,2)+ROUND(D127,2)=0,"","yes")</f>
        <v/>
      </c>
      <c r="G127" s="45" t="n"/>
      <c r="H127" s="43">
        <f>IF($G127="","",$E127-$G127)</f>
        <v/>
      </c>
    </row>
    <row r="128">
      <c r="A128" s="42" t="inlineStr">
        <is>
          <t>26032502V</t>
        </is>
      </c>
      <c r="B128" s="42" t="inlineStr">
        <is>
          <t>3YS Owls - Governance Top 100 2026 - 30.10.26</t>
        </is>
      </c>
      <c r="C128" s="43">
        <f>SUMIFS(tbl_WIP[Amount],tbl_WIP[Job Number],$A128,tbl_WIP[Month],"&lt;&gt;",tbl_WIP[Month],"&lt;"&amp;$C$4)+SUMIF('Deferred Revenue'!$E$6:$E$578,$A128,'Deferred Revenue'!$P$6:$P$578)</f>
        <v/>
      </c>
      <c r="D128" s="43">
        <f>SUMIFS(tbl_WIP[Amount],tbl_WIP[Job Number],$A128,tbl_WIP[Month],$C$4)+SUMIF('Deferred Revenue'!$E$6:$E$578,$A128,'Deferred Revenue'!$Q$6:$Q$578)</f>
        <v/>
      </c>
      <c r="E128" s="43">
        <f>C128+D128</f>
        <v/>
      </c>
      <c r="F128" s="44">
        <f>IF(ROUND(C128,2)+ROUND(D128,2)=0,"","yes")</f>
        <v/>
      </c>
      <c r="G128" s="45" t="n"/>
      <c r="H128" s="43">
        <f>IF($G128="","",$E128-$G128)</f>
        <v/>
      </c>
    </row>
    <row r="129">
      <c r="A129" s="42" t="inlineStr">
        <is>
          <t>26032701</t>
        </is>
      </c>
      <c r="B129" s="42" t="inlineStr">
        <is>
          <t>MUFG - A1N AGM - 7.5.26</t>
        </is>
      </c>
      <c r="C129" s="43">
        <f>SUMIFS(tbl_WIP[Amount],tbl_WIP[Job Number],$A129,tbl_WIP[Month],"&lt;&gt;",tbl_WIP[Month],"&lt;"&amp;$C$4)+SUMIF('Deferred Revenue'!$E$6:$E$578,$A129,'Deferred Revenue'!$P$6:$P$578)</f>
        <v/>
      </c>
      <c r="D129" s="43">
        <f>SUMIFS(tbl_WIP[Amount],tbl_WIP[Job Number],$A129,tbl_WIP[Month],$C$4)+SUMIF('Deferred Revenue'!$E$6:$E$578,$A129,'Deferred Revenue'!$Q$6:$Q$578)</f>
        <v/>
      </c>
      <c r="E129" s="43">
        <f>C129+D129</f>
        <v/>
      </c>
      <c r="F129" s="44">
        <f>IF(ROUND(C129,2)+ROUND(D129,2)=0,"","yes")</f>
        <v/>
      </c>
      <c r="G129" s="45" t="n"/>
      <c r="H129" s="43">
        <f>IF($G129="","",$E129-$G129)</f>
        <v/>
      </c>
    </row>
    <row r="130">
      <c r="A130" s="42" t="inlineStr">
        <is>
          <t>26032701V</t>
        </is>
      </c>
      <c r="B130" s="42" t="inlineStr">
        <is>
          <t>MUFG - A1N AGM - 7.5.26</t>
        </is>
      </c>
      <c r="C130" s="43">
        <f>SUMIFS(tbl_WIP[Amount],tbl_WIP[Job Number],$A130,tbl_WIP[Month],"&lt;&gt;",tbl_WIP[Month],"&lt;"&amp;$C$4)+SUMIF('Deferred Revenue'!$E$6:$E$578,$A130,'Deferred Revenue'!$P$6:$P$578)</f>
        <v/>
      </c>
      <c r="D130" s="43">
        <f>SUMIFS(tbl_WIP[Amount],tbl_WIP[Job Number],$A130,tbl_WIP[Month],$C$4)+SUMIF('Deferred Revenue'!$E$6:$E$578,$A130,'Deferred Revenue'!$Q$6:$Q$578)</f>
        <v/>
      </c>
      <c r="E130" s="43">
        <f>C130+D130</f>
        <v/>
      </c>
      <c r="F130" s="44">
        <f>IF(ROUND(C130,2)+ROUND(D130,2)=0,"","yes")</f>
        <v/>
      </c>
      <c r="G130" s="45" t="n"/>
      <c r="H130" s="43">
        <f>IF($G130="","",$E130-$G130)</f>
        <v/>
      </c>
    </row>
    <row r="131">
      <c r="A131" s="42" t="inlineStr">
        <is>
          <t>26032702</t>
        </is>
      </c>
      <c r="B131" s="42" t="inlineStr">
        <is>
          <t>Ventia Transport Australia and Ventia Networking 6.5.26</t>
        </is>
      </c>
      <c r="C131" s="43">
        <f>SUMIFS(tbl_WIP[Amount],tbl_WIP[Job Number],$A131,tbl_WIP[Month],"&lt;&gt;",tbl_WIP[Month],"&lt;"&amp;$C$4)+SUMIF('Deferred Revenue'!$E$6:$E$578,$A131,'Deferred Revenue'!$P$6:$P$578)</f>
        <v/>
      </c>
      <c r="D131" s="43">
        <f>SUMIFS(tbl_WIP[Amount],tbl_WIP[Job Number],$A131,tbl_WIP[Month],$C$4)+SUMIF('Deferred Revenue'!$E$6:$E$578,$A131,'Deferred Revenue'!$Q$6:$Q$578)</f>
        <v/>
      </c>
      <c r="E131" s="43">
        <f>C131+D131</f>
        <v/>
      </c>
      <c r="F131" s="44">
        <f>IF(ROUND(C131,2)+ROUND(D131,2)=0,"","yes")</f>
        <v/>
      </c>
      <c r="G131" s="45" t="n"/>
      <c r="H131" s="43">
        <f>IF($G131="","",$E131-$G131)</f>
        <v/>
      </c>
    </row>
    <row r="132">
      <c r="A132" s="42" t="inlineStr">
        <is>
          <t>26032704</t>
        </is>
      </c>
      <c r="B132" s="42" t="inlineStr">
        <is>
          <t>CBA LES - April 2026</t>
        </is>
      </c>
      <c r="C132" s="43">
        <f>SUMIFS(tbl_WIP[Amount],tbl_WIP[Job Number],$A132,tbl_WIP[Month],"&lt;&gt;",tbl_WIP[Month],"&lt;"&amp;$C$4)+SUMIF('Deferred Revenue'!$E$6:$E$578,$A132,'Deferred Revenue'!$P$6:$P$578)</f>
        <v/>
      </c>
      <c r="D132" s="43">
        <f>SUMIFS(tbl_WIP[Amount],tbl_WIP[Job Number],$A132,tbl_WIP[Month],$C$4)+SUMIF('Deferred Revenue'!$E$6:$E$578,$A132,'Deferred Revenue'!$Q$6:$Q$578)</f>
        <v/>
      </c>
      <c r="E132" s="43">
        <f>C132+D132</f>
        <v/>
      </c>
      <c r="F132" s="44">
        <f>IF(ROUND(C132,2)+ROUND(D132,2)=0,"","yes")</f>
        <v/>
      </c>
      <c r="G132" s="45" t="n"/>
      <c r="H132" s="43">
        <f>IF($G132="","",$E132-$G132)</f>
        <v/>
      </c>
    </row>
    <row r="133">
      <c r="A133" s="42" t="inlineStr">
        <is>
          <t>26033003</t>
        </is>
      </c>
      <c r="B133" s="42" t="inlineStr">
        <is>
          <t>DTTL 8PSQ Dream Big Microphones</t>
        </is>
      </c>
      <c r="C133" s="43">
        <f>SUMIFS(tbl_WIP[Amount],tbl_WIP[Job Number],$A133,tbl_WIP[Month],"&lt;&gt;",tbl_WIP[Month],"&lt;"&amp;$C$4)+SUMIF('Deferred Revenue'!$E$6:$E$578,$A133,'Deferred Revenue'!$P$6:$P$578)</f>
        <v/>
      </c>
      <c r="D133" s="43">
        <f>SUMIFS(tbl_WIP[Amount],tbl_WIP[Job Number],$A133,tbl_WIP[Month],$C$4)+SUMIF('Deferred Revenue'!$E$6:$E$578,$A133,'Deferred Revenue'!$Q$6:$Q$578)</f>
        <v/>
      </c>
      <c r="E133" s="43">
        <f>C133+D133</f>
        <v/>
      </c>
      <c r="F133" s="44">
        <f>IF(ROUND(C133,2)+ROUND(D133,2)=0,"","yes")</f>
        <v/>
      </c>
      <c r="G133" s="45" t="n"/>
      <c r="H133" s="43">
        <f>IF($G133="","",$E133-$G133)</f>
        <v/>
      </c>
    </row>
    <row r="134">
      <c r="A134" s="42" t="inlineStr">
        <is>
          <t>26033004</t>
        </is>
      </c>
      <c r="B134" s="42" t="inlineStr">
        <is>
          <t>DTTL Melbourne Bluetooth Audio</t>
        </is>
      </c>
      <c r="C134" s="43">
        <f>SUMIFS(tbl_WIP[Amount],tbl_WIP[Job Number],$A134,tbl_WIP[Month],"&lt;&gt;",tbl_WIP[Month],"&lt;"&amp;$C$4)+SUMIF('Deferred Revenue'!$E$6:$E$578,$A134,'Deferred Revenue'!$P$6:$P$578)</f>
        <v/>
      </c>
      <c r="D134" s="43">
        <f>SUMIFS(tbl_WIP[Amount],tbl_WIP[Job Number],$A134,tbl_WIP[Month],$C$4)+SUMIF('Deferred Revenue'!$E$6:$E$578,$A134,'Deferred Revenue'!$Q$6:$Q$578)</f>
        <v/>
      </c>
      <c r="E134" s="43">
        <f>C134+D134</f>
        <v/>
      </c>
      <c r="F134" s="44">
        <f>IF(ROUND(C134,2)+ROUND(D134,2)=0,"","yes")</f>
        <v/>
      </c>
      <c r="G134" s="45" t="n"/>
      <c r="H134" s="43">
        <f>IF($G134="","",$E134-$G134)</f>
        <v/>
      </c>
    </row>
    <row r="135">
      <c r="A135" s="42" t="inlineStr">
        <is>
          <t>26033005</t>
        </is>
      </c>
      <c r="B135" s="42" t="inlineStr">
        <is>
          <t>DTTL QQT &amp; 8PSQ Crestron Connect Adaptor</t>
        </is>
      </c>
      <c r="C135" s="43">
        <f>SUMIFS(tbl_WIP[Amount],tbl_WIP[Job Number],$A135,tbl_WIP[Month],"&lt;&gt;",tbl_WIP[Month],"&lt;"&amp;$C$4)+SUMIF('Deferred Revenue'!$E$6:$E$578,$A135,'Deferred Revenue'!$P$6:$P$578)</f>
        <v/>
      </c>
      <c r="D135" s="43">
        <f>SUMIFS(tbl_WIP[Amount],tbl_WIP[Job Number],$A135,tbl_WIP[Month],$C$4)+SUMIF('Deferred Revenue'!$E$6:$E$578,$A135,'Deferred Revenue'!$Q$6:$Q$578)</f>
        <v/>
      </c>
      <c r="E135" s="43">
        <f>C135+D135</f>
        <v/>
      </c>
      <c r="F135" s="44">
        <f>IF(ROUND(C135,2)+ROUND(D135,2)=0,"","yes")</f>
        <v/>
      </c>
      <c r="G135" s="45" t="n"/>
      <c r="H135" s="43">
        <f>IF($G135="","",$E135-$G135)</f>
        <v/>
      </c>
    </row>
    <row r="136">
      <c r="A136" s="42" t="inlineStr">
        <is>
          <t>26033006</t>
        </is>
      </c>
      <c r="B136" s="42" t="inlineStr">
        <is>
          <t>DTTL 8PSQ Bluetooth Audio</t>
        </is>
      </c>
      <c r="C136" s="43">
        <f>SUMIFS(tbl_WIP[Amount],tbl_WIP[Job Number],$A136,tbl_WIP[Month],"&lt;&gt;",tbl_WIP[Month],"&lt;"&amp;$C$4)+SUMIF('Deferred Revenue'!$E$6:$E$578,$A136,'Deferred Revenue'!$P$6:$P$578)</f>
        <v/>
      </c>
      <c r="D136" s="43">
        <f>SUMIFS(tbl_WIP[Amount],tbl_WIP[Job Number],$A136,tbl_WIP[Month],$C$4)+SUMIF('Deferred Revenue'!$E$6:$E$578,$A136,'Deferred Revenue'!$Q$6:$Q$578)</f>
        <v/>
      </c>
      <c r="E136" s="43">
        <f>C136+D136</f>
        <v/>
      </c>
      <c r="F136" s="44">
        <f>IF(ROUND(C136,2)+ROUND(D136,2)=0,"","yes")</f>
        <v/>
      </c>
      <c r="G136" s="45" t="n"/>
      <c r="H136" s="43">
        <f>IF($G136="","",$E136-$G136)</f>
        <v/>
      </c>
    </row>
    <row r="137">
      <c r="A137" s="42" t="inlineStr">
        <is>
          <t>26033007</t>
        </is>
      </c>
      <c r="B137" s="42" t="inlineStr">
        <is>
          <t>DTTL QQT Lv45 Seminar Wheels repair</t>
        </is>
      </c>
      <c r="C137" s="43">
        <f>SUMIFS(tbl_WIP[Amount],tbl_WIP[Job Number],$A137,tbl_WIP[Month],"&lt;&gt;",tbl_WIP[Month],"&lt;"&amp;$C$4)+SUMIF('Deferred Revenue'!$E$6:$E$578,$A137,'Deferred Revenue'!$P$6:$P$578)</f>
        <v/>
      </c>
      <c r="D137" s="43">
        <f>SUMIFS(tbl_WIP[Amount],tbl_WIP[Job Number],$A137,tbl_WIP[Month],$C$4)+SUMIF('Deferred Revenue'!$E$6:$E$578,$A137,'Deferred Revenue'!$Q$6:$Q$578)</f>
        <v/>
      </c>
      <c r="E137" s="43">
        <f>C137+D137</f>
        <v/>
      </c>
      <c r="F137" s="44">
        <f>IF(ROUND(C137,2)+ROUND(D137,2)=0,"","yes")</f>
        <v/>
      </c>
      <c r="G137" s="45" t="n"/>
      <c r="H137" s="43">
        <f>IF($G137="","",$E137-$G137)</f>
        <v/>
      </c>
    </row>
    <row r="138">
      <c r="A138" s="42" t="inlineStr">
        <is>
          <t>26033008</t>
        </is>
      </c>
      <c r="B138" s="42" t="inlineStr">
        <is>
          <t>DTTL MEL Repair of Lv31 LED panels</t>
        </is>
      </c>
      <c r="C138" s="43">
        <f>SUMIFS(tbl_WIP[Amount],tbl_WIP[Job Number],$A138,tbl_WIP[Month],"&lt;&gt;",tbl_WIP[Month],"&lt;"&amp;$C$4)+SUMIF('Deferred Revenue'!$E$6:$E$578,$A138,'Deferred Revenue'!$P$6:$P$578)</f>
        <v/>
      </c>
      <c r="D138" s="43">
        <f>SUMIFS(tbl_WIP[Amount],tbl_WIP[Job Number],$A138,tbl_WIP[Month],$C$4)+SUMIF('Deferred Revenue'!$E$6:$E$578,$A138,'Deferred Revenue'!$Q$6:$Q$578)</f>
        <v/>
      </c>
      <c r="E138" s="43">
        <f>C138+D138</f>
        <v/>
      </c>
      <c r="F138" s="44">
        <f>IF(ROUND(C138,2)+ROUND(D138,2)=0,"","yes")</f>
        <v/>
      </c>
      <c r="G138" s="45" t="n"/>
      <c r="H138" s="43">
        <f>IF($G138="","",$E138-$G138)</f>
        <v/>
      </c>
    </row>
    <row r="139">
      <c r="A139" s="42" t="inlineStr">
        <is>
          <t>26041603</t>
        </is>
      </c>
      <c r="B139" s="42" t="inlineStr">
        <is>
          <t>Optiver - Town Hall - 23.7.26</t>
        </is>
      </c>
      <c r="C139" s="43">
        <f>SUMIFS(tbl_WIP[Amount],tbl_WIP[Job Number],$A139,tbl_WIP[Month],"&lt;&gt;",tbl_WIP[Month],"&lt;"&amp;$C$4)+SUMIF('Deferred Revenue'!$E$6:$E$578,$A139,'Deferred Revenue'!$P$6:$P$578)</f>
        <v/>
      </c>
      <c r="D139" s="43">
        <f>SUMIFS(tbl_WIP[Amount],tbl_WIP[Job Number],$A139,tbl_WIP[Month],$C$4)+SUMIF('Deferred Revenue'!$E$6:$E$578,$A139,'Deferred Revenue'!$Q$6:$Q$578)</f>
        <v/>
      </c>
      <c r="E139" s="43">
        <f>C139+D139</f>
        <v/>
      </c>
      <c r="F139" s="44">
        <f>IF(ROUND(C139,2)+ROUND(D139,2)=0,"","yes")</f>
        <v/>
      </c>
      <c r="G139" s="45" t="n"/>
      <c r="H139" s="43">
        <f>IF($G139="","",$E139-$G139)</f>
        <v/>
      </c>
    </row>
    <row r="140">
      <c r="A140" s="42" t="inlineStr">
        <is>
          <t>26041603V</t>
        </is>
      </c>
      <c r="B140" s="42" t="inlineStr">
        <is>
          <t>Optiver - Town Hall - 23.7.26</t>
        </is>
      </c>
      <c r="C140" s="43">
        <f>SUMIFS(tbl_WIP[Amount],tbl_WIP[Job Number],$A140,tbl_WIP[Month],"&lt;&gt;",tbl_WIP[Month],"&lt;"&amp;$C$4)+SUMIF('Deferred Revenue'!$E$6:$E$578,$A140,'Deferred Revenue'!$P$6:$P$578)</f>
        <v/>
      </c>
      <c r="D140" s="43">
        <f>SUMIFS(tbl_WIP[Amount],tbl_WIP[Job Number],$A140,tbl_WIP[Month],$C$4)+SUMIF('Deferred Revenue'!$E$6:$E$578,$A140,'Deferred Revenue'!$Q$6:$Q$578)</f>
        <v/>
      </c>
      <c r="E140" s="43">
        <f>C140+D140</f>
        <v/>
      </c>
      <c r="F140" s="44">
        <f>IF(ROUND(C140,2)+ROUND(D140,2)=0,"","yes")</f>
        <v/>
      </c>
      <c r="G140" s="45" t="n"/>
      <c r="H140" s="43">
        <f>IF($G140="","",$E140-$G140)</f>
        <v/>
      </c>
    </row>
    <row r="141">
      <c r="A141" s="42" t="inlineStr">
        <is>
          <t>26041701</t>
        </is>
      </c>
      <c r="B141" s="42" t="inlineStr">
        <is>
          <t>N2 Dance End of Year Concert Videos 2026</t>
        </is>
      </c>
      <c r="C141" s="43">
        <f>SUMIFS(tbl_WIP[Amount],tbl_WIP[Job Number],$A141,tbl_WIP[Month],"&lt;&gt;",tbl_WIP[Month],"&lt;"&amp;$C$4)+SUMIF('Deferred Revenue'!$E$6:$E$578,$A141,'Deferred Revenue'!$P$6:$P$578)</f>
        <v/>
      </c>
      <c r="D141" s="43">
        <f>SUMIFS(tbl_WIP[Amount],tbl_WIP[Job Number],$A141,tbl_WIP[Month],$C$4)+SUMIF('Deferred Revenue'!$E$6:$E$578,$A141,'Deferred Revenue'!$Q$6:$Q$578)</f>
        <v/>
      </c>
      <c r="E141" s="43">
        <f>C141+D141</f>
        <v/>
      </c>
      <c r="F141" s="44">
        <f>IF(ROUND(C141,2)+ROUND(D141,2)=0,"","yes")</f>
        <v/>
      </c>
      <c r="G141" s="45" t="n"/>
      <c r="H141" s="43">
        <f>IF($G141="","",$E141-$G141)</f>
        <v/>
      </c>
    </row>
    <row r="142">
      <c r="A142" s="42" t="inlineStr">
        <is>
          <t>26042001</t>
        </is>
      </c>
      <c r="B142" s="42" t="inlineStr">
        <is>
          <t>ASX - AGM - 22.10.26</t>
        </is>
      </c>
      <c r="C142" s="43">
        <f>SUMIFS(tbl_WIP[Amount],tbl_WIP[Job Number],$A142,tbl_WIP[Month],"&lt;&gt;",tbl_WIP[Month],"&lt;"&amp;$C$4)+SUMIF('Deferred Revenue'!$E$6:$E$578,$A142,'Deferred Revenue'!$P$6:$P$578)</f>
        <v/>
      </c>
      <c r="D142" s="43">
        <f>SUMIFS(tbl_WIP[Amount],tbl_WIP[Job Number],$A142,tbl_WIP[Month],$C$4)+SUMIF('Deferred Revenue'!$E$6:$E$578,$A142,'Deferred Revenue'!$Q$6:$Q$578)</f>
        <v/>
      </c>
      <c r="E142" s="43">
        <f>C142+D142</f>
        <v/>
      </c>
      <c r="F142" s="44">
        <f>IF(ROUND(C142,2)+ROUND(D142,2)=0,"","yes")</f>
        <v/>
      </c>
      <c r="G142" s="45" t="n"/>
      <c r="H142" s="43">
        <f>IF($G142="","",$E142-$G142)</f>
        <v/>
      </c>
    </row>
    <row r="143">
      <c r="A143" s="42" t="inlineStr">
        <is>
          <t>26042001V</t>
        </is>
      </c>
      <c r="B143" s="42" t="inlineStr">
        <is>
          <t>ASX - AGM - 22.10.26</t>
        </is>
      </c>
      <c r="C143" s="43">
        <f>SUMIFS(tbl_WIP[Amount],tbl_WIP[Job Number],$A143,tbl_WIP[Month],"&lt;&gt;",tbl_WIP[Month],"&lt;"&amp;$C$4)+SUMIF('Deferred Revenue'!$E$6:$E$578,$A143,'Deferred Revenue'!$P$6:$P$578)</f>
        <v/>
      </c>
      <c r="D143" s="43">
        <f>SUMIFS(tbl_WIP[Amount],tbl_WIP[Job Number],$A143,tbl_WIP[Month],$C$4)+SUMIF('Deferred Revenue'!$E$6:$E$578,$A143,'Deferred Revenue'!$Q$6:$Q$578)</f>
        <v/>
      </c>
      <c r="E143" s="43">
        <f>C143+D143</f>
        <v/>
      </c>
      <c r="F143" s="44">
        <f>IF(ROUND(C143,2)+ROUND(D143,2)=0,"","yes")</f>
        <v/>
      </c>
      <c r="G143" s="45" t="n"/>
      <c r="H143" s="43">
        <f>IF($G143="","",$E143-$G143)</f>
        <v/>
      </c>
    </row>
    <row r="144">
      <c r="A144" s="42" t="inlineStr">
        <is>
          <t>2604201</t>
        </is>
      </c>
      <c r="B144" s="42" t="inlineStr">
        <is>
          <t>Bankwest - Stage Hire - 27.5.2026</t>
        </is>
      </c>
      <c r="C144" s="43">
        <f>SUMIFS(tbl_WIP[Amount],tbl_WIP[Job Number],$A144,tbl_WIP[Month],"&lt;&gt;",tbl_WIP[Month],"&lt;"&amp;$C$4)+SUMIF('Deferred Revenue'!$E$6:$E$578,$A144,'Deferred Revenue'!$P$6:$P$578)</f>
        <v/>
      </c>
      <c r="D144" s="43">
        <f>SUMIFS(tbl_WIP[Amount],tbl_WIP[Job Number],$A144,tbl_WIP[Month],$C$4)+SUMIF('Deferred Revenue'!$E$6:$E$578,$A144,'Deferred Revenue'!$Q$6:$Q$578)</f>
        <v/>
      </c>
      <c r="E144" s="43">
        <f>C144+D144</f>
        <v/>
      </c>
      <c r="F144" s="44">
        <f>IF(ROUND(C144,2)+ROUND(D144,2)=0,"","yes")</f>
        <v/>
      </c>
      <c r="G144" s="45" t="n"/>
      <c r="H144" s="43">
        <f>IF($G144="","",$E144-$G144)</f>
        <v/>
      </c>
    </row>
    <row r="145">
      <c r="A145" s="42" t="inlineStr">
        <is>
          <t>2604202</t>
        </is>
      </c>
      <c r="B145" s="42" t="inlineStr">
        <is>
          <t>Ventia - Ventia Awards - 30.7.26</t>
        </is>
      </c>
      <c r="C145" s="43">
        <f>SUMIFS(tbl_WIP[Amount],tbl_WIP[Job Number],$A145,tbl_WIP[Month],"&lt;&gt;",tbl_WIP[Month],"&lt;"&amp;$C$4)+SUMIF('Deferred Revenue'!$E$6:$E$578,$A145,'Deferred Revenue'!$P$6:$P$578)</f>
        <v/>
      </c>
      <c r="D145" s="43">
        <f>SUMIFS(tbl_WIP[Amount],tbl_WIP[Job Number],$A145,tbl_WIP[Month],$C$4)+SUMIF('Deferred Revenue'!$E$6:$E$578,$A145,'Deferred Revenue'!$Q$6:$Q$578)</f>
        <v/>
      </c>
      <c r="E145" s="43">
        <f>C145+D145</f>
        <v/>
      </c>
      <c r="F145" s="44">
        <f>IF(ROUND(C145,2)+ROUND(D145,2)=0,"","yes")</f>
        <v/>
      </c>
      <c r="G145" s="45" t="n"/>
      <c r="H145" s="43">
        <f>IF($G145="","",$E145-$G145)</f>
        <v/>
      </c>
    </row>
    <row r="146">
      <c r="A146" s="42" t="inlineStr">
        <is>
          <t>2604202V</t>
        </is>
      </c>
      <c r="B146" s="42" t="inlineStr">
        <is>
          <t>Ventia - Ventia Awards - 30.7.26</t>
        </is>
      </c>
      <c r="C146" s="43">
        <f>SUMIFS(tbl_WIP[Amount],tbl_WIP[Job Number],$A146,tbl_WIP[Month],"&lt;&gt;",tbl_WIP[Month],"&lt;"&amp;$C$4)+SUMIF('Deferred Revenue'!$E$6:$E$578,$A146,'Deferred Revenue'!$P$6:$P$578)</f>
        <v/>
      </c>
      <c r="D146" s="43">
        <f>SUMIFS(tbl_WIP[Amount],tbl_WIP[Job Number],$A146,tbl_WIP[Month],$C$4)+SUMIF('Deferred Revenue'!$E$6:$E$578,$A146,'Deferred Revenue'!$Q$6:$Q$578)</f>
        <v/>
      </c>
      <c r="E146" s="43">
        <f>C146+D146</f>
        <v/>
      </c>
      <c r="F146" s="44">
        <f>IF(ROUND(C146,2)+ROUND(D146,2)=0,"","yes")</f>
        <v/>
      </c>
      <c r="G146" s="45" t="n"/>
      <c r="H146" s="43">
        <f>IF($G146="","",$E146-$G146)</f>
        <v/>
      </c>
    </row>
    <row r="147">
      <c r="A147" s="42" t="inlineStr">
        <is>
          <t>2604203V</t>
        </is>
      </c>
      <c r="B147" s="42" t="inlineStr">
        <is>
          <t>Ventia - Investor Day - 4.5.2026</t>
        </is>
      </c>
      <c r="C147" s="43">
        <f>SUMIFS(tbl_WIP[Amount],tbl_WIP[Job Number],$A147,tbl_WIP[Month],"&lt;&gt;",tbl_WIP[Month],"&lt;"&amp;$C$4)+SUMIF('Deferred Revenue'!$E$6:$E$578,$A147,'Deferred Revenue'!$P$6:$P$578)</f>
        <v/>
      </c>
      <c r="D147" s="43">
        <f>SUMIFS(tbl_WIP[Amount],tbl_WIP[Job Number],$A147,tbl_WIP[Month],$C$4)+SUMIF('Deferred Revenue'!$E$6:$E$578,$A147,'Deferred Revenue'!$Q$6:$Q$578)</f>
        <v/>
      </c>
      <c r="E147" s="43">
        <f>C147+D147</f>
        <v/>
      </c>
      <c r="F147" s="44">
        <f>IF(ROUND(C147,2)+ROUND(D147,2)=0,"","yes")</f>
        <v/>
      </c>
      <c r="G147" s="45" t="n"/>
      <c r="H147" s="43">
        <f>IF($G147="","",$E147-$G147)</f>
        <v/>
      </c>
    </row>
    <row r="148">
      <c r="A148" s="42" t="inlineStr">
        <is>
          <t>2604204</t>
        </is>
      </c>
      <c r="B148" s="42" t="inlineStr">
        <is>
          <t>Ventia - AGM - 21.5.26</t>
        </is>
      </c>
      <c r="C148" s="43">
        <f>SUMIFS(tbl_WIP[Amount],tbl_WIP[Job Number],$A148,tbl_WIP[Month],"&lt;&gt;",tbl_WIP[Month],"&lt;"&amp;$C$4)+SUMIF('Deferred Revenue'!$E$6:$E$578,$A148,'Deferred Revenue'!$P$6:$P$578)</f>
        <v/>
      </c>
      <c r="D148" s="43">
        <f>SUMIFS(tbl_WIP[Amount],tbl_WIP[Job Number],$A148,tbl_WIP[Month],$C$4)+SUMIF('Deferred Revenue'!$E$6:$E$578,$A148,'Deferred Revenue'!$Q$6:$Q$578)</f>
        <v/>
      </c>
      <c r="E148" s="43">
        <f>C148+D148</f>
        <v/>
      </c>
      <c r="F148" s="44">
        <f>IF(ROUND(C148,2)+ROUND(D148,2)=0,"","yes")</f>
        <v/>
      </c>
      <c r="G148" s="45" t="n"/>
      <c r="H148" s="43">
        <f>IF($G148="","",$E148-$G148)</f>
        <v/>
      </c>
    </row>
    <row r="149">
      <c r="A149" s="42" t="inlineStr">
        <is>
          <t>2604204V</t>
        </is>
      </c>
      <c r="B149" s="42" t="inlineStr">
        <is>
          <t>Ventia - AGM - 21.5.26</t>
        </is>
      </c>
      <c r="C149" s="43">
        <f>SUMIFS(tbl_WIP[Amount],tbl_WIP[Job Number],$A149,tbl_WIP[Month],"&lt;&gt;",tbl_WIP[Month],"&lt;"&amp;$C$4)+SUMIF('Deferred Revenue'!$E$6:$E$578,$A149,'Deferred Revenue'!$P$6:$P$578)</f>
        <v/>
      </c>
      <c r="D149" s="43">
        <f>SUMIFS(tbl_WIP[Amount],tbl_WIP[Job Number],$A149,tbl_WIP[Month],$C$4)+SUMIF('Deferred Revenue'!$E$6:$E$578,$A149,'Deferred Revenue'!$Q$6:$Q$578)</f>
        <v/>
      </c>
      <c r="E149" s="43">
        <f>C149+D149</f>
        <v/>
      </c>
      <c r="F149" s="44">
        <f>IF(ROUND(C149,2)+ROUND(D149,2)=0,"","yes")</f>
        <v/>
      </c>
      <c r="G149" s="45" t="n"/>
      <c r="H149" s="43">
        <f>IF($G149="","",$E149-$G149)</f>
        <v/>
      </c>
    </row>
    <row r="150">
      <c r="A150" s="42" t="inlineStr">
        <is>
          <t>26042802</t>
        </is>
      </c>
      <c r="B150" s="42" t="inlineStr">
        <is>
          <t>DTTL DAR Meeting Room Extension Cable Install</t>
        </is>
      </c>
      <c r="C150" s="43">
        <f>SUMIFS(tbl_WIP[Amount],tbl_WIP[Job Number],$A150,tbl_WIP[Month],"&lt;&gt;",tbl_WIP[Month],"&lt;"&amp;$C$4)+SUMIF('Deferred Revenue'!$E$6:$E$578,$A150,'Deferred Revenue'!$P$6:$P$578)</f>
        <v/>
      </c>
      <c r="D150" s="43">
        <f>SUMIFS(tbl_WIP[Amount],tbl_WIP[Job Number],$A150,tbl_WIP[Month],$C$4)+SUMIF('Deferred Revenue'!$E$6:$E$578,$A150,'Deferred Revenue'!$Q$6:$Q$578)</f>
        <v/>
      </c>
      <c r="E150" s="43">
        <f>C150+D150</f>
        <v/>
      </c>
      <c r="F150" s="44">
        <f>IF(ROUND(C150,2)+ROUND(D150,2)=0,"","yes")</f>
        <v/>
      </c>
      <c r="G150" s="45" t="n"/>
      <c r="H150" s="43">
        <f>IF($G150="","",$E150-$G150)</f>
        <v/>
      </c>
    </row>
    <row r="151">
      <c r="A151" s="42" t="inlineStr">
        <is>
          <t>26043001</t>
        </is>
      </c>
      <c r="B151" s="42" t="inlineStr">
        <is>
          <t>CBA FT Tech MEL - 12 months</t>
        </is>
      </c>
      <c r="C151" s="43">
        <f>SUMIFS(tbl_WIP[Amount],tbl_WIP[Job Number],$A151,tbl_WIP[Month],"&lt;&gt;",tbl_WIP[Month],"&lt;"&amp;$C$4)+SUMIF('Deferred Revenue'!$E$6:$E$578,$A151,'Deferred Revenue'!$P$6:$P$578)</f>
        <v/>
      </c>
      <c r="D151" s="43">
        <f>SUMIFS(tbl_WIP[Amount],tbl_WIP[Job Number],$A151,tbl_WIP[Month],$C$4)+SUMIF('Deferred Revenue'!$E$6:$E$578,$A151,'Deferred Revenue'!$Q$6:$Q$578)</f>
        <v/>
      </c>
      <c r="E151" s="43">
        <f>C151+D151</f>
        <v/>
      </c>
      <c r="F151" s="44">
        <f>IF(ROUND(C151,2)+ROUND(D151,2)=0,"","yes")</f>
        <v/>
      </c>
      <c r="G151" s="45" t="n"/>
      <c r="H151" s="43">
        <f>IF($G151="","",$E151-$G151)</f>
        <v/>
      </c>
    </row>
    <row r="152">
      <c r="A152" s="42" t="inlineStr">
        <is>
          <t>26043002</t>
        </is>
      </c>
      <c r="B152" s="42" t="inlineStr">
        <is>
          <t>CTS Town Hall</t>
        </is>
      </c>
      <c r="C152" s="43">
        <f>SUMIFS(tbl_WIP[Amount],tbl_WIP[Job Number],$A152,tbl_WIP[Month],"&lt;&gt;",tbl_WIP[Month],"&lt;"&amp;$C$4)+SUMIF('Deferred Revenue'!$E$6:$E$578,$A152,'Deferred Revenue'!$P$6:$P$578)</f>
        <v/>
      </c>
      <c r="D152" s="43">
        <f>SUMIFS(tbl_WIP[Amount],tbl_WIP[Job Number],$A152,tbl_WIP[Month],$C$4)+SUMIF('Deferred Revenue'!$E$6:$E$578,$A152,'Deferred Revenue'!$Q$6:$Q$578)</f>
        <v/>
      </c>
      <c r="E152" s="43">
        <f>C152+D152</f>
        <v/>
      </c>
      <c r="F152" s="44">
        <f>IF(ROUND(C152,2)+ROUND(D152,2)=0,"","yes")</f>
        <v/>
      </c>
      <c r="G152" s="45" t="n"/>
      <c r="H152" s="43">
        <f>IF($G152="","",$E152-$G152)</f>
        <v/>
      </c>
    </row>
    <row r="153">
      <c r="A153" s="42" t="inlineStr">
        <is>
          <t>26043003</t>
        </is>
      </c>
      <c r="B153" s="42" t="inlineStr">
        <is>
          <t>PwC Screen Replacements SYD+MEL</t>
        </is>
      </c>
      <c r="C153" s="43">
        <f>SUMIFS(tbl_WIP[Amount],tbl_WIP[Job Number],$A153,tbl_WIP[Month],"&lt;&gt;",tbl_WIP[Month],"&lt;"&amp;$C$4)+SUMIF('Deferred Revenue'!$E$6:$E$578,$A153,'Deferred Revenue'!$P$6:$P$578)</f>
        <v/>
      </c>
      <c r="D153" s="43">
        <f>SUMIFS(tbl_WIP[Amount],tbl_WIP[Job Number],$A153,tbl_WIP[Month],$C$4)+SUMIF('Deferred Revenue'!$E$6:$E$578,$A153,'Deferred Revenue'!$Q$6:$Q$578)</f>
        <v/>
      </c>
      <c r="E153" s="43">
        <f>C153+D153</f>
        <v/>
      </c>
      <c r="F153" s="44">
        <f>IF(ROUND(C153,2)+ROUND(D153,2)=0,"","yes")</f>
        <v/>
      </c>
      <c r="G153" s="45" t="n"/>
      <c r="H153" s="43">
        <f>IF($G153="","",$E153-$G153)</f>
        <v/>
      </c>
    </row>
    <row r="154">
      <c r="A154" s="42" t="inlineStr">
        <is>
          <t>2604704</t>
        </is>
      </c>
      <c r="B154" s="42" t="inlineStr">
        <is>
          <t>Aware Super Seminar Room Audio Upgrade</t>
        </is>
      </c>
      <c r="C154" s="43">
        <f>SUMIFS(tbl_WIP[Amount],tbl_WIP[Job Number],$A154,tbl_WIP[Month],"&lt;&gt;",tbl_WIP[Month],"&lt;"&amp;$C$4)+SUMIF('Deferred Revenue'!$E$6:$E$578,$A154,'Deferred Revenue'!$P$6:$P$578)</f>
        <v/>
      </c>
      <c r="D154" s="43">
        <f>SUMIFS(tbl_WIP[Amount],tbl_WIP[Job Number],$A154,tbl_WIP[Month],$C$4)+SUMIF('Deferred Revenue'!$E$6:$E$578,$A154,'Deferred Revenue'!$Q$6:$Q$578)</f>
        <v/>
      </c>
      <c r="E154" s="43">
        <f>C154+D154</f>
        <v/>
      </c>
      <c r="F154" s="44">
        <f>IF(ROUND(C154,2)+ROUND(D154,2)=0,"","yes")</f>
        <v/>
      </c>
      <c r="G154" s="45" t="n"/>
      <c r="H154" s="43">
        <f>IF($G154="","",$E154-$G154)</f>
        <v/>
      </c>
    </row>
    <row r="155">
      <c r="A155" s="42" t="inlineStr">
        <is>
          <t>2604802</t>
        </is>
      </c>
      <c r="B155" s="42" t="inlineStr">
        <is>
          <t>PwC - Audio Support - 29.4.26</t>
        </is>
      </c>
      <c r="C155" s="43">
        <f>SUMIFS(tbl_WIP[Amount],tbl_WIP[Job Number],$A155,tbl_WIP[Month],"&lt;&gt;",tbl_WIP[Month],"&lt;"&amp;$C$4)+SUMIF('Deferred Revenue'!$E$6:$E$578,$A155,'Deferred Revenue'!$P$6:$P$578)</f>
        <v/>
      </c>
      <c r="D155" s="43">
        <f>SUMIFS(tbl_WIP[Amount],tbl_WIP[Job Number],$A155,tbl_WIP[Month],$C$4)+SUMIF('Deferred Revenue'!$E$6:$E$578,$A155,'Deferred Revenue'!$Q$6:$Q$578)</f>
        <v/>
      </c>
      <c r="E155" s="43">
        <f>C155+D155</f>
        <v/>
      </c>
      <c r="F155" s="44">
        <f>IF(ROUND(C155,2)+ROUND(D155,2)=0,"","yes")</f>
        <v/>
      </c>
      <c r="G155" s="45" t="n"/>
      <c r="H155" s="43">
        <f>IF($G155="","",$E155-$G155)</f>
        <v/>
      </c>
    </row>
    <row r="156">
      <c r="A156" s="42" t="inlineStr">
        <is>
          <t>26051101</t>
        </is>
      </c>
      <c r="B156" s="42" t="inlineStr">
        <is>
          <t>DTTL Mardi Gras/Vivid Event 27/05/26</t>
        </is>
      </c>
      <c r="C156" s="43">
        <f>SUMIFS(tbl_WIP[Amount],tbl_WIP[Job Number],$A156,tbl_WIP[Month],"&lt;&gt;",tbl_WIP[Month],"&lt;"&amp;$C$4)+SUMIF('Deferred Revenue'!$E$6:$E$578,$A156,'Deferred Revenue'!$P$6:$P$578)</f>
        <v/>
      </c>
      <c r="D156" s="43">
        <f>SUMIFS(tbl_WIP[Amount],tbl_WIP[Job Number],$A156,tbl_WIP[Month],$C$4)+SUMIF('Deferred Revenue'!$E$6:$E$578,$A156,'Deferred Revenue'!$Q$6:$Q$578)</f>
        <v/>
      </c>
      <c r="E156" s="43">
        <f>C156+D156</f>
        <v/>
      </c>
      <c r="F156" s="44">
        <f>IF(ROUND(C156,2)+ROUND(D156,2)=0,"","yes")</f>
        <v/>
      </c>
      <c r="G156" s="45" t="n"/>
      <c r="H156" s="43">
        <f>IF($G156="","",$E156-$G156)</f>
        <v/>
      </c>
    </row>
    <row r="157">
      <c r="A157" s="42" t="inlineStr">
        <is>
          <t>26051101V</t>
        </is>
      </c>
      <c r="B157" s="42" t="inlineStr">
        <is>
          <t>DTTL Mardi Gras/Vivid Event 27/05/26</t>
        </is>
      </c>
      <c r="C157" s="43">
        <f>SUMIFS(tbl_WIP[Amount],tbl_WIP[Job Number],$A157,tbl_WIP[Month],"&lt;&gt;",tbl_WIP[Month],"&lt;"&amp;$C$4)+SUMIF('Deferred Revenue'!$E$6:$E$578,$A157,'Deferred Revenue'!$P$6:$P$578)</f>
        <v/>
      </c>
      <c r="D157" s="43">
        <f>SUMIFS(tbl_WIP[Amount],tbl_WIP[Job Number],$A157,tbl_WIP[Month],$C$4)+SUMIF('Deferred Revenue'!$E$6:$E$578,$A157,'Deferred Revenue'!$Q$6:$Q$578)</f>
        <v/>
      </c>
      <c r="E157" s="43">
        <f>C157+D157</f>
        <v/>
      </c>
      <c r="F157" s="44">
        <f>IF(ROUND(C157,2)+ROUND(D157,2)=0,"","yes")</f>
        <v/>
      </c>
      <c r="G157" s="45" t="n"/>
      <c r="H157" s="43">
        <f>IF($G157="","",$E157-$G157)</f>
        <v/>
      </c>
    </row>
    <row r="158">
      <c r="A158" s="42" t="inlineStr">
        <is>
          <t>26051102</t>
        </is>
      </c>
      <c r="B158" s="42" t="inlineStr">
        <is>
          <t>DTTL - CEO Roadshow - 1.6.26</t>
        </is>
      </c>
      <c r="C158" s="43">
        <f>SUMIFS(tbl_WIP[Amount],tbl_WIP[Job Number],$A158,tbl_WIP[Month],"&lt;&gt;",tbl_WIP[Month],"&lt;"&amp;$C$4)+SUMIF('Deferred Revenue'!$E$6:$E$578,$A158,'Deferred Revenue'!$P$6:$P$578)</f>
        <v/>
      </c>
      <c r="D158" s="43">
        <f>SUMIFS(tbl_WIP[Amount],tbl_WIP[Job Number],$A158,tbl_WIP[Month],$C$4)+SUMIF('Deferred Revenue'!$E$6:$E$578,$A158,'Deferred Revenue'!$Q$6:$Q$578)</f>
        <v/>
      </c>
      <c r="E158" s="43">
        <f>C158+D158</f>
        <v/>
      </c>
      <c r="F158" s="44">
        <f>IF(ROUND(C158,2)+ROUND(D158,2)=0,"","yes")</f>
        <v/>
      </c>
      <c r="G158" s="45" t="n"/>
      <c r="H158" s="43">
        <f>IF($G158="","",$E158-$G158)</f>
        <v/>
      </c>
    </row>
    <row r="159">
      <c r="A159" s="42" t="inlineStr">
        <is>
          <t>26051102V</t>
        </is>
      </c>
      <c r="B159" s="42" t="inlineStr">
        <is>
          <t>DTTL - CEO Roadshow - 1.6.26</t>
        </is>
      </c>
      <c r="C159" s="43">
        <f>SUMIFS(tbl_WIP[Amount],tbl_WIP[Job Number],$A159,tbl_WIP[Month],"&lt;&gt;",tbl_WIP[Month],"&lt;"&amp;$C$4)+SUMIF('Deferred Revenue'!$E$6:$E$578,$A159,'Deferred Revenue'!$P$6:$P$578)</f>
        <v/>
      </c>
      <c r="D159" s="43">
        <f>SUMIFS(tbl_WIP[Amount],tbl_WIP[Job Number],$A159,tbl_WIP[Month],$C$4)+SUMIF('Deferred Revenue'!$E$6:$E$578,$A159,'Deferred Revenue'!$Q$6:$Q$578)</f>
        <v/>
      </c>
      <c r="E159" s="43">
        <f>C159+D159</f>
        <v/>
      </c>
      <c r="F159" s="44">
        <f>IF(ROUND(C159,2)+ROUND(D159,2)=0,"","yes")</f>
        <v/>
      </c>
      <c r="G159" s="45" t="n"/>
      <c r="H159" s="43">
        <f>IF($G159="","",$E159-$G159)</f>
        <v/>
      </c>
    </row>
    <row r="160">
      <c r="A160" s="42" t="inlineStr">
        <is>
          <t>26051103</t>
        </is>
      </c>
      <c r="B160" s="42" t="inlineStr">
        <is>
          <t>PwC PER Studio Support 25.05.26</t>
        </is>
      </c>
      <c r="C160" s="43">
        <f>SUMIFS(tbl_WIP[Amount],tbl_WIP[Job Number],$A160,tbl_WIP[Month],"&lt;&gt;",tbl_WIP[Month],"&lt;"&amp;$C$4)+SUMIF('Deferred Revenue'!$E$6:$E$578,$A160,'Deferred Revenue'!$P$6:$P$578)</f>
        <v/>
      </c>
      <c r="D160" s="43">
        <f>SUMIFS(tbl_WIP[Amount],tbl_WIP[Job Number],$A160,tbl_WIP[Month],$C$4)+SUMIF('Deferred Revenue'!$E$6:$E$578,$A160,'Deferred Revenue'!$Q$6:$Q$578)</f>
        <v/>
      </c>
      <c r="E160" s="43">
        <f>C160+D160</f>
        <v/>
      </c>
      <c r="F160" s="44">
        <f>IF(ROUND(C160,2)+ROUND(D160,2)=0,"","yes")</f>
        <v/>
      </c>
      <c r="G160" s="45" t="n"/>
      <c r="H160" s="43">
        <f>IF($G160="","",$E160-$G160)</f>
        <v/>
      </c>
    </row>
    <row r="161">
      <c r="A161" s="42" t="inlineStr">
        <is>
          <t>26051103V</t>
        </is>
      </c>
      <c r="B161" s="42" t="inlineStr">
        <is>
          <t>PwC PER Studio Support 25.05.26</t>
        </is>
      </c>
      <c r="C161" s="43">
        <f>SUMIFS(tbl_WIP[Amount],tbl_WIP[Job Number],$A161,tbl_WIP[Month],"&lt;&gt;",tbl_WIP[Month],"&lt;"&amp;$C$4)+SUMIF('Deferred Revenue'!$E$6:$E$578,$A161,'Deferred Revenue'!$P$6:$P$578)</f>
        <v/>
      </c>
      <c r="D161" s="43">
        <f>SUMIFS(tbl_WIP[Amount],tbl_WIP[Job Number],$A161,tbl_WIP[Month],$C$4)+SUMIF('Deferred Revenue'!$E$6:$E$578,$A161,'Deferred Revenue'!$Q$6:$Q$578)</f>
        <v/>
      </c>
      <c r="E161" s="43">
        <f>C161+D161</f>
        <v/>
      </c>
      <c r="F161" s="44">
        <f>IF(ROUND(C161,2)+ROUND(D161,2)=0,"","yes")</f>
        <v/>
      </c>
      <c r="G161" s="45" t="n"/>
      <c r="H161" s="43">
        <f>IF($G161="","",$E161-$G161)</f>
        <v/>
      </c>
    </row>
    <row r="162">
      <c r="A162" s="42" t="inlineStr">
        <is>
          <t>26051201</t>
        </is>
      </c>
      <c r="B162" s="42" t="inlineStr">
        <is>
          <t>ASX CEO Farewell Highlights</t>
        </is>
      </c>
      <c r="C162" s="43">
        <f>SUMIFS(tbl_WIP[Amount],tbl_WIP[Job Number],$A162,tbl_WIP[Month],"&lt;&gt;",tbl_WIP[Month],"&lt;"&amp;$C$4)+SUMIF('Deferred Revenue'!$E$6:$E$578,$A162,'Deferred Revenue'!$P$6:$P$578)</f>
        <v/>
      </c>
      <c r="D162" s="43">
        <f>SUMIFS(tbl_WIP[Amount],tbl_WIP[Job Number],$A162,tbl_WIP[Month],$C$4)+SUMIF('Deferred Revenue'!$E$6:$E$578,$A162,'Deferred Revenue'!$Q$6:$Q$578)</f>
        <v/>
      </c>
      <c r="E162" s="43">
        <f>C162+D162</f>
        <v/>
      </c>
      <c r="F162" s="44">
        <f>IF(ROUND(C162,2)+ROUND(D162,2)=0,"","yes")</f>
        <v/>
      </c>
      <c r="G162" s="45" t="n"/>
      <c r="H162" s="43">
        <f>IF($G162="","",$E162-$G162)</f>
        <v/>
      </c>
    </row>
    <row r="163">
      <c r="A163" s="42" t="inlineStr">
        <is>
          <t>26051301</t>
        </is>
      </c>
      <c r="B163" s="42" t="inlineStr">
        <is>
          <t>HP-BAE | Phone Mod</t>
        </is>
      </c>
      <c r="C163" s="43">
        <f>SUMIFS(tbl_WIP[Amount],tbl_WIP[Job Number],$A163,tbl_WIP[Month],"&lt;&gt;",tbl_WIP[Month],"&lt;"&amp;$C$4)+SUMIF('Deferred Revenue'!$E$6:$E$578,$A163,'Deferred Revenue'!$P$6:$P$578)</f>
        <v/>
      </c>
      <c r="D163" s="43">
        <f>SUMIFS(tbl_WIP[Amount],tbl_WIP[Job Number],$A163,tbl_WIP[Month],$C$4)+SUMIF('Deferred Revenue'!$E$6:$E$578,$A163,'Deferred Revenue'!$Q$6:$Q$578)</f>
        <v/>
      </c>
      <c r="E163" s="43">
        <f>C163+D163</f>
        <v/>
      </c>
      <c r="F163" s="44">
        <f>IF(ROUND(C163,2)+ROUND(D163,2)=0,"","yes")</f>
        <v/>
      </c>
      <c r="G163" s="45" t="n"/>
      <c r="H163" s="43">
        <f>IF($G163="","",$E163-$G163)</f>
        <v/>
      </c>
    </row>
    <row r="164">
      <c r="A164" s="42" t="inlineStr">
        <is>
          <t>26051401</t>
        </is>
      </c>
      <c r="B164" s="42" t="inlineStr">
        <is>
          <t>ASX - Business Meeting - 27.5.26</t>
        </is>
      </c>
      <c r="C164" s="43">
        <f>SUMIFS(tbl_WIP[Amount],tbl_WIP[Job Number],$A164,tbl_WIP[Month],"&lt;&gt;",tbl_WIP[Month],"&lt;"&amp;$C$4)+SUMIF('Deferred Revenue'!$E$6:$E$578,$A164,'Deferred Revenue'!$P$6:$P$578)</f>
        <v/>
      </c>
      <c r="D164" s="43">
        <f>SUMIFS(tbl_WIP[Amount],tbl_WIP[Job Number],$A164,tbl_WIP[Month],$C$4)+SUMIF('Deferred Revenue'!$E$6:$E$578,$A164,'Deferred Revenue'!$Q$6:$Q$578)</f>
        <v/>
      </c>
      <c r="E164" s="43">
        <f>C164+D164</f>
        <v/>
      </c>
      <c r="F164" s="44">
        <f>IF(ROUND(C164,2)+ROUND(D164,2)=0,"","yes")</f>
        <v/>
      </c>
      <c r="G164" s="45" t="n"/>
      <c r="H164" s="43">
        <f>IF($G164="","",$E164-$G164)</f>
        <v/>
      </c>
    </row>
    <row r="165">
      <c r="A165" s="42" t="inlineStr">
        <is>
          <t>26051401V</t>
        </is>
      </c>
      <c r="B165" s="42" t="inlineStr">
        <is>
          <t>ASX - Business Meeting - 27.5.26</t>
        </is>
      </c>
      <c r="C165" s="43">
        <f>SUMIFS(tbl_WIP[Amount],tbl_WIP[Job Number],$A165,tbl_WIP[Month],"&lt;&gt;",tbl_WIP[Month],"&lt;"&amp;$C$4)+SUMIF('Deferred Revenue'!$E$6:$E$578,$A165,'Deferred Revenue'!$P$6:$P$578)</f>
        <v/>
      </c>
      <c r="D165" s="43">
        <f>SUMIFS(tbl_WIP[Amount],tbl_WIP[Job Number],$A165,tbl_WIP[Month],$C$4)+SUMIF('Deferred Revenue'!$E$6:$E$578,$A165,'Deferred Revenue'!$Q$6:$Q$578)</f>
        <v/>
      </c>
      <c r="E165" s="43">
        <f>C165+D165</f>
        <v/>
      </c>
      <c r="F165" s="44">
        <f>IF(ROUND(C165,2)+ROUND(D165,2)=0,"","yes")</f>
        <v/>
      </c>
      <c r="G165" s="45" t="n"/>
      <c r="H165" s="43">
        <f>IF($G165="","",$E165-$G165)</f>
        <v/>
      </c>
    </row>
    <row r="166">
      <c r="A166" s="42" t="inlineStr">
        <is>
          <t>26051402</t>
        </is>
      </c>
      <c r="B166" s="42" t="inlineStr">
        <is>
          <t>PwC Foldback Monitor Hire</t>
        </is>
      </c>
      <c r="C166" s="43">
        <f>SUMIFS(tbl_WIP[Amount],tbl_WIP[Job Number],$A166,tbl_WIP[Month],"&lt;&gt;",tbl_WIP[Month],"&lt;"&amp;$C$4)+SUMIF('Deferred Revenue'!$E$6:$E$578,$A166,'Deferred Revenue'!$P$6:$P$578)</f>
        <v/>
      </c>
      <c r="D166" s="43">
        <f>SUMIFS(tbl_WIP[Amount],tbl_WIP[Job Number],$A166,tbl_WIP[Month],$C$4)+SUMIF('Deferred Revenue'!$E$6:$E$578,$A166,'Deferred Revenue'!$Q$6:$Q$578)</f>
        <v/>
      </c>
      <c r="E166" s="43">
        <f>C166+D166</f>
        <v/>
      </c>
      <c r="F166" s="44">
        <f>IF(ROUND(C166,2)+ROUND(D166,2)=0,"","yes")</f>
        <v/>
      </c>
      <c r="G166" s="45" t="n"/>
      <c r="H166" s="43">
        <f>IF($G166="","",$E166-$G166)</f>
        <v/>
      </c>
    </row>
    <row r="167">
      <c r="A167" s="42" t="inlineStr">
        <is>
          <t>26051801</t>
        </is>
      </c>
      <c r="B167" s="42" t="inlineStr">
        <is>
          <t>PwC | Mel Studio Equipment</t>
        </is>
      </c>
      <c r="C167" s="43">
        <f>SUMIFS(tbl_WIP[Amount],tbl_WIP[Job Number],$A167,tbl_WIP[Month],"&lt;&gt;",tbl_WIP[Month],"&lt;"&amp;$C$4)+SUMIF('Deferred Revenue'!$E$6:$E$578,$A167,'Deferred Revenue'!$P$6:$P$578)</f>
        <v/>
      </c>
      <c r="D167" s="43">
        <f>SUMIFS(tbl_WIP[Amount],tbl_WIP[Job Number],$A167,tbl_WIP[Month],$C$4)+SUMIF('Deferred Revenue'!$E$6:$E$578,$A167,'Deferred Revenue'!$Q$6:$Q$578)</f>
        <v/>
      </c>
      <c r="E167" s="43">
        <f>C167+D167</f>
        <v/>
      </c>
      <c r="F167" s="44">
        <f>IF(ROUND(C167,2)+ROUND(D167,2)=0,"","yes")</f>
        <v/>
      </c>
      <c r="G167" s="45" t="n"/>
      <c r="H167" s="43">
        <f>IF($G167="","",$E167-$G167)</f>
        <v/>
      </c>
    </row>
    <row r="168">
      <c r="A168" s="42" t="inlineStr">
        <is>
          <t>26051803</t>
        </is>
      </c>
      <c r="B168" s="42" t="inlineStr">
        <is>
          <t>AVIT - Taronga ZOO AV Support - May 2026</t>
        </is>
      </c>
      <c r="C168" s="43">
        <f>SUMIFS(tbl_WIP[Amount],tbl_WIP[Job Number],$A168,tbl_WIP[Month],"&lt;&gt;",tbl_WIP[Month],"&lt;"&amp;$C$4)+SUMIF('Deferred Revenue'!$E$6:$E$578,$A168,'Deferred Revenue'!$P$6:$P$578)</f>
        <v/>
      </c>
      <c r="D168" s="43">
        <f>SUMIFS(tbl_WIP[Amount],tbl_WIP[Job Number],$A168,tbl_WIP[Month],$C$4)+SUMIF('Deferred Revenue'!$E$6:$E$578,$A168,'Deferred Revenue'!$Q$6:$Q$578)</f>
        <v/>
      </c>
      <c r="E168" s="43">
        <f>C168+D168</f>
        <v/>
      </c>
      <c r="F168" s="44">
        <f>IF(ROUND(C168,2)+ROUND(D168,2)=0,"","yes")</f>
        <v/>
      </c>
      <c r="G168" s="45" t="n"/>
      <c r="H168" s="43">
        <f>IF($G168="","",$E168-$G168)</f>
        <v/>
      </c>
    </row>
    <row r="169">
      <c r="A169" s="42" t="inlineStr">
        <is>
          <t>26052001</t>
        </is>
      </c>
      <c r="B169" s="42" t="inlineStr">
        <is>
          <t>MeetMagic - AI Behaviour Event - 29.5.26</t>
        </is>
      </c>
      <c r="C169" s="43">
        <f>SUMIFS(tbl_WIP[Amount],tbl_WIP[Job Number],$A169,tbl_WIP[Month],"&lt;&gt;",tbl_WIP[Month],"&lt;"&amp;$C$4)+SUMIF('Deferred Revenue'!$E$6:$E$578,$A169,'Deferred Revenue'!$P$6:$P$578)</f>
        <v/>
      </c>
      <c r="D169" s="43">
        <f>SUMIFS(tbl_WIP[Amount],tbl_WIP[Job Number],$A169,tbl_WIP[Month],$C$4)+SUMIF('Deferred Revenue'!$E$6:$E$578,$A169,'Deferred Revenue'!$Q$6:$Q$578)</f>
        <v/>
      </c>
      <c r="E169" s="43">
        <f>C169+D169</f>
        <v/>
      </c>
      <c r="F169" s="44">
        <f>IF(ROUND(C169,2)+ROUND(D169,2)=0,"","yes")</f>
        <v/>
      </c>
      <c r="G169" s="45" t="n"/>
      <c r="H169" s="43">
        <f>IF($G169="","",$E169-$G169)</f>
        <v/>
      </c>
    </row>
    <row r="170">
      <c r="A170" s="42" t="inlineStr">
        <is>
          <t>26052001V</t>
        </is>
      </c>
      <c r="B170" s="42" t="inlineStr">
        <is>
          <t>MeetMagic - AI Behaviour Event - 29.5.26</t>
        </is>
      </c>
      <c r="C170" s="43">
        <f>SUMIFS(tbl_WIP[Amount],tbl_WIP[Job Number],$A170,tbl_WIP[Month],"&lt;&gt;",tbl_WIP[Month],"&lt;"&amp;$C$4)+SUMIF('Deferred Revenue'!$E$6:$E$578,$A170,'Deferred Revenue'!$P$6:$P$578)</f>
        <v/>
      </c>
      <c r="D170" s="43">
        <f>SUMIFS(tbl_WIP[Amount],tbl_WIP[Job Number],$A170,tbl_WIP[Month],$C$4)+SUMIF('Deferred Revenue'!$E$6:$E$578,$A170,'Deferred Revenue'!$Q$6:$Q$578)</f>
        <v/>
      </c>
      <c r="E170" s="43">
        <f>C170+D170</f>
        <v/>
      </c>
      <c r="F170" s="44">
        <f>IF(ROUND(C170,2)+ROUND(D170,2)=0,"","yes")</f>
        <v/>
      </c>
      <c r="G170" s="45" t="n"/>
      <c r="H170" s="43">
        <f>IF($G170="","",$E170-$G170)</f>
        <v/>
      </c>
    </row>
    <row r="171">
      <c r="A171" s="42" t="inlineStr">
        <is>
          <t>26052002</t>
        </is>
      </c>
      <c r="B171" s="42" t="inlineStr">
        <is>
          <t>DTTL BNE L23 Training Rooms Upgrade</t>
        </is>
      </c>
      <c r="C171" s="43">
        <f>SUMIFS(tbl_WIP[Amount],tbl_WIP[Job Number],$A171,tbl_WIP[Month],"&lt;&gt;",tbl_WIP[Month],"&lt;"&amp;$C$4)+SUMIF('Deferred Revenue'!$E$6:$E$578,$A171,'Deferred Revenue'!$P$6:$P$578)</f>
        <v/>
      </c>
      <c r="D171" s="43">
        <f>SUMIFS(tbl_WIP[Amount],tbl_WIP[Job Number],$A171,tbl_WIP[Month],$C$4)+SUMIF('Deferred Revenue'!$E$6:$E$578,$A171,'Deferred Revenue'!$Q$6:$Q$578)</f>
        <v/>
      </c>
      <c r="E171" s="43">
        <f>C171+D171</f>
        <v/>
      </c>
      <c r="F171" s="44">
        <f>IF(ROUND(C171,2)+ROUND(D171,2)=0,"","yes")</f>
        <v/>
      </c>
      <c r="G171" s="45" t="n"/>
      <c r="H171" s="43">
        <f>IF($G171="","",$E171-$G171)</f>
        <v/>
      </c>
    </row>
    <row r="172">
      <c r="A172" s="42" t="inlineStr">
        <is>
          <t>26052003</t>
        </is>
      </c>
      <c r="B172" s="42" t="inlineStr">
        <is>
          <t>DTTL Mobile Commbox Displays</t>
        </is>
      </c>
      <c r="C172" s="43">
        <f>SUMIFS(tbl_WIP[Amount],tbl_WIP[Job Number],$A172,tbl_WIP[Month],"&lt;&gt;",tbl_WIP[Month],"&lt;"&amp;$C$4)+SUMIF('Deferred Revenue'!$E$6:$E$578,$A172,'Deferred Revenue'!$P$6:$P$578)</f>
        <v/>
      </c>
      <c r="D172" s="43">
        <f>SUMIFS(tbl_WIP[Amount],tbl_WIP[Job Number],$A172,tbl_WIP[Month],$C$4)+SUMIF('Deferred Revenue'!$E$6:$E$578,$A172,'Deferred Revenue'!$Q$6:$Q$578)</f>
        <v/>
      </c>
      <c r="E172" s="43">
        <f>C172+D172</f>
        <v/>
      </c>
      <c r="F172" s="44">
        <f>IF(ROUND(C172,2)+ROUND(D172,2)=0,"","yes")</f>
        <v/>
      </c>
      <c r="G172" s="45" t="n"/>
      <c r="H172" s="43">
        <f>IF($G172="","",$E172-$G172)</f>
        <v/>
      </c>
    </row>
    <row r="173">
      <c r="A173" s="42" t="inlineStr">
        <is>
          <t>26052004</t>
        </is>
      </c>
      <c r="B173" s="42" t="inlineStr">
        <is>
          <t>CBA - Live Event Support - June 2026</t>
        </is>
      </c>
      <c r="C173" s="43">
        <f>SUMIFS(tbl_WIP[Amount],tbl_WIP[Job Number],$A173,tbl_WIP[Month],"&lt;&gt;",tbl_WIP[Month],"&lt;"&amp;$C$4)+SUMIF('Deferred Revenue'!$E$6:$E$578,$A173,'Deferred Revenue'!$P$6:$P$578)</f>
        <v/>
      </c>
      <c r="D173" s="43">
        <f>SUMIFS(tbl_WIP[Amount],tbl_WIP[Job Number],$A173,tbl_WIP[Month],$C$4)+SUMIF('Deferred Revenue'!$E$6:$E$578,$A173,'Deferred Revenue'!$Q$6:$Q$578)</f>
        <v/>
      </c>
      <c r="E173" s="43">
        <f>C173+D173</f>
        <v/>
      </c>
      <c r="F173" s="44">
        <f>IF(ROUND(C173,2)+ROUND(D173,2)=0,"","yes")</f>
        <v/>
      </c>
      <c r="G173" s="45" t="n"/>
      <c r="H173" s="43">
        <f>IF($G173="","",$E173-$G173)</f>
        <v/>
      </c>
    </row>
    <row r="174">
      <c r="A174" s="42" t="inlineStr">
        <is>
          <t>26052101</t>
        </is>
      </c>
      <c r="B174" s="42" t="inlineStr">
        <is>
          <t>MeetMagic - Human AI Event Highlights</t>
        </is>
      </c>
      <c r="C174" s="43">
        <f>SUMIFS(tbl_WIP[Amount],tbl_WIP[Job Number],$A174,tbl_WIP[Month],"&lt;&gt;",tbl_WIP[Month],"&lt;"&amp;$C$4)+SUMIF('Deferred Revenue'!$E$6:$E$578,$A174,'Deferred Revenue'!$P$6:$P$578)</f>
        <v/>
      </c>
      <c r="D174" s="43">
        <f>SUMIFS(tbl_WIP[Amount],tbl_WIP[Job Number],$A174,tbl_WIP[Month],$C$4)+SUMIF('Deferred Revenue'!$E$6:$E$578,$A174,'Deferred Revenue'!$Q$6:$Q$578)</f>
        <v/>
      </c>
      <c r="E174" s="43">
        <f>C174+D174</f>
        <v/>
      </c>
      <c r="F174" s="44">
        <f>IF(ROUND(C174,2)+ROUND(D174,2)=0,"","yes")</f>
        <v/>
      </c>
      <c r="G174" s="45" t="n"/>
      <c r="H174" s="43">
        <f>IF($G174="","",$E174-$G174)</f>
        <v/>
      </c>
    </row>
    <row r="175">
      <c r="A175" s="42" t="inlineStr">
        <is>
          <t>26052102</t>
        </is>
      </c>
      <c r="B175" s="42" t="inlineStr">
        <is>
          <t>HP-D3 | Austrac Phone Mods</t>
        </is>
      </c>
      <c r="C175" s="43">
        <f>SUMIFS(tbl_WIP[Amount],tbl_WIP[Job Number],$A175,tbl_WIP[Month],"&lt;&gt;",tbl_WIP[Month],"&lt;"&amp;$C$4)+SUMIF('Deferred Revenue'!$E$6:$E$578,$A175,'Deferred Revenue'!$P$6:$P$578)</f>
        <v/>
      </c>
      <c r="D175" s="43">
        <f>SUMIFS(tbl_WIP[Amount],tbl_WIP[Job Number],$A175,tbl_WIP[Month],$C$4)+SUMIF('Deferred Revenue'!$E$6:$E$578,$A175,'Deferred Revenue'!$Q$6:$Q$578)</f>
        <v/>
      </c>
      <c r="E175" s="43">
        <f>C175+D175</f>
        <v/>
      </c>
      <c r="F175" s="44">
        <f>IF(ROUND(C175,2)+ROUND(D175,2)=0,"","yes")</f>
        <v/>
      </c>
      <c r="G175" s="45" t="n"/>
      <c r="H175" s="43">
        <f>IF($G175="","",$E175-$G175)</f>
        <v/>
      </c>
    </row>
    <row r="176">
      <c r="A176" s="42" t="inlineStr">
        <is>
          <t>26052103</t>
        </is>
      </c>
      <c r="B176" s="42" t="inlineStr">
        <is>
          <t>Ventia - LTI FY26 Video Record</t>
        </is>
      </c>
      <c r="C176" s="43">
        <f>SUMIFS(tbl_WIP[Amount],tbl_WIP[Job Number],$A176,tbl_WIP[Month],"&lt;&gt;",tbl_WIP[Month],"&lt;"&amp;$C$4)+SUMIF('Deferred Revenue'!$E$6:$E$578,$A176,'Deferred Revenue'!$P$6:$P$578)</f>
        <v/>
      </c>
      <c r="D176" s="43">
        <f>SUMIFS(tbl_WIP[Amount],tbl_WIP[Job Number],$A176,tbl_WIP[Month],$C$4)+SUMIF('Deferred Revenue'!$E$6:$E$578,$A176,'Deferred Revenue'!$Q$6:$Q$578)</f>
        <v/>
      </c>
      <c r="E176" s="43">
        <f>C176+D176</f>
        <v/>
      </c>
      <c r="F176" s="44">
        <f>IF(ROUND(C176,2)+ROUND(D176,2)=0,"","yes")</f>
        <v/>
      </c>
      <c r="G176" s="45" t="n"/>
      <c r="H176" s="43">
        <f>IF($G176="","",$E176-$G176)</f>
        <v/>
      </c>
    </row>
    <row r="177">
      <c r="A177" s="42" t="inlineStr">
        <is>
          <t>26052501V</t>
        </is>
      </c>
      <c r="B177" s="42" t="inlineStr">
        <is>
          <t>AVIT - Taronga AV Event Support - 26-27.5.26</t>
        </is>
      </c>
      <c r="C177" s="43">
        <f>SUMIFS(tbl_WIP[Amount],tbl_WIP[Job Number],$A177,tbl_WIP[Month],"&lt;&gt;",tbl_WIP[Month],"&lt;"&amp;$C$4)+SUMIF('Deferred Revenue'!$E$6:$E$578,$A177,'Deferred Revenue'!$P$6:$P$578)</f>
        <v/>
      </c>
      <c r="D177" s="43">
        <f>SUMIFS(tbl_WIP[Amount],tbl_WIP[Job Number],$A177,tbl_WIP[Month],$C$4)+SUMIF('Deferred Revenue'!$E$6:$E$578,$A177,'Deferred Revenue'!$Q$6:$Q$578)</f>
        <v/>
      </c>
      <c r="E177" s="43">
        <f>C177+D177</f>
        <v/>
      </c>
      <c r="F177" s="44">
        <f>IF(ROUND(C177,2)+ROUND(D177,2)=0,"","yes")</f>
        <v/>
      </c>
      <c r="G177" s="45" t="n"/>
      <c r="H177" s="43">
        <f>IF($G177="","",$E177-$G177)</f>
        <v/>
      </c>
    </row>
    <row r="178">
      <c r="A178" s="42" t="inlineStr">
        <is>
          <t>26052502</t>
        </is>
      </c>
      <c r="B178" s="42" t="inlineStr">
        <is>
          <t>AVIT - Taronga AV Event Support 4-5.06.26</t>
        </is>
      </c>
      <c r="C178" s="43">
        <f>SUMIFS(tbl_WIP[Amount],tbl_WIP[Job Number],$A178,tbl_WIP[Month],"&lt;&gt;",tbl_WIP[Month],"&lt;"&amp;$C$4)+SUMIF('Deferred Revenue'!$E$6:$E$578,$A178,'Deferred Revenue'!$P$6:$P$578)</f>
        <v/>
      </c>
      <c r="D178" s="43">
        <f>SUMIFS(tbl_WIP[Amount],tbl_WIP[Job Number],$A178,tbl_WIP[Month],$C$4)+SUMIF('Deferred Revenue'!$E$6:$E$578,$A178,'Deferred Revenue'!$Q$6:$Q$578)</f>
        <v/>
      </c>
      <c r="E178" s="43">
        <f>C178+D178</f>
        <v/>
      </c>
      <c r="F178" s="44">
        <f>IF(ROUND(C178,2)+ROUND(D178,2)=0,"","yes")</f>
        <v/>
      </c>
      <c r="G178" s="45" t="n"/>
      <c r="H178" s="43">
        <f>IF($G178="","",$E178-$G178)</f>
        <v/>
      </c>
    </row>
    <row r="179">
      <c r="A179" s="42" t="inlineStr">
        <is>
          <t>26052502V</t>
        </is>
      </c>
      <c r="B179" s="42" t="inlineStr">
        <is>
          <t>AVIT - Taronga AV Event Support 4-5.06.26</t>
        </is>
      </c>
      <c r="C179" s="43">
        <f>SUMIFS(tbl_WIP[Amount],tbl_WIP[Job Number],$A179,tbl_WIP[Month],"&lt;&gt;",tbl_WIP[Month],"&lt;"&amp;$C$4)+SUMIF('Deferred Revenue'!$E$6:$E$578,$A179,'Deferred Revenue'!$P$6:$P$578)</f>
        <v/>
      </c>
      <c r="D179" s="43">
        <f>SUMIFS(tbl_WIP[Amount],tbl_WIP[Job Number],$A179,tbl_WIP[Month],$C$4)+SUMIF('Deferred Revenue'!$E$6:$E$578,$A179,'Deferred Revenue'!$Q$6:$Q$578)</f>
        <v/>
      </c>
      <c r="E179" s="43">
        <f>C179+D179</f>
        <v/>
      </c>
      <c r="F179" s="44">
        <f>IF(ROUND(C179,2)+ROUND(D179,2)=0,"","yes")</f>
        <v/>
      </c>
      <c r="G179" s="45" t="n"/>
      <c r="H179" s="43">
        <f>IF($G179="","",$E179-$G179)</f>
        <v/>
      </c>
    </row>
    <row r="180">
      <c r="A180" s="42" t="inlineStr">
        <is>
          <t>26052602</t>
        </is>
      </c>
      <c r="B180" s="42" t="inlineStr">
        <is>
          <t>DTTL MEL Display Supply</t>
        </is>
      </c>
      <c r="C180" s="43">
        <f>SUMIFS(tbl_WIP[Amount],tbl_WIP[Job Number],$A180,tbl_WIP[Month],"&lt;&gt;",tbl_WIP[Month],"&lt;"&amp;$C$4)+SUMIF('Deferred Revenue'!$E$6:$E$578,$A180,'Deferred Revenue'!$P$6:$P$578)</f>
        <v/>
      </c>
      <c r="D180" s="43">
        <f>SUMIFS(tbl_WIP[Amount],tbl_WIP[Job Number],$A180,tbl_WIP[Month],$C$4)+SUMIF('Deferred Revenue'!$E$6:$E$578,$A180,'Deferred Revenue'!$Q$6:$Q$578)</f>
        <v/>
      </c>
      <c r="E180" s="43">
        <f>C180+D180</f>
        <v/>
      </c>
      <c r="F180" s="44">
        <f>IF(ROUND(C180,2)+ROUND(D180,2)=0,"","yes")</f>
        <v/>
      </c>
      <c r="G180" s="45" t="n"/>
      <c r="H180" s="43">
        <f>IF($G180="","",$E180-$G180)</f>
        <v/>
      </c>
    </row>
    <row r="181">
      <c r="A181" s="42" t="inlineStr">
        <is>
          <t>26052701</t>
        </is>
      </c>
      <c r="B181" s="42" t="inlineStr">
        <is>
          <t>Aware | SYD 28.06 Equipment</t>
        </is>
      </c>
      <c r="C181" s="43">
        <f>SUMIFS(tbl_WIP[Amount],tbl_WIP[Job Number],$A181,tbl_WIP[Month],"&lt;&gt;",tbl_WIP[Month],"&lt;"&amp;$C$4)+SUMIF('Deferred Revenue'!$E$6:$E$578,$A181,'Deferred Revenue'!$P$6:$P$578)</f>
        <v/>
      </c>
      <c r="D181" s="43">
        <f>SUMIFS(tbl_WIP[Amount],tbl_WIP[Job Number],$A181,tbl_WIP[Month],$C$4)+SUMIF('Deferred Revenue'!$E$6:$E$578,$A181,'Deferred Revenue'!$Q$6:$Q$578)</f>
        <v/>
      </c>
      <c r="E181" s="43">
        <f>C181+D181</f>
        <v/>
      </c>
      <c r="F181" s="44">
        <f>IF(ROUND(C181,2)+ROUND(D181,2)=0,"","yes")</f>
        <v/>
      </c>
      <c r="G181" s="45" t="n"/>
      <c r="H181" s="43">
        <f>IF($G181="","",$E181-$G181)</f>
        <v/>
      </c>
    </row>
    <row r="182">
      <c r="A182" s="42" t="inlineStr">
        <is>
          <t>26052702</t>
        </is>
      </c>
      <c r="B182" s="42" t="inlineStr">
        <is>
          <t>ASX - FYR - 13.8.26</t>
        </is>
      </c>
      <c r="C182" s="43">
        <f>SUMIFS(tbl_WIP[Amount],tbl_WIP[Job Number],$A182,tbl_WIP[Month],"&lt;&gt;",tbl_WIP[Month],"&lt;"&amp;$C$4)+SUMIF('Deferred Revenue'!$E$6:$E$578,$A182,'Deferred Revenue'!$P$6:$P$578)</f>
        <v/>
      </c>
      <c r="D182" s="43">
        <f>SUMIFS(tbl_WIP[Amount],tbl_WIP[Job Number],$A182,tbl_WIP[Month],$C$4)+SUMIF('Deferred Revenue'!$E$6:$E$578,$A182,'Deferred Revenue'!$Q$6:$Q$578)</f>
        <v/>
      </c>
      <c r="E182" s="43">
        <f>C182+D182</f>
        <v/>
      </c>
      <c r="F182" s="44">
        <f>IF(ROUND(C182,2)+ROUND(D182,2)=0,"","yes")</f>
        <v/>
      </c>
      <c r="G182" s="45" t="n"/>
      <c r="H182" s="43">
        <f>IF($G182="","",$E182-$G182)</f>
        <v/>
      </c>
    </row>
    <row r="183">
      <c r="A183" s="42" t="inlineStr">
        <is>
          <t>26052702V</t>
        </is>
      </c>
      <c r="B183" s="42" t="inlineStr">
        <is>
          <t>ASX - FYR - 13.8.26</t>
        </is>
      </c>
      <c r="C183" s="43">
        <f>SUMIFS(tbl_WIP[Amount],tbl_WIP[Job Number],$A183,tbl_WIP[Month],"&lt;&gt;",tbl_WIP[Month],"&lt;"&amp;$C$4)+SUMIF('Deferred Revenue'!$E$6:$E$578,$A183,'Deferred Revenue'!$P$6:$P$578)</f>
        <v/>
      </c>
      <c r="D183" s="43">
        <f>SUMIFS(tbl_WIP[Amount],tbl_WIP[Job Number],$A183,tbl_WIP[Month],$C$4)+SUMIF('Deferred Revenue'!$E$6:$E$578,$A183,'Deferred Revenue'!$Q$6:$Q$578)</f>
        <v/>
      </c>
      <c r="E183" s="43">
        <f>C183+D183</f>
        <v/>
      </c>
      <c r="F183" s="44">
        <f>IF(ROUND(C183,2)+ROUND(D183,2)=0,"","yes")</f>
        <v/>
      </c>
      <c r="G183" s="45" t="n"/>
      <c r="H183" s="43">
        <f>IF($G183="","",$E183-$G183)</f>
        <v/>
      </c>
    </row>
    <row r="184">
      <c r="A184" s="42" t="inlineStr">
        <is>
          <t>26052703</t>
        </is>
      </c>
      <c r="B184" s="42" t="inlineStr">
        <is>
          <t>Microsoft Town Hall - 21.7.26</t>
        </is>
      </c>
      <c r="C184" s="43">
        <f>SUMIFS(tbl_WIP[Amount],tbl_WIP[Job Number],$A184,tbl_WIP[Month],"&lt;&gt;",tbl_WIP[Month],"&lt;"&amp;$C$4)+SUMIF('Deferred Revenue'!$E$6:$E$578,$A184,'Deferred Revenue'!$P$6:$P$578)</f>
        <v/>
      </c>
      <c r="D184" s="43">
        <f>SUMIFS(tbl_WIP[Amount],tbl_WIP[Job Number],$A184,tbl_WIP[Month],$C$4)+SUMIF('Deferred Revenue'!$E$6:$E$578,$A184,'Deferred Revenue'!$Q$6:$Q$578)</f>
        <v/>
      </c>
      <c r="E184" s="43">
        <f>C184+D184</f>
        <v/>
      </c>
      <c r="F184" s="44">
        <f>IF(ROUND(C184,2)+ROUND(D184,2)=0,"","yes")</f>
        <v/>
      </c>
      <c r="G184" s="45" t="n"/>
      <c r="H184" s="43">
        <f>IF($G184="","",$E184-$G184)</f>
        <v/>
      </c>
    </row>
    <row r="185">
      <c r="A185" s="42" t="inlineStr">
        <is>
          <t>26052703V</t>
        </is>
      </c>
      <c r="B185" s="42" t="inlineStr">
        <is>
          <t>Microsoft Town Hall - 21.7.26</t>
        </is>
      </c>
      <c r="C185" s="43">
        <f>SUMIFS(tbl_WIP[Amount],tbl_WIP[Job Number],$A185,tbl_WIP[Month],"&lt;&gt;",tbl_WIP[Month],"&lt;"&amp;$C$4)+SUMIF('Deferred Revenue'!$E$6:$E$578,$A185,'Deferred Revenue'!$P$6:$P$578)</f>
        <v/>
      </c>
      <c r="D185" s="43">
        <f>SUMIFS(tbl_WIP[Amount],tbl_WIP[Job Number],$A185,tbl_WIP[Month],$C$4)+SUMIF('Deferred Revenue'!$E$6:$E$578,$A185,'Deferred Revenue'!$Q$6:$Q$578)</f>
        <v/>
      </c>
      <c r="E185" s="43">
        <f>C185+D185</f>
        <v/>
      </c>
      <c r="F185" s="44">
        <f>IF(ROUND(C185,2)+ROUND(D185,2)=0,"","yes")</f>
        <v/>
      </c>
      <c r="G185" s="45" t="n"/>
      <c r="H185" s="43">
        <f>IF($G185="","",$E185-$G185)</f>
        <v/>
      </c>
    </row>
    <row r="186">
      <c r="A186" s="42" t="inlineStr">
        <is>
          <t>26052704</t>
        </is>
      </c>
      <c r="B186" s="42" t="inlineStr">
        <is>
          <t>AVIT - Pinsent Masons Technician Callout</t>
        </is>
      </c>
      <c r="C186" s="43">
        <f>SUMIFS(tbl_WIP[Amount],tbl_WIP[Job Number],$A186,tbl_WIP[Month],"&lt;&gt;",tbl_WIP[Month],"&lt;"&amp;$C$4)+SUMIF('Deferred Revenue'!$E$6:$E$578,$A186,'Deferred Revenue'!$P$6:$P$578)</f>
        <v/>
      </c>
      <c r="D186" s="43">
        <f>SUMIFS(tbl_WIP[Amount],tbl_WIP[Job Number],$A186,tbl_WIP[Month],$C$4)+SUMIF('Deferred Revenue'!$E$6:$E$578,$A186,'Deferred Revenue'!$Q$6:$Q$578)</f>
        <v/>
      </c>
      <c r="E186" s="43">
        <f>C186+D186</f>
        <v/>
      </c>
      <c r="F186" s="44">
        <f>IF(ROUND(C186,2)+ROUND(D186,2)=0,"","yes")</f>
        <v/>
      </c>
      <c r="G186" s="45" t="n"/>
      <c r="H186" s="43">
        <f>IF($G186="","",$E186-$G186)</f>
        <v/>
      </c>
    </row>
    <row r="187">
      <c r="A187" s="42" t="inlineStr">
        <is>
          <t>26052901</t>
        </is>
      </c>
      <c r="B187" s="42" t="inlineStr">
        <is>
          <t>Causeway Productions - Stool Hire - 1.6.27</t>
        </is>
      </c>
      <c r="C187" s="43">
        <f>SUMIFS(tbl_WIP[Amount],tbl_WIP[Job Number],$A187,tbl_WIP[Month],"&lt;&gt;",tbl_WIP[Month],"&lt;"&amp;$C$4)+SUMIF('Deferred Revenue'!$E$6:$E$578,$A187,'Deferred Revenue'!$P$6:$P$578)</f>
        <v/>
      </c>
      <c r="D187" s="43">
        <f>SUMIFS(tbl_WIP[Amount],tbl_WIP[Job Number],$A187,tbl_WIP[Month],$C$4)+SUMIF('Deferred Revenue'!$E$6:$E$578,$A187,'Deferred Revenue'!$Q$6:$Q$578)</f>
        <v/>
      </c>
      <c r="E187" s="43">
        <f>C187+D187</f>
        <v/>
      </c>
      <c r="F187" s="44">
        <f>IF(ROUND(C187,2)+ROUND(D187,2)=0,"","yes")</f>
        <v/>
      </c>
      <c r="G187" s="45" t="n"/>
      <c r="H187" s="43">
        <f>IF($G187="","",$E187-$G187)</f>
        <v/>
      </c>
    </row>
    <row r="188">
      <c r="A188" s="42" t="inlineStr">
        <is>
          <t>26052901V</t>
        </is>
      </c>
      <c r="B188" s="42" t="inlineStr">
        <is>
          <t>Causeway Productions - Stool Hire - 1.6.27</t>
        </is>
      </c>
      <c r="C188" s="43">
        <f>SUMIFS(tbl_WIP[Amount],tbl_WIP[Job Number],$A188,tbl_WIP[Month],"&lt;&gt;",tbl_WIP[Month],"&lt;"&amp;$C$4)+SUMIF('Deferred Revenue'!$E$6:$E$578,$A188,'Deferred Revenue'!$P$6:$P$578)</f>
        <v/>
      </c>
      <c r="D188" s="43">
        <f>SUMIFS(tbl_WIP[Amount],tbl_WIP[Job Number],$A188,tbl_WIP[Month],$C$4)+SUMIF('Deferred Revenue'!$E$6:$E$578,$A188,'Deferred Revenue'!$Q$6:$Q$578)</f>
        <v/>
      </c>
      <c r="E188" s="43">
        <f>C188+D188</f>
        <v/>
      </c>
      <c r="F188" s="44">
        <f>IF(ROUND(C188,2)+ROUND(D188,2)=0,"","yes")</f>
        <v/>
      </c>
      <c r="G188" s="45" t="n"/>
      <c r="H188" s="43">
        <f>IF($G188="","",$E188-$G188)</f>
        <v/>
      </c>
    </row>
    <row r="189">
      <c r="A189" s="42" t="inlineStr">
        <is>
          <t>2605401</t>
        </is>
      </c>
      <c r="B189" s="42" t="inlineStr">
        <is>
          <t>AGL FYR - Investor Briefing - 12.8.26</t>
        </is>
      </c>
      <c r="C189" s="43">
        <f>SUMIFS(tbl_WIP[Amount],tbl_WIP[Job Number],$A189,tbl_WIP[Month],"&lt;&gt;",tbl_WIP[Month],"&lt;"&amp;$C$4)+SUMIF('Deferred Revenue'!$E$6:$E$578,$A189,'Deferred Revenue'!$P$6:$P$578)</f>
        <v/>
      </c>
      <c r="D189" s="43">
        <f>SUMIFS(tbl_WIP[Amount],tbl_WIP[Job Number],$A189,tbl_WIP[Month],$C$4)+SUMIF('Deferred Revenue'!$E$6:$E$578,$A189,'Deferred Revenue'!$Q$6:$Q$578)</f>
        <v/>
      </c>
      <c r="E189" s="43">
        <f>C189+D189</f>
        <v/>
      </c>
      <c r="F189" s="44">
        <f>IF(ROUND(C189,2)+ROUND(D189,2)=0,"","yes")</f>
        <v/>
      </c>
      <c r="G189" s="45" t="n"/>
      <c r="H189" s="43">
        <f>IF($G189="","",$E189-$G189)</f>
        <v/>
      </c>
    </row>
    <row r="190">
      <c r="A190" s="42" t="inlineStr">
        <is>
          <t>2605401V</t>
        </is>
      </c>
      <c r="B190" s="42" t="inlineStr">
        <is>
          <t>AGL FYR - Investor Briefing - 12.8.26</t>
        </is>
      </c>
      <c r="C190" s="43">
        <f>SUMIFS(tbl_WIP[Amount],tbl_WIP[Job Number],$A190,tbl_WIP[Month],"&lt;&gt;",tbl_WIP[Month],"&lt;"&amp;$C$4)+SUMIF('Deferred Revenue'!$E$6:$E$578,$A190,'Deferred Revenue'!$P$6:$P$578)</f>
        <v/>
      </c>
      <c r="D190" s="43">
        <f>SUMIFS(tbl_WIP[Amount],tbl_WIP[Job Number],$A190,tbl_WIP[Month],$C$4)+SUMIF('Deferred Revenue'!$E$6:$E$578,$A190,'Deferred Revenue'!$Q$6:$Q$578)</f>
        <v/>
      </c>
      <c r="E190" s="43">
        <f>C190+D190</f>
        <v/>
      </c>
      <c r="F190" s="44">
        <f>IF(ROUND(C190,2)+ROUND(D190,2)=0,"","yes")</f>
        <v/>
      </c>
      <c r="G190" s="45" t="n"/>
      <c r="H190" s="43">
        <f>IF($G190="","",$E190-$G190)</f>
        <v/>
      </c>
    </row>
    <row r="191">
      <c r="A191" s="42" t="inlineStr">
        <is>
          <t>2605402</t>
        </is>
      </c>
      <c r="B191" s="42" t="inlineStr">
        <is>
          <t>AGL FYR - Employee Town Hall - 12.8.26</t>
        </is>
      </c>
      <c r="C191" s="43">
        <f>SUMIFS(tbl_WIP[Amount],tbl_WIP[Job Number],$A191,tbl_WIP[Month],"&lt;&gt;",tbl_WIP[Month],"&lt;"&amp;$C$4)+SUMIF('Deferred Revenue'!$E$6:$E$578,$A191,'Deferred Revenue'!$P$6:$P$578)</f>
        <v/>
      </c>
      <c r="D191" s="43">
        <f>SUMIFS(tbl_WIP[Amount],tbl_WIP[Job Number],$A191,tbl_WIP[Month],$C$4)+SUMIF('Deferred Revenue'!$E$6:$E$578,$A191,'Deferred Revenue'!$Q$6:$Q$578)</f>
        <v/>
      </c>
      <c r="E191" s="43">
        <f>C191+D191</f>
        <v/>
      </c>
      <c r="F191" s="44">
        <f>IF(ROUND(C191,2)+ROUND(D191,2)=0,"","yes")</f>
        <v/>
      </c>
      <c r="G191" s="45" t="n"/>
      <c r="H191" s="43">
        <f>IF($G191="","",$E191-$G191)</f>
        <v/>
      </c>
    </row>
    <row r="192">
      <c r="A192" s="42" t="inlineStr">
        <is>
          <t>2605402V</t>
        </is>
      </c>
      <c r="B192" s="42" t="inlineStr">
        <is>
          <t>AGL FYR - Employee Town Hall - 12.8.26</t>
        </is>
      </c>
      <c r="C192" s="43">
        <f>SUMIFS(tbl_WIP[Amount],tbl_WIP[Job Number],$A192,tbl_WIP[Month],"&lt;&gt;",tbl_WIP[Month],"&lt;"&amp;$C$4)+SUMIF('Deferred Revenue'!$E$6:$E$578,$A192,'Deferred Revenue'!$P$6:$P$578)</f>
        <v/>
      </c>
      <c r="D192" s="43">
        <f>SUMIFS(tbl_WIP[Amount],tbl_WIP[Job Number],$A192,tbl_WIP[Month],$C$4)+SUMIF('Deferred Revenue'!$E$6:$E$578,$A192,'Deferred Revenue'!$Q$6:$Q$578)</f>
        <v/>
      </c>
      <c r="E192" s="43">
        <f>C192+D192</f>
        <v/>
      </c>
      <c r="F192" s="44">
        <f>IF(ROUND(C192,2)+ROUND(D192,2)=0,"","yes")</f>
        <v/>
      </c>
      <c r="G192" s="45" t="n"/>
      <c r="H192" s="43">
        <f>IF($G192="","",$E192-$G192)</f>
        <v/>
      </c>
    </row>
    <row r="193">
      <c r="A193" s="42" t="inlineStr">
        <is>
          <t>2605403</t>
        </is>
      </c>
      <c r="B193" s="42" t="inlineStr">
        <is>
          <t>ARUP - Oves Awards - 23.7.26</t>
        </is>
      </c>
      <c r="C193" s="43">
        <f>SUMIFS(tbl_WIP[Amount],tbl_WIP[Job Number],$A193,tbl_WIP[Month],"&lt;&gt;",tbl_WIP[Month],"&lt;"&amp;$C$4)+SUMIF('Deferred Revenue'!$E$6:$E$578,$A193,'Deferred Revenue'!$P$6:$P$578)</f>
        <v/>
      </c>
      <c r="D193" s="43">
        <f>SUMIFS(tbl_WIP[Amount],tbl_WIP[Job Number],$A193,tbl_WIP[Month],$C$4)+SUMIF('Deferred Revenue'!$E$6:$E$578,$A193,'Deferred Revenue'!$Q$6:$Q$578)</f>
        <v/>
      </c>
      <c r="E193" s="43">
        <f>C193+D193</f>
        <v/>
      </c>
      <c r="F193" s="44">
        <f>IF(ROUND(C193,2)+ROUND(D193,2)=0,"","yes")</f>
        <v/>
      </c>
      <c r="G193" s="45" t="n"/>
      <c r="H193" s="43">
        <f>IF($G193="","",$E193-$G193)</f>
        <v/>
      </c>
    </row>
    <row r="194">
      <c r="A194" s="42" t="inlineStr">
        <is>
          <t>2605403V</t>
        </is>
      </c>
      <c r="B194" s="42" t="inlineStr">
        <is>
          <t>ARUP - Oves Awards - 23.7.26</t>
        </is>
      </c>
      <c r="C194" s="43">
        <f>SUMIFS(tbl_WIP[Amount],tbl_WIP[Job Number],$A194,tbl_WIP[Month],"&lt;&gt;",tbl_WIP[Month],"&lt;"&amp;$C$4)+SUMIF('Deferred Revenue'!$E$6:$E$578,$A194,'Deferred Revenue'!$P$6:$P$578)</f>
        <v/>
      </c>
      <c r="D194" s="43">
        <f>SUMIFS(tbl_WIP[Amount],tbl_WIP[Job Number],$A194,tbl_WIP[Month],$C$4)+SUMIF('Deferred Revenue'!$E$6:$E$578,$A194,'Deferred Revenue'!$Q$6:$Q$578)</f>
        <v/>
      </c>
      <c r="E194" s="43">
        <f>C194+D194</f>
        <v/>
      </c>
      <c r="F194" s="44">
        <f>IF(ROUND(C194,2)+ROUND(D194,2)=0,"","yes")</f>
        <v/>
      </c>
      <c r="G194" s="45" t="n"/>
      <c r="H194" s="43">
        <f>IF($G194="","",$E194-$G194)</f>
        <v/>
      </c>
    </row>
    <row r="195">
      <c r="A195" s="42" t="inlineStr">
        <is>
          <t>2605501</t>
        </is>
      </c>
      <c r="B195" s="42" t="inlineStr">
        <is>
          <t>DTTL Tech Support AWS AP AI Symposium</t>
        </is>
      </c>
      <c r="C195" s="43">
        <f>SUMIFS(tbl_WIP[Amount],tbl_WIP[Job Number],$A195,tbl_WIP[Month],"&lt;&gt;",tbl_WIP[Month],"&lt;"&amp;$C$4)+SUMIF('Deferred Revenue'!$E$6:$E$578,$A195,'Deferred Revenue'!$P$6:$P$578)</f>
        <v/>
      </c>
      <c r="D195" s="43">
        <f>SUMIFS(tbl_WIP[Amount],tbl_WIP[Job Number],$A195,tbl_WIP[Month],$C$4)+SUMIF('Deferred Revenue'!$E$6:$E$578,$A195,'Deferred Revenue'!$Q$6:$Q$578)</f>
        <v/>
      </c>
      <c r="E195" s="43">
        <f>C195+D195</f>
        <v/>
      </c>
      <c r="F195" s="44">
        <f>IF(ROUND(C195,2)+ROUND(D195,2)=0,"","yes")</f>
        <v/>
      </c>
      <c r="G195" s="45" t="n"/>
      <c r="H195" s="43">
        <f>IF($G195="","",$E195-$G195)</f>
        <v/>
      </c>
    </row>
    <row r="196">
      <c r="A196" s="42" t="inlineStr">
        <is>
          <t>2605502</t>
        </is>
      </c>
      <c r="B196" s="42" t="inlineStr">
        <is>
          <t>CBA BNE - Event Support - 13.5.26</t>
        </is>
      </c>
      <c r="C196" s="43">
        <f>SUMIFS(tbl_WIP[Amount],tbl_WIP[Job Number],$A196,tbl_WIP[Month],"&lt;&gt;",tbl_WIP[Month],"&lt;"&amp;$C$4)+SUMIF('Deferred Revenue'!$E$6:$E$578,$A196,'Deferred Revenue'!$P$6:$P$578)</f>
        <v/>
      </c>
      <c r="D196" s="43">
        <f>SUMIFS(tbl_WIP[Amount],tbl_WIP[Job Number],$A196,tbl_WIP[Month],$C$4)+SUMIF('Deferred Revenue'!$E$6:$E$578,$A196,'Deferred Revenue'!$Q$6:$Q$578)</f>
        <v/>
      </c>
      <c r="E196" s="43">
        <f>C196+D196</f>
        <v/>
      </c>
      <c r="F196" s="44">
        <f>IF(ROUND(C196,2)+ROUND(D196,2)=0,"","yes")</f>
        <v/>
      </c>
      <c r="G196" s="45" t="n"/>
      <c r="H196" s="43">
        <f>IF($G196="","",$E196-$G196)</f>
        <v/>
      </c>
    </row>
    <row r="197">
      <c r="A197" s="42" t="inlineStr">
        <is>
          <t>2605502V</t>
        </is>
      </c>
      <c r="B197" s="42" t="inlineStr">
        <is>
          <t>CBA BNE - Event Support - 13.5.26</t>
        </is>
      </c>
      <c r="C197" s="43">
        <f>SUMIFS(tbl_WIP[Amount],tbl_WIP[Job Number],$A197,tbl_WIP[Month],"&lt;&gt;",tbl_WIP[Month],"&lt;"&amp;$C$4)+SUMIF('Deferred Revenue'!$E$6:$E$578,$A197,'Deferred Revenue'!$P$6:$P$578)</f>
        <v/>
      </c>
      <c r="D197" s="43">
        <f>SUMIFS(tbl_WIP[Amount],tbl_WIP[Job Number],$A197,tbl_WIP[Month],$C$4)+SUMIF('Deferred Revenue'!$E$6:$E$578,$A197,'Deferred Revenue'!$Q$6:$Q$578)</f>
        <v/>
      </c>
      <c r="E197" s="43">
        <f>C197+D197</f>
        <v/>
      </c>
      <c r="F197" s="44">
        <f>IF(ROUND(C197,2)+ROUND(D197,2)=0,"","yes")</f>
        <v/>
      </c>
      <c r="G197" s="45" t="n"/>
      <c r="H197" s="43">
        <f>IF($G197="","",$E197-$G197)</f>
        <v/>
      </c>
    </row>
    <row r="198">
      <c r="A198" s="42" t="inlineStr">
        <is>
          <t>2605503</t>
        </is>
      </c>
      <c r="B198" s="42" t="inlineStr">
        <is>
          <t>DTTL L31 reception Led Wall Audio DSP Repair</t>
        </is>
      </c>
      <c r="C198" s="43">
        <f>SUMIFS(tbl_WIP[Amount],tbl_WIP[Job Number],$A198,tbl_WIP[Month],"&lt;&gt;",tbl_WIP[Month],"&lt;"&amp;$C$4)+SUMIF('Deferred Revenue'!$E$6:$E$578,$A198,'Deferred Revenue'!$P$6:$P$578)</f>
        <v/>
      </c>
      <c r="D198" s="43">
        <f>SUMIFS(tbl_WIP[Amount],tbl_WIP[Job Number],$A198,tbl_WIP[Month],$C$4)+SUMIF('Deferred Revenue'!$E$6:$E$578,$A198,'Deferred Revenue'!$Q$6:$Q$578)</f>
        <v/>
      </c>
      <c r="E198" s="43">
        <f>C198+D198</f>
        <v/>
      </c>
      <c r="F198" s="44">
        <f>IF(ROUND(C198,2)+ROUND(D198,2)=0,"","yes")</f>
        <v/>
      </c>
      <c r="G198" s="45" t="n"/>
      <c r="H198" s="43">
        <f>IF($G198="","",$E198-$G198)</f>
        <v/>
      </c>
    </row>
    <row r="199">
      <c r="A199" s="42" t="inlineStr">
        <is>
          <t>2605605</t>
        </is>
      </c>
      <c r="B199" s="42" t="inlineStr">
        <is>
          <t>DTTL Hobart AV Fitout</t>
        </is>
      </c>
      <c r="C199" s="43">
        <f>SUMIFS(tbl_WIP[Amount],tbl_WIP[Job Number],$A199,tbl_WIP[Month],"&lt;&gt;",tbl_WIP[Month],"&lt;"&amp;$C$4)+SUMIF('Deferred Revenue'!$E$6:$E$578,$A199,'Deferred Revenue'!$P$6:$P$578)</f>
        <v/>
      </c>
      <c r="D199" s="43">
        <f>SUMIFS(tbl_WIP[Amount],tbl_WIP[Job Number],$A199,tbl_WIP[Month],$C$4)+SUMIF('Deferred Revenue'!$E$6:$E$578,$A199,'Deferred Revenue'!$Q$6:$Q$578)</f>
        <v/>
      </c>
      <c r="E199" s="43">
        <f>C199+D199</f>
        <v/>
      </c>
      <c r="F199" s="44">
        <f>IF(ROUND(C199,2)+ROUND(D199,2)=0,"","yes")</f>
        <v/>
      </c>
      <c r="G199" s="45" t="n"/>
      <c r="H199" s="43">
        <f>IF($G199="","",$E199-$G199)</f>
        <v/>
      </c>
    </row>
    <row r="200">
      <c r="A200" s="42" t="inlineStr">
        <is>
          <t>2605606</t>
        </is>
      </c>
      <c r="B200" s="42" t="inlineStr">
        <is>
          <t>Ventia Internal Townhall 8.05.26</t>
        </is>
      </c>
      <c r="C200" s="43">
        <f>SUMIFS(tbl_WIP[Amount],tbl_WIP[Job Number],$A200,tbl_WIP[Month],"&lt;&gt;",tbl_WIP[Month],"&lt;"&amp;$C$4)+SUMIF('Deferred Revenue'!$E$6:$E$578,$A200,'Deferred Revenue'!$P$6:$P$578)</f>
        <v/>
      </c>
      <c r="D200" s="43">
        <f>SUMIFS(tbl_WIP[Amount],tbl_WIP[Job Number],$A200,tbl_WIP[Month],$C$4)+SUMIF('Deferred Revenue'!$E$6:$E$578,$A200,'Deferred Revenue'!$Q$6:$Q$578)</f>
        <v/>
      </c>
      <c r="E200" s="43">
        <f>C200+D200</f>
        <v/>
      </c>
      <c r="F200" s="44">
        <f>IF(ROUND(C200,2)+ROUND(D200,2)=0,"","yes")</f>
        <v/>
      </c>
      <c r="G200" s="45" t="n"/>
      <c r="H200" s="43">
        <f>IF($G200="","",$E200-$G200)</f>
        <v/>
      </c>
    </row>
    <row r="201">
      <c r="A201" s="42" t="inlineStr">
        <is>
          <t>2605606V</t>
        </is>
      </c>
      <c r="B201" s="42" t="inlineStr">
        <is>
          <t>Ventia Internal Townhall 8.05.26</t>
        </is>
      </c>
      <c r="C201" s="43">
        <f>SUMIFS(tbl_WIP[Amount],tbl_WIP[Job Number],$A201,tbl_WIP[Month],"&lt;&gt;",tbl_WIP[Month],"&lt;"&amp;$C$4)+SUMIF('Deferred Revenue'!$E$6:$E$578,$A201,'Deferred Revenue'!$P$6:$P$578)</f>
        <v/>
      </c>
      <c r="D201" s="43">
        <f>SUMIFS(tbl_WIP[Amount],tbl_WIP[Job Number],$A201,tbl_WIP[Month],$C$4)+SUMIF('Deferred Revenue'!$E$6:$E$578,$A201,'Deferred Revenue'!$Q$6:$Q$578)</f>
        <v/>
      </c>
      <c r="E201" s="43">
        <f>C201+D201</f>
        <v/>
      </c>
      <c r="F201" s="44">
        <f>IF(ROUND(C201,2)+ROUND(D201,2)=0,"","yes")</f>
        <v/>
      </c>
      <c r="G201" s="45" t="n"/>
      <c r="H201" s="43">
        <f>IF($G201="","",$E201-$G201)</f>
        <v/>
      </c>
    </row>
    <row r="202">
      <c r="A202" s="42" t="inlineStr">
        <is>
          <t>2605609</t>
        </is>
      </c>
      <c r="B202" s="42" t="inlineStr">
        <is>
          <t>ASX - CEO Farewell - 27.5.26</t>
        </is>
      </c>
      <c r="C202" s="43">
        <f>SUMIFS(tbl_WIP[Amount],tbl_WIP[Job Number],$A202,tbl_WIP[Month],"&lt;&gt;",tbl_WIP[Month],"&lt;"&amp;$C$4)+SUMIF('Deferred Revenue'!$E$6:$E$578,$A202,'Deferred Revenue'!$P$6:$P$578)</f>
        <v/>
      </c>
      <c r="D202" s="43">
        <f>SUMIFS(tbl_WIP[Amount],tbl_WIP[Job Number],$A202,tbl_WIP[Month],$C$4)+SUMIF('Deferred Revenue'!$E$6:$E$578,$A202,'Deferred Revenue'!$Q$6:$Q$578)</f>
        <v/>
      </c>
      <c r="E202" s="43">
        <f>C202+D202</f>
        <v/>
      </c>
      <c r="F202" s="44">
        <f>IF(ROUND(C202,2)+ROUND(D202,2)=0,"","yes")</f>
        <v/>
      </c>
      <c r="G202" s="45" t="n"/>
      <c r="H202" s="43">
        <f>IF($G202="","",$E202-$G202)</f>
        <v/>
      </c>
    </row>
    <row r="203">
      <c r="A203" s="42" t="inlineStr">
        <is>
          <t>2605609V</t>
        </is>
      </c>
      <c r="B203" s="42" t="inlineStr">
        <is>
          <t>ASX - CEO Farewell - 27.5.26</t>
        </is>
      </c>
      <c r="C203" s="43">
        <f>SUMIFS(tbl_WIP[Amount],tbl_WIP[Job Number],$A203,tbl_WIP[Month],"&lt;&gt;",tbl_WIP[Month],"&lt;"&amp;$C$4)+SUMIF('Deferred Revenue'!$E$6:$E$578,$A203,'Deferred Revenue'!$P$6:$P$578)</f>
        <v/>
      </c>
      <c r="D203" s="43">
        <f>SUMIFS(tbl_WIP[Amount],tbl_WIP[Job Number],$A203,tbl_WIP[Month],$C$4)+SUMIF('Deferred Revenue'!$E$6:$E$578,$A203,'Deferred Revenue'!$Q$6:$Q$578)</f>
        <v/>
      </c>
      <c r="E203" s="43">
        <f>C203+D203</f>
        <v/>
      </c>
      <c r="F203" s="44">
        <f>IF(ROUND(C203,2)+ROUND(D203,2)=0,"","yes")</f>
        <v/>
      </c>
      <c r="G203" s="45" t="n"/>
      <c r="H203" s="43">
        <f>IF($G203="","",$E203-$G203)</f>
        <v/>
      </c>
    </row>
    <row r="204">
      <c r="A204" s="42" t="inlineStr">
        <is>
          <t>2605610</t>
        </is>
      </c>
      <c r="B204" s="42" t="inlineStr">
        <is>
          <t>ASX CEO Farewell Additional Costs</t>
        </is>
      </c>
      <c r="C204" s="43">
        <f>SUMIFS(tbl_WIP[Amount],tbl_WIP[Job Number],$A204,tbl_WIP[Month],"&lt;&gt;",tbl_WIP[Month],"&lt;"&amp;$C$4)+SUMIF('Deferred Revenue'!$E$6:$E$578,$A204,'Deferred Revenue'!$P$6:$P$578)</f>
        <v/>
      </c>
      <c r="D204" s="43">
        <f>SUMIFS(tbl_WIP[Amount],tbl_WIP[Job Number],$A204,tbl_WIP[Month],$C$4)+SUMIF('Deferred Revenue'!$E$6:$E$578,$A204,'Deferred Revenue'!$Q$6:$Q$578)</f>
        <v/>
      </c>
      <c r="E204" s="43">
        <f>C204+D204</f>
        <v/>
      </c>
      <c r="F204" s="44">
        <f>IF(ROUND(C204,2)+ROUND(D204,2)=0,"","yes")</f>
        <v/>
      </c>
      <c r="G204" s="45" t="n"/>
      <c r="H204" s="43">
        <f>IF($G204="","",$E204-$G204)</f>
        <v/>
      </c>
    </row>
    <row r="205">
      <c r="A205" s="42" t="inlineStr">
        <is>
          <t>2605704</t>
        </is>
      </c>
      <c r="B205" s="42" t="inlineStr">
        <is>
          <t>CBA CBPS Auditorium Upgrade</t>
        </is>
      </c>
      <c r="C205" s="43">
        <f>SUMIFS(tbl_WIP[Amount],tbl_WIP[Job Number],$A205,tbl_WIP[Month],"&lt;&gt;",tbl_WIP[Month],"&lt;"&amp;$C$4)+SUMIF('Deferred Revenue'!$E$6:$E$578,$A205,'Deferred Revenue'!$P$6:$P$578)</f>
        <v/>
      </c>
      <c r="D205" s="43">
        <f>SUMIFS(tbl_WIP[Amount],tbl_WIP[Job Number],$A205,tbl_WIP[Month],$C$4)+SUMIF('Deferred Revenue'!$E$6:$E$578,$A205,'Deferred Revenue'!$Q$6:$Q$578)</f>
        <v/>
      </c>
      <c r="E205" s="43">
        <f>C205+D205</f>
        <v/>
      </c>
      <c r="F205" s="44">
        <f>IF(ROUND(C205,2)+ROUND(D205,2)=0,"","yes")</f>
        <v/>
      </c>
      <c r="G205" s="45" t="n"/>
      <c r="H205" s="43">
        <f>IF($G205="","",$E205-$G205)</f>
        <v/>
      </c>
    </row>
    <row r="206">
      <c r="A206" s="42" t="inlineStr">
        <is>
          <t>2605801</t>
        </is>
      </c>
      <c r="B206" s="42" t="inlineStr">
        <is>
          <t>Dimensional - AV Support - 3-4.6.26</t>
        </is>
      </c>
      <c r="C206" s="43">
        <f>SUMIFS(tbl_WIP[Amount],tbl_WIP[Job Number],$A206,tbl_WIP[Month],"&lt;&gt;",tbl_WIP[Month],"&lt;"&amp;$C$4)+SUMIF('Deferred Revenue'!$E$6:$E$578,$A206,'Deferred Revenue'!$P$6:$P$578)</f>
        <v/>
      </c>
      <c r="D206" s="43">
        <f>SUMIFS(tbl_WIP[Amount],tbl_WIP[Job Number],$A206,tbl_WIP[Month],$C$4)+SUMIF('Deferred Revenue'!$E$6:$E$578,$A206,'Deferred Revenue'!$Q$6:$Q$578)</f>
        <v/>
      </c>
      <c r="E206" s="43">
        <f>C206+D206</f>
        <v/>
      </c>
      <c r="F206" s="44">
        <f>IF(ROUND(C206,2)+ROUND(D206,2)=0,"","yes")</f>
        <v/>
      </c>
      <c r="G206" s="45" t="n"/>
      <c r="H206" s="43">
        <f>IF($G206="","",$E206-$G206)</f>
        <v/>
      </c>
    </row>
    <row r="207">
      <c r="A207" s="42" t="inlineStr">
        <is>
          <t>2605803</t>
        </is>
      </c>
      <c r="B207" s="42" t="inlineStr">
        <is>
          <t>St Catherine's - Dedicated Tech - 12.6.26</t>
        </is>
      </c>
      <c r="C207" s="43">
        <f>SUMIFS(tbl_WIP[Amount],tbl_WIP[Job Number],$A207,tbl_WIP[Month],"&lt;&gt;",tbl_WIP[Month],"&lt;"&amp;$C$4)+SUMIF('Deferred Revenue'!$E$6:$E$578,$A207,'Deferred Revenue'!$P$6:$P$578)</f>
        <v/>
      </c>
      <c r="D207" s="43">
        <f>SUMIFS(tbl_WIP[Amount],tbl_WIP[Job Number],$A207,tbl_WIP[Month],$C$4)+SUMIF('Deferred Revenue'!$E$6:$E$578,$A207,'Deferred Revenue'!$Q$6:$Q$578)</f>
        <v/>
      </c>
      <c r="E207" s="43">
        <f>C207+D207</f>
        <v/>
      </c>
      <c r="F207" s="44">
        <f>IF(ROUND(C207,2)+ROUND(D207,2)=0,"","yes")</f>
        <v/>
      </c>
      <c r="G207" s="45" t="n"/>
      <c r="H207" s="43">
        <f>IF($G207="","",$E207-$G207)</f>
        <v/>
      </c>
    </row>
    <row r="208">
      <c r="A208" s="42" t="inlineStr">
        <is>
          <t>2605804</t>
        </is>
      </c>
      <c r="B208" s="42" t="inlineStr">
        <is>
          <t>City of Sydney Supply of Barco Projector Shutters</t>
        </is>
      </c>
      <c r="C208" s="43">
        <f>SUMIFS(tbl_WIP[Amount],tbl_WIP[Job Number],$A208,tbl_WIP[Month],"&lt;&gt;",tbl_WIP[Month],"&lt;"&amp;$C$4)+SUMIF('Deferred Revenue'!$E$6:$E$578,$A208,'Deferred Revenue'!$P$6:$P$578)</f>
        <v/>
      </c>
      <c r="D208" s="43">
        <f>SUMIFS(tbl_WIP[Amount],tbl_WIP[Job Number],$A208,tbl_WIP[Month],$C$4)+SUMIF('Deferred Revenue'!$E$6:$E$578,$A208,'Deferred Revenue'!$Q$6:$Q$578)</f>
        <v/>
      </c>
      <c r="E208" s="43">
        <f>C208+D208</f>
        <v/>
      </c>
      <c r="F208" s="44">
        <f>IF(ROUND(C208,2)+ROUND(D208,2)=0,"","yes")</f>
        <v/>
      </c>
      <c r="G208" s="45" t="n"/>
      <c r="H208" s="43">
        <f>IF($G208="","",$E208-$G208)</f>
        <v/>
      </c>
    </row>
    <row r="209">
      <c r="A209" s="42" t="inlineStr">
        <is>
          <t>2605806</t>
        </is>
      </c>
      <c r="B209" s="42" t="inlineStr">
        <is>
          <t>Aware Super AV Fitout @ 555 Collins Street MEL</t>
        </is>
      </c>
      <c r="C209" s="43">
        <f>SUMIFS(tbl_WIP[Amount],tbl_WIP[Job Number],$A209,tbl_WIP[Month],"&lt;&gt;",tbl_WIP[Month],"&lt;"&amp;$C$4)+SUMIF('Deferred Revenue'!$E$6:$E$578,$A209,'Deferred Revenue'!$P$6:$P$578)</f>
        <v/>
      </c>
      <c r="D209" s="43">
        <f>SUMIFS(tbl_WIP[Amount],tbl_WIP[Job Number],$A209,tbl_WIP[Month],$C$4)+SUMIF('Deferred Revenue'!$E$6:$E$578,$A209,'Deferred Revenue'!$Q$6:$Q$578)</f>
        <v/>
      </c>
      <c r="E209" s="43">
        <f>C209+D209</f>
        <v/>
      </c>
      <c r="F209" s="44">
        <f>IF(ROUND(C209,2)+ROUND(D209,2)=0,"","yes")</f>
        <v/>
      </c>
      <c r="G209" s="45" t="n"/>
      <c r="H209" s="43">
        <f>IF($G209="","",$E209-$G209)</f>
        <v/>
      </c>
    </row>
    <row r="210">
      <c r="A210" s="42" t="inlineStr">
        <is>
          <t>26061001</t>
        </is>
      </c>
      <c r="B210" s="42" t="inlineStr">
        <is>
          <t>Garvan August All Clear Event 25.8.26</t>
        </is>
      </c>
      <c r="C210" s="43">
        <f>SUMIFS(tbl_WIP[Amount],tbl_WIP[Job Number],$A210,tbl_WIP[Month],"&lt;&gt;",tbl_WIP[Month],"&lt;"&amp;$C$4)+SUMIF('Deferred Revenue'!$E$6:$E$578,$A210,'Deferred Revenue'!$P$6:$P$578)</f>
        <v/>
      </c>
      <c r="D210" s="43">
        <f>SUMIFS(tbl_WIP[Amount],tbl_WIP[Job Number],$A210,tbl_WIP[Month],$C$4)+SUMIF('Deferred Revenue'!$E$6:$E$578,$A210,'Deferred Revenue'!$Q$6:$Q$578)</f>
        <v/>
      </c>
      <c r="E210" s="43">
        <f>C210+D210</f>
        <v/>
      </c>
      <c r="F210" s="44">
        <f>IF(ROUND(C210,2)+ROUND(D210,2)=0,"","yes")</f>
        <v/>
      </c>
      <c r="G210" s="45" t="n"/>
      <c r="H210" s="43">
        <f>IF($G210="","",$E210-$G210)</f>
        <v/>
      </c>
    </row>
    <row r="211">
      <c r="A211" s="42" t="inlineStr">
        <is>
          <t>26061002</t>
        </is>
      </c>
      <c r="B211" s="42" t="inlineStr">
        <is>
          <t>Optiver - Fireside Event Support - 18.6.26</t>
        </is>
      </c>
      <c r="C211" s="43">
        <f>SUMIFS(tbl_WIP[Amount],tbl_WIP[Job Number],$A211,tbl_WIP[Month],"&lt;&gt;",tbl_WIP[Month],"&lt;"&amp;$C$4)+SUMIF('Deferred Revenue'!$E$6:$E$578,$A211,'Deferred Revenue'!$P$6:$P$578)</f>
        <v/>
      </c>
      <c r="D211" s="43">
        <f>SUMIFS(tbl_WIP[Amount],tbl_WIP[Job Number],$A211,tbl_WIP[Month],$C$4)+SUMIF('Deferred Revenue'!$E$6:$E$578,$A211,'Deferred Revenue'!$Q$6:$Q$578)</f>
        <v/>
      </c>
      <c r="E211" s="43">
        <f>C211+D211</f>
        <v/>
      </c>
      <c r="F211" s="44">
        <f>IF(ROUND(C211,2)+ROUND(D211,2)=0,"","yes")</f>
        <v/>
      </c>
      <c r="G211" s="45" t="n"/>
      <c r="H211" s="43">
        <f>IF($G211="","",$E211-$G211)</f>
        <v/>
      </c>
    </row>
    <row r="212">
      <c r="A212" s="42" t="inlineStr">
        <is>
          <t>26061002V</t>
        </is>
      </c>
      <c r="B212" s="42" t="inlineStr">
        <is>
          <t>Optiver - Fireside Event Support - 18.6.26</t>
        </is>
      </c>
      <c r="C212" s="43">
        <f>SUMIFS(tbl_WIP[Amount],tbl_WIP[Job Number],$A212,tbl_WIP[Month],"&lt;&gt;",tbl_WIP[Month],"&lt;"&amp;$C$4)+SUMIF('Deferred Revenue'!$E$6:$E$578,$A212,'Deferred Revenue'!$P$6:$P$578)</f>
        <v/>
      </c>
      <c r="D212" s="43">
        <f>SUMIFS(tbl_WIP[Amount],tbl_WIP[Job Number],$A212,tbl_WIP[Month],$C$4)+SUMIF('Deferred Revenue'!$E$6:$E$578,$A212,'Deferred Revenue'!$Q$6:$Q$578)</f>
        <v/>
      </c>
      <c r="E212" s="43">
        <f>C212+D212</f>
        <v/>
      </c>
      <c r="F212" s="44">
        <f>IF(ROUND(C212,2)+ROUND(D212,2)=0,"","yes")</f>
        <v/>
      </c>
      <c r="G212" s="45" t="n"/>
      <c r="H212" s="43">
        <f>IF($G212="","",$E212-$G212)</f>
        <v/>
      </c>
    </row>
    <row r="213">
      <c r="A213" s="42" t="inlineStr">
        <is>
          <t>26061102</t>
        </is>
      </c>
      <c r="B213" s="42" t="inlineStr">
        <is>
          <t>CSE Invest Sri Lanka | 16.8.26</t>
        </is>
      </c>
      <c r="C213" s="43">
        <f>SUMIFS(tbl_WIP[Amount],tbl_WIP[Job Number],$A213,tbl_WIP[Month],"&lt;&gt;",tbl_WIP[Month],"&lt;"&amp;$C$4)+SUMIF('Deferred Revenue'!$E$6:$E$578,$A213,'Deferred Revenue'!$P$6:$P$578)</f>
        <v/>
      </c>
      <c r="D213" s="43">
        <f>SUMIFS(tbl_WIP[Amount],tbl_WIP[Job Number],$A213,tbl_WIP[Month],$C$4)+SUMIF('Deferred Revenue'!$E$6:$E$578,$A213,'Deferred Revenue'!$Q$6:$Q$578)</f>
        <v/>
      </c>
      <c r="E213" s="43">
        <f>C213+D213</f>
        <v/>
      </c>
      <c r="F213" s="44">
        <f>IF(ROUND(C213,2)+ROUND(D213,2)=0,"","yes")</f>
        <v/>
      </c>
      <c r="G213" s="45" t="n"/>
      <c r="H213" s="43">
        <f>IF($G213="","",$E213-$G213)</f>
        <v/>
      </c>
    </row>
    <row r="214">
      <c r="A214" s="42" t="inlineStr">
        <is>
          <t>26061102V</t>
        </is>
      </c>
      <c r="B214" s="42" t="inlineStr">
        <is>
          <t>CSE Invest Sri Lanka | 16.8.26</t>
        </is>
      </c>
      <c r="C214" s="43">
        <f>SUMIFS(tbl_WIP[Amount],tbl_WIP[Job Number],$A214,tbl_WIP[Month],"&lt;&gt;",tbl_WIP[Month],"&lt;"&amp;$C$4)+SUMIF('Deferred Revenue'!$E$6:$E$578,$A214,'Deferred Revenue'!$P$6:$P$578)</f>
        <v/>
      </c>
      <c r="D214" s="43">
        <f>SUMIFS(tbl_WIP[Amount],tbl_WIP[Job Number],$A214,tbl_WIP[Month],$C$4)+SUMIF('Deferred Revenue'!$E$6:$E$578,$A214,'Deferred Revenue'!$Q$6:$Q$578)</f>
        <v/>
      </c>
      <c r="E214" s="43">
        <f>C214+D214</f>
        <v/>
      </c>
      <c r="F214" s="44">
        <f>IF(ROUND(C214,2)+ROUND(D214,2)=0,"","yes")</f>
        <v/>
      </c>
      <c r="G214" s="45" t="n"/>
      <c r="H214" s="43">
        <f>IF($G214="","",$E214-$G214)</f>
        <v/>
      </c>
    </row>
    <row r="215">
      <c r="A215" s="42" t="inlineStr">
        <is>
          <t>26061103</t>
        </is>
      </c>
      <c r="B215" s="42" t="inlineStr">
        <is>
          <t>Circadia Australia Elevate | 14.8.26</t>
        </is>
      </c>
      <c r="C215" s="43">
        <f>SUMIFS(tbl_WIP[Amount],tbl_WIP[Job Number],$A215,tbl_WIP[Month],"&lt;&gt;",tbl_WIP[Month],"&lt;"&amp;$C$4)+SUMIF('Deferred Revenue'!$E$6:$E$578,$A215,'Deferred Revenue'!$P$6:$P$578)</f>
        <v/>
      </c>
      <c r="D215" s="43">
        <f>SUMIFS(tbl_WIP[Amount],tbl_WIP[Job Number],$A215,tbl_WIP[Month],$C$4)+SUMIF('Deferred Revenue'!$E$6:$E$578,$A215,'Deferred Revenue'!$Q$6:$Q$578)</f>
        <v/>
      </c>
      <c r="E215" s="43">
        <f>C215+D215</f>
        <v/>
      </c>
      <c r="F215" s="44">
        <f>IF(ROUND(C215,2)+ROUND(D215,2)=0,"","yes")</f>
        <v/>
      </c>
      <c r="G215" s="45" t="n"/>
      <c r="H215" s="43">
        <f>IF($G215="","",$E215-$G215)</f>
        <v/>
      </c>
    </row>
    <row r="216">
      <c r="A216" s="42" t="inlineStr">
        <is>
          <t>26061103V</t>
        </is>
      </c>
      <c r="B216" s="42" t="inlineStr">
        <is>
          <t>Circadia Australia Elevate | 14.8.26</t>
        </is>
      </c>
      <c r="C216" s="43">
        <f>SUMIFS(tbl_WIP[Amount],tbl_WIP[Job Number],$A216,tbl_WIP[Month],"&lt;&gt;",tbl_WIP[Month],"&lt;"&amp;$C$4)+SUMIF('Deferred Revenue'!$E$6:$E$578,$A216,'Deferred Revenue'!$P$6:$P$578)</f>
        <v/>
      </c>
      <c r="D216" s="43">
        <f>SUMIFS(tbl_WIP[Amount],tbl_WIP[Job Number],$A216,tbl_WIP[Month],$C$4)+SUMIF('Deferred Revenue'!$E$6:$E$578,$A216,'Deferred Revenue'!$Q$6:$Q$578)</f>
        <v/>
      </c>
      <c r="E216" s="43">
        <f>C216+D216</f>
        <v/>
      </c>
      <c r="F216" s="44">
        <f>IF(ROUND(C216,2)+ROUND(D216,2)=0,"","yes")</f>
        <v/>
      </c>
      <c r="G216" s="45" t="n"/>
      <c r="H216" s="43">
        <f>IF($G216="","",$E216-$G216)</f>
        <v/>
      </c>
    </row>
    <row r="217">
      <c r="A217" s="42" t="inlineStr">
        <is>
          <t>26061104</t>
        </is>
      </c>
      <c r="B217" s="42" t="inlineStr">
        <is>
          <t>MUFG - FYR26 - 12.8.26</t>
        </is>
      </c>
      <c r="C217" s="43">
        <f>SUMIFS(tbl_WIP[Amount],tbl_WIP[Job Number],$A217,tbl_WIP[Month],"&lt;&gt;",tbl_WIP[Month],"&lt;"&amp;$C$4)+SUMIF('Deferred Revenue'!$E$6:$E$578,$A217,'Deferred Revenue'!$P$6:$P$578)</f>
        <v/>
      </c>
      <c r="D217" s="43">
        <f>SUMIFS(tbl_WIP[Amount],tbl_WIP[Job Number],$A217,tbl_WIP[Month],$C$4)+SUMIF('Deferred Revenue'!$E$6:$E$578,$A217,'Deferred Revenue'!$Q$6:$Q$578)</f>
        <v/>
      </c>
      <c r="E217" s="43">
        <f>C217+D217</f>
        <v/>
      </c>
      <c r="F217" s="44">
        <f>IF(ROUND(C217,2)+ROUND(D217,2)=0,"","yes")</f>
        <v/>
      </c>
      <c r="G217" s="45" t="n"/>
      <c r="H217" s="43">
        <f>IF($G217="","",$E217-$G217)</f>
        <v/>
      </c>
    </row>
    <row r="218">
      <c r="A218" s="42" t="inlineStr">
        <is>
          <t>26061104V</t>
        </is>
      </c>
      <c r="B218" s="42" t="inlineStr">
        <is>
          <t>MUFG - FYR26 - 12.8.26</t>
        </is>
      </c>
      <c r="C218" s="43">
        <f>SUMIFS(tbl_WIP[Amount],tbl_WIP[Job Number],$A218,tbl_WIP[Month],"&lt;&gt;",tbl_WIP[Month],"&lt;"&amp;$C$4)+SUMIF('Deferred Revenue'!$E$6:$E$578,$A218,'Deferred Revenue'!$P$6:$P$578)</f>
        <v/>
      </c>
      <c r="D218" s="43">
        <f>SUMIFS(tbl_WIP[Amount],tbl_WIP[Job Number],$A218,tbl_WIP[Month],$C$4)+SUMIF('Deferred Revenue'!$E$6:$E$578,$A218,'Deferred Revenue'!$Q$6:$Q$578)</f>
        <v/>
      </c>
      <c r="E218" s="43">
        <f>C218+D218</f>
        <v/>
      </c>
      <c r="F218" s="44">
        <f>IF(ROUND(C218,2)+ROUND(D218,2)=0,"","yes")</f>
        <v/>
      </c>
      <c r="G218" s="45" t="n"/>
      <c r="H218" s="43">
        <f>IF($G218="","",$E218-$G218)</f>
        <v/>
      </c>
    </row>
    <row r="219">
      <c r="A219" s="42" t="inlineStr">
        <is>
          <t>26061105</t>
        </is>
      </c>
      <c r="B219" s="42" t="inlineStr">
        <is>
          <t>CBA - FYR 2026 - 12.8.26</t>
        </is>
      </c>
      <c r="C219" s="43">
        <f>SUMIFS(tbl_WIP[Amount],tbl_WIP[Job Number],$A219,tbl_WIP[Month],"&lt;&gt;",tbl_WIP[Month],"&lt;"&amp;$C$4)+SUMIF('Deferred Revenue'!$E$6:$E$578,$A219,'Deferred Revenue'!$P$6:$P$578)</f>
        <v/>
      </c>
      <c r="D219" s="43">
        <f>SUMIFS(tbl_WIP[Amount],tbl_WIP[Job Number],$A219,tbl_WIP[Month],$C$4)+SUMIF('Deferred Revenue'!$E$6:$E$578,$A219,'Deferred Revenue'!$Q$6:$Q$578)</f>
        <v/>
      </c>
      <c r="E219" s="43">
        <f>C219+D219</f>
        <v/>
      </c>
      <c r="F219" s="44">
        <f>IF(ROUND(C219,2)+ROUND(D219,2)=0,"","yes")</f>
        <v/>
      </c>
      <c r="G219" s="45" t="n"/>
      <c r="H219" s="43">
        <f>IF($G219="","",$E219-$G219)</f>
        <v/>
      </c>
    </row>
    <row r="220">
      <c r="A220" s="42" t="inlineStr">
        <is>
          <t>26061105V</t>
        </is>
      </c>
      <c r="B220" s="42" t="inlineStr">
        <is>
          <t>CBA - FYR 2026 - 12.8.26</t>
        </is>
      </c>
      <c r="C220" s="43">
        <f>SUMIFS(tbl_WIP[Amount],tbl_WIP[Job Number],$A220,tbl_WIP[Month],"&lt;&gt;",tbl_WIP[Month],"&lt;"&amp;$C$4)+SUMIF('Deferred Revenue'!$E$6:$E$578,$A220,'Deferred Revenue'!$P$6:$P$578)</f>
        <v/>
      </c>
      <c r="D220" s="43">
        <f>SUMIFS(tbl_WIP[Amount],tbl_WIP[Job Number],$A220,tbl_WIP[Month],$C$4)+SUMIF('Deferred Revenue'!$E$6:$E$578,$A220,'Deferred Revenue'!$Q$6:$Q$578)</f>
        <v/>
      </c>
      <c r="E220" s="43">
        <f>C220+D220</f>
        <v/>
      </c>
      <c r="F220" s="44">
        <f>IF(ROUND(C220,2)+ROUND(D220,2)=0,"","yes")</f>
        <v/>
      </c>
      <c r="G220" s="45" t="n"/>
      <c r="H220" s="43">
        <f>IF($G220="","",$E220-$G220)</f>
        <v/>
      </c>
    </row>
    <row r="221">
      <c r="A221" s="42" t="inlineStr">
        <is>
          <t>26061106</t>
        </is>
      </c>
      <c r="B221" s="42" t="inlineStr">
        <is>
          <t>TLC Full Year Results MEL</t>
        </is>
      </c>
      <c r="C221" s="43">
        <f>SUMIFS(tbl_WIP[Amount],tbl_WIP[Job Number],$A221,tbl_WIP[Month],"&lt;&gt;",tbl_WIP[Month],"&lt;"&amp;$C$4)+SUMIF('Deferred Revenue'!$E$6:$E$578,$A221,'Deferred Revenue'!$P$6:$P$578)</f>
        <v/>
      </c>
      <c r="D221" s="43">
        <f>SUMIFS(tbl_WIP[Amount],tbl_WIP[Job Number],$A221,tbl_WIP[Month],$C$4)+SUMIF('Deferred Revenue'!$E$6:$E$578,$A221,'Deferred Revenue'!$Q$6:$Q$578)</f>
        <v/>
      </c>
      <c r="E221" s="43">
        <f>C221+D221</f>
        <v/>
      </c>
      <c r="F221" s="44">
        <f>IF(ROUND(C221,2)+ROUND(D221,2)=0,"","yes")</f>
        <v/>
      </c>
      <c r="G221" s="45" t="n"/>
      <c r="H221" s="43">
        <f>IF($G221="","",$E221-$G221)</f>
        <v/>
      </c>
    </row>
    <row r="222">
      <c r="A222" s="42" t="inlineStr">
        <is>
          <t>26061106V</t>
        </is>
      </c>
      <c r="B222" s="42" t="inlineStr">
        <is>
          <t>TLC Full Year Results MEL</t>
        </is>
      </c>
      <c r="C222" s="43">
        <f>SUMIFS(tbl_WIP[Amount],tbl_WIP[Job Number],$A222,tbl_WIP[Month],"&lt;&gt;",tbl_WIP[Month],"&lt;"&amp;$C$4)+SUMIF('Deferred Revenue'!$E$6:$E$578,$A222,'Deferred Revenue'!$P$6:$P$578)</f>
        <v/>
      </c>
      <c r="D222" s="43">
        <f>SUMIFS(tbl_WIP[Amount],tbl_WIP[Job Number],$A222,tbl_WIP[Month],$C$4)+SUMIF('Deferred Revenue'!$E$6:$E$578,$A222,'Deferred Revenue'!$Q$6:$Q$578)</f>
        <v/>
      </c>
      <c r="E222" s="43">
        <f>C222+D222</f>
        <v/>
      </c>
      <c r="F222" s="44">
        <f>IF(ROUND(C222,2)+ROUND(D222,2)=0,"","yes")</f>
        <v/>
      </c>
      <c r="G222" s="45" t="n"/>
      <c r="H222" s="43">
        <f>IF($G222="","",$E222-$G222)</f>
        <v/>
      </c>
    </row>
    <row r="223">
      <c r="A223" s="42" t="inlineStr">
        <is>
          <t>26061107</t>
        </is>
      </c>
      <c r="B223" s="42" t="inlineStr">
        <is>
          <t>Downer - FYR 2026 - 20.8.26</t>
        </is>
      </c>
      <c r="C223" s="43">
        <f>SUMIFS(tbl_WIP[Amount],tbl_WIP[Job Number],$A223,tbl_WIP[Month],"&lt;&gt;",tbl_WIP[Month],"&lt;"&amp;$C$4)+SUMIF('Deferred Revenue'!$E$6:$E$578,$A223,'Deferred Revenue'!$P$6:$P$578)</f>
        <v/>
      </c>
      <c r="D223" s="43">
        <f>SUMIFS(tbl_WIP[Amount],tbl_WIP[Job Number],$A223,tbl_WIP[Month],$C$4)+SUMIF('Deferred Revenue'!$E$6:$E$578,$A223,'Deferred Revenue'!$Q$6:$Q$578)</f>
        <v/>
      </c>
      <c r="E223" s="43">
        <f>C223+D223</f>
        <v/>
      </c>
      <c r="F223" s="44">
        <f>IF(ROUND(C223,2)+ROUND(D223,2)=0,"","yes")</f>
        <v/>
      </c>
      <c r="G223" s="45" t="n"/>
      <c r="H223" s="43">
        <f>IF($G223="","",$E223-$G223)</f>
        <v/>
      </c>
    </row>
    <row r="224">
      <c r="A224" s="42" t="inlineStr">
        <is>
          <t>26061107V</t>
        </is>
      </c>
      <c r="B224" s="42" t="inlineStr">
        <is>
          <t>Downer - FYR 2026 - 20.8.26</t>
        </is>
      </c>
      <c r="C224" s="43">
        <f>SUMIFS(tbl_WIP[Amount],tbl_WIP[Job Number],$A224,tbl_WIP[Month],"&lt;&gt;",tbl_WIP[Month],"&lt;"&amp;$C$4)+SUMIF('Deferred Revenue'!$E$6:$E$578,$A224,'Deferred Revenue'!$P$6:$P$578)</f>
        <v/>
      </c>
      <c r="D224" s="43">
        <f>SUMIFS(tbl_WIP[Amount],tbl_WIP[Job Number],$A224,tbl_WIP[Month],$C$4)+SUMIF('Deferred Revenue'!$E$6:$E$578,$A224,'Deferred Revenue'!$Q$6:$Q$578)</f>
        <v/>
      </c>
      <c r="E224" s="43">
        <f>C224+D224</f>
        <v/>
      </c>
      <c r="F224" s="44">
        <f>IF(ROUND(C224,2)+ROUND(D224,2)=0,"","yes")</f>
        <v/>
      </c>
      <c r="G224" s="45" t="n"/>
      <c r="H224" s="43">
        <f>IF($G224="","",$E224-$G224)</f>
        <v/>
      </c>
    </row>
    <row r="225">
      <c r="A225" s="42" t="inlineStr">
        <is>
          <t>26061108</t>
        </is>
      </c>
      <c r="B225" s="42" t="inlineStr">
        <is>
          <t>APA - Qtly All Hands FYR26 - 20.8.26</t>
        </is>
      </c>
      <c r="C225" s="43">
        <f>SUMIFS(tbl_WIP[Amount],tbl_WIP[Job Number],$A225,tbl_WIP[Month],"&lt;&gt;",tbl_WIP[Month],"&lt;"&amp;$C$4)+SUMIF('Deferred Revenue'!$E$6:$E$578,$A225,'Deferred Revenue'!$P$6:$P$578)</f>
        <v/>
      </c>
      <c r="D225" s="43">
        <f>SUMIFS(tbl_WIP[Amount],tbl_WIP[Job Number],$A225,tbl_WIP[Month],$C$4)+SUMIF('Deferred Revenue'!$E$6:$E$578,$A225,'Deferred Revenue'!$Q$6:$Q$578)</f>
        <v/>
      </c>
      <c r="E225" s="43">
        <f>C225+D225</f>
        <v/>
      </c>
      <c r="F225" s="44">
        <f>IF(ROUND(C225,2)+ROUND(D225,2)=0,"","yes")</f>
        <v/>
      </c>
      <c r="G225" s="45" t="n"/>
      <c r="H225" s="43">
        <f>IF($G225="","",$E225-$G225)</f>
        <v/>
      </c>
    </row>
    <row r="226">
      <c r="A226" s="42" t="inlineStr">
        <is>
          <t>26061108V</t>
        </is>
      </c>
      <c r="B226" s="42" t="inlineStr">
        <is>
          <t>APA - Qtly All Hands FYR26 - 20.8.26</t>
        </is>
      </c>
      <c r="C226" s="43">
        <f>SUMIFS(tbl_WIP[Amount],tbl_WIP[Job Number],$A226,tbl_WIP[Month],"&lt;&gt;",tbl_WIP[Month],"&lt;"&amp;$C$4)+SUMIF('Deferred Revenue'!$E$6:$E$578,$A226,'Deferred Revenue'!$P$6:$P$578)</f>
        <v/>
      </c>
      <c r="D226" s="43">
        <f>SUMIFS(tbl_WIP[Amount],tbl_WIP[Job Number],$A226,tbl_WIP[Month],$C$4)+SUMIF('Deferred Revenue'!$E$6:$E$578,$A226,'Deferred Revenue'!$Q$6:$Q$578)</f>
        <v/>
      </c>
      <c r="E226" s="43">
        <f>C226+D226</f>
        <v/>
      </c>
      <c r="F226" s="44">
        <f>IF(ROUND(C226,2)+ROUND(D226,2)=0,"","yes")</f>
        <v/>
      </c>
      <c r="G226" s="45" t="n"/>
      <c r="H226" s="43">
        <f>IF($G226="","",$E226-$G226)</f>
        <v/>
      </c>
    </row>
    <row r="227">
      <c r="A227" s="42" t="inlineStr">
        <is>
          <t>26061109</t>
        </is>
      </c>
      <c r="B227" s="42" t="inlineStr">
        <is>
          <t>Ventia - FYR26 - 24.8.26</t>
        </is>
      </c>
      <c r="C227" s="43">
        <f>SUMIFS(tbl_WIP[Amount],tbl_WIP[Job Number],$A227,tbl_WIP[Month],"&lt;&gt;",tbl_WIP[Month],"&lt;"&amp;$C$4)+SUMIF('Deferred Revenue'!$E$6:$E$578,$A227,'Deferred Revenue'!$P$6:$P$578)</f>
        <v/>
      </c>
      <c r="D227" s="43">
        <f>SUMIFS(tbl_WIP[Amount],tbl_WIP[Job Number],$A227,tbl_WIP[Month],$C$4)+SUMIF('Deferred Revenue'!$E$6:$E$578,$A227,'Deferred Revenue'!$Q$6:$Q$578)</f>
        <v/>
      </c>
      <c r="E227" s="43">
        <f>C227+D227</f>
        <v/>
      </c>
      <c r="F227" s="44">
        <f>IF(ROUND(C227,2)+ROUND(D227,2)=0,"","yes")</f>
        <v/>
      </c>
      <c r="G227" s="45" t="n"/>
      <c r="H227" s="43">
        <f>IF($G227="","",$E227-$G227)</f>
        <v/>
      </c>
    </row>
    <row r="228">
      <c r="A228" s="42" t="inlineStr">
        <is>
          <t>26061109V</t>
        </is>
      </c>
      <c r="B228" s="42" t="inlineStr">
        <is>
          <t>Ventia - FYR26 - 24.8.26</t>
        </is>
      </c>
      <c r="C228" s="43">
        <f>SUMIFS(tbl_WIP[Amount],tbl_WIP[Job Number],$A228,tbl_WIP[Month],"&lt;&gt;",tbl_WIP[Month],"&lt;"&amp;$C$4)+SUMIF('Deferred Revenue'!$E$6:$E$578,$A228,'Deferred Revenue'!$P$6:$P$578)</f>
        <v/>
      </c>
      <c r="D228" s="43">
        <f>SUMIFS(tbl_WIP[Amount],tbl_WIP[Job Number],$A228,tbl_WIP[Month],$C$4)+SUMIF('Deferred Revenue'!$E$6:$E$578,$A228,'Deferred Revenue'!$Q$6:$Q$578)</f>
        <v/>
      </c>
      <c r="E228" s="43">
        <f>C228+D228</f>
        <v/>
      </c>
      <c r="F228" s="44">
        <f>IF(ROUND(C228,2)+ROUND(D228,2)=0,"","yes")</f>
        <v/>
      </c>
      <c r="G228" s="45" t="n"/>
      <c r="H228" s="43">
        <f>IF($G228="","",$E228-$G228)</f>
        <v/>
      </c>
    </row>
    <row r="229">
      <c r="A229" s="42" t="inlineStr">
        <is>
          <t>26061201</t>
        </is>
      </c>
      <c r="B229" s="42" t="inlineStr">
        <is>
          <t>PWC - Firmwide Webcast - 30.6.26</t>
        </is>
      </c>
      <c r="C229" s="43">
        <f>SUMIFS(tbl_WIP[Amount],tbl_WIP[Job Number],$A229,tbl_WIP[Month],"&lt;&gt;",tbl_WIP[Month],"&lt;"&amp;$C$4)+SUMIF('Deferred Revenue'!$E$6:$E$578,$A229,'Deferred Revenue'!$P$6:$P$578)</f>
        <v/>
      </c>
      <c r="D229" s="43">
        <f>SUMIFS(tbl_WIP[Amount],tbl_WIP[Job Number],$A229,tbl_WIP[Month],$C$4)+SUMIF('Deferred Revenue'!$E$6:$E$578,$A229,'Deferred Revenue'!$Q$6:$Q$578)</f>
        <v/>
      </c>
      <c r="E229" s="43">
        <f>C229+D229</f>
        <v/>
      </c>
      <c r="F229" s="44">
        <f>IF(ROUND(C229,2)+ROUND(D229,2)=0,"","yes")</f>
        <v/>
      </c>
      <c r="G229" s="45" t="n"/>
      <c r="H229" s="43">
        <f>IF($G229="","",$E229-$G229)</f>
        <v/>
      </c>
    </row>
    <row r="230">
      <c r="A230" s="42" t="inlineStr">
        <is>
          <t>26061201V</t>
        </is>
      </c>
      <c r="B230" s="42" t="inlineStr">
        <is>
          <t>PWC - Firmwide Webcast - 30.6.26</t>
        </is>
      </c>
      <c r="C230" s="43">
        <f>SUMIFS(tbl_WIP[Amount],tbl_WIP[Job Number],$A230,tbl_WIP[Month],"&lt;&gt;",tbl_WIP[Month],"&lt;"&amp;$C$4)+SUMIF('Deferred Revenue'!$E$6:$E$578,$A230,'Deferred Revenue'!$P$6:$P$578)</f>
        <v/>
      </c>
      <c r="D230" s="43">
        <f>SUMIFS(tbl_WIP[Amount],tbl_WIP[Job Number],$A230,tbl_WIP[Month],$C$4)+SUMIF('Deferred Revenue'!$E$6:$E$578,$A230,'Deferred Revenue'!$Q$6:$Q$578)</f>
        <v/>
      </c>
      <c r="E230" s="43">
        <f>C230+D230</f>
        <v/>
      </c>
      <c r="F230" s="44">
        <f>IF(ROUND(C230,2)+ROUND(D230,2)=0,"","yes")</f>
        <v/>
      </c>
      <c r="G230" s="45" t="n"/>
      <c r="H230" s="43">
        <f>IF($G230="","",$E230-$G230)</f>
        <v/>
      </c>
    </row>
    <row r="231">
      <c r="A231" s="42" t="inlineStr">
        <is>
          <t>26061202</t>
        </is>
      </c>
      <c r="B231" s="42" t="inlineStr">
        <is>
          <t>CBA AGM 2027</t>
        </is>
      </c>
      <c r="C231" s="43">
        <f>SUMIFS(tbl_WIP[Amount],tbl_WIP[Job Number],$A231,tbl_WIP[Month],"&lt;&gt;",tbl_WIP[Month],"&lt;"&amp;$C$4)+SUMIF('Deferred Revenue'!$E$6:$E$578,$A231,'Deferred Revenue'!$P$6:$P$578)</f>
        <v/>
      </c>
      <c r="D231" s="43">
        <f>SUMIFS(tbl_WIP[Amount],tbl_WIP[Job Number],$A231,tbl_WIP[Month],$C$4)+SUMIF('Deferred Revenue'!$E$6:$E$578,$A231,'Deferred Revenue'!$Q$6:$Q$578)</f>
        <v/>
      </c>
      <c r="E231" s="43">
        <f>C231+D231</f>
        <v/>
      </c>
      <c r="F231" s="44">
        <f>IF(ROUND(C231,2)+ROUND(D231,2)=0,"","yes")</f>
        <v/>
      </c>
      <c r="G231" s="45" t="n"/>
      <c r="H231" s="43">
        <f>IF($G231="","",$E231-$G231)</f>
        <v/>
      </c>
    </row>
    <row r="232">
      <c r="A232" s="42" t="inlineStr">
        <is>
          <t>26061202V</t>
        </is>
      </c>
      <c r="B232" s="42" t="inlineStr">
        <is>
          <t>CBA AGM 2027</t>
        </is>
      </c>
      <c r="C232" s="43">
        <f>SUMIFS(tbl_WIP[Amount],tbl_WIP[Job Number],$A232,tbl_WIP[Month],"&lt;&gt;",tbl_WIP[Month],"&lt;"&amp;$C$4)+SUMIF('Deferred Revenue'!$E$6:$E$578,$A232,'Deferred Revenue'!$P$6:$P$578)</f>
        <v/>
      </c>
      <c r="D232" s="43">
        <f>SUMIFS(tbl_WIP[Amount],tbl_WIP[Job Number],$A232,tbl_WIP[Month],$C$4)+SUMIF('Deferred Revenue'!$E$6:$E$578,$A232,'Deferred Revenue'!$Q$6:$Q$578)</f>
        <v/>
      </c>
      <c r="E232" s="43">
        <f>C232+D232</f>
        <v/>
      </c>
      <c r="F232" s="44">
        <f>IF(ROUND(C232,2)+ROUND(D232,2)=0,"","yes")</f>
        <v/>
      </c>
      <c r="G232" s="45" t="n"/>
      <c r="H232" s="43">
        <f>IF($G232="","",$E232-$G232)</f>
        <v/>
      </c>
    </row>
    <row r="233">
      <c r="A233" s="42" t="inlineStr">
        <is>
          <t>26061501</t>
        </is>
      </c>
      <c r="B233" s="42" t="inlineStr">
        <is>
          <t>DTTL MEL Lv29 Display Supply</t>
        </is>
      </c>
      <c r="C233" s="43">
        <f>SUMIFS(tbl_WIP[Amount],tbl_WIP[Job Number],$A233,tbl_WIP[Month],"&lt;&gt;",tbl_WIP[Month],"&lt;"&amp;$C$4)+SUMIF('Deferred Revenue'!$E$6:$E$578,$A233,'Deferred Revenue'!$P$6:$P$578)</f>
        <v/>
      </c>
      <c r="D233" s="43">
        <f>SUMIFS(tbl_WIP[Amount],tbl_WIP[Job Number],$A233,tbl_WIP[Month],$C$4)+SUMIF('Deferred Revenue'!$E$6:$E$578,$A233,'Deferred Revenue'!$Q$6:$Q$578)</f>
        <v/>
      </c>
      <c r="E233" s="43">
        <f>C233+D233</f>
        <v/>
      </c>
      <c r="F233" s="44">
        <f>IF(ROUND(C233,2)+ROUND(D233,2)=0,"","yes")</f>
        <v/>
      </c>
      <c r="G233" s="45" t="n"/>
      <c r="H233" s="43">
        <f>IF($G233="","",$E233-$G233)</f>
        <v/>
      </c>
    </row>
    <row r="234">
      <c r="A234" s="42" t="inlineStr">
        <is>
          <t>26061602</t>
        </is>
      </c>
      <c r="B234" s="42" t="inlineStr">
        <is>
          <t>ASX - CEO Connect (Extended) - 1.9.26</t>
        </is>
      </c>
      <c r="C234" s="43">
        <f>SUMIFS(tbl_WIP[Amount],tbl_WIP[Job Number],$A234,tbl_WIP[Month],"&lt;&gt;",tbl_WIP[Month],"&lt;"&amp;$C$4)+SUMIF('Deferred Revenue'!$E$6:$E$578,$A234,'Deferred Revenue'!$P$6:$P$578)</f>
        <v/>
      </c>
      <c r="D234" s="43">
        <f>SUMIFS(tbl_WIP[Amount],tbl_WIP[Job Number],$A234,tbl_WIP[Month],$C$4)+SUMIF('Deferred Revenue'!$E$6:$E$578,$A234,'Deferred Revenue'!$Q$6:$Q$578)</f>
        <v/>
      </c>
      <c r="E234" s="43">
        <f>C234+D234</f>
        <v/>
      </c>
      <c r="F234" s="44">
        <f>IF(ROUND(C234,2)+ROUND(D234,2)=0,"","yes")</f>
        <v/>
      </c>
      <c r="G234" s="45" t="n"/>
      <c r="H234" s="43">
        <f>IF($G234="","",$E234-$G234)</f>
        <v/>
      </c>
    </row>
    <row r="235">
      <c r="A235" s="42" t="inlineStr">
        <is>
          <t>26061602V</t>
        </is>
      </c>
      <c r="B235" s="42" t="inlineStr">
        <is>
          <t>ASX - CEO Connect (Extended) - 1.9.26</t>
        </is>
      </c>
      <c r="C235" s="43">
        <f>SUMIFS(tbl_WIP[Amount],tbl_WIP[Job Number],$A235,tbl_WIP[Month],"&lt;&gt;",tbl_WIP[Month],"&lt;"&amp;$C$4)+SUMIF('Deferred Revenue'!$E$6:$E$578,$A235,'Deferred Revenue'!$P$6:$P$578)</f>
        <v/>
      </c>
      <c r="D235" s="43">
        <f>SUMIFS(tbl_WIP[Amount],tbl_WIP[Job Number],$A235,tbl_WIP[Month],$C$4)+SUMIF('Deferred Revenue'!$E$6:$E$578,$A235,'Deferred Revenue'!$Q$6:$Q$578)</f>
        <v/>
      </c>
      <c r="E235" s="43">
        <f>C235+D235</f>
        <v/>
      </c>
      <c r="F235" s="44">
        <f>IF(ROUND(C235,2)+ROUND(D235,2)=0,"","yes")</f>
        <v/>
      </c>
      <c r="G235" s="45" t="n"/>
      <c r="H235" s="43">
        <f>IF($G235="","",$E235-$G235)</f>
        <v/>
      </c>
    </row>
    <row r="236">
      <c r="A236" s="42" t="inlineStr">
        <is>
          <t>26061605</t>
        </is>
      </c>
      <c r="B236" s="42" t="inlineStr">
        <is>
          <t>MUFG - IBM Ltd AGM - 27.10.26</t>
        </is>
      </c>
      <c r="C236" s="43">
        <f>SUMIFS(tbl_WIP[Amount],tbl_WIP[Job Number],$A236,tbl_WIP[Month],"&lt;&gt;",tbl_WIP[Month],"&lt;"&amp;$C$4)+SUMIF('Deferred Revenue'!$E$6:$E$578,$A236,'Deferred Revenue'!$P$6:$P$578)</f>
        <v/>
      </c>
      <c r="D236" s="43">
        <f>SUMIFS(tbl_WIP[Amount],tbl_WIP[Job Number],$A236,tbl_WIP[Month],$C$4)+SUMIF('Deferred Revenue'!$E$6:$E$578,$A236,'Deferred Revenue'!$Q$6:$Q$578)</f>
        <v/>
      </c>
      <c r="E236" s="43">
        <f>C236+D236</f>
        <v/>
      </c>
      <c r="F236" s="44">
        <f>IF(ROUND(C236,2)+ROUND(D236,2)=0,"","yes")</f>
        <v/>
      </c>
      <c r="G236" s="45" t="n"/>
      <c r="H236" s="43">
        <f>IF($G236="","",$E236-$G236)</f>
        <v/>
      </c>
    </row>
    <row r="237">
      <c r="A237" s="42" t="inlineStr">
        <is>
          <t>26061605V</t>
        </is>
      </c>
      <c r="B237" s="42" t="inlineStr">
        <is>
          <t>MUFG - IBM Ltd AGM - 27.10.26</t>
        </is>
      </c>
      <c r="C237" s="43">
        <f>SUMIFS(tbl_WIP[Amount],tbl_WIP[Job Number],$A237,tbl_WIP[Month],"&lt;&gt;",tbl_WIP[Month],"&lt;"&amp;$C$4)+SUMIF('Deferred Revenue'!$E$6:$E$578,$A237,'Deferred Revenue'!$P$6:$P$578)</f>
        <v/>
      </c>
      <c r="D237" s="43">
        <f>SUMIFS(tbl_WIP[Amount],tbl_WIP[Job Number],$A237,tbl_WIP[Month],$C$4)+SUMIF('Deferred Revenue'!$E$6:$E$578,$A237,'Deferred Revenue'!$Q$6:$Q$578)</f>
        <v/>
      </c>
      <c r="E237" s="43">
        <f>C237+D237</f>
        <v/>
      </c>
      <c r="F237" s="44">
        <f>IF(ROUND(C237,2)+ROUND(D237,2)=0,"","yes")</f>
        <v/>
      </c>
      <c r="G237" s="45" t="n"/>
      <c r="H237" s="43">
        <f>IF($G237="","",$E237-$G237)</f>
        <v/>
      </c>
    </row>
    <row r="238">
      <c r="A238" s="42" t="inlineStr">
        <is>
          <t>26061606</t>
        </is>
      </c>
      <c r="B238" s="42" t="inlineStr">
        <is>
          <t>MUFG - Endeavour AGM - 30.10.26</t>
        </is>
      </c>
      <c r="C238" s="43">
        <f>SUMIFS(tbl_WIP[Amount],tbl_WIP[Job Number],$A238,tbl_WIP[Month],"&lt;&gt;",tbl_WIP[Month],"&lt;"&amp;$C$4)+SUMIF('Deferred Revenue'!$E$6:$E$578,$A238,'Deferred Revenue'!$P$6:$P$578)</f>
        <v/>
      </c>
      <c r="D238" s="43">
        <f>SUMIFS(tbl_WIP[Amount],tbl_WIP[Job Number],$A238,tbl_WIP[Month],$C$4)+SUMIF('Deferred Revenue'!$E$6:$E$578,$A238,'Deferred Revenue'!$Q$6:$Q$578)</f>
        <v/>
      </c>
      <c r="E238" s="43">
        <f>C238+D238</f>
        <v/>
      </c>
      <c r="F238" s="44">
        <f>IF(ROUND(C238,2)+ROUND(D238,2)=0,"","yes")</f>
        <v/>
      </c>
      <c r="G238" s="45" t="n"/>
      <c r="H238" s="43">
        <f>IF($G238="","",$E238-$G238)</f>
        <v/>
      </c>
    </row>
    <row r="239">
      <c r="A239" s="42" t="inlineStr">
        <is>
          <t>26061606V</t>
        </is>
      </c>
      <c r="B239" s="42" t="inlineStr">
        <is>
          <t>MUFG - Endeavour AGM - 30.10.26</t>
        </is>
      </c>
      <c r="C239" s="43">
        <f>SUMIFS(tbl_WIP[Amount],tbl_WIP[Job Number],$A239,tbl_WIP[Month],"&lt;&gt;",tbl_WIP[Month],"&lt;"&amp;$C$4)+SUMIF('Deferred Revenue'!$E$6:$E$578,$A239,'Deferred Revenue'!$P$6:$P$578)</f>
        <v/>
      </c>
      <c r="D239" s="43">
        <f>SUMIFS(tbl_WIP[Amount],tbl_WIP[Job Number],$A239,tbl_WIP[Month],$C$4)+SUMIF('Deferred Revenue'!$E$6:$E$578,$A239,'Deferred Revenue'!$Q$6:$Q$578)</f>
        <v/>
      </c>
      <c r="E239" s="43">
        <f>C239+D239</f>
        <v/>
      </c>
      <c r="F239" s="44">
        <f>IF(ROUND(C239,2)+ROUND(D239,2)=0,"","yes")</f>
        <v/>
      </c>
      <c r="G239" s="45" t="n"/>
      <c r="H239" s="43">
        <f>IF($G239="","",$E239-$G239)</f>
        <v/>
      </c>
    </row>
    <row r="240">
      <c r="A240" s="42" t="inlineStr">
        <is>
          <t>26061607</t>
        </is>
      </c>
      <c r="B240" s="42" t="inlineStr">
        <is>
          <t>APA - Qtly All Hands (BNE) - 4.11.26</t>
        </is>
      </c>
      <c r="C240" s="43">
        <f>SUMIFS(tbl_WIP[Amount],tbl_WIP[Job Number],$A240,tbl_WIP[Month],"&lt;&gt;",tbl_WIP[Month],"&lt;"&amp;$C$4)+SUMIF('Deferred Revenue'!$E$6:$E$578,$A240,'Deferred Revenue'!$P$6:$P$578)</f>
        <v/>
      </c>
      <c r="D240" s="43">
        <f>SUMIFS(tbl_WIP[Amount],tbl_WIP[Job Number],$A240,tbl_WIP[Month],$C$4)+SUMIF('Deferred Revenue'!$E$6:$E$578,$A240,'Deferred Revenue'!$Q$6:$Q$578)</f>
        <v/>
      </c>
      <c r="E240" s="43">
        <f>C240+D240</f>
        <v/>
      </c>
      <c r="F240" s="44">
        <f>IF(ROUND(C240,2)+ROUND(D240,2)=0,"","yes")</f>
        <v/>
      </c>
      <c r="G240" s="45" t="n"/>
      <c r="H240" s="43">
        <f>IF($G240="","",$E240-$G240)</f>
        <v/>
      </c>
    </row>
    <row r="241">
      <c r="A241" s="42" t="inlineStr">
        <is>
          <t>26061607V</t>
        </is>
      </c>
      <c r="B241" s="42" t="inlineStr">
        <is>
          <t>APA - Qtly All Hands (BNE) - 4.11.26</t>
        </is>
      </c>
      <c r="C241" s="43">
        <f>SUMIFS(tbl_WIP[Amount],tbl_WIP[Job Number],$A241,tbl_WIP[Month],"&lt;&gt;",tbl_WIP[Month],"&lt;"&amp;$C$4)+SUMIF('Deferred Revenue'!$E$6:$E$578,$A241,'Deferred Revenue'!$P$6:$P$578)</f>
        <v/>
      </c>
      <c r="D241" s="43">
        <f>SUMIFS(tbl_WIP[Amount],tbl_WIP[Job Number],$A241,tbl_WIP[Month],$C$4)+SUMIF('Deferred Revenue'!$E$6:$E$578,$A241,'Deferred Revenue'!$Q$6:$Q$578)</f>
        <v/>
      </c>
      <c r="E241" s="43">
        <f>C241+D241</f>
        <v/>
      </c>
      <c r="F241" s="44">
        <f>IF(ROUND(C241,2)+ROUND(D241,2)=0,"","yes")</f>
        <v/>
      </c>
      <c r="G241" s="45" t="n"/>
      <c r="H241" s="43">
        <f>IF($G241="","",$E241-$G241)</f>
        <v/>
      </c>
    </row>
    <row r="242">
      <c r="A242" s="42" t="inlineStr">
        <is>
          <t>26061608</t>
        </is>
      </c>
      <c r="B242" s="42" t="inlineStr">
        <is>
          <t>APA - Qtly All Hands Sydney - Feb 27</t>
        </is>
      </c>
      <c r="C242" s="43">
        <f>SUMIFS(tbl_WIP[Amount],tbl_WIP[Job Number],$A242,tbl_WIP[Month],"&lt;&gt;",tbl_WIP[Month],"&lt;"&amp;$C$4)+SUMIF('Deferred Revenue'!$E$6:$E$578,$A242,'Deferred Revenue'!$P$6:$P$578)</f>
        <v/>
      </c>
      <c r="D242" s="43">
        <f>SUMIFS(tbl_WIP[Amount],tbl_WIP[Job Number],$A242,tbl_WIP[Month],$C$4)+SUMIF('Deferred Revenue'!$E$6:$E$578,$A242,'Deferred Revenue'!$Q$6:$Q$578)</f>
        <v/>
      </c>
      <c r="E242" s="43">
        <f>C242+D242</f>
        <v/>
      </c>
      <c r="F242" s="44">
        <f>IF(ROUND(C242,2)+ROUND(D242,2)=0,"","yes")</f>
        <v/>
      </c>
      <c r="G242" s="45" t="n"/>
      <c r="H242" s="43">
        <f>IF($G242="","",$E242-$G242)</f>
        <v/>
      </c>
    </row>
    <row r="243">
      <c r="A243" s="42" t="inlineStr">
        <is>
          <t>26061608V</t>
        </is>
      </c>
      <c r="B243" s="42" t="inlineStr">
        <is>
          <t>APA - Qtly All Hands Sydney - Feb 27</t>
        </is>
      </c>
      <c r="C243" s="43">
        <f>SUMIFS(tbl_WIP[Amount],tbl_WIP[Job Number],$A243,tbl_WIP[Month],"&lt;&gt;",tbl_WIP[Month],"&lt;"&amp;$C$4)+SUMIF('Deferred Revenue'!$E$6:$E$578,$A243,'Deferred Revenue'!$P$6:$P$578)</f>
        <v/>
      </c>
      <c r="D243" s="43">
        <f>SUMIFS(tbl_WIP[Amount],tbl_WIP[Job Number],$A243,tbl_WIP[Month],$C$4)+SUMIF('Deferred Revenue'!$E$6:$E$578,$A243,'Deferred Revenue'!$Q$6:$Q$578)</f>
        <v/>
      </c>
      <c r="E243" s="43">
        <f>C243+D243</f>
        <v/>
      </c>
      <c r="F243" s="44">
        <f>IF(ROUND(C243,2)+ROUND(D243,2)=0,"","yes")</f>
        <v/>
      </c>
      <c r="G243" s="45" t="n"/>
      <c r="H243" s="43">
        <f>IF($G243="","",$E243-$G243)</f>
        <v/>
      </c>
    </row>
    <row r="244">
      <c r="A244" s="42" t="inlineStr">
        <is>
          <t>26061609</t>
        </is>
      </c>
      <c r="B244" s="42" t="inlineStr">
        <is>
          <t>APA Qtly All Hands Perth - May 2027</t>
        </is>
      </c>
      <c r="C244" s="43">
        <f>SUMIFS(tbl_WIP[Amount],tbl_WIP[Job Number],$A244,tbl_WIP[Month],"&lt;&gt;",tbl_WIP[Month],"&lt;"&amp;$C$4)+SUMIF('Deferred Revenue'!$E$6:$E$578,$A244,'Deferred Revenue'!$P$6:$P$578)</f>
        <v/>
      </c>
      <c r="D244" s="43">
        <f>SUMIFS(tbl_WIP[Amount],tbl_WIP[Job Number],$A244,tbl_WIP[Month],$C$4)+SUMIF('Deferred Revenue'!$E$6:$E$578,$A244,'Deferred Revenue'!$Q$6:$Q$578)</f>
        <v/>
      </c>
      <c r="E244" s="43">
        <f>C244+D244</f>
        <v/>
      </c>
      <c r="F244" s="44">
        <f>IF(ROUND(C244,2)+ROUND(D244,2)=0,"","yes")</f>
        <v/>
      </c>
      <c r="G244" s="45" t="n"/>
      <c r="H244" s="43">
        <f>IF($G244="","",$E244-$G244)</f>
        <v/>
      </c>
    </row>
    <row r="245">
      <c r="A245" s="42" t="inlineStr">
        <is>
          <t>26061609V</t>
        </is>
      </c>
      <c r="B245" s="42" t="inlineStr">
        <is>
          <t>APA Qtly All Hands Perth - May 2027</t>
        </is>
      </c>
      <c r="C245" s="43">
        <f>SUMIFS(tbl_WIP[Amount],tbl_WIP[Job Number],$A245,tbl_WIP[Month],"&lt;&gt;",tbl_WIP[Month],"&lt;"&amp;$C$4)+SUMIF('Deferred Revenue'!$E$6:$E$578,$A245,'Deferred Revenue'!$P$6:$P$578)</f>
        <v/>
      </c>
      <c r="D245" s="43">
        <f>SUMIFS(tbl_WIP[Amount],tbl_WIP[Job Number],$A245,tbl_WIP[Month],$C$4)+SUMIF('Deferred Revenue'!$E$6:$E$578,$A245,'Deferred Revenue'!$Q$6:$Q$578)</f>
        <v/>
      </c>
      <c r="E245" s="43">
        <f>C245+D245</f>
        <v/>
      </c>
      <c r="F245" s="44">
        <f>IF(ROUND(C245,2)+ROUND(D245,2)=0,"","yes")</f>
        <v/>
      </c>
      <c r="G245" s="45" t="n"/>
      <c r="H245" s="43">
        <f>IF($G245="","",$E245-$G245)</f>
        <v/>
      </c>
    </row>
    <row r="246">
      <c r="A246" s="42" t="inlineStr">
        <is>
          <t>26061611</t>
        </is>
      </c>
      <c r="B246" s="42" t="inlineStr">
        <is>
          <t>QBE - Keynote Event - 27.10.26</t>
        </is>
      </c>
      <c r="C246" s="43">
        <f>SUMIFS(tbl_WIP[Amount],tbl_WIP[Job Number],$A246,tbl_WIP[Month],"&lt;&gt;",tbl_WIP[Month],"&lt;"&amp;$C$4)+SUMIF('Deferred Revenue'!$E$6:$E$578,$A246,'Deferred Revenue'!$P$6:$P$578)</f>
        <v/>
      </c>
      <c r="D246" s="43">
        <f>SUMIFS(tbl_WIP[Amount],tbl_WIP[Job Number],$A246,tbl_WIP[Month],$C$4)+SUMIF('Deferred Revenue'!$E$6:$E$578,$A246,'Deferred Revenue'!$Q$6:$Q$578)</f>
        <v/>
      </c>
      <c r="E246" s="43">
        <f>C246+D246</f>
        <v/>
      </c>
      <c r="F246" s="44">
        <f>IF(ROUND(C246,2)+ROUND(D246,2)=0,"","yes")</f>
        <v/>
      </c>
      <c r="G246" s="45" t="n"/>
      <c r="H246" s="43">
        <f>IF($G246="","",$E246-$G246)</f>
        <v/>
      </c>
    </row>
    <row r="247">
      <c r="A247" s="42" t="inlineStr">
        <is>
          <t>26061611V</t>
        </is>
      </c>
      <c r="B247" s="42" t="inlineStr">
        <is>
          <t>QBE - Keynote Event - 27.10.26</t>
        </is>
      </c>
      <c r="C247" s="43">
        <f>SUMIFS(tbl_WIP[Amount],tbl_WIP[Job Number],$A247,tbl_WIP[Month],"&lt;&gt;",tbl_WIP[Month],"&lt;"&amp;$C$4)+SUMIF('Deferred Revenue'!$E$6:$E$578,$A247,'Deferred Revenue'!$P$6:$P$578)</f>
        <v/>
      </c>
      <c r="D247" s="43">
        <f>SUMIFS(tbl_WIP[Amount],tbl_WIP[Job Number],$A247,tbl_WIP[Month],$C$4)+SUMIF('Deferred Revenue'!$E$6:$E$578,$A247,'Deferred Revenue'!$Q$6:$Q$578)</f>
        <v/>
      </c>
      <c r="E247" s="43">
        <f>C247+D247</f>
        <v/>
      </c>
      <c r="F247" s="44">
        <f>IF(ROUND(C247,2)+ROUND(D247,2)=0,"","yes")</f>
        <v/>
      </c>
      <c r="G247" s="45" t="n"/>
      <c r="H247" s="43">
        <f>IF($G247="","",$E247-$G247)</f>
        <v/>
      </c>
    </row>
    <row r="248">
      <c r="A248" s="42" t="inlineStr">
        <is>
          <t>26061612</t>
        </is>
      </c>
      <c r="B248" s="42" t="inlineStr">
        <is>
          <t>Chorus Call - Redox AGM - 7.10.26</t>
        </is>
      </c>
      <c r="C248" s="43">
        <f>SUMIFS(tbl_WIP[Amount],tbl_WIP[Job Number],$A248,tbl_WIP[Month],"&lt;&gt;",tbl_WIP[Month],"&lt;"&amp;$C$4)+SUMIF('Deferred Revenue'!$E$6:$E$578,$A248,'Deferred Revenue'!$P$6:$P$578)</f>
        <v/>
      </c>
      <c r="D248" s="43">
        <f>SUMIFS(tbl_WIP[Amount],tbl_WIP[Job Number],$A248,tbl_WIP[Month],$C$4)+SUMIF('Deferred Revenue'!$E$6:$E$578,$A248,'Deferred Revenue'!$Q$6:$Q$578)</f>
        <v/>
      </c>
      <c r="E248" s="43">
        <f>C248+D248</f>
        <v/>
      </c>
      <c r="F248" s="44">
        <f>IF(ROUND(C248,2)+ROUND(D248,2)=0,"","yes")</f>
        <v/>
      </c>
      <c r="G248" s="45" t="n"/>
      <c r="H248" s="43">
        <f>IF($G248="","",$E248-$G248)</f>
        <v/>
      </c>
    </row>
    <row r="249">
      <c r="A249" s="42" t="inlineStr">
        <is>
          <t>26061612V</t>
        </is>
      </c>
      <c r="B249" s="42" t="inlineStr">
        <is>
          <t>Chorus Call - Redox AGM - 7.10.26</t>
        </is>
      </c>
      <c r="C249" s="43">
        <f>SUMIFS(tbl_WIP[Amount],tbl_WIP[Job Number],$A249,tbl_WIP[Month],"&lt;&gt;",tbl_WIP[Month],"&lt;"&amp;$C$4)+SUMIF('Deferred Revenue'!$E$6:$E$578,$A249,'Deferred Revenue'!$P$6:$P$578)</f>
        <v/>
      </c>
      <c r="D249" s="43">
        <f>SUMIFS(tbl_WIP[Amount],tbl_WIP[Job Number],$A249,tbl_WIP[Month],$C$4)+SUMIF('Deferred Revenue'!$E$6:$E$578,$A249,'Deferred Revenue'!$Q$6:$Q$578)</f>
        <v/>
      </c>
      <c r="E249" s="43">
        <f>C249+D249</f>
        <v/>
      </c>
      <c r="F249" s="44">
        <f>IF(ROUND(C249,2)+ROUND(D249,2)=0,"","yes")</f>
        <v/>
      </c>
      <c r="G249" s="45" t="n"/>
      <c r="H249" s="43">
        <f>IF($G249="","",$E249-$G249)</f>
        <v/>
      </c>
    </row>
    <row r="250">
      <c r="A250" s="42" t="inlineStr">
        <is>
          <t>26061701</t>
        </is>
      </c>
      <c r="B250" s="42" t="inlineStr">
        <is>
          <t>CBA - LES - July 2026</t>
        </is>
      </c>
      <c r="C250" s="43">
        <f>SUMIFS(tbl_WIP[Amount],tbl_WIP[Job Number],$A250,tbl_WIP[Month],"&lt;&gt;",tbl_WIP[Month],"&lt;"&amp;$C$4)+SUMIF('Deferred Revenue'!$E$6:$E$578,$A250,'Deferred Revenue'!$P$6:$P$578)</f>
        <v/>
      </c>
      <c r="D250" s="43">
        <f>SUMIFS(tbl_WIP[Amount],tbl_WIP[Job Number],$A250,tbl_WIP[Month],$C$4)+SUMIF('Deferred Revenue'!$E$6:$E$578,$A250,'Deferred Revenue'!$Q$6:$Q$578)</f>
        <v/>
      </c>
      <c r="E250" s="43">
        <f>C250+D250</f>
        <v/>
      </c>
      <c r="F250" s="44">
        <f>IF(ROUND(C250,2)+ROUND(D250,2)=0,"","yes")</f>
        <v/>
      </c>
      <c r="G250" s="45" t="n"/>
      <c r="H250" s="43">
        <f>IF($G250="","",$E250-$G250)</f>
        <v/>
      </c>
    </row>
    <row r="251">
      <c r="A251" s="42" t="inlineStr">
        <is>
          <t>26061702</t>
        </is>
      </c>
      <c r="B251" s="42" t="inlineStr">
        <is>
          <t>Garvan - Morning Tea Event - 31.7.26</t>
        </is>
      </c>
      <c r="C251" s="43">
        <f>SUMIFS(tbl_WIP[Amount],tbl_WIP[Job Number],$A251,tbl_WIP[Month],"&lt;&gt;",tbl_WIP[Month],"&lt;"&amp;$C$4)+SUMIF('Deferred Revenue'!$E$6:$E$578,$A251,'Deferred Revenue'!$P$6:$P$578)</f>
        <v/>
      </c>
      <c r="D251" s="43">
        <f>SUMIFS(tbl_WIP[Amount],tbl_WIP[Job Number],$A251,tbl_WIP[Month],$C$4)+SUMIF('Deferred Revenue'!$E$6:$E$578,$A251,'Deferred Revenue'!$Q$6:$Q$578)</f>
        <v/>
      </c>
      <c r="E251" s="43">
        <f>C251+D251</f>
        <v/>
      </c>
      <c r="F251" s="44">
        <f>IF(ROUND(C251,2)+ROUND(D251,2)=0,"","yes")</f>
        <v/>
      </c>
      <c r="G251" s="45" t="n"/>
      <c r="H251" s="43">
        <f>IF($G251="","",$E251-$G251)</f>
        <v/>
      </c>
    </row>
    <row r="252">
      <c r="A252" s="42" t="inlineStr">
        <is>
          <t>26061801</t>
        </is>
      </c>
      <c r="B252" s="42" t="inlineStr">
        <is>
          <t>APA - Investor Briefing FYR26 - 20.8.26</t>
        </is>
      </c>
      <c r="C252" s="43">
        <f>SUMIFS(tbl_WIP[Amount],tbl_WIP[Job Number],$A252,tbl_WIP[Month],"&lt;&gt;",tbl_WIP[Month],"&lt;"&amp;$C$4)+SUMIF('Deferred Revenue'!$E$6:$E$578,$A252,'Deferred Revenue'!$P$6:$P$578)</f>
        <v/>
      </c>
      <c r="D252" s="43">
        <f>SUMIFS(tbl_WIP[Amount],tbl_WIP[Job Number],$A252,tbl_WIP[Month],$C$4)+SUMIF('Deferred Revenue'!$E$6:$E$578,$A252,'Deferred Revenue'!$Q$6:$Q$578)</f>
        <v/>
      </c>
      <c r="E252" s="43">
        <f>C252+D252</f>
        <v/>
      </c>
      <c r="F252" s="44">
        <f>IF(ROUND(C252,2)+ROUND(D252,2)=0,"","yes")</f>
        <v/>
      </c>
      <c r="G252" s="45" t="n"/>
      <c r="H252" s="43">
        <f>IF($G252="","",$E252-$G252)</f>
        <v/>
      </c>
    </row>
    <row r="253">
      <c r="A253" s="42" t="inlineStr">
        <is>
          <t>26061801V</t>
        </is>
      </c>
      <c r="B253" s="42" t="inlineStr">
        <is>
          <t>APA - Investor Briefing FYR26 - 20.8.26</t>
        </is>
      </c>
      <c r="C253" s="43">
        <f>SUMIFS(tbl_WIP[Amount],tbl_WIP[Job Number],$A253,tbl_WIP[Month],"&lt;&gt;",tbl_WIP[Month],"&lt;"&amp;$C$4)+SUMIF('Deferred Revenue'!$E$6:$E$578,$A253,'Deferred Revenue'!$P$6:$P$578)</f>
        <v/>
      </c>
      <c r="D253" s="43">
        <f>SUMIFS(tbl_WIP[Amount],tbl_WIP[Job Number],$A253,tbl_WIP[Month],$C$4)+SUMIF('Deferred Revenue'!$E$6:$E$578,$A253,'Deferred Revenue'!$Q$6:$Q$578)</f>
        <v/>
      </c>
      <c r="E253" s="43">
        <f>C253+D253</f>
        <v/>
      </c>
      <c r="F253" s="44">
        <f>IF(ROUND(C253,2)+ROUND(D253,2)=0,"","yes")</f>
        <v/>
      </c>
      <c r="G253" s="45" t="n"/>
      <c r="H253" s="43">
        <f>IF($G253="","",$E253-$G253)</f>
        <v/>
      </c>
    </row>
    <row r="254">
      <c r="A254" s="42" t="inlineStr">
        <is>
          <t>26062201</t>
        </is>
      </c>
      <c r="B254" s="42" t="inlineStr">
        <is>
          <t>PWC - Tax &amp; Legal Webcast 02.07.26</t>
        </is>
      </c>
      <c r="C254" s="43">
        <f>SUMIFS(tbl_WIP[Amount],tbl_WIP[Job Number],$A254,tbl_WIP[Month],"&lt;&gt;",tbl_WIP[Month],"&lt;"&amp;$C$4)+SUMIF('Deferred Revenue'!$E$6:$E$578,$A254,'Deferred Revenue'!$P$6:$P$578)</f>
        <v/>
      </c>
      <c r="D254" s="43">
        <f>SUMIFS(tbl_WIP[Amount],tbl_WIP[Job Number],$A254,tbl_WIP[Month],$C$4)+SUMIF('Deferred Revenue'!$E$6:$E$578,$A254,'Deferred Revenue'!$Q$6:$Q$578)</f>
        <v/>
      </c>
      <c r="E254" s="43">
        <f>C254+D254</f>
        <v/>
      </c>
      <c r="F254" s="44">
        <f>IF(ROUND(C254,2)+ROUND(D254,2)=0,"","yes")</f>
        <v/>
      </c>
      <c r="G254" s="45" t="n"/>
      <c r="H254" s="43">
        <f>IF($G254="","",$E254-$G254)</f>
        <v/>
      </c>
    </row>
    <row r="255">
      <c r="A255" s="42" t="inlineStr">
        <is>
          <t>26062201V</t>
        </is>
      </c>
      <c r="B255" s="42" t="inlineStr">
        <is>
          <t>PWC - Tax &amp; Legal Webcast 02.07.26</t>
        </is>
      </c>
      <c r="C255" s="43">
        <f>SUMIFS(tbl_WIP[Amount],tbl_WIP[Job Number],$A255,tbl_WIP[Month],"&lt;&gt;",tbl_WIP[Month],"&lt;"&amp;$C$4)+SUMIF('Deferred Revenue'!$E$6:$E$578,$A255,'Deferred Revenue'!$P$6:$P$578)</f>
        <v/>
      </c>
      <c r="D255" s="43">
        <f>SUMIFS(tbl_WIP[Amount],tbl_WIP[Job Number],$A255,tbl_WIP[Month],$C$4)+SUMIF('Deferred Revenue'!$E$6:$E$578,$A255,'Deferred Revenue'!$Q$6:$Q$578)</f>
        <v/>
      </c>
      <c r="E255" s="43">
        <f>C255+D255</f>
        <v/>
      </c>
      <c r="F255" s="44">
        <f>IF(ROUND(C255,2)+ROUND(D255,2)=0,"","yes")</f>
        <v/>
      </c>
      <c r="G255" s="45" t="n"/>
      <c r="H255" s="43">
        <f>IF($G255="","",$E255-$G255)</f>
        <v/>
      </c>
    </row>
    <row r="256">
      <c r="A256" s="42" t="inlineStr">
        <is>
          <t>26062202</t>
        </is>
      </c>
      <c r="B256" s="42" t="inlineStr">
        <is>
          <t>PWC - Early Careers Webcast - 29.7.26</t>
        </is>
      </c>
      <c r="C256" s="43">
        <f>SUMIFS(tbl_WIP[Amount],tbl_WIP[Job Number],$A256,tbl_WIP[Month],"&lt;&gt;",tbl_WIP[Month],"&lt;"&amp;$C$4)+SUMIF('Deferred Revenue'!$E$6:$E$578,$A256,'Deferred Revenue'!$P$6:$P$578)</f>
        <v/>
      </c>
      <c r="D256" s="43">
        <f>SUMIFS(tbl_WIP[Amount],tbl_WIP[Job Number],$A256,tbl_WIP[Month],$C$4)+SUMIF('Deferred Revenue'!$E$6:$E$578,$A256,'Deferred Revenue'!$Q$6:$Q$578)</f>
        <v/>
      </c>
      <c r="E256" s="43">
        <f>C256+D256</f>
        <v/>
      </c>
      <c r="F256" s="44">
        <f>IF(ROUND(C256,2)+ROUND(D256,2)=0,"","yes")</f>
        <v/>
      </c>
      <c r="G256" s="45" t="n"/>
      <c r="H256" s="43">
        <f>IF($G256="","",$E256-$G256)</f>
        <v/>
      </c>
    </row>
    <row r="257">
      <c r="A257" s="42" t="inlineStr">
        <is>
          <t>26062202V</t>
        </is>
      </c>
      <c r="B257" s="42" t="inlineStr">
        <is>
          <t>PWC - Early Careers Webcast - 29.7.26</t>
        </is>
      </c>
      <c r="C257" s="43">
        <f>SUMIFS(tbl_WIP[Amount],tbl_WIP[Job Number],$A257,tbl_WIP[Month],"&lt;&gt;",tbl_WIP[Month],"&lt;"&amp;$C$4)+SUMIF('Deferred Revenue'!$E$6:$E$578,$A257,'Deferred Revenue'!$P$6:$P$578)</f>
        <v/>
      </c>
      <c r="D257" s="43">
        <f>SUMIFS(tbl_WIP[Amount],tbl_WIP[Job Number],$A257,tbl_WIP[Month],$C$4)+SUMIF('Deferred Revenue'!$E$6:$E$578,$A257,'Deferred Revenue'!$Q$6:$Q$578)</f>
        <v/>
      </c>
      <c r="E257" s="43">
        <f>C257+D257</f>
        <v/>
      </c>
      <c r="F257" s="44">
        <f>IF(ROUND(C257,2)+ROUND(D257,2)=0,"","yes")</f>
        <v/>
      </c>
      <c r="G257" s="45" t="n"/>
      <c r="H257" s="43">
        <f>IF($G257="","",$E257-$G257)</f>
        <v/>
      </c>
    </row>
    <row r="258">
      <c r="A258" s="42" t="inlineStr">
        <is>
          <t>26062403</t>
        </is>
      </c>
      <c r="B258" s="42" t="inlineStr">
        <is>
          <t>CBA - CommBank Private Hosting 25.6.26</t>
        </is>
      </c>
      <c r="C258" s="43">
        <f>SUMIFS(tbl_WIP[Amount],tbl_WIP[Job Number],$A258,tbl_WIP[Month],"&lt;&gt;",tbl_WIP[Month],"&lt;"&amp;$C$4)+SUMIF('Deferred Revenue'!$E$6:$E$578,$A258,'Deferred Revenue'!$P$6:$P$578)</f>
        <v/>
      </c>
      <c r="D258" s="43">
        <f>SUMIFS(tbl_WIP[Amount],tbl_WIP[Job Number],$A258,tbl_WIP[Month],$C$4)+SUMIF('Deferred Revenue'!$E$6:$E$578,$A258,'Deferred Revenue'!$Q$6:$Q$578)</f>
        <v/>
      </c>
      <c r="E258" s="43">
        <f>C258+D258</f>
        <v/>
      </c>
      <c r="F258" s="44">
        <f>IF(ROUND(C258,2)+ROUND(D258,2)=0,"","yes")</f>
        <v/>
      </c>
      <c r="G258" s="45" t="n"/>
      <c r="H258" s="43">
        <f>IF($G258="","",$E258-$G258)</f>
        <v/>
      </c>
    </row>
    <row r="259">
      <c r="A259" s="42" t="inlineStr">
        <is>
          <t>26062403V</t>
        </is>
      </c>
      <c r="B259" s="42" t="inlineStr">
        <is>
          <t>CBA - CommBank Private Hosting 25.6.26</t>
        </is>
      </c>
      <c r="C259" s="43">
        <f>SUMIFS(tbl_WIP[Amount],tbl_WIP[Job Number],$A259,tbl_WIP[Month],"&lt;&gt;",tbl_WIP[Month],"&lt;"&amp;$C$4)+SUMIF('Deferred Revenue'!$E$6:$E$578,$A259,'Deferred Revenue'!$P$6:$P$578)</f>
        <v/>
      </c>
      <c r="D259" s="43">
        <f>SUMIFS(tbl_WIP[Amount],tbl_WIP[Job Number],$A259,tbl_WIP[Month],$C$4)+SUMIF('Deferred Revenue'!$E$6:$E$578,$A259,'Deferred Revenue'!$Q$6:$Q$578)</f>
        <v/>
      </c>
      <c r="E259" s="43">
        <f>C259+D259</f>
        <v/>
      </c>
      <c r="F259" s="44">
        <f>IF(ROUND(C259,2)+ROUND(D259,2)=0,"","yes")</f>
        <v/>
      </c>
      <c r="G259" s="45" t="n"/>
      <c r="H259" s="43">
        <f>IF($G259="","",$E259-$G259)</f>
        <v/>
      </c>
    </row>
    <row r="260">
      <c r="A260" s="42" t="inlineStr">
        <is>
          <t>26062501</t>
        </is>
      </c>
      <c r="B260" s="42" t="inlineStr">
        <is>
          <t>DTTL STL Travel (SYD-MEL Return)</t>
        </is>
      </c>
      <c r="C260" s="43">
        <f>SUMIFS(tbl_WIP[Amount],tbl_WIP[Job Number],$A260,tbl_WIP[Month],"&lt;&gt;",tbl_WIP[Month],"&lt;"&amp;$C$4)+SUMIF('Deferred Revenue'!$E$6:$E$578,$A260,'Deferred Revenue'!$P$6:$P$578)</f>
        <v/>
      </c>
      <c r="D260" s="43">
        <f>SUMIFS(tbl_WIP[Amount],tbl_WIP[Job Number],$A260,tbl_WIP[Month],$C$4)+SUMIF('Deferred Revenue'!$E$6:$E$578,$A260,'Deferred Revenue'!$Q$6:$Q$578)</f>
        <v/>
      </c>
      <c r="E260" s="43">
        <f>C260+D260</f>
        <v/>
      </c>
      <c r="F260" s="44">
        <f>IF(ROUND(C260,2)+ROUND(D260,2)=0,"","yes")</f>
        <v/>
      </c>
      <c r="G260" s="45" t="n"/>
      <c r="H260" s="43">
        <f>IF($G260="","",$E260-$G260)</f>
        <v/>
      </c>
    </row>
    <row r="261">
      <c r="A261" s="42" t="inlineStr">
        <is>
          <t>26062503</t>
        </is>
      </c>
      <c r="B261" s="42" t="inlineStr">
        <is>
          <t>Aware Super 24.16 UC Engine Replacement</t>
        </is>
      </c>
      <c r="C261" s="43">
        <f>SUMIFS(tbl_WIP[Amount],tbl_WIP[Job Number],$A261,tbl_WIP[Month],"&lt;&gt;",tbl_WIP[Month],"&lt;"&amp;$C$4)+SUMIF('Deferred Revenue'!$E$6:$E$578,$A261,'Deferred Revenue'!$P$6:$P$578)</f>
        <v/>
      </c>
      <c r="D261" s="43">
        <f>SUMIFS(tbl_WIP[Amount],tbl_WIP[Job Number],$A261,tbl_WIP[Month],$C$4)+SUMIF('Deferred Revenue'!$E$6:$E$578,$A261,'Deferred Revenue'!$Q$6:$Q$578)</f>
        <v/>
      </c>
      <c r="E261" s="43">
        <f>C261+D261</f>
        <v/>
      </c>
      <c r="F261" s="44">
        <f>IF(ROUND(C261,2)+ROUND(D261,2)=0,"","yes")</f>
        <v/>
      </c>
      <c r="G261" s="45" t="n"/>
      <c r="H261" s="43">
        <f>IF($G261="","",$E261-$G261)</f>
        <v/>
      </c>
    </row>
    <row r="262">
      <c r="A262" s="42" t="inlineStr">
        <is>
          <t>26062601</t>
        </is>
      </c>
      <c r="B262" s="42" t="inlineStr">
        <is>
          <t>Ventia - XELT Event - 29.6.26</t>
        </is>
      </c>
      <c r="C262" s="43">
        <f>SUMIFS(tbl_WIP[Amount],tbl_WIP[Job Number],$A262,tbl_WIP[Month],"&lt;&gt;",tbl_WIP[Month],"&lt;"&amp;$C$4)+SUMIF('Deferred Revenue'!$E$6:$E$578,$A262,'Deferred Revenue'!$P$6:$P$578)</f>
        <v/>
      </c>
      <c r="D262" s="43">
        <f>SUMIFS(tbl_WIP[Amount],tbl_WIP[Job Number],$A262,tbl_WIP[Month],$C$4)+SUMIF('Deferred Revenue'!$E$6:$E$578,$A262,'Deferred Revenue'!$Q$6:$Q$578)</f>
        <v/>
      </c>
      <c r="E262" s="43">
        <f>C262+D262</f>
        <v/>
      </c>
      <c r="F262" s="44">
        <f>IF(ROUND(C262,2)+ROUND(D262,2)=0,"","yes")</f>
        <v/>
      </c>
      <c r="G262" s="45" t="n"/>
      <c r="H262" s="43">
        <f>IF($G262="","",$E262-$G262)</f>
        <v/>
      </c>
    </row>
    <row r="263">
      <c r="A263" s="42" t="inlineStr">
        <is>
          <t>26062601V</t>
        </is>
      </c>
      <c r="B263" s="42" t="inlineStr">
        <is>
          <t>Ventia - XELT Event - 29.6.26</t>
        </is>
      </c>
      <c r="C263" s="43">
        <f>SUMIFS(tbl_WIP[Amount],tbl_WIP[Job Number],$A263,tbl_WIP[Month],"&lt;&gt;",tbl_WIP[Month],"&lt;"&amp;$C$4)+SUMIF('Deferred Revenue'!$E$6:$E$578,$A263,'Deferred Revenue'!$P$6:$P$578)</f>
        <v/>
      </c>
      <c r="D263" s="43">
        <f>SUMIFS(tbl_WIP[Amount],tbl_WIP[Job Number],$A263,tbl_WIP[Month],$C$4)+SUMIF('Deferred Revenue'!$E$6:$E$578,$A263,'Deferred Revenue'!$Q$6:$Q$578)</f>
        <v/>
      </c>
      <c r="E263" s="43">
        <f>C263+D263</f>
        <v/>
      </c>
      <c r="F263" s="44">
        <f>IF(ROUND(C263,2)+ROUND(D263,2)=0,"","yes")</f>
        <v/>
      </c>
      <c r="G263" s="45" t="n"/>
      <c r="H263" s="43">
        <f>IF($G263="","",$E263-$G263)</f>
        <v/>
      </c>
    </row>
    <row r="264">
      <c r="A264" s="42" t="inlineStr">
        <is>
          <t>26062901</t>
        </is>
      </c>
      <c r="B264" s="42" t="inlineStr">
        <is>
          <t>Aware | SYD 28.06 Services</t>
        </is>
      </c>
      <c r="C264" s="43">
        <f>SUMIFS(tbl_WIP[Amount],tbl_WIP[Job Number],$A264,tbl_WIP[Month],"&lt;&gt;",tbl_WIP[Month],"&lt;"&amp;$C$4)+SUMIF('Deferred Revenue'!$E$6:$E$578,$A264,'Deferred Revenue'!$P$6:$P$578)</f>
        <v/>
      </c>
      <c r="D264" s="43">
        <f>SUMIFS(tbl_WIP[Amount],tbl_WIP[Job Number],$A264,tbl_WIP[Month],$C$4)+SUMIF('Deferred Revenue'!$E$6:$E$578,$A264,'Deferred Revenue'!$Q$6:$Q$578)</f>
        <v/>
      </c>
      <c r="E264" s="43">
        <f>C264+D264</f>
        <v/>
      </c>
      <c r="F264" s="44">
        <f>IF(ROUND(C264,2)+ROUND(D264,2)=0,"","yes")</f>
        <v/>
      </c>
      <c r="G264" s="45" t="n"/>
      <c r="H264" s="43">
        <f>IF($G264="","",$E264-$G264)</f>
        <v/>
      </c>
    </row>
    <row r="265">
      <c r="A265" s="42" t="inlineStr">
        <is>
          <t>26062902</t>
        </is>
      </c>
      <c r="B265" s="42" t="inlineStr">
        <is>
          <t>Aware | SYD Occupancy Sensors</t>
        </is>
      </c>
      <c r="C265" s="43">
        <f>SUMIFS(tbl_WIP[Amount],tbl_WIP[Job Number],$A265,tbl_WIP[Month],"&lt;&gt;",tbl_WIP[Month],"&lt;"&amp;$C$4)+SUMIF('Deferred Revenue'!$E$6:$E$578,$A265,'Deferred Revenue'!$P$6:$P$578)</f>
        <v/>
      </c>
      <c r="D265" s="43">
        <f>SUMIFS(tbl_WIP[Amount],tbl_WIP[Job Number],$A265,tbl_WIP[Month],$C$4)+SUMIF('Deferred Revenue'!$E$6:$E$578,$A265,'Deferred Revenue'!$Q$6:$Q$578)</f>
        <v/>
      </c>
      <c r="E265" s="43">
        <f>C265+D265</f>
        <v/>
      </c>
      <c r="F265" s="44">
        <f>IF(ROUND(C265,2)+ROUND(D265,2)=0,"","yes")</f>
        <v/>
      </c>
      <c r="G265" s="45" t="n"/>
      <c r="H265" s="43">
        <f>IF($G265="","",$E265-$G265)</f>
        <v/>
      </c>
    </row>
    <row r="266">
      <c r="A266" s="42" t="inlineStr">
        <is>
          <t>26063002</t>
        </is>
      </c>
      <c r="B266" s="42" t="inlineStr">
        <is>
          <t>CEOi - CEO Connect - 11.8.26</t>
        </is>
      </c>
      <c r="C266" s="43">
        <f>SUMIFS(tbl_WIP[Amount],tbl_WIP[Job Number],$A266,tbl_WIP[Month],"&lt;&gt;",tbl_WIP[Month],"&lt;"&amp;$C$4)+SUMIF('Deferred Revenue'!$E$6:$E$578,$A266,'Deferred Revenue'!$P$6:$P$578)</f>
        <v/>
      </c>
      <c r="D266" s="43">
        <f>SUMIFS(tbl_WIP[Amount],tbl_WIP[Job Number],$A266,tbl_WIP[Month],$C$4)+SUMIF('Deferred Revenue'!$E$6:$E$578,$A266,'Deferred Revenue'!$Q$6:$Q$578)</f>
        <v/>
      </c>
      <c r="E266" s="43">
        <f>C266+D266</f>
        <v/>
      </c>
      <c r="F266" s="44">
        <f>IF(ROUND(C266,2)+ROUND(D266,2)=0,"","yes")</f>
        <v/>
      </c>
      <c r="G266" s="45" t="n"/>
      <c r="H266" s="43">
        <f>IF($G266="","",$E266-$G266)</f>
        <v/>
      </c>
    </row>
    <row r="267">
      <c r="A267" s="42" t="inlineStr">
        <is>
          <t>26063002V</t>
        </is>
      </c>
      <c r="B267" s="42" t="inlineStr">
        <is>
          <t>CEOi - CEO Connect - 11.8.26</t>
        </is>
      </c>
      <c r="C267" s="43">
        <f>SUMIFS(tbl_WIP[Amount],tbl_WIP[Job Number],$A267,tbl_WIP[Month],"&lt;&gt;",tbl_WIP[Month],"&lt;"&amp;$C$4)+SUMIF('Deferred Revenue'!$E$6:$E$578,$A267,'Deferred Revenue'!$P$6:$P$578)</f>
        <v/>
      </c>
      <c r="D267" s="43">
        <f>SUMIFS(tbl_WIP[Amount],tbl_WIP[Job Number],$A267,tbl_WIP[Month],$C$4)+SUMIF('Deferred Revenue'!$E$6:$E$578,$A267,'Deferred Revenue'!$Q$6:$Q$578)</f>
        <v/>
      </c>
      <c r="E267" s="43">
        <f>C267+D267</f>
        <v/>
      </c>
      <c r="F267" s="44">
        <f>IF(ROUND(C267,2)+ROUND(D267,2)=0,"","yes")</f>
        <v/>
      </c>
      <c r="G267" s="45" t="n"/>
      <c r="H267" s="43">
        <f>IF($G267="","",$E267-$G267)</f>
        <v/>
      </c>
    </row>
    <row r="268">
      <c r="A268" s="42" t="inlineStr">
        <is>
          <t>2606401V</t>
        </is>
      </c>
      <c r="B268" s="42" t="inlineStr">
        <is>
          <t>PWC - NRW Webcast - 11.6.26</t>
        </is>
      </c>
      <c r="C268" s="43">
        <f>SUMIFS(tbl_WIP[Amount],tbl_WIP[Job Number],$A268,tbl_WIP[Month],"&lt;&gt;",tbl_WIP[Month],"&lt;"&amp;$C$4)+SUMIF('Deferred Revenue'!$E$6:$E$578,$A268,'Deferred Revenue'!$P$6:$P$578)</f>
        <v/>
      </c>
      <c r="D268" s="43">
        <f>SUMIFS(tbl_WIP[Amount],tbl_WIP[Job Number],$A268,tbl_WIP[Month],$C$4)+SUMIF('Deferred Revenue'!$E$6:$E$578,$A268,'Deferred Revenue'!$Q$6:$Q$578)</f>
        <v/>
      </c>
      <c r="E268" s="43">
        <f>C268+D268</f>
        <v/>
      </c>
      <c r="F268" s="44">
        <f>IF(ROUND(C268,2)+ROUND(D268,2)=0,"","yes")</f>
        <v/>
      </c>
      <c r="G268" s="45" t="n"/>
      <c r="H268" s="43">
        <f>IF($G268="","",$E268-$G268)</f>
        <v/>
      </c>
    </row>
    <row r="269">
      <c r="A269" s="42" t="inlineStr">
        <is>
          <t>2606901</t>
        </is>
      </c>
      <c r="B269" s="42" t="inlineStr">
        <is>
          <t>PwC | Syd Studio Equipment</t>
        </is>
      </c>
      <c r="C269" s="43">
        <f>SUMIFS(tbl_WIP[Amount],tbl_WIP[Job Number],$A269,tbl_WIP[Month],"&lt;&gt;",tbl_WIP[Month],"&lt;"&amp;$C$4)+SUMIF('Deferred Revenue'!$E$6:$E$578,$A269,'Deferred Revenue'!$P$6:$P$578)</f>
        <v/>
      </c>
      <c r="D269" s="43">
        <f>SUMIFS(tbl_WIP[Amount],tbl_WIP[Job Number],$A269,tbl_WIP[Month],$C$4)+SUMIF('Deferred Revenue'!$E$6:$E$578,$A269,'Deferred Revenue'!$Q$6:$Q$578)</f>
        <v/>
      </c>
      <c r="E269" s="43">
        <f>C269+D269</f>
        <v/>
      </c>
      <c r="F269" s="44">
        <f>IF(ROUND(C269,2)+ROUND(D269,2)=0,"","yes")</f>
        <v/>
      </c>
      <c r="G269" s="45" t="n"/>
      <c r="H269" s="43">
        <f>IF($G269="","",$E269-$G269)</f>
        <v/>
      </c>
    </row>
    <row r="270">
      <c r="A270" s="42" t="inlineStr">
        <is>
          <t>2606902</t>
        </is>
      </c>
      <c r="B270" s="42" t="inlineStr">
        <is>
          <t>AVIT - Taronga AV Support - 9-11.6.26</t>
        </is>
      </c>
      <c r="C270" s="43">
        <f>SUMIFS(tbl_WIP[Amount],tbl_WIP[Job Number],$A270,tbl_WIP[Month],"&lt;&gt;",tbl_WIP[Month],"&lt;"&amp;$C$4)+SUMIF('Deferred Revenue'!$E$6:$E$578,$A270,'Deferred Revenue'!$P$6:$P$578)</f>
        <v/>
      </c>
      <c r="D270" s="43">
        <f>SUMIFS(tbl_WIP[Amount],tbl_WIP[Job Number],$A270,tbl_WIP[Month],$C$4)+SUMIF('Deferred Revenue'!$E$6:$E$578,$A270,'Deferred Revenue'!$Q$6:$Q$578)</f>
        <v/>
      </c>
      <c r="E270" s="43">
        <f>C270+D270</f>
        <v/>
      </c>
      <c r="F270" s="44">
        <f>IF(ROUND(C270,2)+ROUND(D270,2)=0,"","yes")</f>
        <v/>
      </c>
      <c r="G270" s="45" t="n"/>
      <c r="H270" s="43">
        <f>IF($G270="","",$E270-$G270)</f>
        <v/>
      </c>
    </row>
    <row r="271">
      <c r="A271" s="42" t="inlineStr">
        <is>
          <t>2606903</t>
        </is>
      </c>
      <c r="B271" s="42" t="inlineStr">
        <is>
          <t>Virgin FY26 Results</t>
        </is>
      </c>
      <c r="C271" s="43">
        <f>SUMIFS(tbl_WIP[Amount],tbl_WIP[Job Number],$A271,tbl_WIP[Month],"&lt;&gt;",tbl_WIP[Month],"&lt;"&amp;$C$4)+SUMIF('Deferred Revenue'!$E$6:$E$578,$A271,'Deferred Revenue'!$P$6:$P$578)</f>
        <v/>
      </c>
      <c r="D271" s="43">
        <f>SUMIFS(tbl_WIP[Amount],tbl_WIP[Job Number],$A271,tbl_WIP[Month],$C$4)+SUMIF('Deferred Revenue'!$E$6:$E$578,$A271,'Deferred Revenue'!$Q$6:$Q$578)</f>
        <v/>
      </c>
      <c r="E271" s="43">
        <f>C271+D271</f>
        <v/>
      </c>
      <c r="F271" s="44">
        <f>IF(ROUND(C271,2)+ROUND(D271,2)=0,"","yes")</f>
        <v/>
      </c>
      <c r="G271" s="45" t="n"/>
      <c r="H271" s="43">
        <f>IF($G271="","",$E271-$G271)</f>
        <v/>
      </c>
    </row>
    <row r="272">
      <c r="A272" s="42" t="inlineStr">
        <is>
          <t>2606903V</t>
        </is>
      </c>
      <c r="B272" s="42" t="inlineStr">
        <is>
          <t>Virgin FY26 Results</t>
        </is>
      </c>
      <c r="C272" s="43">
        <f>SUMIFS(tbl_WIP[Amount],tbl_WIP[Job Number],$A272,tbl_WIP[Month],"&lt;&gt;",tbl_WIP[Month],"&lt;"&amp;$C$4)+SUMIF('Deferred Revenue'!$E$6:$E$578,$A272,'Deferred Revenue'!$P$6:$P$578)</f>
        <v/>
      </c>
      <c r="D272" s="43">
        <f>SUMIFS(tbl_WIP[Amount],tbl_WIP[Job Number],$A272,tbl_WIP[Month],$C$4)+SUMIF('Deferred Revenue'!$E$6:$E$578,$A272,'Deferred Revenue'!$Q$6:$Q$578)</f>
        <v/>
      </c>
      <c r="E272" s="43">
        <f>C272+D272</f>
        <v/>
      </c>
      <c r="F272" s="44">
        <f>IF(ROUND(C272,2)+ROUND(D272,2)=0,"","yes")</f>
        <v/>
      </c>
      <c r="G272" s="45" t="n"/>
      <c r="H272" s="43">
        <f>IF($G272="","",$E272-$G272)</f>
        <v/>
      </c>
    </row>
    <row r="273">
      <c r="A273" s="42" t="inlineStr">
        <is>
          <t>2606904</t>
        </is>
      </c>
      <c r="B273" s="42" t="inlineStr">
        <is>
          <t>Symal - FYR26 (Melb) - 24.8.26</t>
        </is>
      </c>
      <c r="C273" s="43">
        <f>SUMIFS(tbl_WIP[Amount],tbl_WIP[Job Number],$A273,tbl_WIP[Month],"&lt;&gt;",tbl_WIP[Month],"&lt;"&amp;$C$4)+SUMIF('Deferred Revenue'!$E$6:$E$578,$A273,'Deferred Revenue'!$P$6:$P$578)</f>
        <v/>
      </c>
      <c r="D273" s="43">
        <f>SUMIFS(tbl_WIP[Amount],tbl_WIP[Job Number],$A273,tbl_WIP[Month],$C$4)+SUMIF('Deferred Revenue'!$E$6:$E$578,$A273,'Deferred Revenue'!$Q$6:$Q$578)</f>
        <v/>
      </c>
      <c r="E273" s="43">
        <f>C273+D273</f>
        <v/>
      </c>
      <c r="F273" s="44">
        <f>IF(ROUND(C273,2)+ROUND(D273,2)=0,"","yes")</f>
        <v/>
      </c>
      <c r="G273" s="45" t="n"/>
      <c r="H273" s="43">
        <f>IF($G273="","",$E273-$G273)</f>
        <v/>
      </c>
    </row>
    <row r="274">
      <c r="A274" s="42" t="inlineStr">
        <is>
          <t>2606904V</t>
        </is>
      </c>
      <c r="B274" s="42" t="inlineStr">
        <is>
          <t>Symal - FYR26 (Melb) - 24.8.26</t>
        </is>
      </c>
      <c r="C274" s="43">
        <f>SUMIFS(tbl_WIP[Amount],tbl_WIP[Job Number],$A274,tbl_WIP[Month],"&lt;&gt;",tbl_WIP[Month],"&lt;"&amp;$C$4)+SUMIF('Deferred Revenue'!$E$6:$E$578,$A274,'Deferred Revenue'!$P$6:$P$578)</f>
        <v/>
      </c>
      <c r="D274" s="43">
        <f>SUMIFS(tbl_WIP[Amount],tbl_WIP[Job Number],$A274,tbl_WIP[Month],$C$4)+SUMIF('Deferred Revenue'!$E$6:$E$578,$A274,'Deferred Revenue'!$Q$6:$Q$578)</f>
        <v/>
      </c>
      <c r="E274" s="43">
        <f>C274+D274</f>
        <v/>
      </c>
      <c r="F274" s="44">
        <f>IF(ROUND(C274,2)+ROUND(D274,2)=0,"","yes")</f>
        <v/>
      </c>
      <c r="G274" s="45" t="n"/>
      <c r="H274" s="43">
        <f>IF($G274="","",$E274-$G274)</f>
        <v/>
      </c>
    </row>
    <row r="275">
      <c r="A275" s="42" t="inlineStr">
        <is>
          <t>2606905</t>
        </is>
      </c>
      <c r="B275" s="42" t="inlineStr">
        <is>
          <t>Dimensional - Audio Tech Support - 22.6.26</t>
        </is>
      </c>
      <c r="C275" s="43">
        <f>SUMIFS(tbl_WIP[Amount],tbl_WIP[Job Number],$A275,tbl_WIP[Month],"&lt;&gt;",tbl_WIP[Month],"&lt;"&amp;$C$4)+SUMIF('Deferred Revenue'!$E$6:$E$578,$A275,'Deferred Revenue'!$P$6:$P$578)</f>
        <v/>
      </c>
      <c r="D275" s="43">
        <f>SUMIFS(tbl_WIP[Amount],tbl_WIP[Job Number],$A275,tbl_WIP[Month],$C$4)+SUMIF('Deferred Revenue'!$E$6:$E$578,$A275,'Deferred Revenue'!$Q$6:$Q$578)</f>
        <v/>
      </c>
      <c r="E275" s="43">
        <f>C275+D275</f>
        <v/>
      </c>
      <c r="F275" s="44">
        <f>IF(ROUND(C275,2)+ROUND(D275,2)=0,"","yes")</f>
        <v/>
      </c>
      <c r="G275" s="45" t="n"/>
      <c r="H275" s="43">
        <f>IF($G275="","",$E275-$G275)</f>
        <v/>
      </c>
    </row>
    <row r="276">
      <c r="A276" s="42" t="inlineStr">
        <is>
          <t>2606906</t>
        </is>
      </c>
      <c r="B276" s="42" t="inlineStr">
        <is>
          <t>St Catherines Case Study Video Non-Chrgable</t>
        </is>
      </c>
      <c r="C276" s="43">
        <f>SUMIFS(tbl_WIP[Amount],tbl_WIP[Job Number],$A276,tbl_WIP[Month],"&lt;&gt;",tbl_WIP[Month],"&lt;"&amp;$C$4)+SUMIF('Deferred Revenue'!$E$6:$E$578,$A276,'Deferred Revenue'!$P$6:$P$578)</f>
        <v/>
      </c>
      <c r="D276" s="43">
        <f>SUMIFS(tbl_WIP[Amount],tbl_WIP[Job Number],$A276,tbl_WIP[Month],$C$4)+SUMIF('Deferred Revenue'!$E$6:$E$578,$A276,'Deferred Revenue'!$Q$6:$Q$578)</f>
        <v/>
      </c>
      <c r="E276" s="43">
        <f>C276+D276</f>
        <v/>
      </c>
      <c r="F276" s="44">
        <f>IF(ROUND(C276,2)+ROUND(D276,2)=0,"","yes")</f>
        <v/>
      </c>
      <c r="G276" s="45" t="n"/>
      <c r="H276" s="43">
        <f>IF($G276="","",$E276-$G276)</f>
        <v/>
      </c>
    </row>
    <row r="277">
      <c r="A277" s="42" t="inlineStr">
        <is>
          <t>26071303</t>
        </is>
      </c>
      <c r="B277" s="42" t="inlineStr">
        <is>
          <t>Ventia - Melbourne Office Event - 30.7.26</t>
        </is>
      </c>
      <c r="C277" s="43">
        <f>SUMIFS(tbl_WIP[Amount],tbl_WIP[Job Number],$A277,tbl_WIP[Month],"&lt;&gt;",tbl_WIP[Month],"&lt;"&amp;$C$4)+SUMIF('Deferred Revenue'!$E$6:$E$578,$A277,'Deferred Revenue'!$P$6:$P$578)</f>
        <v/>
      </c>
      <c r="D277" s="43">
        <f>SUMIFS(tbl_WIP[Amount],tbl_WIP[Job Number],$A277,tbl_WIP[Month],$C$4)+SUMIF('Deferred Revenue'!$E$6:$E$578,$A277,'Deferred Revenue'!$Q$6:$Q$578)</f>
        <v/>
      </c>
      <c r="E277" s="43">
        <f>C277+D277</f>
        <v/>
      </c>
      <c r="F277" s="44">
        <f>IF(ROUND(C277,2)+ROUND(D277,2)=0,"","yes")</f>
        <v/>
      </c>
      <c r="G277" s="45" t="n"/>
      <c r="H277" s="43">
        <f>IF($G277="","",$E277-$G277)</f>
        <v/>
      </c>
    </row>
    <row r="278">
      <c r="A278" s="42" t="inlineStr">
        <is>
          <t>26071304</t>
        </is>
      </c>
      <c r="B278" s="42" t="inlineStr">
        <is>
          <t>YSG | Orange Room Upgrade</t>
        </is>
      </c>
      <c r="C278" s="43">
        <f>SUMIFS(tbl_WIP[Amount],tbl_WIP[Job Number],$A278,tbl_WIP[Month],"&lt;&gt;",tbl_WIP[Month],"&lt;"&amp;$C$4)+SUMIF('Deferred Revenue'!$E$6:$E$578,$A278,'Deferred Revenue'!$P$6:$P$578)</f>
        <v/>
      </c>
      <c r="D278" s="43">
        <f>SUMIFS(tbl_WIP[Amount],tbl_WIP[Job Number],$A278,tbl_WIP[Month],$C$4)+SUMIF('Deferred Revenue'!$E$6:$E$578,$A278,'Deferred Revenue'!$Q$6:$Q$578)</f>
        <v/>
      </c>
      <c r="E278" s="43">
        <f>C278+D278</f>
        <v/>
      </c>
      <c r="F278" s="44">
        <f>IF(ROUND(C278,2)+ROUND(D278,2)=0,"","yes")</f>
        <v/>
      </c>
      <c r="G278" s="45" t="n"/>
      <c r="H278" s="43">
        <f>IF($G278="","",$E278-$G278)</f>
        <v/>
      </c>
    </row>
    <row r="279">
      <c r="A279" s="42" t="inlineStr">
        <is>
          <t>26071403</t>
        </is>
      </c>
      <c r="B279" s="42" t="inlineStr">
        <is>
          <t>Elkiem - Studio Support - 4.11.26</t>
        </is>
      </c>
      <c r="C279" s="43">
        <f>SUMIFS(tbl_WIP[Amount],tbl_WIP[Job Number],$A279,tbl_WIP[Month],"&lt;&gt;",tbl_WIP[Month],"&lt;"&amp;$C$4)+SUMIF('Deferred Revenue'!$E$6:$E$578,$A279,'Deferred Revenue'!$P$6:$P$578)</f>
        <v/>
      </c>
      <c r="D279" s="43">
        <f>SUMIFS(tbl_WIP[Amount],tbl_WIP[Job Number],$A279,tbl_WIP[Month],$C$4)+SUMIF('Deferred Revenue'!$E$6:$E$578,$A279,'Deferred Revenue'!$Q$6:$Q$578)</f>
        <v/>
      </c>
      <c r="E279" s="43">
        <f>C279+D279</f>
        <v/>
      </c>
      <c r="F279" s="44">
        <f>IF(ROUND(C279,2)+ROUND(D279,2)=0,"","yes")</f>
        <v/>
      </c>
      <c r="G279" s="45" t="n"/>
      <c r="H279" s="43">
        <f>IF($G279="","",$E279-$G279)</f>
        <v/>
      </c>
    </row>
    <row r="280">
      <c r="A280" s="42" t="inlineStr">
        <is>
          <t>26071404</t>
        </is>
      </c>
      <c r="B280" s="42" t="inlineStr">
        <is>
          <t>Elkiem - Studio Support - 9.12.26</t>
        </is>
      </c>
      <c r="C280" s="43">
        <f>SUMIFS(tbl_WIP[Amount],tbl_WIP[Job Number],$A280,tbl_WIP[Month],"&lt;&gt;",tbl_WIP[Month],"&lt;"&amp;$C$4)+SUMIF('Deferred Revenue'!$E$6:$E$578,$A280,'Deferred Revenue'!$P$6:$P$578)</f>
        <v/>
      </c>
      <c r="D280" s="43">
        <f>SUMIFS(tbl_WIP[Amount],tbl_WIP[Job Number],$A280,tbl_WIP[Month],$C$4)+SUMIF('Deferred Revenue'!$E$6:$E$578,$A280,'Deferred Revenue'!$Q$6:$Q$578)</f>
        <v/>
      </c>
      <c r="E280" s="43">
        <f>C280+D280</f>
        <v/>
      </c>
      <c r="F280" s="44">
        <f>IF(ROUND(C280,2)+ROUND(D280,2)=0,"","yes")</f>
        <v/>
      </c>
      <c r="G280" s="45" t="n"/>
      <c r="H280" s="43">
        <f>IF($G280="","",$E280-$G280)</f>
        <v/>
      </c>
    </row>
    <row r="281">
      <c r="A281" s="42" t="inlineStr">
        <is>
          <t>26071405</t>
        </is>
      </c>
      <c r="B281" s="42" t="inlineStr">
        <is>
          <t>PWC - Event Technician - 29.7.26</t>
        </is>
      </c>
      <c r="C281" s="43">
        <f>SUMIFS(tbl_WIP[Amount],tbl_WIP[Job Number],$A281,tbl_WIP[Month],"&lt;&gt;",tbl_WIP[Month],"&lt;"&amp;$C$4)+SUMIF('Deferred Revenue'!$E$6:$E$578,$A281,'Deferred Revenue'!$P$6:$P$578)</f>
        <v/>
      </c>
      <c r="D281" s="43">
        <f>SUMIFS(tbl_WIP[Amount],tbl_WIP[Job Number],$A281,tbl_WIP[Month],$C$4)+SUMIF('Deferred Revenue'!$E$6:$E$578,$A281,'Deferred Revenue'!$Q$6:$Q$578)</f>
        <v/>
      </c>
      <c r="E281" s="43">
        <f>C281+D281</f>
        <v/>
      </c>
      <c r="F281" s="44">
        <f>IF(ROUND(C281,2)+ROUND(D281,2)=0,"","yes")</f>
        <v/>
      </c>
      <c r="G281" s="45" t="n"/>
      <c r="H281" s="43">
        <f>IF($G281="","",$E281-$G281)</f>
        <v/>
      </c>
    </row>
    <row r="282">
      <c r="A282" s="42" t="inlineStr">
        <is>
          <t>26071501</t>
        </is>
      </c>
      <c r="B282" s="42" t="inlineStr">
        <is>
          <t>Ventia - Half Year Results Briefing - 24.8.26</t>
        </is>
      </c>
      <c r="C282" s="43">
        <f>SUMIFS(tbl_WIP[Amount],tbl_WIP[Job Number],$A282,tbl_WIP[Month],"&lt;&gt;",tbl_WIP[Month],"&lt;"&amp;$C$4)+SUMIF('Deferred Revenue'!$E$6:$E$578,$A282,'Deferred Revenue'!$P$6:$P$578)</f>
        <v/>
      </c>
      <c r="D282" s="43">
        <f>SUMIFS(tbl_WIP[Amount],tbl_WIP[Job Number],$A282,tbl_WIP[Month],$C$4)+SUMIF('Deferred Revenue'!$E$6:$E$578,$A282,'Deferred Revenue'!$Q$6:$Q$578)</f>
        <v/>
      </c>
      <c r="E282" s="43">
        <f>C282+D282</f>
        <v/>
      </c>
      <c r="F282" s="44">
        <f>IF(ROUND(C282,2)+ROUND(D282,2)=0,"","yes")</f>
        <v/>
      </c>
      <c r="G282" s="45" t="n"/>
      <c r="H282" s="43">
        <f>IF($G282="","",$E282-$G282)</f>
        <v/>
      </c>
    </row>
    <row r="283">
      <c r="A283" s="42" t="inlineStr">
        <is>
          <t>26071501V</t>
        </is>
      </c>
      <c r="B283" s="42" t="inlineStr">
        <is>
          <t>Ventia - Half Year Results Briefing - 24.8.26</t>
        </is>
      </c>
      <c r="C283" s="43">
        <f>SUMIFS(tbl_WIP[Amount],tbl_WIP[Job Number],$A283,tbl_WIP[Month],"&lt;&gt;",tbl_WIP[Month],"&lt;"&amp;$C$4)+SUMIF('Deferred Revenue'!$E$6:$E$578,$A283,'Deferred Revenue'!$P$6:$P$578)</f>
        <v/>
      </c>
      <c r="D283" s="43">
        <f>SUMIFS(tbl_WIP[Amount],tbl_WIP[Job Number],$A283,tbl_WIP[Month],$C$4)+SUMIF('Deferred Revenue'!$E$6:$E$578,$A283,'Deferred Revenue'!$Q$6:$Q$578)</f>
        <v/>
      </c>
      <c r="E283" s="43">
        <f>C283+D283</f>
        <v/>
      </c>
      <c r="F283" s="44">
        <f>IF(ROUND(C283,2)+ROUND(D283,2)=0,"","yes")</f>
        <v/>
      </c>
      <c r="G283" s="45" t="n"/>
      <c r="H283" s="43">
        <f>IF($G283="","",$E283-$G283)</f>
        <v/>
      </c>
    </row>
    <row r="284">
      <c r="A284" s="42" t="inlineStr">
        <is>
          <t>26071601</t>
        </is>
      </c>
      <c r="B284" s="42" t="inlineStr">
        <is>
          <t>Aware | PER | Barry Marshall and Albany Rooms BYOD USB-C Replcmnt</t>
        </is>
      </c>
      <c r="C284" s="43">
        <f>SUMIFS(tbl_WIP[Amount],tbl_WIP[Job Number],$A284,tbl_WIP[Month],"&lt;&gt;",tbl_WIP[Month],"&lt;"&amp;$C$4)+SUMIF('Deferred Revenue'!$E$6:$E$578,$A284,'Deferred Revenue'!$P$6:$P$578)</f>
        <v/>
      </c>
      <c r="D284" s="43">
        <f>SUMIFS(tbl_WIP[Amount],tbl_WIP[Job Number],$A284,tbl_WIP[Month],$C$4)+SUMIF('Deferred Revenue'!$E$6:$E$578,$A284,'Deferred Revenue'!$Q$6:$Q$578)</f>
        <v/>
      </c>
      <c r="E284" s="43">
        <f>C284+D284</f>
        <v/>
      </c>
      <c r="F284" s="44">
        <f>IF(ROUND(C284,2)+ROUND(D284,2)=0,"","yes")</f>
        <v/>
      </c>
      <c r="G284" s="45" t="n"/>
      <c r="H284" s="43">
        <f>IF($G284="","",$E284-$G284)</f>
        <v/>
      </c>
    </row>
    <row r="285">
      <c r="A285" s="42" t="inlineStr">
        <is>
          <t>26071701</t>
        </is>
      </c>
      <c r="B285" s="42" t="inlineStr">
        <is>
          <t>ASX Live - 9.9.26</t>
        </is>
      </c>
      <c r="C285" s="43">
        <f>SUMIFS(tbl_WIP[Amount],tbl_WIP[Job Number],$A285,tbl_WIP[Month],"&lt;&gt;",tbl_WIP[Month],"&lt;"&amp;$C$4)+SUMIF('Deferred Revenue'!$E$6:$E$578,$A285,'Deferred Revenue'!$P$6:$P$578)</f>
        <v/>
      </c>
      <c r="D285" s="43">
        <f>SUMIFS(tbl_WIP[Amount],tbl_WIP[Job Number],$A285,tbl_WIP[Month],$C$4)+SUMIF('Deferred Revenue'!$E$6:$E$578,$A285,'Deferred Revenue'!$Q$6:$Q$578)</f>
        <v/>
      </c>
      <c r="E285" s="43">
        <f>C285+D285</f>
        <v/>
      </c>
      <c r="F285" s="44">
        <f>IF(ROUND(C285,2)+ROUND(D285,2)=0,"","yes")</f>
        <v/>
      </c>
      <c r="G285" s="45" t="n"/>
      <c r="H285" s="43">
        <f>IF($G285="","",$E285-$G285)</f>
        <v/>
      </c>
    </row>
    <row r="286">
      <c r="A286" s="42" t="inlineStr">
        <is>
          <t>26071701V</t>
        </is>
      </c>
      <c r="B286" s="42" t="inlineStr">
        <is>
          <t>ASX Live - 9.9.26</t>
        </is>
      </c>
      <c r="C286" s="43">
        <f>SUMIFS(tbl_WIP[Amount],tbl_WIP[Job Number],$A286,tbl_WIP[Month],"&lt;&gt;",tbl_WIP[Month],"&lt;"&amp;$C$4)+SUMIF('Deferred Revenue'!$E$6:$E$578,$A286,'Deferred Revenue'!$P$6:$P$578)</f>
        <v/>
      </c>
      <c r="D286" s="43">
        <f>SUMIFS(tbl_WIP[Amount],tbl_WIP[Job Number],$A286,tbl_WIP[Month],$C$4)+SUMIF('Deferred Revenue'!$E$6:$E$578,$A286,'Deferred Revenue'!$Q$6:$Q$578)</f>
        <v/>
      </c>
      <c r="E286" s="43">
        <f>C286+D286</f>
        <v/>
      </c>
      <c r="F286" s="44">
        <f>IF(ROUND(C286,2)+ROUND(D286,2)=0,"","yes")</f>
        <v/>
      </c>
      <c r="G286" s="45" t="n"/>
      <c r="H286" s="43">
        <f>IF($G286="","",$E286-$G286)</f>
        <v/>
      </c>
    </row>
    <row r="287">
      <c r="A287" s="42" t="inlineStr">
        <is>
          <t>26071901</t>
        </is>
      </c>
      <c r="B287" s="42" t="inlineStr">
        <is>
          <t>Elkiem - Studio Support - 11.8.26</t>
        </is>
      </c>
      <c r="C287" s="43">
        <f>SUMIFS(tbl_WIP[Amount],tbl_WIP[Job Number],$A287,tbl_WIP[Month],"&lt;&gt;",tbl_WIP[Month],"&lt;"&amp;$C$4)+SUMIF('Deferred Revenue'!$E$6:$E$578,$A287,'Deferred Revenue'!$P$6:$P$578)</f>
        <v/>
      </c>
      <c r="D287" s="43">
        <f>SUMIFS(tbl_WIP[Amount],tbl_WIP[Job Number],$A287,tbl_WIP[Month],$C$4)+SUMIF('Deferred Revenue'!$E$6:$E$578,$A287,'Deferred Revenue'!$Q$6:$Q$578)</f>
        <v/>
      </c>
      <c r="E287" s="43">
        <f>C287+D287</f>
        <v/>
      </c>
      <c r="F287" s="44">
        <f>IF(ROUND(C287,2)+ROUND(D287,2)=0,"","yes")</f>
        <v/>
      </c>
      <c r="G287" s="45" t="n"/>
      <c r="H287" s="43">
        <f>IF($G287="","",$E287-$G287)</f>
        <v/>
      </c>
    </row>
    <row r="288">
      <c r="A288" s="42" t="inlineStr">
        <is>
          <t>26072003</t>
        </is>
      </c>
      <c r="B288" s="42" t="inlineStr">
        <is>
          <t>CBA Live Event Support August 2026</t>
        </is>
      </c>
      <c r="C288" s="43">
        <f>SUMIFS(tbl_WIP[Amount],tbl_WIP[Job Number],$A288,tbl_WIP[Month],"&lt;&gt;",tbl_WIP[Month],"&lt;"&amp;$C$4)+SUMIF('Deferred Revenue'!$E$6:$E$578,$A288,'Deferred Revenue'!$P$6:$P$578)</f>
        <v/>
      </c>
      <c r="D288" s="43">
        <f>SUMIFS(tbl_WIP[Amount],tbl_WIP[Job Number],$A288,tbl_WIP[Month],$C$4)+SUMIF('Deferred Revenue'!$E$6:$E$578,$A288,'Deferred Revenue'!$Q$6:$Q$578)</f>
        <v/>
      </c>
      <c r="E288" s="43">
        <f>C288+D288</f>
        <v/>
      </c>
      <c r="F288" s="44">
        <f>IF(ROUND(C288,2)+ROUND(D288,2)=0,"","yes")</f>
        <v/>
      </c>
      <c r="G288" s="45" t="n"/>
      <c r="H288" s="43">
        <f>IF($G288="","",$E288-$G288)</f>
        <v/>
      </c>
    </row>
    <row r="289">
      <c r="A289" s="42" t="inlineStr">
        <is>
          <t>26072101</t>
        </is>
      </c>
      <c r="B289" s="42" t="inlineStr">
        <is>
          <t>Aware MEL 17.02 Amp Replacement</t>
        </is>
      </c>
      <c r="C289" s="43">
        <f>SUMIFS(tbl_WIP[Amount],tbl_WIP[Job Number],$A289,tbl_WIP[Month],"&lt;&gt;",tbl_WIP[Month],"&lt;"&amp;$C$4)+SUMIF('Deferred Revenue'!$E$6:$E$578,$A289,'Deferred Revenue'!$P$6:$P$578)</f>
        <v/>
      </c>
      <c r="D289" s="43">
        <f>SUMIFS(tbl_WIP[Amount],tbl_WIP[Job Number],$A289,tbl_WIP[Month],$C$4)+SUMIF('Deferred Revenue'!$E$6:$E$578,$A289,'Deferred Revenue'!$Q$6:$Q$578)</f>
        <v/>
      </c>
      <c r="E289" s="43">
        <f>C289+D289</f>
        <v/>
      </c>
      <c r="F289" s="44">
        <f>IF(ROUND(C289,2)+ROUND(D289,2)=0,"","yes")</f>
        <v/>
      </c>
      <c r="G289" s="45" t="n"/>
      <c r="H289" s="43">
        <f>IF($G289="","",$E289-$G289)</f>
        <v/>
      </c>
    </row>
    <row r="290">
      <c r="A290" s="42" t="inlineStr">
        <is>
          <t>26072101</t>
        </is>
      </c>
      <c r="B290" s="42" t="inlineStr">
        <is>
          <t>Aware_Mel 17.02 Amp Replacement</t>
        </is>
      </c>
      <c r="C290" s="43">
        <f>SUMIFS(tbl_WIP[Amount],tbl_WIP[Job Number],$A290,tbl_WIP[Month],"&lt;&gt;",tbl_WIP[Month],"&lt;"&amp;$C$4)+SUMIF('Deferred Revenue'!$E$6:$E$578,$A290,'Deferred Revenue'!$P$6:$P$578)</f>
        <v/>
      </c>
      <c r="D290" s="43">
        <f>SUMIFS(tbl_WIP[Amount],tbl_WIP[Job Number],$A290,tbl_WIP[Month],$C$4)+SUMIF('Deferred Revenue'!$E$6:$E$578,$A290,'Deferred Revenue'!$Q$6:$Q$578)</f>
        <v/>
      </c>
      <c r="E290" s="43">
        <f>C290+D290</f>
        <v/>
      </c>
      <c r="F290" s="44">
        <f>IF(ROUND(C290,2)+ROUND(D290,2)=0,"","yes")</f>
        <v/>
      </c>
      <c r="G290" s="45" t="n"/>
      <c r="H290" s="43">
        <f>IF($G290="","",$E290-$G290)</f>
        <v/>
      </c>
    </row>
    <row r="291">
      <c r="A291" s="42" t="inlineStr">
        <is>
          <t>26072102</t>
        </is>
      </c>
      <c r="B291" s="42" t="inlineStr">
        <is>
          <t>Ventia - RUOK? Day - 10.09.2026</t>
        </is>
      </c>
      <c r="C291" s="43">
        <f>SUMIFS(tbl_WIP[Amount],tbl_WIP[Job Number],$A291,tbl_WIP[Month],"&lt;&gt;",tbl_WIP[Month],"&lt;"&amp;$C$4)+SUMIF('Deferred Revenue'!$E$6:$E$578,$A291,'Deferred Revenue'!$P$6:$P$578)</f>
        <v/>
      </c>
      <c r="D291" s="43">
        <f>SUMIFS(tbl_WIP[Amount],tbl_WIP[Job Number],$A291,tbl_WIP[Month],$C$4)+SUMIF('Deferred Revenue'!$E$6:$E$578,$A291,'Deferred Revenue'!$Q$6:$Q$578)</f>
        <v/>
      </c>
      <c r="E291" s="43">
        <f>C291+D291</f>
        <v/>
      </c>
      <c r="F291" s="44">
        <f>IF(ROUND(C291,2)+ROUND(D291,2)=0,"","yes")</f>
        <v/>
      </c>
      <c r="G291" s="45" t="n"/>
      <c r="H291" s="43">
        <f>IF($G291="","",$E291-$G291)</f>
        <v/>
      </c>
    </row>
    <row r="292">
      <c r="A292" s="42" t="inlineStr">
        <is>
          <t>26072102V</t>
        </is>
      </c>
      <c r="B292" s="42" t="inlineStr">
        <is>
          <t>Ventia - RUOK? Day - 10.09.2026</t>
        </is>
      </c>
      <c r="C292" s="43">
        <f>SUMIFS(tbl_WIP[Amount],tbl_WIP[Job Number],$A292,tbl_WIP[Month],"&lt;&gt;",tbl_WIP[Month],"&lt;"&amp;$C$4)+SUMIF('Deferred Revenue'!$E$6:$E$578,$A292,'Deferred Revenue'!$P$6:$P$578)</f>
        <v/>
      </c>
      <c r="D292" s="43">
        <f>SUMIFS(tbl_WIP[Amount],tbl_WIP[Job Number],$A292,tbl_WIP[Month],$C$4)+SUMIF('Deferred Revenue'!$E$6:$E$578,$A292,'Deferred Revenue'!$Q$6:$Q$578)</f>
        <v/>
      </c>
      <c r="E292" s="43">
        <f>C292+D292</f>
        <v/>
      </c>
      <c r="F292" s="44">
        <f>IF(ROUND(C292,2)+ROUND(D292,2)=0,"","yes")</f>
        <v/>
      </c>
      <c r="G292" s="45" t="n"/>
      <c r="H292" s="43">
        <f>IF($G292="","",$E292-$G292)</f>
        <v/>
      </c>
    </row>
    <row r="293">
      <c r="A293" s="42" t="inlineStr">
        <is>
          <t>26072802</t>
        </is>
      </c>
      <c r="B293" s="42" t="inlineStr">
        <is>
          <t>ON24 KWM Sydney Event - 18.08.2026</t>
        </is>
      </c>
      <c r="C293" s="43">
        <f>SUMIFS(tbl_WIP[Amount],tbl_WIP[Job Number],$A293,tbl_WIP[Month],"&lt;&gt;",tbl_WIP[Month],"&lt;"&amp;$C$4)+SUMIF('Deferred Revenue'!$E$6:$E$578,$A293,'Deferred Revenue'!$P$6:$P$578)</f>
        <v/>
      </c>
      <c r="D293" s="43">
        <f>SUMIFS(tbl_WIP[Amount],tbl_WIP[Job Number],$A293,tbl_WIP[Month],$C$4)+SUMIF('Deferred Revenue'!$E$6:$E$578,$A293,'Deferred Revenue'!$Q$6:$Q$578)</f>
        <v/>
      </c>
      <c r="E293" s="43">
        <f>C293+D293</f>
        <v/>
      </c>
      <c r="F293" s="44">
        <f>IF(ROUND(C293,2)+ROUND(D293,2)=0,"","yes")</f>
        <v/>
      </c>
      <c r="G293" s="45" t="n"/>
      <c r="H293" s="43">
        <f>IF($G293="","",$E293-$G293)</f>
        <v/>
      </c>
    </row>
    <row r="294">
      <c r="A294" s="42" t="inlineStr">
        <is>
          <t>26072802V</t>
        </is>
      </c>
      <c r="B294" s="42" t="inlineStr">
        <is>
          <t>ON24 KWM Sydney Event - 18.08.2026</t>
        </is>
      </c>
      <c r="C294" s="43">
        <f>SUMIFS(tbl_WIP[Amount],tbl_WIP[Job Number],$A294,tbl_WIP[Month],"&lt;&gt;",tbl_WIP[Month],"&lt;"&amp;$C$4)+SUMIF('Deferred Revenue'!$E$6:$E$578,$A294,'Deferred Revenue'!$P$6:$P$578)</f>
        <v/>
      </c>
      <c r="D294" s="43">
        <f>SUMIFS(tbl_WIP[Amount],tbl_WIP[Job Number],$A294,tbl_WIP[Month],$C$4)+SUMIF('Deferred Revenue'!$E$6:$E$578,$A294,'Deferred Revenue'!$Q$6:$Q$578)</f>
        <v/>
      </c>
      <c r="E294" s="43">
        <f>C294+D294</f>
        <v/>
      </c>
      <c r="F294" s="44">
        <f>IF(ROUND(C294,2)+ROUND(D294,2)=0,"","yes")</f>
        <v/>
      </c>
      <c r="G294" s="45" t="n"/>
      <c r="H294" s="43">
        <f>IF($G294="","",$E294-$G294)</f>
        <v/>
      </c>
    </row>
    <row r="295">
      <c r="A295" s="42" t="inlineStr">
        <is>
          <t>26072902</t>
        </is>
      </c>
      <c r="B295" s="42" t="inlineStr">
        <is>
          <t>PWC AI Townhall 6.8.26</t>
        </is>
      </c>
      <c r="C295" s="43">
        <f>SUMIFS(tbl_WIP[Amount],tbl_WIP[Job Number],$A295,tbl_WIP[Month],"&lt;&gt;",tbl_WIP[Month],"&lt;"&amp;$C$4)+SUMIF('Deferred Revenue'!$E$6:$E$578,$A295,'Deferred Revenue'!$P$6:$P$578)</f>
        <v/>
      </c>
      <c r="D295" s="43">
        <f>SUMIFS(tbl_WIP[Amount],tbl_WIP[Job Number],$A295,tbl_WIP[Month],$C$4)+SUMIF('Deferred Revenue'!$E$6:$E$578,$A295,'Deferred Revenue'!$Q$6:$Q$578)</f>
        <v/>
      </c>
      <c r="E295" s="43">
        <f>C295+D295</f>
        <v/>
      </c>
      <c r="F295" s="44">
        <f>IF(ROUND(C295,2)+ROUND(D295,2)=0,"","yes")</f>
        <v/>
      </c>
      <c r="G295" s="45" t="n"/>
      <c r="H295" s="43">
        <f>IF($G295="","",$E295-$G295)</f>
        <v/>
      </c>
    </row>
    <row r="296">
      <c r="A296" s="42" t="inlineStr">
        <is>
          <t>26072902V</t>
        </is>
      </c>
      <c r="B296" s="42" t="inlineStr">
        <is>
          <t>PWC AI Townhall 6.8.26</t>
        </is>
      </c>
      <c r="C296" s="43">
        <f>SUMIFS(tbl_WIP[Amount],tbl_WIP[Job Number],$A296,tbl_WIP[Month],"&lt;&gt;",tbl_WIP[Month],"&lt;"&amp;$C$4)+SUMIF('Deferred Revenue'!$E$6:$E$578,$A296,'Deferred Revenue'!$P$6:$P$578)</f>
        <v/>
      </c>
      <c r="D296" s="43">
        <f>SUMIFS(tbl_WIP[Amount],tbl_WIP[Job Number],$A296,tbl_WIP[Month],$C$4)+SUMIF('Deferred Revenue'!$E$6:$E$578,$A296,'Deferred Revenue'!$Q$6:$Q$578)</f>
        <v/>
      </c>
      <c r="E296" s="43">
        <f>C296+D296</f>
        <v/>
      </c>
      <c r="F296" s="44">
        <f>IF(ROUND(C296,2)+ROUND(D296,2)=0,"","yes")</f>
        <v/>
      </c>
      <c r="G296" s="45" t="n"/>
      <c r="H296" s="43">
        <f>IF($G296="","",$E296-$G296)</f>
        <v/>
      </c>
    </row>
    <row r="297">
      <c r="A297" s="42" t="inlineStr">
        <is>
          <t>26072903</t>
        </is>
      </c>
      <c r="B297" s="42" t="inlineStr">
        <is>
          <t>PWC - GB Webcast - 11.8.26</t>
        </is>
      </c>
      <c r="C297" s="43">
        <f>SUMIFS(tbl_WIP[Amount],tbl_WIP[Job Number],$A297,tbl_WIP[Month],"&lt;&gt;",tbl_WIP[Month],"&lt;"&amp;$C$4)+SUMIF('Deferred Revenue'!$E$6:$E$578,$A297,'Deferred Revenue'!$P$6:$P$578)</f>
        <v/>
      </c>
      <c r="D297" s="43">
        <f>SUMIFS(tbl_WIP[Amount],tbl_WIP[Job Number],$A297,tbl_WIP[Month],$C$4)+SUMIF('Deferred Revenue'!$E$6:$E$578,$A297,'Deferred Revenue'!$Q$6:$Q$578)</f>
        <v/>
      </c>
      <c r="E297" s="43">
        <f>C297+D297</f>
        <v/>
      </c>
      <c r="F297" s="44">
        <f>IF(ROUND(C297,2)+ROUND(D297,2)=0,"","yes")</f>
        <v/>
      </c>
      <c r="G297" s="45" t="n"/>
      <c r="H297" s="43">
        <f>IF($G297="","",$E297-$G297)</f>
        <v/>
      </c>
    </row>
    <row r="298">
      <c r="A298" s="42" t="inlineStr">
        <is>
          <t>26072903V</t>
        </is>
      </c>
      <c r="B298" s="42" t="inlineStr">
        <is>
          <t>PWC - GB Webcast - 11.8.26</t>
        </is>
      </c>
      <c r="C298" s="43">
        <f>SUMIFS(tbl_WIP[Amount],tbl_WIP[Job Number],$A298,tbl_WIP[Month],"&lt;&gt;",tbl_WIP[Month],"&lt;"&amp;$C$4)+SUMIF('Deferred Revenue'!$E$6:$E$578,$A298,'Deferred Revenue'!$P$6:$P$578)</f>
        <v/>
      </c>
      <c r="D298" s="43">
        <f>SUMIFS(tbl_WIP[Amount],tbl_WIP[Job Number],$A298,tbl_WIP[Month],$C$4)+SUMIF('Deferred Revenue'!$E$6:$E$578,$A298,'Deferred Revenue'!$Q$6:$Q$578)</f>
        <v/>
      </c>
      <c r="E298" s="43">
        <f>C298+D298</f>
        <v/>
      </c>
      <c r="F298" s="44">
        <f>IF(ROUND(C298,2)+ROUND(D298,2)=0,"","yes")</f>
        <v/>
      </c>
      <c r="G298" s="45" t="n"/>
      <c r="H298" s="43">
        <f>IF($G298="","",$E298-$G298)</f>
        <v/>
      </c>
    </row>
    <row r="299">
      <c r="A299" s="42" t="inlineStr">
        <is>
          <t>26072906</t>
        </is>
      </c>
      <c r="B299" s="42" t="inlineStr">
        <is>
          <t>ASX Advisory Group on Corporate Governance</t>
        </is>
      </c>
      <c r="C299" s="43">
        <f>SUMIFS(tbl_WIP[Amount],tbl_WIP[Job Number],$A299,tbl_WIP[Month],"&lt;&gt;",tbl_WIP[Month],"&lt;"&amp;$C$4)+SUMIF('Deferred Revenue'!$E$6:$E$578,$A299,'Deferred Revenue'!$P$6:$P$578)</f>
        <v/>
      </c>
      <c r="D299" s="43">
        <f>SUMIFS(tbl_WIP[Amount],tbl_WIP[Job Number],$A299,tbl_WIP[Month],$C$4)+SUMIF('Deferred Revenue'!$E$6:$E$578,$A299,'Deferred Revenue'!$Q$6:$Q$578)</f>
        <v/>
      </c>
      <c r="E299" s="43">
        <f>C299+D299</f>
        <v/>
      </c>
      <c r="F299" s="44">
        <f>IF(ROUND(C299,2)+ROUND(D299,2)=0,"","yes")</f>
        <v/>
      </c>
      <c r="G299" s="45" t="n"/>
      <c r="H299" s="43">
        <f>IF($G299="","",$E299-$G299)</f>
        <v/>
      </c>
    </row>
    <row r="300">
      <c r="A300" s="42" t="inlineStr">
        <is>
          <t>26072906V</t>
        </is>
      </c>
      <c r="B300" s="42" t="inlineStr">
        <is>
          <t>ASX Advisory Group on Corporate Governance</t>
        </is>
      </c>
      <c r="C300" s="43">
        <f>SUMIFS(tbl_WIP[Amount],tbl_WIP[Job Number],$A300,tbl_WIP[Month],"&lt;&gt;",tbl_WIP[Month],"&lt;"&amp;$C$4)+SUMIF('Deferred Revenue'!$E$6:$E$578,$A300,'Deferred Revenue'!$P$6:$P$578)</f>
        <v/>
      </c>
      <c r="D300" s="43">
        <f>SUMIFS(tbl_WIP[Amount],tbl_WIP[Job Number],$A300,tbl_WIP[Month],$C$4)+SUMIF('Deferred Revenue'!$E$6:$E$578,$A300,'Deferred Revenue'!$Q$6:$Q$578)</f>
        <v/>
      </c>
      <c r="E300" s="43">
        <f>C300+D300</f>
        <v/>
      </c>
      <c r="F300" s="44">
        <f>IF(ROUND(C300,2)+ROUND(D300,2)=0,"","yes")</f>
        <v/>
      </c>
      <c r="G300" s="45" t="n"/>
      <c r="H300" s="43">
        <f>IF($G300="","",$E300-$G300)</f>
        <v/>
      </c>
    </row>
    <row r="301">
      <c r="A301" s="42" t="inlineStr">
        <is>
          <t>26073103</t>
        </is>
      </c>
      <c r="B301" s="42" t="inlineStr">
        <is>
          <t>DTTL PER AV &amp; Hospitality Tech (SEP26-FEB27)</t>
        </is>
      </c>
      <c r="C301" s="43">
        <f>SUMIFS(tbl_WIP[Amount],tbl_WIP[Job Number],$A301,tbl_WIP[Month],"&lt;&gt;",tbl_WIP[Month],"&lt;"&amp;$C$4)+SUMIF('Deferred Revenue'!$E$6:$E$578,$A301,'Deferred Revenue'!$P$6:$P$578)</f>
        <v/>
      </c>
      <c r="D301" s="43">
        <f>SUMIFS(tbl_WIP[Amount],tbl_WIP[Job Number],$A301,tbl_WIP[Month],$C$4)+SUMIF('Deferred Revenue'!$E$6:$E$578,$A301,'Deferred Revenue'!$Q$6:$Q$578)</f>
        <v/>
      </c>
      <c r="E301" s="43">
        <f>C301+D301</f>
        <v/>
      </c>
      <c r="F301" s="44">
        <f>IF(ROUND(C301,2)+ROUND(D301,2)=0,"","yes")</f>
        <v/>
      </c>
      <c r="G301" s="45" t="n"/>
      <c r="H301" s="43">
        <f>IF($G301="","",$E301-$G301)</f>
        <v/>
      </c>
    </row>
    <row r="302">
      <c r="A302" s="42" t="inlineStr">
        <is>
          <t>26073103N</t>
        </is>
      </c>
      <c r="B302" s="42" t="inlineStr">
        <is>
          <t>DTTL PER AV &amp; Hospitality Tech (SEP26-FEB27) [ONS] non-chargeable</t>
        </is>
      </c>
      <c r="C302" s="43">
        <f>SUMIFS(tbl_WIP[Amount],tbl_WIP[Job Number],$A302,tbl_WIP[Month],"&lt;&gt;",tbl_WIP[Month],"&lt;"&amp;$C$4)+SUMIF('Deferred Revenue'!$E$6:$E$578,$A302,'Deferred Revenue'!$P$6:$P$578)</f>
        <v/>
      </c>
      <c r="D302" s="43">
        <f>SUMIFS(tbl_WIP[Amount],tbl_WIP[Job Number],$A302,tbl_WIP[Month],$C$4)+SUMIF('Deferred Revenue'!$E$6:$E$578,$A302,'Deferred Revenue'!$Q$6:$Q$578)</f>
        <v/>
      </c>
      <c r="E302" s="43">
        <f>C302+D302</f>
        <v/>
      </c>
      <c r="F302" s="44">
        <f>IF(ROUND(C302,2)+ROUND(D302,2)=0,"","yes")</f>
        <v/>
      </c>
      <c r="G302" s="45" t="n"/>
      <c r="H302" s="43">
        <f>IF($G302="","",$E302-$G302)</f>
        <v/>
      </c>
    </row>
    <row r="303">
      <c r="A303" s="42" t="inlineStr">
        <is>
          <t>26073105</t>
        </is>
      </c>
      <c r="B303" s="42" t="inlineStr">
        <is>
          <t>Elkiem - Studio Support - 25.8.26</t>
        </is>
      </c>
      <c r="C303" s="43">
        <f>SUMIFS(tbl_WIP[Amount],tbl_WIP[Job Number],$A303,tbl_WIP[Month],"&lt;&gt;",tbl_WIP[Month],"&lt;"&amp;$C$4)+SUMIF('Deferred Revenue'!$E$6:$E$578,$A303,'Deferred Revenue'!$P$6:$P$578)</f>
        <v/>
      </c>
      <c r="D303" s="43">
        <f>SUMIFS(tbl_WIP[Amount],tbl_WIP[Job Number],$A303,tbl_WIP[Month],$C$4)+SUMIF('Deferred Revenue'!$E$6:$E$578,$A303,'Deferred Revenue'!$Q$6:$Q$578)</f>
        <v/>
      </c>
      <c r="E303" s="43">
        <f>C303+D303</f>
        <v/>
      </c>
      <c r="F303" s="44">
        <f>IF(ROUND(C303,2)+ROUND(D303,2)=0,"","yes")</f>
        <v/>
      </c>
      <c r="G303" s="45" t="n"/>
      <c r="H303" s="43">
        <f>IF($G303="","",$E303-$G303)</f>
        <v/>
      </c>
    </row>
    <row r="304">
      <c r="A304" s="42" t="inlineStr">
        <is>
          <t>26073106</t>
        </is>
      </c>
      <c r="B304" s="42" t="inlineStr">
        <is>
          <t>Elkiem - Studio Support - 18.9.26</t>
        </is>
      </c>
      <c r="C304" s="43">
        <f>SUMIFS(tbl_WIP[Amount],tbl_WIP[Job Number],$A304,tbl_WIP[Month],"&lt;&gt;",tbl_WIP[Month],"&lt;"&amp;$C$4)+SUMIF('Deferred Revenue'!$E$6:$E$578,$A304,'Deferred Revenue'!$P$6:$P$578)</f>
        <v/>
      </c>
      <c r="D304" s="43">
        <f>SUMIFS(tbl_WIP[Amount],tbl_WIP[Job Number],$A304,tbl_WIP[Month],$C$4)+SUMIF('Deferred Revenue'!$E$6:$E$578,$A304,'Deferred Revenue'!$Q$6:$Q$578)</f>
        <v/>
      </c>
      <c r="E304" s="43">
        <f>C304+D304</f>
        <v/>
      </c>
      <c r="F304" s="44">
        <f>IF(ROUND(C304,2)+ROUND(D304,2)=0,"","yes")</f>
        <v/>
      </c>
      <c r="G304" s="45" t="n"/>
      <c r="H304" s="43">
        <f>IF($G304="","",$E304-$G304)</f>
        <v/>
      </c>
    </row>
    <row r="305">
      <c r="A305" s="42" t="inlineStr">
        <is>
          <t>26073107</t>
        </is>
      </c>
      <c r="B305" s="42" t="inlineStr">
        <is>
          <t>DTTL Travel for Technician &amp; Coverage ADL-HOB</t>
        </is>
      </c>
      <c r="C305" s="43">
        <f>SUMIFS(tbl_WIP[Amount],tbl_WIP[Job Number],$A305,tbl_WIP[Month],"&lt;&gt;",tbl_WIP[Month],"&lt;"&amp;$C$4)+SUMIF('Deferred Revenue'!$E$6:$E$578,$A305,'Deferred Revenue'!$P$6:$P$578)</f>
        <v/>
      </c>
      <c r="D305" s="43">
        <f>SUMIFS(tbl_WIP[Amount],tbl_WIP[Job Number],$A305,tbl_WIP[Month],$C$4)+SUMIF('Deferred Revenue'!$E$6:$E$578,$A305,'Deferred Revenue'!$Q$6:$Q$578)</f>
        <v/>
      </c>
      <c r="E305" s="43">
        <f>C305+D305</f>
        <v/>
      </c>
      <c r="F305" s="44">
        <f>IF(ROUND(C305,2)+ROUND(D305,2)=0,"","yes")</f>
        <v/>
      </c>
      <c r="G305" s="45" t="n"/>
      <c r="H305" s="43">
        <f>IF($G305="","",$E305-$G305)</f>
        <v/>
      </c>
    </row>
    <row r="306">
      <c r="A306" s="42" t="inlineStr">
        <is>
          <t>26073110</t>
        </is>
      </c>
      <c r="B306" s="42" t="inlineStr">
        <is>
          <t>Garvan - Weizmann Dinner Event - 20.8.26</t>
        </is>
      </c>
      <c r="C306" s="43">
        <f>SUMIFS(tbl_WIP[Amount],tbl_WIP[Job Number],$A306,tbl_WIP[Month],"&lt;&gt;",tbl_WIP[Month],"&lt;"&amp;$C$4)+SUMIF('Deferred Revenue'!$E$6:$E$578,$A306,'Deferred Revenue'!$P$6:$P$578)</f>
        <v/>
      </c>
      <c r="D306" s="43">
        <f>SUMIFS(tbl_WIP[Amount],tbl_WIP[Job Number],$A306,tbl_WIP[Month],$C$4)+SUMIF('Deferred Revenue'!$E$6:$E$578,$A306,'Deferred Revenue'!$Q$6:$Q$578)</f>
        <v/>
      </c>
      <c r="E306" s="43">
        <f>C306+D306</f>
        <v/>
      </c>
      <c r="F306" s="44">
        <f>IF(ROUND(C306,2)+ROUND(D306,2)=0,"","yes")</f>
        <v/>
      </c>
      <c r="G306" s="45" t="n"/>
      <c r="H306" s="43">
        <f>IF($G306="","",$E306-$G306)</f>
        <v/>
      </c>
    </row>
    <row r="307">
      <c r="A307" s="42" t="inlineStr">
        <is>
          <t>26073110V</t>
        </is>
      </c>
      <c r="B307" s="42" t="inlineStr">
        <is>
          <t>Garvan - Weizmann Dinner Event - 20.8.26</t>
        </is>
      </c>
      <c r="C307" s="43">
        <f>SUMIFS(tbl_WIP[Amount],tbl_WIP[Job Number],$A307,tbl_WIP[Month],"&lt;&gt;",tbl_WIP[Month],"&lt;"&amp;$C$4)+SUMIF('Deferred Revenue'!$E$6:$E$578,$A307,'Deferred Revenue'!$P$6:$P$578)</f>
        <v/>
      </c>
      <c r="D307" s="43">
        <f>SUMIFS(tbl_WIP[Amount],tbl_WIP[Job Number],$A307,tbl_WIP[Month],$C$4)+SUMIF('Deferred Revenue'!$E$6:$E$578,$A307,'Deferred Revenue'!$Q$6:$Q$578)</f>
        <v/>
      </c>
      <c r="E307" s="43">
        <f>C307+D307</f>
        <v/>
      </c>
      <c r="F307" s="44">
        <f>IF(ROUND(C307,2)+ROUND(D307,2)=0,"","yes")</f>
        <v/>
      </c>
      <c r="G307" s="45" t="n"/>
      <c r="H307" s="43">
        <f>IF($G307="","",$E307-$G307)</f>
        <v/>
      </c>
    </row>
    <row r="308">
      <c r="A308" s="42" t="inlineStr">
        <is>
          <t>26073111</t>
        </is>
      </c>
      <c r="B308" s="42" t="inlineStr">
        <is>
          <t>Downer - FYR &amp; Employee Webcast - 25.8.26</t>
        </is>
      </c>
      <c r="C308" s="43">
        <f>SUMIFS(tbl_WIP[Amount],tbl_WIP[Job Number],$A308,tbl_WIP[Month],"&lt;&gt;",tbl_WIP[Month],"&lt;"&amp;$C$4)+SUMIF('Deferred Revenue'!$E$6:$E$578,$A308,'Deferred Revenue'!$P$6:$P$578)</f>
        <v/>
      </c>
      <c r="D308" s="43">
        <f>SUMIFS(tbl_WIP[Amount],tbl_WIP[Job Number],$A308,tbl_WIP[Month],$C$4)+SUMIF('Deferred Revenue'!$E$6:$E$578,$A308,'Deferred Revenue'!$Q$6:$Q$578)</f>
        <v/>
      </c>
      <c r="E308" s="43">
        <f>C308+D308</f>
        <v/>
      </c>
      <c r="F308" s="44">
        <f>IF(ROUND(C308,2)+ROUND(D308,2)=0,"","yes")</f>
        <v/>
      </c>
      <c r="G308" s="45" t="n"/>
      <c r="H308" s="43">
        <f>IF($G308="","",$E308-$G308)</f>
        <v/>
      </c>
    </row>
    <row r="309">
      <c r="A309" s="42" t="inlineStr">
        <is>
          <t>26073111V</t>
        </is>
      </c>
      <c r="B309" s="42" t="inlineStr">
        <is>
          <t>Downer - FYR &amp; Employee Webcast - 25.8.26</t>
        </is>
      </c>
      <c r="C309" s="43">
        <f>SUMIFS(tbl_WIP[Amount],tbl_WIP[Job Number],$A309,tbl_WIP[Month],"&lt;&gt;",tbl_WIP[Month],"&lt;"&amp;$C$4)+SUMIF('Deferred Revenue'!$E$6:$E$578,$A309,'Deferred Revenue'!$P$6:$P$578)</f>
        <v/>
      </c>
      <c r="D309" s="43">
        <f>SUMIFS(tbl_WIP[Amount],tbl_WIP[Job Number],$A309,tbl_WIP[Month],$C$4)+SUMIF('Deferred Revenue'!$E$6:$E$578,$A309,'Deferred Revenue'!$Q$6:$Q$578)</f>
        <v/>
      </c>
      <c r="E309" s="43">
        <f>C309+D309</f>
        <v/>
      </c>
      <c r="F309" s="44">
        <f>IF(ROUND(C309,2)+ROUND(D309,2)=0,"","yes")</f>
        <v/>
      </c>
      <c r="G309" s="45" t="n"/>
      <c r="H309" s="43">
        <f>IF($G309="","",$E309-$G309)</f>
        <v/>
      </c>
    </row>
    <row r="310">
      <c r="A310" s="42" t="inlineStr">
        <is>
          <t>2607703</t>
        </is>
      </c>
      <c r="B310" s="42" t="inlineStr">
        <is>
          <t>Garvan - YPO Event - 6.8.2026</t>
        </is>
      </c>
      <c r="C310" s="43">
        <f>SUMIFS(tbl_WIP[Amount],tbl_WIP[Job Number],$A310,tbl_WIP[Month],"&lt;&gt;",tbl_WIP[Month],"&lt;"&amp;$C$4)+SUMIF('Deferred Revenue'!$E$6:$E$578,$A310,'Deferred Revenue'!$P$6:$P$578)</f>
        <v/>
      </c>
      <c r="D310" s="43">
        <f>SUMIFS(tbl_WIP[Amount],tbl_WIP[Job Number],$A310,tbl_WIP[Month],$C$4)+SUMIF('Deferred Revenue'!$E$6:$E$578,$A310,'Deferred Revenue'!$Q$6:$Q$578)</f>
        <v/>
      </c>
      <c r="E310" s="43">
        <f>C310+D310</f>
        <v/>
      </c>
      <c r="F310" s="44">
        <f>IF(ROUND(C310,2)+ROUND(D310,2)=0,"","yes")</f>
        <v/>
      </c>
      <c r="G310" s="45" t="n"/>
      <c r="H310" s="43">
        <f>IF($G310="","",$E310-$G310)</f>
        <v/>
      </c>
    </row>
    <row r="311">
      <c r="A311" s="42" t="inlineStr">
        <is>
          <t>2607703V</t>
        </is>
      </c>
      <c r="B311" s="42" t="inlineStr">
        <is>
          <t>Garvan - YPO Event - 6.8.2026</t>
        </is>
      </c>
      <c r="C311" s="43">
        <f>SUMIFS(tbl_WIP[Amount],tbl_WIP[Job Number],$A311,tbl_WIP[Month],"&lt;&gt;",tbl_WIP[Month],"&lt;"&amp;$C$4)+SUMIF('Deferred Revenue'!$E$6:$E$578,$A311,'Deferred Revenue'!$P$6:$P$578)</f>
        <v/>
      </c>
      <c r="D311" s="43">
        <f>SUMIFS(tbl_WIP[Amount],tbl_WIP[Job Number],$A311,tbl_WIP[Month],$C$4)+SUMIF('Deferred Revenue'!$E$6:$E$578,$A311,'Deferred Revenue'!$Q$6:$Q$578)</f>
        <v/>
      </c>
      <c r="E311" s="43">
        <f>C311+D311</f>
        <v/>
      </c>
      <c r="F311" s="44">
        <f>IF(ROUND(C311,2)+ROUND(D311,2)=0,"","yes")</f>
        <v/>
      </c>
      <c r="G311" s="45" t="n"/>
      <c r="H311" s="43">
        <f>IF($G311="","",$E311-$G311)</f>
        <v/>
      </c>
    </row>
    <row r="312">
      <c r="A312" s="42" t="inlineStr">
        <is>
          <t>2608101</t>
        </is>
      </c>
      <c r="B312" s="42" t="inlineStr">
        <is>
          <t>ART - AMM Captioning - 25.11.26</t>
        </is>
      </c>
      <c r="C312" s="43">
        <f>SUMIFS(tbl_WIP[Amount],tbl_WIP[Job Number],$A312,tbl_WIP[Month],"&lt;&gt;",tbl_WIP[Month],"&lt;"&amp;$C$4)+SUMIF('Deferred Revenue'!$E$6:$E$578,$A312,'Deferred Revenue'!$P$6:$P$578)</f>
        <v/>
      </c>
      <c r="D312" s="43">
        <f>SUMIFS(tbl_WIP[Amount],tbl_WIP[Job Number],$A312,tbl_WIP[Month],$C$4)+SUMIF('Deferred Revenue'!$E$6:$E$578,$A312,'Deferred Revenue'!$Q$6:$Q$578)</f>
        <v/>
      </c>
      <c r="E312" s="43">
        <f>C312+D312</f>
        <v/>
      </c>
      <c r="F312" s="44">
        <f>IF(ROUND(C312,2)+ROUND(D312,2)=0,"","yes")</f>
        <v/>
      </c>
      <c r="G312" s="45" t="n"/>
      <c r="H312" s="43">
        <f>IF($G312="","",$E312-$G312)</f>
        <v/>
      </c>
    </row>
    <row r="313">
      <c r="A313" s="42" t="inlineStr">
        <is>
          <t>2608101V</t>
        </is>
      </c>
      <c r="B313" s="42" t="inlineStr">
        <is>
          <t>ART - AMM Captioning - 25.11.26</t>
        </is>
      </c>
      <c r="C313" s="43">
        <f>SUMIFS(tbl_WIP[Amount],tbl_WIP[Job Number],$A313,tbl_WIP[Month],"&lt;&gt;",tbl_WIP[Month],"&lt;"&amp;$C$4)+SUMIF('Deferred Revenue'!$E$6:$E$578,$A313,'Deferred Revenue'!$P$6:$P$578)</f>
        <v/>
      </c>
      <c r="D313" s="43">
        <f>SUMIFS(tbl_WIP[Amount],tbl_WIP[Job Number],$A313,tbl_WIP[Month],$C$4)+SUMIF('Deferred Revenue'!$E$6:$E$578,$A313,'Deferred Revenue'!$Q$6:$Q$578)</f>
        <v/>
      </c>
      <c r="E313" s="43">
        <f>C313+D313</f>
        <v/>
      </c>
      <c r="F313" s="44">
        <f>IF(ROUND(C313,2)+ROUND(D313,2)=0,"","yes")</f>
        <v/>
      </c>
      <c r="G313" s="45" t="n"/>
      <c r="H313" s="43">
        <f>IF($G313="","",$E313-$G313)</f>
        <v/>
      </c>
    </row>
    <row r="314">
      <c r="A314" s="42" t="inlineStr">
        <is>
          <t>2608102</t>
        </is>
      </c>
      <c r="B314" s="42" t="inlineStr">
        <is>
          <t>ART - Education Session Captioning - 25.11.26</t>
        </is>
      </c>
      <c r="C314" s="43">
        <f>SUMIFS(tbl_WIP[Amount],tbl_WIP[Job Number],$A314,tbl_WIP[Month],"&lt;&gt;",tbl_WIP[Month],"&lt;"&amp;$C$4)+SUMIF('Deferred Revenue'!$E$6:$E$578,$A314,'Deferred Revenue'!$P$6:$P$578)</f>
        <v/>
      </c>
      <c r="D314" s="43">
        <f>SUMIFS(tbl_WIP[Amount],tbl_WIP[Job Number],$A314,tbl_WIP[Month],$C$4)+SUMIF('Deferred Revenue'!$E$6:$E$578,$A314,'Deferred Revenue'!$Q$6:$Q$578)</f>
        <v/>
      </c>
      <c r="E314" s="43">
        <f>C314+D314</f>
        <v/>
      </c>
      <c r="F314" s="44">
        <f>IF(ROUND(C314,2)+ROUND(D314,2)=0,"","yes")</f>
        <v/>
      </c>
      <c r="G314" s="45" t="n"/>
      <c r="H314" s="43">
        <f>IF($G314="","",$E314-$G314)</f>
        <v/>
      </c>
    </row>
    <row r="315">
      <c r="A315" s="42" t="inlineStr">
        <is>
          <t>26081101</t>
        </is>
      </c>
      <c r="B315" s="42" t="inlineStr">
        <is>
          <t>Vega Global - Payments Forum - 17.9.26</t>
        </is>
      </c>
      <c r="C315" s="43">
        <f>SUMIFS(tbl_WIP[Amount],tbl_WIP[Job Number],$A315,tbl_WIP[Month],"&lt;&gt;",tbl_WIP[Month],"&lt;"&amp;$C$4)+SUMIF('Deferred Revenue'!$E$6:$E$578,$A315,'Deferred Revenue'!$P$6:$P$578)</f>
        <v/>
      </c>
      <c r="D315" s="43">
        <f>SUMIFS(tbl_WIP[Amount],tbl_WIP[Job Number],$A315,tbl_WIP[Month],$C$4)+SUMIF('Deferred Revenue'!$E$6:$E$578,$A315,'Deferred Revenue'!$Q$6:$Q$578)</f>
        <v/>
      </c>
      <c r="E315" s="43">
        <f>C315+D315</f>
        <v/>
      </c>
      <c r="F315" s="44">
        <f>IF(ROUND(C315,2)+ROUND(D315,2)=0,"","yes")</f>
        <v/>
      </c>
      <c r="G315" s="45" t="n"/>
      <c r="H315" s="43">
        <f>IF($G315="","",$E315-$G315)</f>
        <v/>
      </c>
    </row>
    <row r="316">
      <c r="A316" s="42" t="inlineStr">
        <is>
          <t>26081302</t>
        </is>
      </c>
      <c r="B316" s="42" t="inlineStr">
        <is>
          <t>Ubank - Volunteer Day - 11.11.26</t>
        </is>
      </c>
      <c r="C316" s="43">
        <f>SUMIFS(tbl_WIP[Amount],tbl_WIP[Job Number],$A316,tbl_WIP[Month],"&lt;&gt;",tbl_WIP[Month],"&lt;"&amp;$C$4)+SUMIF('Deferred Revenue'!$E$6:$E$578,$A316,'Deferred Revenue'!$P$6:$P$578)</f>
        <v/>
      </c>
      <c r="D316" s="43">
        <f>SUMIFS(tbl_WIP[Amount],tbl_WIP[Job Number],$A316,tbl_WIP[Month],$C$4)+SUMIF('Deferred Revenue'!$E$6:$E$578,$A316,'Deferred Revenue'!$Q$6:$Q$578)</f>
        <v/>
      </c>
      <c r="E316" s="43">
        <f>C316+D316</f>
        <v/>
      </c>
      <c r="F316" s="44">
        <f>IF(ROUND(C316,2)+ROUND(D316,2)=0,"","yes")</f>
        <v/>
      </c>
      <c r="G316" s="45" t="n"/>
      <c r="H316" s="43">
        <f>IF($G316="","",$E316-$G316)</f>
        <v/>
      </c>
    </row>
    <row r="317">
      <c r="A317" s="42" t="inlineStr">
        <is>
          <t>26081302V</t>
        </is>
      </c>
      <c r="B317" s="42" t="inlineStr">
        <is>
          <t>Ubank - Volunteer Day - 11.11.26</t>
        </is>
      </c>
      <c r="C317" s="43">
        <f>SUMIFS(tbl_WIP[Amount],tbl_WIP[Job Number],$A317,tbl_WIP[Month],"&lt;&gt;",tbl_WIP[Month],"&lt;"&amp;$C$4)+SUMIF('Deferred Revenue'!$E$6:$E$578,$A317,'Deferred Revenue'!$P$6:$P$578)</f>
        <v/>
      </c>
      <c r="D317" s="43">
        <f>SUMIFS(tbl_WIP[Amount],tbl_WIP[Job Number],$A317,tbl_WIP[Month],$C$4)+SUMIF('Deferred Revenue'!$E$6:$E$578,$A317,'Deferred Revenue'!$Q$6:$Q$578)</f>
        <v/>
      </c>
      <c r="E317" s="43">
        <f>C317+D317</f>
        <v/>
      </c>
      <c r="F317" s="44">
        <f>IF(ROUND(C317,2)+ROUND(D317,2)=0,"","yes")</f>
        <v/>
      </c>
      <c r="G317" s="45" t="n"/>
      <c r="H317" s="43">
        <f>IF($G317="","",$E317-$G317)</f>
        <v/>
      </c>
    </row>
    <row r="318">
      <c r="A318" s="42" t="inlineStr">
        <is>
          <t>26081402</t>
        </is>
      </c>
      <c r="B318" s="42" t="inlineStr">
        <is>
          <t>Dimensional - AV Support - 19.8.26</t>
        </is>
      </c>
      <c r="C318" s="43">
        <f>SUMIFS(tbl_WIP[Amount],tbl_WIP[Job Number],$A318,tbl_WIP[Month],"&lt;&gt;",tbl_WIP[Month],"&lt;"&amp;$C$4)+SUMIF('Deferred Revenue'!$E$6:$E$578,$A318,'Deferred Revenue'!$P$6:$P$578)</f>
        <v/>
      </c>
      <c r="D318" s="43">
        <f>SUMIFS(tbl_WIP[Amount],tbl_WIP[Job Number],$A318,tbl_WIP[Month],$C$4)+SUMIF('Deferred Revenue'!$E$6:$E$578,$A318,'Deferred Revenue'!$Q$6:$Q$578)</f>
        <v/>
      </c>
      <c r="E318" s="43">
        <f>C318+D318</f>
        <v/>
      </c>
      <c r="F318" s="44">
        <f>IF(ROUND(C318,2)+ROUND(D318,2)=0,"","yes")</f>
        <v/>
      </c>
      <c r="G318" s="45" t="n"/>
      <c r="H318" s="43">
        <f>IF($G318="","",$E318-$G318)</f>
        <v/>
      </c>
    </row>
    <row r="319">
      <c r="A319" s="42" t="inlineStr">
        <is>
          <t>26081801</t>
        </is>
      </c>
      <c r="B319" s="42" t="inlineStr">
        <is>
          <t>Microsoft - SME&amp;C Town Hall 14.10.2026</t>
        </is>
      </c>
      <c r="C319" s="43">
        <f>SUMIFS(tbl_WIP[Amount],tbl_WIP[Job Number],$A319,tbl_WIP[Month],"&lt;&gt;",tbl_WIP[Month],"&lt;"&amp;$C$4)+SUMIF('Deferred Revenue'!$E$6:$E$578,$A319,'Deferred Revenue'!$P$6:$P$578)</f>
        <v/>
      </c>
      <c r="D319" s="43">
        <f>SUMIFS(tbl_WIP[Amount],tbl_WIP[Job Number],$A319,tbl_WIP[Month],$C$4)+SUMIF('Deferred Revenue'!$E$6:$E$578,$A319,'Deferred Revenue'!$Q$6:$Q$578)</f>
        <v/>
      </c>
      <c r="E319" s="43">
        <f>C319+D319</f>
        <v/>
      </c>
      <c r="F319" s="44">
        <f>IF(ROUND(C319,2)+ROUND(D319,2)=0,"","yes")</f>
        <v/>
      </c>
      <c r="G319" s="45" t="n"/>
      <c r="H319" s="43">
        <f>IF($G319="","",$E319-$G319)</f>
        <v/>
      </c>
    </row>
    <row r="320">
      <c r="A320" s="42" t="inlineStr">
        <is>
          <t>26081801V</t>
        </is>
      </c>
      <c r="B320" s="42" t="inlineStr">
        <is>
          <t>Microsoft - SME&amp;C Town Hall 14.10.2026</t>
        </is>
      </c>
      <c r="C320" s="43">
        <f>SUMIFS(tbl_WIP[Amount],tbl_WIP[Job Number],$A320,tbl_WIP[Month],"&lt;&gt;",tbl_WIP[Month],"&lt;"&amp;$C$4)+SUMIF('Deferred Revenue'!$E$6:$E$578,$A320,'Deferred Revenue'!$P$6:$P$578)</f>
        <v/>
      </c>
      <c r="D320" s="43">
        <f>SUMIFS(tbl_WIP[Amount],tbl_WIP[Job Number],$A320,tbl_WIP[Month],$C$4)+SUMIF('Deferred Revenue'!$E$6:$E$578,$A320,'Deferred Revenue'!$Q$6:$Q$578)</f>
        <v/>
      </c>
      <c r="E320" s="43">
        <f>C320+D320</f>
        <v/>
      </c>
      <c r="F320" s="44">
        <f>IF(ROUND(C320,2)+ROUND(D320,2)=0,"","yes")</f>
        <v/>
      </c>
      <c r="G320" s="45" t="n"/>
      <c r="H320" s="43">
        <f>IF($G320="","",$E320-$G320)</f>
        <v/>
      </c>
    </row>
    <row r="321">
      <c r="A321" s="42" t="inlineStr">
        <is>
          <t>26081901</t>
        </is>
      </c>
      <c r="B321" s="42" t="inlineStr">
        <is>
          <t>AusPayNet Logitech Essentials for Room License Renewal</t>
        </is>
      </c>
      <c r="C321" s="43">
        <f>SUMIFS(tbl_WIP[Amount],tbl_WIP[Job Number],$A321,tbl_WIP[Month],"&lt;&gt;",tbl_WIP[Month],"&lt;"&amp;$C$4)+SUMIF('Deferred Revenue'!$E$6:$E$578,$A321,'Deferred Revenue'!$P$6:$P$578)</f>
        <v/>
      </c>
      <c r="D321" s="43">
        <f>SUMIFS(tbl_WIP[Amount],tbl_WIP[Job Number],$A321,tbl_WIP[Month],$C$4)+SUMIF('Deferred Revenue'!$E$6:$E$578,$A321,'Deferred Revenue'!$Q$6:$Q$578)</f>
        <v/>
      </c>
      <c r="E321" s="43">
        <f>C321+D321</f>
        <v/>
      </c>
      <c r="F321" s="44">
        <f>IF(ROUND(C321,2)+ROUND(D321,2)=0,"","yes")</f>
        <v/>
      </c>
      <c r="G321" s="45" t="n"/>
      <c r="H321" s="43">
        <f>IF($G321="","",$E321-$G321)</f>
        <v/>
      </c>
    </row>
    <row r="322">
      <c r="A322" s="42" t="inlineStr">
        <is>
          <t>26081904</t>
        </is>
      </c>
      <c r="B322" s="42" t="inlineStr">
        <is>
          <t>Garvan - AllClear Program Meeting - 2.9.26</t>
        </is>
      </c>
      <c r="C322" s="43">
        <f>SUMIFS(tbl_WIP[Amount],tbl_WIP[Job Number],$A322,tbl_WIP[Month],"&lt;&gt;",tbl_WIP[Month],"&lt;"&amp;$C$4)+SUMIF('Deferred Revenue'!$E$6:$E$578,$A322,'Deferred Revenue'!$P$6:$P$578)</f>
        <v/>
      </c>
      <c r="D322" s="43">
        <f>SUMIFS(tbl_WIP[Amount],tbl_WIP[Job Number],$A322,tbl_WIP[Month],$C$4)+SUMIF('Deferred Revenue'!$E$6:$E$578,$A322,'Deferred Revenue'!$Q$6:$Q$578)</f>
        <v/>
      </c>
      <c r="E322" s="43">
        <f>C322+D322</f>
        <v/>
      </c>
      <c r="F322" s="44">
        <f>IF(ROUND(C322,2)+ROUND(D322,2)=0,"","yes")</f>
        <v/>
      </c>
      <c r="G322" s="45" t="n"/>
      <c r="H322" s="43">
        <f>IF($G322="","",$E322-$G322)</f>
        <v/>
      </c>
    </row>
    <row r="323">
      <c r="A323" s="42" t="inlineStr">
        <is>
          <t>26082402</t>
        </is>
      </c>
      <c r="B323" s="42" t="inlineStr">
        <is>
          <t>TLC - 2026 AGM - 14.10.26</t>
        </is>
      </c>
      <c r="C323" s="43">
        <f>SUMIFS(tbl_WIP[Amount],tbl_WIP[Job Number],$A323,tbl_WIP[Month],"&lt;&gt;",tbl_WIP[Month],"&lt;"&amp;$C$4)+SUMIF('Deferred Revenue'!$E$6:$E$578,$A323,'Deferred Revenue'!$P$6:$P$578)</f>
        <v/>
      </c>
      <c r="D323" s="43">
        <f>SUMIFS(tbl_WIP[Amount],tbl_WIP[Job Number],$A323,tbl_WIP[Month],$C$4)+SUMIF('Deferred Revenue'!$E$6:$E$578,$A323,'Deferred Revenue'!$Q$6:$Q$578)</f>
        <v/>
      </c>
      <c r="E323" s="43">
        <f>C323+D323</f>
        <v/>
      </c>
      <c r="F323" s="44">
        <f>IF(ROUND(C323,2)+ROUND(D323,2)=0,"","yes")</f>
        <v/>
      </c>
      <c r="G323" s="45" t="n"/>
      <c r="H323" s="43">
        <f>IF($G323="","",$E323-$G323)</f>
        <v/>
      </c>
    </row>
    <row r="324">
      <c r="A324" s="42" t="inlineStr">
        <is>
          <t>26082402V</t>
        </is>
      </c>
      <c r="B324" s="42" t="inlineStr">
        <is>
          <t>TLC - 2026 AGM - 14.10.26</t>
        </is>
      </c>
      <c r="C324" s="43">
        <f>SUMIFS(tbl_WIP[Amount],tbl_WIP[Job Number],$A324,tbl_WIP[Month],"&lt;&gt;",tbl_WIP[Month],"&lt;"&amp;$C$4)+SUMIF('Deferred Revenue'!$E$6:$E$578,$A324,'Deferred Revenue'!$P$6:$P$578)</f>
        <v/>
      </c>
      <c r="D324" s="43">
        <f>SUMIFS(tbl_WIP[Amount],tbl_WIP[Job Number],$A324,tbl_WIP[Month],$C$4)+SUMIF('Deferred Revenue'!$E$6:$E$578,$A324,'Deferred Revenue'!$Q$6:$Q$578)</f>
        <v/>
      </c>
      <c r="E324" s="43">
        <f>C324+D324</f>
        <v/>
      </c>
      <c r="F324" s="44">
        <f>IF(ROUND(C324,2)+ROUND(D324,2)=0,"","yes")</f>
        <v/>
      </c>
      <c r="G324" s="45" t="n"/>
      <c r="H324" s="43">
        <f>IF($G324="","",$E324-$G324)</f>
        <v/>
      </c>
    </row>
    <row r="325">
      <c r="A325" s="42" t="inlineStr">
        <is>
          <t>26082501</t>
        </is>
      </c>
      <c r="B325" s="42" t="inlineStr">
        <is>
          <t>CBA - LES - September 2026</t>
        </is>
      </c>
      <c r="C325" s="43">
        <f>SUMIFS(tbl_WIP[Amount],tbl_WIP[Job Number],$A325,tbl_WIP[Month],"&lt;&gt;",tbl_WIP[Month],"&lt;"&amp;$C$4)+SUMIF('Deferred Revenue'!$E$6:$E$578,$A325,'Deferred Revenue'!$P$6:$P$578)</f>
        <v/>
      </c>
      <c r="D325" s="43">
        <f>SUMIFS(tbl_WIP[Amount],tbl_WIP[Job Number],$A325,tbl_WIP[Month],$C$4)+SUMIF('Deferred Revenue'!$E$6:$E$578,$A325,'Deferred Revenue'!$Q$6:$Q$578)</f>
        <v/>
      </c>
      <c r="E325" s="43">
        <f>C325+D325</f>
        <v/>
      </c>
      <c r="F325" s="44">
        <f>IF(ROUND(C325,2)+ROUND(D325,2)=0,"","yes")</f>
        <v/>
      </c>
      <c r="G325" s="45" t="n"/>
      <c r="H325" s="43">
        <f>IF($G325="","",$E325-$G325)</f>
        <v/>
      </c>
    </row>
    <row r="326">
      <c r="A326" s="42" t="inlineStr">
        <is>
          <t>26082502</t>
        </is>
      </c>
      <c r="B326" s="42" t="inlineStr">
        <is>
          <t>ICC - Presenter &amp; Speaker Preparation - September 2026</t>
        </is>
      </c>
      <c r="C326" s="43">
        <f>SUMIFS(tbl_WIP[Amount],tbl_WIP[Job Number],$A326,tbl_WIP[Month],"&lt;&gt;",tbl_WIP[Month],"&lt;"&amp;$C$4)+SUMIF('Deferred Revenue'!$E$6:$E$578,$A326,'Deferred Revenue'!$P$6:$P$578)</f>
        <v/>
      </c>
      <c r="D326" s="43">
        <f>SUMIFS(tbl_WIP[Amount],tbl_WIP[Job Number],$A326,tbl_WIP[Month],$C$4)+SUMIF('Deferred Revenue'!$E$6:$E$578,$A326,'Deferred Revenue'!$Q$6:$Q$578)</f>
        <v/>
      </c>
      <c r="E326" s="43">
        <f>C326+D326</f>
        <v/>
      </c>
      <c r="F326" s="44">
        <f>IF(ROUND(C326,2)+ROUND(D326,2)=0,"","yes")</f>
        <v/>
      </c>
      <c r="G326" s="45" t="n"/>
      <c r="H326" s="43">
        <f>IF($G326="","",$E326-$G326)</f>
        <v/>
      </c>
    </row>
    <row r="327">
      <c r="A327" s="42" t="inlineStr">
        <is>
          <t>26082502V</t>
        </is>
      </c>
      <c r="B327" s="42" t="inlineStr">
        <is>
          <t>ICC - Presenter &amp; Speaker Preparation - September 2026</t>
        </is>
      </c>
      <c r="C327" s="43">
        <f>SUMIFS(tbl_WIP[Amount],tbl_WIP[Job Number],$A327,tbl_WIP[Month],"&lt;&gt;",tbl_WIP[Month],"&lt;"&amp;$C$4)+SUMIF('Deferred Revenue'!$E$6:$E$578,$A327,'Deferred Revenue'!$P$6:$P$578)</f>
        <v/>
      </c>
      <c r="D327" s="43">
        <f>SUMIFS(tbl_WIP[Amount],tbl_WIP[Job Number],$A327,tbl_WIP[Month],$C$4)+SUMIF('Deferred Revenue'!$E$6:$E$578,$A327,'Deferred Revenue'!$Q$6:$Q$578)</f>
        <v/>
      </c>
      <c r="E327" s="43">
        <f>C327+D327</f>
        <v/>
      </c>
      <c r="F327" s="44">
        <f>IF(ROUND(C327,2)+ROUND(D327,2)=0,"","yes")</f>
        <v/>
      </c>
      <c r="G327" s="45" t="n"/>
      <c r="H327" s="43">
        <f>IF($G327="","",$E327-$G327)</f>
        <v/>
      </c>
    </row>
    <row r="328">
      <c r="A328" s="42" t="inlineStr">
        <is>
          <t>26082702</t>
        </is>
      </c>
      <c r="B328" s="42" t="inlineStr">
        <is>
          <t>Garvan - Breast Cancer Public Lecture - 1.10.26</t>
        </is>
      </c>
      <c r="C328" s="43">
        <f>SUMIFS(tbl_WIP[Amount],tbl_WIP[Job Number],$A328,tbl_WIP[Month],"&lt;&gt;",tbl_WIP[Month],"&lt;"&amp;$C$4)+SUMIF('Deferred Revenue'!$E$6:$E$578,$A328,'Deferred Revenue'!$P$6:$P$578)</f>
        <v/>
      </c>
      <c r="D328" s="43">
        <f>SUMIFS(tbl_WIP[Amount],tbl_WIP[Job Number],$A328,tbl_WIP[Month],$C$4)+SUMIF('Deferred Revenue'!$E$6:$E$578,$A328,'Deferred Revenue'!$Q$6:$Q$578)</f>
        <v/>
      </c>
      <c r="E328" s="43">
        <f>C328+D328</f>
        <v/>
      </c>
      <c r="F328" s="44">
        <f>IF(ROUND(C328,2)+ROUND(D328,2)=0,"","yes")</f>
        <v/>
      </c>
      <c r="G328" s="45" t="n"/>
      <c r="H328" s="43">
        <f>IF($G328="","",$E328-$G328)</f>
        <v/>
      </c>
    </row>
    <row r="329">
      <c r="A329" s="42" t="inlineStr">
        <is>
          <t>26082703</t>
        </is>
      </c>
      <c r="B329" s="42" t="inlineStr">
        <is>
          <t>APA - RUOK Day - 10.9.26</t>
        </is>
      </c>
      <c r="C329" s="43">
        <f>SUMIFS(tbl_WIP[Amount],tbl_WIP[Job Number],$A329,tbl_WIP[Month],"&lt;&gt;",tbl_WIP[Month],"&lt;"&amp;$C$4)+SUMIF('Deferred Revenue'!$E$6:$E$578,$A329,'Deferred Revenue'!$P$6:$P$578)</f>
        <v/>
      </c>
      <c r="D329" s="43">
        <f>SUMIFS(tbl_WIP[Amount],tbl_WIP[Job Number],$A329,tbl_WIP[Month],$C$4)+SUMIF('Deferred Revenue'!$E$6:$E$578,$A329,'Deferred Revenue'!$Q$6:$Q$578)</f>
        <v/>
      </c>
      <c r="E329" s="43">
        <f>C329+D329</f>
        <v/>
      </c>
      <c r="F329" s="44">
        <f>IF(ROUND(C329,2)+ROUND(D329,2)=0,"","yes")</f>
        <v/>
      </c>
      <c r="G329" s="45" t="n"/>
      <c r="H329" s="43">
        <f>IF($G329="","",$E329-$G329)</f>
        <v/>
      </c>
    </row>
    <row r="330">
      <c r="A330" s="42" t="inlineStr">
        <is>
          <t>26082703V</t>
        </is>
      </c>
      <c r="B330" s="42" t="inlineStr">
        <is>
          <t>APA - RUOK Day - 10.9.26</t>
        </is>
      </c>
      <c r="C330" s="43">
        <f>SUMIFS(tbl_WIP[Amount],tbl_WIP[Job Number],$A330,tbl_WIP[Month],"&lt;&gt;",tbl_WIP[Month],"&lt;"&amp;$C$4)+SUMIF('Deferred Revenue'!$E$6:$E$578,$A330,'Deferred Revenue'!$P$6:$P$578)</f>
        <v/>
      </c>
      <c r="D330" s="43">
        <f>SUMIFS(tbl_WIP[Amount],tbl_WIP[Job Number],$A330,tbl_WIP[Month],$C$4)+SUMIF('Deferred Revenue'!$E$6:$E$578,$A330,'Deferred Revenue'!$Q$6:$Q$578)</f>
        <v/>
      </c>
      <c r="E330" s="43">
        <f>C330+D330</f>
        <v/>
      </c>
      <c r="F330" s="44">
        <f>IF(ROUND(C330,2)+ROUND(D330,2)=0,"","yes")</f>
        <v/>
      </c>
      <c r="G330" s="45" t="n"/>
      <c r="H330" s="43">
        <f>IF($G330="","",$E330-$G330)</f>
        <v/>
      </c>
    </row>
    <row r="331">
      <c r="A331" s="42" t="inlineStr">
        <is>
          <t>26082704</t>
        </is>
      </c>
      <c r="B331" s="42" t="inlineStr">
        <is>
          <t>DTTL Travel for National STL &amp; Coverage SYD-PER</t>
        </is>
      </c>
      <c r="C331" s="43">
        <f>SUMIFS(tbl_WIP[Amount],tbl_WIP[Job Number],$A331,tbl_WIP[Month],"&lt;&gt;",tbl_WIP[Month],"&lt;"&amp;$C$4)+SUMIF('Deferred Revenue'!$E$6:$E$578,$A331,'Deferred Revenue'!$P$6:$P$578)</f>
        <v/>
      </c>
      <c r="D331" s="43">
        <f>SUMIFS(tbl_WIP[Amount],tbl_WIP[Job Number],$A331,tbl_WIP[Month],$C$4)+SUMIF('Deferred Revenue'!$E$6:$E$578,$A331,'Deferred Revenue'!$Q$6:$Q$578)</f>
        <v/>
      </c>
      <c r="E331" s="43">
        <f>C331+D331</f>
        <v/>
      </c>
      <c r="F331" s="44">
        <f>IF(ROUND(C331,2)+ROUND(D331,2)=0,"","yes")</f>
        <v/>
      </c>
      <c r="G331" s="45" t="n"/>
      <c r="H331" s="43">
        <f>IF($G331="","",$E331-$G331)</f>
        <v/>
      </c>
    </row>
    <row r="332">
      <c r="A332" s="42" t="inlineStr">
        <is>
          <t>26082801</t>
        </is>
      </c>
      <c r="B332" s="42" t="inlineStr">
        <is>
          <t>Ricoh Australia - SHELL AV Support</t>
        </is>
      </c>
      <c r="C332" s="43">
        <f>SUMIFS(tbl_WIP[Amount],tbl_WIP[Job Number],$A332,tbl_WIP[Month],"&lt;&gt;",tbl_WIP[Month],"&lt;"&amp;$C$4)+SUMIF('Deferred Revenue'!$E$6:$E$578,$A332,'Deferred Revenue'!$P$6:$P$578)</f>
        <v/>
      </c>
      <c r="D332" s="43">
        <f>SUMIFS(tbl_WIP[Amount],tbl_WIP[Job Number],$A332,tbl_WIP[Month],$C$4)+SUMIF('Deferred Revenue'!$E$6:$E$578,$A332,'Deferred Revenue'!$Q$6:$Q$578)</f>
        <v/>
      </c>
      <c r="E332" s="43">
        <f>C332+D332</f>
        <v/>
      </c>
      <c r="F332" s="44">
        <f>IF(ROUND(C332,2)+ROUND(D332,2)=0,"","yes")</f>
        <v/>
      </c>
      <c r="G332" s="45" t="n"/>
      <c r="H332" s="43">
        <f>IF($G332="","",$E332-$G332)</f>
        <v/>
      </c>
    </row>
    <row r="333">
      <c r="A333" s="42" t="inlineStr">
        <is>
          <t>2608402</t>
        </is>
      </c>
      <c r="B333" s="42" t="inlineStr">
        <is>
          <t>Garvan - Suttons Event - 15.10.26</t>
        </is>
      </c>
      <c r="C333" s="43">
        <f>SUMIFS(tbl_WIP[Amount],tbl_WIP[Job Number],$A333,tbl_WIP[Month],"&lt;&gt;",tbl_WIP[Month],"&lt;"&amp;$C$4)+SUMIF('Deferred Revenue'!$E$6:$E$578,$A333,'Deferred Revenue'!$P$6:$P$578)</f>
        <v/>
      </c>
      <c r="D333" s="43">
        <f>SUMIFS(tbl_WIP[Amount],tbl_WIP[Job Number],$A333,tbl_WIP[Month],$C$4)+SUMIF('Deferred Revenue'!$E$6:$E$578,$A333,'Deferred Revenue'!$Q$6:$Q$578)</f>
        <v/>
      </c>
      <c r="E333" s="43">
        <f>C333+D333</f>
        <v/>
      </c>
      <c r="F333" s="44">
        <f>IF(ROUND(C333,2)+ROUND(D333,2)=0,"","yes")</f>
        <v/>
      </c>
      <c r="G333" s="45" t="n"/>
      <c r="H333" s="43">
        <f>IF($G333="","",$E333-$G333)</f>
        <v/>
      </c>
    </row>
    <row r="334">
      <c r="A334" s="42" t="inlineStr">
        <is>
          <t>2608404</t>
        </is>
      </c>
      <c r="B334" s="42" t="inlineStr">
        <is>
          <t>St Vincents Public Hospital - Awards Night - 26.8.25</t>
        </is>
      </c>
      <c r="C334" s="43">
        <f>SUMIFS(tbl_WIP[Amount],tbl_WIP[Job Number],$A334,tbl_WIP[Month],"&lt;&gt;",tbl_WIP[Month],"&lt;"&amp;$C$4)+SUMIF('Deferred Revenue'!$E$6:$E$578,$A334,'Deferred Revenue'!$P$6:$P$578)</f>
        <v/>
      </c>
      <c r="D334" s="43">
        <f>SUMIFS(tbl_WIP[Amount],tbl_WIP[Job Number],$A334,tbl_WIP[Month],$C$4)+SUMIF('Deferred Revenue'!$E$6:$E$578,$A334,'Deferred Revenue'!$Q$6:$Q$578)</f>
        <v/>
      </c>
      <c r="E334" s="43">
        <f>C334+D334</f>
        <v/>
      </c>
      <c r="F334" s="44">
        <f>IF(ROUND(C334,2)+ROUND(D334,2)=0,"","yes")</f>
        <v/>
      </c>
      <c r="G334" s="45" t="n"/>
      <c r="H334" s="43">
        <f>IF($G334="","",$E334-$G334)</f>
        <v/>
      </c>
    </row>
    <row r="335">
      <c r="A335" s="42" t="inlineStr">
        <is>
          <t>2608404V</t>
        </is>
      </c>
      <c r="B335" s="42" t="inlineStr">
        <is>
          <t>St Vincents Public Hospital - Awards Night - 26.8.25</t>
        </is>
      </c>
      <c r="C335" s="43">
        <f>SUMIFS(tbl_WIP[Amount],tbl_WIP[Job Number],$A335,tbl_WIP[Month],"&lt;&gt;",tbl_WIP[Month],"&lt;"&amp;$C$4)+SUMIF('Deferred Revenue'!$E$6:$E$578,$A335,'Deferred Revenue'!$P$6:$P$578)</f>
        <v/>
      </c>
      <c r="D335" s="43">
        <f>SUMIFS(tbl_WIP[Amount],tbl_WIP[Job Number],$A335,tbl_WIP[Month],$C$4)+SUMIF('Deferred Revenue'!$E$6:$E$578,$A335,'Deferred Revenue'!$Q$6:$Q$578)</f>
        <v/>
      </c>
      <c r="E335" s="43">
        <f>C335+D335</f>
        <v/>
      </c>
      <c r="F335" s="44">
        <f>IF(ROUND(C335,2)+ROUND(D335,2)=0,"","yes")</f>
        <v/>
      </c>
      <c r="G335" s="45" t="n"/>
      <c r="H335" s="43">
        <f>IF($G335="","",$E335-$G335)</f>
        <v/>
      </c>
    </row>
    <row r="336">
      <c r="A336" s="42" t="inlineStr">
        <is>
          <t>2608604</t>
        </is>
      </c>
      <c r="B336" s="42" t="inlineStr">
        <is>
          <t>ASX - FYR Employee Town Hall - 13.8.26</t>
        </is>
      </c>
      <c r="C336" s="43">
        <f>SUMIFS(tbl_WIP[Amount],tbl_WIP[Job Number],$A336,tbl_WIP[Month],"&lt;&gt;",tbl_WIP[Month],"&lt;"&amp;$C$4)+SUMIF('Deferred Revenue'!$E$6:$E$578,$A336,'Deferred Revenue'!$P$6:$P$578)</f>
        <v/>
      </c>
      <c r="D336" s="43">
        <f>SUMIFS(tbl_WIP[Amount],tbl_WIP[Job Number],$A336,tbl_WIP[Month],$C$4)+SUMIF('Deferred Revenue'!$E$6:$E$578,$A336,'Deferred Revenue'!$Q$6:$Q$578)</f>
        <v/>
      </c>
      <c r="E336" s="43">
        <f>C336+D336</f>
        <v/>
      </c>
      <c r="F336" s="44">
        <f>IF(ROUND(C336,2)+ROUND(D336,2)=0,"","yes")</f>
        <v/>
      </c>
      <c r="G336" s="45" t="n"/>
      <c r="H336" s="43">
        <f>IF($G336="","",$E336-$G336)</f>
        <v/>
      </c>
    </row>
    <row r="337">
      <c r="A337" s="42" t="inlineStr">
        <is>
          <t>2608604V</t>
        </is>
      </c>
      <c r="B337" s="42" t="inlineStr">
        <is>
          <t>ASX - FYR Employee Town Hall - 13.8.26</t>
        </is>
      </c>
      <c r="C337" s="43">
        <f>SUMIFS(tbl_WIP[Amount],tbl_WIP[Job Number],$A337,tbl_WIP[Month],"&lt;&gt;",tbl_WIP[Month],"&lt;"&amp;$C$4)+SUMIF('Deferred Revenue'!$E$6:$E$578,$A337,'Deferred Revenue'!$P$6:$P$578)</f>
        <v/>
      </c>
      <c r="D337" s="43">
        <f>SUMIFS(tbl_WIP[Amount],tbl_WIP[Job Number],$A337,tbl_WIP[Month],$C$4)+SUMIF('Deferred Revenue'!$E$6:$E$578,$A337,'Deferred Revenue'!$Q$6:$Q$578)</f>
        <v/>
      </c>
      <c r="E337" s="43">
        <f>C337+D337</f>
        <v/>
      </c>
      <c r="F337" s="44">
        <f>IF(ROUND(C337,2)+ROUND(D337,2)=0,"","yes")</f>
        <v/>
      </c>
      <c r="G337" s="45" t="n"/>
      <c r="H337" s="43">
        <f>IF($G337="","",$E337-$G337)</f>
        <v/>
      </c>
    </row>
    <row r="338">
      <c r="A338" s="42" t="inlineStr">
        <is>
          <t>2608701</t>
        </is>
      </c>
      <c r="B338" s="42" t="inlineStr">
        <is>
          <t>Elkeim - Studio Support - 10.9.26</t>
        </is>
      </c>
      <c r="C338" s="43">
        <f>SUMIFS(tbl_WIP[Amount],tbl_WIP[Job Number],$A338,tbl_WIP[Month],"&lt;&gt;",tbl_WIP[Month],"&lt;"&amp;$C$4)+SUMIF('Deferred Revenue'!$E$6:$E$578,$A338,'Deferred Revenue'!$P$6:$P$578)</f>
        <v/>
      </c>
      <c r="D338" s="43">
        <f>SUMIFS(tbl_WIP[Amount],tbl_WIP[Job Number],$A338,tbl_WIP[Month],$C$4)+SUMIF('Deferred Revenue'!$E$6:$E$578,$A338,'Deferred Revenue'!$Q$6:$Q$578)</f>
        <v/>
      </c>
      <c r="E338" s="43">
        <f>C338+D338</f>
        <v/>
      </c>
      <c r="F338" s="44">
        <f>IF(ROUND(C338,2)+ROUND(D338,2)=0,"","yes")</f>
        <v/>
      </c>
      <c r="G338" s="45" t="n"/>
      <c r="H338" s="43">
        <f>IF($G338="","",$E338-$G338)</f>
        <v/>
      </c>
    </row>
    <row r="339">
      <c r="A339" s="42" t="inlineStr">
        <is>
          <t>2608702</t>
        </is>
      </c>
      <c r="B339" s="42" t="inlineStr">
        <is>
          <t>APA - Qtly All Hands SYD Screen Hire - 20.8.26</t>
        </is>
      </c>
      <c r="C339" s="43">
        <f>SUMIFS(tbl_WIP[Amount],tbl_WIP[Job Number],$A339,tbl_WIP[Month],"&lt;&gt;",tbl_WIP[Month],"&lt;"&amp;$C$4)+SUMIF('Deferred Revenue'!$E$6:$E$578,$A339,'Deferred Revenue'!$P$6:$P$578)</f>
        <v/>
      </c>
      <c r="D339" s="43">
        <f>SUMIFS(tbl_WIP[Amount],tbl_WIP[Job Number],$A339,tbl_WIP[Month],$C$4)+SUMIF('Deferred Revenue'!$E$6:$E$578,$A339,'Deferred Revenue'!$Q$6:$Q$578)</f>
        <v/>
      </c>
      <c r="E339" s="43">
        <f>C339+D339</f>
        <v/>
      </c>
      <c r="F339" s="44">
        <f>IF(ROUND(C339,2)+ROUND(D339,2)=0,"","yes")</f>
        <v/>
      </c>
      <c r="G339" s="45" t="n"/>
      <c r="H339" s="43">
        <f>IF($G339="","",$E339-$G339)</f>
        <v/>
      </c>
    </row>
    <row r="340">
      <c r="A340" s="42" t="inlineStr">
        <is>
          <t>26091002</t>
        </is>
      </c>
      <c r="B340" s="42" t="inlineStr">
        <is>
          <t>GP - Talking Philanthropy - Event Videography 18.9.26</t>
        </is>
      </c>
      <c r="C340" s="43">
        <f>SUMIFS(tbl_WIP[Amount],tbl_WIP[Job Number],$A340,tbl_WIP[Month],"&lt;&gt;",tbl_WIP[Month],"&lt;"&amp;$C$4)+SUMIF('Deferred Revenue'!$E$6:$E$578,$A340,'Deferred Revenue'!$P$6:$P$578)</f>
        <v/>
      </c>
      <c r="D340" s="43">
        <f>SUMIFS(tbl_WIP[Amount],tbl_WIP[Job Number],$A340,tbl_WIP[Month],$C$4)+SUMIF('Deferred Revenue'!$E$6:$E$578,$A340,'Deferred Revenue'!$Q$6:$Q$578)</f>
        <v/>
      </c>
      <c r="E340" s="43">
        <f>C340+D340</f>
        <v/>
      </c>
      <c r="F340" s="44">
        <f>IF(ROUND(C340,2)+ROUND(D340,2)=0,"","yes")</f>
        <v/>
      </c>
      <c r="G340" s="45" t="n"/>
      <c r="H340" s="43">
        <f>IF($G340="","",$E340-$G340)</f>
        <v/>
      </c>
    </row>
    <row r="341">
      <c r="A341" s="42" t="inlineStr">
        <is>
          <t>26091002V</t>
        </is>
      </c>
      <c r="B341" s="42" t="inlineStr">
        <is>
          <t>GP - Talking Philanthropy - Event Videography 18.9.26</t>
        </is>
      </c>
      <c r="C341" s="43">
        <f>SUMIFS(tbl_WIP[Amount],tbl_WIP[Job Number],$A341,tbl_WIP[Month],"&lt;&gt;",tbl_WIP[Month],"&lt;"&amp;$C$4)+SUMIF('Deferred Revenue'!$E$6:$E$578,$A341,'Deferred Revenue'!$P$6:$P$578)</f>
        <v/>
      </c>
      <c r="D341" s="43">
        <f>SUMIFS(tbl_WIP[Amount],tbl_WIP[Job Number],$A341,tbl_WIP[Month],$C$4)+SUMIF('Deferred Revenue'!$E$6:$E$578,$A341,'Deferred Revenue'!$Q$6:$Q$578)</f>
        <v/>
      </c>
      <c r="E341" s="43">
        <f>C341+D341</f>
        <v/>
      </c>
      <c r="F341" s="44">
        <f>IF(ROUND(C341,2)+ROUND(D341,2)=0,"","yes")</f>
        <v/>
      </c>
      <c r="G341" s="45" t="n"/>
      <c r="H341" s="43">
        <f>IF($G341="","",$E341-$G341)</f>
        <v/>
      </c>
    </row>
    <row r="342">
      <c r="A342" s="42" t="inlineStr">
        <is>
          <t>26091601</t>
        </is>
      </c>
      <c r="B342" s="42" t="inlineStr">
        <is>
          <t>Automic - September All Hands - 25.9.26</t>
        </is>
      </c>
      <c r="C342" s="43">
        <f>SUMIFS(tbl_WIP[Amount],tbl_WIP[Job Number],$A342,tbl_WIP[Month],"&lt;&gt;",tbl_WIP[Month],"&lt;"&amp;$C$4)+SUMIF('Deferred Revenue'!$E$6:$E$578,$A342,'Deferred Revenue'!$P$6:$P$578)</f>
        <v/>
      </c>
      <c r="D342" s="43">
        <f>SUMIFS(tbl_WIP[Amount],tbl_WIP[Job Number],$A342,tbl_WIP[Month],$C$4)+SUMIF('Deferred Revenue'!$E$6:$E$578,$A342,'Deferred Revenue'!$Q$6:$Q$578)</f>
        <v/>
      </c>
      <c r="E342" s="43">
        <f>C342+D342</f>
        <v/>
      </c>
      <c r="F342" s="44">
        <f>IF(ROUND(C342,2)+ROUND(D342,2)=0,"","yes")</f>
        <v/>
      </c>
      <c r="G342" s="45" t="n"/>
      <c r="H342" s="43">
        <f>IF($G342="","",$E342-$G342)</f>
        <v/>
      </c>
    </row>
    <row r="343">
      <c r="A343" s="42" t="inlineStr">
        <is>
          <t>26091601V</t>
        </is>
      </c>
      <c r="B343" s="42" t="inlineStr">
        <is>
          <t>Automic - September All Hands - 25.9.26</t>
        </is>
      </c>
      <c r="C343" s="43">
        <f>SUMIFS(tbl_WIP[Amount],tbl_WIP[Job Number],$A343,tbl_WIP[Month],"&lt;&gt;",tbl_WIP[Month],"&lt;"&amp;$C$4)+SUMIF('Deferred Revenue'!$E$6:$E$578,$A343,'Deferred Revenue'!$P$6:$P$578)</f>
        <v/>
      </c>
      <c r="D343" s="43">
        <f>SUMIFS(tbl_WIP[Amount],tbl_WIP[Job Number],$A343,tbl_WIP[Month],$C$4)+SUMIF('Deferred Revenue'!$E$6:$E$578,$A343,'Deferred Revenue'!$Q$6:$Q$578)</f>
        <v/>
      </c>
      <c r="E343" s="43">
        <f>C343+D343</f>
        <v/>
      </c>
      <c r="F343" s="44">
        <f>IF(ROUND(C343,2)+ROUND(D343,2)=0,"","yes")</f>
        <v/>
      </c>
      <c r="G343" s="45" t="n"/>
      <c r="H343" s="43">
        <f>IF($G343="","",$E343-$G343)</f>
        <v/>
      </c>
    </row>
    <row r="344">
      <c r="A344" s="42" t="inlineStr">
        <is>
          <t>26091604</t>
        </is>
      </c>
      <c r="B344" s="42" t="inlineStr">
        <is>
          <t>The George Institute - SYD CV Symposium - 29-30.10.26</t>
        </is>
      </c>
      <c r="C344" s="43">
        <f>SUMIFS(tbl_WIP[Amount],tbl_WIP[Job Number],$A344,tbl_WIP[Month],"&lt;&gt;",tbl_WIP[Month],"&lt;"&amp;$C$4)+SUMIF('Deferred Revenue'!$E$6:$E$578,$A344,'Deferred Revenue'!$P$6:$P$578)</f>
        <v/>
      </c>
      <c r="D344" s="43">
        <f>SUMIFS(tbl_WIP[Amount],tbl_WIP[Job Number],$A344,tbl_WIP[Month],$C$4)+SUMIF('Deferred Revenue'!$E$6:$E$578,$A344,'Deferred Revenue'!$Q$6:$Q$578)</f>
        <v/>
      </c>
      <c r="E344" s="43">
        <f>C344+D344</f>
        <v/>
      </c>
      <c r="F344" s="44">
        <f>IF(ROUND(C344,2)+ROUND(D344,2)=0,"","yes")</f>
        <v/>
      </c>
      <c r="G344" s="45" t="n"/>
      <c r="H344" s="43">
        <f>IF($G344="","",$E344-$G344)</f>
        <v/>
      </c>
    </row>
    <row r="345">
      <c r="A345" s="42" t="inlineStr">
        <is>
          <t>26091604V</t>
        </is>
      </c>
      <c r="B345" s="42" t="inlineStr">
        <is>
          <t>The George Institute - SYD CV Symposium - 29-30.10.26</t>
        </is>
      </c>
      <c r="C345" s="43">
        <f>SUMIFS(tbl_WIP[Amount],tbl_WIP[Job Number],$A345,tbl_WIP[Month],"&lt;&gt;",tbl_WIP[Month],"&lt;"&amp;$C$4)+SUMIF('Deferred Revenue'!$E$6:$E$578,$A345,'Deferred Revenue'!$P$6:$P$578)</f>
        <v/>
      </c>
      <c r="D345" s="43">
        <f>SUMIFS(tbl_WIP[Amount],tbl_WIP[Job Number],$A345,tbl_WIP[Month],$C$4)+SUMIF('Deferred Revenue'!$E$6:$E$578,$A345,'Deferred Revenue'!$Q$6:$Q$578)</f>
        <v/>
      </c>
      <c r="E345" s="43">
        <f>C345+D345</f>
        <v/>
      </c>
      <c r="F345" s="44">
        <f>IF(ROUND(C345,2)+ROUND(D345,2)=0,"","yes")</f>
        <v/>
      </c>
      <c r="G345" s="45" t="n"/>
      <c r="H345" s="43">
        <f>IF($G345="","",$E345-$G345)</f>
        <v/>
      </c>
    </row>
    <row r="346">
      <c r="A346" s="42" t="inlineStr">
        <is>
          <t>2609402</t>
        </is>
      </c>
      <c r="B346" s="42" t="inlineStr">
        <is>
          <t>MUFG - SUN Investor Day - 29.10.26</t>
        </is>
      </c>
      <c r="C346" s="43">
        <f>SUMIFS(tbl_WIP[Amount],tbl_WIP[Job Number],$A346,tbl_WIP[Month],"&lt;&gt;",tbl_WIP[Month],"&lt;"&amp;$C$4)+SUMIF('Deferred Revenue'!$E$6:$E$578,$A346,'Deferred Revenue'!$P$6:$P$578)</f>
        <v/>
      </c>
      <c r="D346" s="43">
        <f>SUMIFS(tbl_WIP[Amount],tbl_WIP[Job Number],$A346,tbl_WIP[Month],$C$4)+SUMIF('Deferred Revenue'!$E$6:$E$578,$A346,'Deferred Revenue'!$Q$6:$Q$578)</f>
        <v/>
      </c>
      <c r="E346" s="43">
        <f>C346+D346</f>
        <v/>
      </c>
      <c r="F346" s="44">
        <f>IF(ROUND(C346,2)+ROUND(D346,2)=0,"","yes")</f>
        <v/>
      </c>
      <c r="G346" s="45" t="n"/>
      <c r="H346" s="43">
        <f>IF($G346="","",$E346-$G346)</f>
        <v/>
      </c>
    </row>
    <row r="347">
      <c r="A347" s="42" t="inlineStr">
        <is>
          <t>2609402V</t>
        </is>
      </c>
      <c r="B347" s="42" t="inlineStr">
        <is>
          <t>MUFG - SUN Investor Day - 29.10.26</t>
        </is>
      </c>
      <c r="C347" s="43">
        <f>SUMIFS(tbl_WIP[Amount],tbl_WIP[Job Number],$A347,tbl_WIP[Month],"&lt;&gt;",tbl_WIP[Month],"&lt;"&amp;$C$4)+SUMIF('Deferred Revenue'!$E$6:$E$578,$A347,'Deferred Revenue'!$P$6:$P$578)</f>
        <v/>
      </c>
      <c r="D347" s="43">
        <f>SUMIFS(tbl_WIP[Amount],tbl_WIP[Job Number],$A347,tbl_WIP[Month],$C$4)+SUMIF('Deferred Revenue'!$E$6:$E$578,$A347,'Deferred Revenue'!$Q$6:$Q$578)</f>
        <v/>
      </c>
      <c r="E347" s="43">
        <f>C347+D347</f>
        <v/>
      </c>
      <c r="F347" s="44">
        <f>IF(ROUND(C347,2)+ROUND(D347,2)=0,"","yes")</f>
        <v/>
      </c>
      <c r="G347" s="45" t="n"/>
      <c r="H347" s="43">
        <f>IF($G347="","",$E347-$G347)</f>
        <v/>
      </c>
    </row>
    <row r="348">
      <c r="A348" s="42" t="inlineStr">
        <is>
          <t>2609801</t>
        </is>
      </c>
      <c r="B348" s="42" t="inlineStr">
        <is>
          <t>Elkiem - Studio Support - 16.9.26</t>
        </is>
      </c>
      <c r="C348" s="43">
        <f>SUMIFS(tbl_WIP[Amount],tbl_WIP[Job Number],$A348,tbl_WIP[Month],"&lt;&gt;",tbl_WIP[Month],"&lt;"&amp;$C$4)+SUMIF('Deferred Revenue'!$E$6:$E$578,$A348,'Deferred Revenue'!$P$6:$P$578)</f>
        <v/>
      </c>
      <c r="D348" s="43">
        <f>SUMIFS(tbl_WIP[Amount],tbl_WIP[Job Number],$A348,tbl_WIP[Month],$C$4)+SUMIF('Deferred Revenue'!$E$6:$E$578,$A348,'Deferred Revenue'!$Q$6:$Q$578)</f>
        <v/>
      </c>
      <c r="E348" s="43">
        <f>C348+D348</f>
        <v/>
      </c>
      <c r="F348" s="44">
        <f>IF(ROUND(C348,2)+ROUND(D348,2)=0,"","yes")</f>
        <v/>
      </c>
      <c r="G348" s="45" t="n"/>
      <c r="H348" s="43">
        <f>IF($G348="","",$E348-$G348)</f>
        <v/>
      </c>
    </row>
    <row r="349">
      <c r="A349" s="42" t="inlineStr">
        <is>
          <t>2645</t>
        </is>
      </c>
      <c r="B349" s="42" t="inlineStr">
        <is>
          <t>EY SYD Tech Support</t>
        </is>
      </c>
      <c r="C349" s="43">
        <f>SUMIFS(tbl_WIP[Amount],tbl_WIP[Job Number],$A349,tbl_WIP[Month],"&lt;&gt;",tbl_WIP[Month],"&lt;"&amp;$C$4)+SUMIF('Deferred Revenue'!$E$6:$E$578,$A349,'Deferred Revenue'!$P$6:$P$578)</f>
        <v/>
      </c>
      <c r="D349" s="43">
        <f>SUMIFS(tbl_WIP[Amount],tbl_WIP[Job Number],$A349,tbl_WIP[Month],$C$4)+SUMIF('Deferred Revenue'!$E$6:$E$578,$A349,'Deferred Revenue'!$Q$6:$Q$578)</f>
        <v/>
      </c>
      <c r="E349" s="43">
        <f>C349+D349</f>
        <v/>
      </c>
      <c r="F349" s="44">
        <f>IF(ROUND(C349,2)+ROUND(D349,2)=0,"","yes")</f>
        <v/>
      </c>
      <c r="G349" s="45" t="n"/>
      <c r="H349" s="43">
        <f>IF($G349="","",$E349-$G349)</f>
        <v/>
      </c>
    </row>
    <row r="350">
      <c r="A350" s="42" t="inlineStr">
        <is>
          <t>2648</t>
        </is>
      </c>
      <c r="B350" s="42" t="inlineStr">
        <is>
          <t>DTTL MEL Additional Tech</t>
        </is>
      </c>
      <c r="C350" s="43">
        <f>SUMIFS(tbl_WIP[Amount],tbl_WIP[Job Number],$A350,tbl_WIP[Month],"&lt;&gt;",tbl_WIP[Month],"&lt;"&amp;$C$4)+SUMIF('Deferred Revenue'!$E$6:$E$578,$A350,'Deferred Revenue'!$P$6:$P$578)</f>
        <v/>
      </c>
      <c r="D350" s="43">
        <f>SUMIFS(tbl_WIP[Amount],tbl_WIP[Job Number],$A350,tbl_WIP[Month],$C$4)+SUMIF('Deferred Revenue'!$E$6:$E$578,$A350,'Deferred Revenue'!$Q$6:$Q$578)</f>
        <v/>
      </c>
      <c r="E350" s="43">
        <f>C350+D350</f>
        <v/>
      </c>
      <c r="F350" s="44">
        <f>IF(ROUND(C350,2)+ROUND(D350,2)=0,"","yes")</f>
        <v/>
      </c>
      <c r="G350" s="45" t="n"/>
      <c r="H350" s="43">
        <f>IF($G350="","",$E350-$G350)</f>
        <v/>
      </c>
    </row>
    <row r="351">
      <c r="A351" s="42" t="inlineStr">
        <is>
          <t>2658</t>
        </is>
      </c>
      <c r="B351" s="42" t="inlineStr">
        <is>
          <t>EY MELB Tech</t>
        </is>
      </c>
      <c r="C351" s="43">
        <f>SUMIFS(tbl_WIP[Amount],tbl_WIP[Job Number],$A351,tbl_WIP[Month],"&lt;&gt;",tbl_WIP[Month],"&lt;"&amp;$C$4)+SUMIF('Deferred Revenue'!$E$6:$E$578,$A351,'Deferred Revenue'!$P$6:$P$578)</f>
        <v/>
      </c>
      <c r="D351" s="43">
        <f>SUMIFS(tbl_WIP[Amount],tbl_WIP[Job Number],$A351,tbl_WIP[Month],$C$4)+SUMIF('Deferred Revenue'!$E$6:$E$578,$A351,'Deferred Revenue'!$Q$6:$Q$578)</f>
        <v/>
      </c>
      <c r="E351" s="43">
        <f>C351+D351</f>
        <v/>
      </c>
      <c r="F351" s="44">
        <f>IF(ROUND(C351,2)+ROUND(D351,2)=0,"","yes")</f>
        <v/>
      </c>
      <c r="G351" s="45" t="n"/>
      <c r="H351" s="43">
        <f>IF($G351="","",$E351-$G351)</f>
        <v/>
      </c>
    </row>
    <row r="352">
      <c r="A352" s="42" t="inlineStr">
        <is>
          <t>2675</t>
        </is>
      </c>
      <c r="B352" s="42" t="inlineStr">
        <is>
          <t>ONS EY (non-chargeable)</t>
        </is>
      </c>
      <c r="C352" s="43">
        <f>SUMIFS(tbl_WIP[Amount],tbl_WIP[Job Number],$A352,tbl_WIP[Month],"&lt;&gt;",tbl_WIP[Month],"&lt;"&amp;$C$4)+SUMIF('Deferred Revenue'!$E$6:$E$578,$A352,'Deferred Revenue'!$P$6:$P$578)</f>
        <v/>
      </c>
      <c r="D352" s="43">
        <f>SUMIFS(tbl_WIP[Amount],tbl_WIP[Job Number],$A352,tbl_WIP[Month],$C$4)+SUMIF('Deferred Revenue'!$E$6:$E$578,$A352,'Deferred Revenue'!$Q$6:$Q$578)</f>
        <v/>
      </c>
      <c r="E352" s="43">
        <f>C352+D352</f>
        <v/>
      </c>
      <c r="F352" s="44">
        <f>IF(ROUND(C352,2)+ROUND(D352,2)=0,"","yes")</f>
        <v/>
      </c>
      <c r="G352" s="45" t="n"/>
      <c r="H352" s="43">
        <f>IF($G352="","",$E352-$G352)</f>
        <v/>
      </c>
    </row>
    <row r="353">
      <c r="A353" s="42" t="inlineStr">
        <is>
          <t>2685</t>
        </is>
      </c>
      <c r="B353" s="42" t="inlineStr">
        <is>
          <t>APA Proxyclick BNE &amp; DRW</t>
        </is>
      </c>
      <c r="C353" s="43">
        <f>SUMIFS(tbl_WIP[Amount],tbl_WIP[Job Number],$A353,tbl_WIP[Month],"&lt;&gt;",tbl_WIP[Month],"&lt;"&amp;$C$4)+SUMIF('Deferred Revenue'!$E$6:$E$578,$A353,'Deferred Revenue'!$P$6:$P$578)</f>
        <v/>
      </c>
      <c r="D353" s="43">
        <f>SUMIFS(tbl_WIP[Amount],tbl_WIP[Job Number],$A353,tbl_WIP[Month],$C$4)+SUMIF('Deferred Revenue'!$E$6:$E$578,$A353,'Deferred Revenue'!$Q$6:$Q$578)</f>
        <v/>
      </c>
      <c r="E353" s="43">
        <f>C353+D353</f>
        <v/>
      </c>
      <c r="F353" s="44">
        <f>IF(ROUND(C353,2)+ROUND(D353,2)=0,"","yes")</f>
        <v/>
      </c>
      <c r="G353" s="45" t="n"/>
      <c r="H353" s="43">
        <f>IF($G353="","",$E353-$G353)</f>
        <v/>
      </c>
    </row>
    <row r="354">
      <c r="A354" s="42" t="inlineStr">
        <is>
          <t>2706</t>
        </is>
      </c>
      <c r="B354" s="42" t="inlineStr">
        <is>
          <t>EPA 6PSQ Proxyclick VMS</t>
        </is>
      </c>
      <c r="C354" s="43">
        <f>SUMIFS(tbl_WIP[Amount],tbl_WIP[Job Number],$A354,tbl_WIP[Month],"&lt;&gt;",tbl_WIP[Month],"&lt;"&amp;$C$4)+SUMIF('Deferred Revenue'!$E$6:$E$578,$A354,'Deferred Revenue'!$P$6:$P$578)</f>
        <v/>
      </c>
      <c r="D354" s="43">
        <f>SUMIFS(tbl_WIP[Amount],tbl_WIP[Job Number],$A354,tbl_WIP[Month],$C$4)+SUMIF('Deferred Revenue'!$E$6:$E$578,$A354,'Deferred Revenue'!$Q$6:$Q$578)</f>
        <v/>
      </c>
      <c r="E354" s="43">
        <f>C354+D354</f>
        <v/>
      </c>
      <c r="F354" s="44">
        <f>IF(ROUND(C354,2)+ROUND(D354,2)=0,"","yes")</f>
        <v/>
      </c>
      <c r="G354" s="45" t="n"/>
      <c r="H354" s="43">
        <f>IF($G354="","",$E354-$G354)</f>
        <v/>
      </c>
    </row>
    <row r="355">
      <c r="A355" s="42" t="inlineStr">
        <is>
          <t>2719</t>
        </is>
      </c>
      <c r="B355" s="42" t="inlineStr">
        <is>
          <t>GSP - 6PSQProxyclickOnb</t>
        </is>
      </c>
      <c r="C355" s="43">
        <f>SUMIFS(tbl_WIP[Amount],tbl_WIP[Job Number],$A355,tbl_WIP[Month],"&lt;&gt;",tbl_WIP[Month],"&lt;"&amp;$C$4)+SUMIF('Deferred Revenue'!$E$6:$E$578,$A355,'Deferred Revenue'!$P$6:$P$578)</f>
        <v/>
      </c>
      <c r="D355" s="43">
        <f>SUMIFS(tbl_WIP[Amount],tbl_WIP[Job Number],$A355,tbl_WIP[Month],$C$4)+SUMIF('Deferred Revenue'!$E$6:$E$578,$A355,'Deferred Revenue'!$Q$6:$Q$578)</f>
        <v/>
      </c>
      <c r="E355" s="43">
        <f>C355+D355</f>
        <v/>
      </c>
      <c r="F355" s="44">
        <f>IF(ROUND(C355,2)+ROUND(D355,2)=0,"","yes")</f>
        <v/>
      </c>
      <c r="G355" s="45" t="n"/>
      <c r="H355" s="43">
        <f>IF($G355="","",$E355-$G355)</f>
        <v/>
      </c>
    </row>
    <row r="356">
      <c r="A356" s="42" t="inlineStr">
        <is>
          <t>2722</t>
        </is>
      </c>
      <c r="B356" s="42" t="inlineStr">
        <is>
          <t>PWC Monthly Consulting</t>
        </is>
      </c>
      <c r="C356" s="43">
        <f>SUMIFS(tbl_WIP[Amount],tbl_WIP[Job Number],$A356,tbl_WIP[Month],"&lt;&gt;",tbl_WIP[Month],"&lt;"&amp;$C$4)+SUMIF('Deferred Revenue'!$E$6:$E$578,$A356,'Deferred Revenue'!$P$6:$P$578)</f>
        <v/>
      </c>
      <c r="D356" s="43">
        <f>SUMIFS(tbl_WIP[Amount],tbl_WIP[Job Number],$A356,tbl_WIP[Month],$C$4)+SUMIF('Deferred Revenue'!$E$6:$E$578,$A356,'Deferred Revenue'!$Q$6:$Q$578)</f>
        <v/>
      </c>
      <c r="E356" s="43">
        <f>C356+D356</f>
        <v/>
      </c>
      <c r="F356" s="44">
        <f>IF(ROUND(C356,2)+ROUND(D356,2)=0,"","yes")</f>
        <v/>
      </c>
      <c r="G356" s="45" t="n"/>
      <c r="H356" s="43">
        <f>IF($G356="","",$E356-$G356)</f>
        <v/>
      </c>
    </row>
    <row r="357">
      <c r="A357" s="42" t="inlineStr">
        <is>
          <t>2726</t>
        </is>
      </c>
      <c r="B357" s="42" t="inlineStr">
        <is>
          <t>KPMG MEL Tech</t>
        </is>
      </c>
      <c r="C357" s="43">
        <f>SUMIFS(tbl_WIP[Amount],tbl_WIP[Job Number],$A357,tbl_WIP[Month],"&lt;&gt;",tbl_WIP[Month],"&lt;"&amp;$C$4)+SUMIF('Deferred Revenue'!$E$6:$E$578,$A357,'Deferred Revenue'!$P$6:$P$578)</f>
        <v/>
      </c>
      <c r="D357" s="43">
        <f>SUMIFS(tbl_WIP[Amount],tbl_WIP[Job Number],$A357,tbl_WIP[Month],$C$4)+SUMIF('Deferred Revenue'!$E$6:$E$578,$A357,'Deferred Revenue'!$Q$6:$Q$578)</f>
        <v/>
      </c>
      <c r="E357" s="43">
        <f>C357+D357</f>
        <v/>
      </c>
      <c r="F357" s="44">
        <f>IF(ROUND(C357,2)+ROUND(D357,2)=0,"","yes")</f>
        <v/>
      </c>
      <c r="G357" s="45" t="n"/>
      <c r="H357" s="43">
        <f>IF($G357="","",$E357-$G357)</f>
        <v/>
      </c>
    </row>
    <row r="358">
      <c r="A358" s="42" t="inlineStr">
        <is>
          <t>2756</t>
        </is>
      </c>
      <c r="B358" s="42" t="inlineStr">
        <is>
          <t>CTS Mgmt Meetings</t>
        </is>
      </c>
      <c r="C358" s="43">
        <f>SUMIFS(tbl_WIP[Amount],tbl_WIP[Job Number],$A358,tbl_WIP[Month],"&lt;&gt;",tbl_WIP[Month],"&lt;"&amp;$C$4)+SUMIF('Deferred Revenue'!$E$6:$E$578,$A358,'Deferred Revenue'!$P$6:$P$578)</f>
        <v/>
      </c>
      <c r="D358" s="43">
        <f>SUMIFS(tbl_WIP[Amount],tbl_WIP[Job Number],$A358,tbl_WIP[Month],$C$4)+SUMIF('Deferred Revenue'!$E$6:$E$578,$A358,'Deferred Revenue'!$Q$6:$Q$578)</f>
        <v/>
      </c>
      <c r="E358" s="43">
        <f>C358+D358</f>
        <v/>
      </c>
      <c r="F358" s="44">
        <f>IF(ROUND(C358,2)+ROUND(D358,2)=0,"","yes")</f>
        <v/>
      </c>
      <c r="G358" s="45" t="n"/>
      <c r="H358" s="43">
        <f>IF($G358="","",$E358-$G358)</f>
        <v/>
      </c>
    </row>
    <row r="359">
      <c r="A359" s="42" t="inlineStr">
        <is>
          <t>2834</t>
        </is>
      </c>
      <c r="B359" s="42" t="inlineStr">
        <is>
          <t>APA Young - Visitor Mgmt</t>
        </is>
      </c>
      <c r="C359" s="43">
        <f>SUMIFS(tbl_WIP[Amount],tbl_WIP[Job Number],$A359,tbl_WIP[Month],"&lt;&gt;",tbl_WIP[Month],"&lt;"&amp;$C$4)+SUMIF('Deferred Revenue'!$E$6:$E$578,$A359,'Deferred Revenue'!$P$6:$P$578)</f>
        <v/>
      </c>
      <c r="D359" s="43">
        <f>SUMIFS(tbl_WIP[Amount],tbl_WIP[Job Number],$A359,tbl_WIP[Month],$C$4)+SUMIF('Deferred Revenue'!$E$6:$E$578,$A359,'Deferred Revenue'!$Q$6:$Q$578)</f>
        <v/>
      </c>
      <c r="E359" s="43">
        <f>C359+D359</f>
        <v/>
      </c>
      <c r="F359" s="44">
        <f>IF(ROUND(C359,2)+ROUND(D359,2)=0,"","yes")</f>
        <v/>
      </c>
      <c r="G359" s="45" t="n"/>
      <c r="H359" s="43">
        <f>IF($G359="","",$E359-$G359)</f>
        <v/>
      </c>
    </row>
    <row r="360">
      <c r="A360" s="42" t="inlineStr">
        <is>
          <t>2838</t>
        </is>
      </c>
      <c r="B360" s="42" t="inlineStr">
        <is>
          <t>KPMG SYD Tech</t>
        </is>
      </c>
      <c r="C360" s="43">
        <f>SUMIFS(tbl_WIP[Amount],tbl_WIP[Job Number],$A360,tbl_WIP[Month],"&lt;&gt;",tbl_WIP[Month],"&lt;"&amp;$C$4)+SUMIF('Deferred Revenue'!$E$6:$E$578,$A360,'Deferred Revenue'!$P$6:$P$578)</f>
        <v/>
      </c>
      <c r="D360" s="43">
        <f>SUMIFS(tbl_WIP[Amount],tbl_WIP[Job Number],$A360,tbl_WIP[Month],$C$4)+SUMIF('Deferred Revenue'!$E$6:$E$578,$A360,'Deferred Revenue'!$Q$6:$Q$578)</f>
        <v/>
      </c>
      <c r="E360" s="43">
        <f>C360+D360</f>
        <v/>
      </c>
      <c r="F360" s="44">
        <f>IF(ROUND(C360,2)+ROUND(D360,2)=0,"","yes")</f>
        <v/>
      </c>
      <c r="G360" s="45" t="n"/>
      <c r="H360" s="43">
        <f>IF($G360="","",$E360-$G360)</f>
        <v/>
      </c>
    </row>
    <row r="361">
      <c r="A361" s="42" t="inlineStr">
        <is>
          <t>2846</t>
        </is>
      </c>
      <c r="B361" s="42" t="inlineStr">
        <is>
          <t>DTTL National STL</t>
        </is>
      </c>
      <c r="C361" s="43">
        <f>SUMIFS(tbl_WIP[Amount],tbl_WIP[Job Number],$A361,tbl_WIP[Month],"&lt;&gt;",tbl_WIP[Month],"&lt;"&amp;$C$4)+SUMIF('Deferred Revenue'!$E$6:$E$578,$A361,'Deferred Revenue'!$P$6:$P$578)</f>
        <v/>
      </c>
      <c r="D361" s="43">
        <f>SUMIFS(tbl_WIP[Amount],tbl_WIP[Job Number],$A361,tbl_WIP[Month],$C$4)+SUMIF('Deferred Revenue'!$E$6:$E$578,$A361,'Deferred Revenue'!$Q$6:$Q$578)</f>
        <v/>
      </c>
      <c r="E361" s="43">
        <f>C361+D361</f>
        <v/>
      </c>
      <c r="F361" s="44">
        <f>IF(ROUND(C361,2)+ROUND(D361,2)=0,"","yes")</f>
        <v/>
      </c>
      <c r="G361" s="45" t="n"/>
      <c r="H361" s="43">
        <f>IF($G361="","",$E361-$G361)</f>
        <v/>
      </c>
    </row>
    <row r="362">
      <c r="A362" s="42" t="inlineStr">
        <is>
          <t>2848</t>
        </is>
      </c>
      <c r="B362" s="42" t="inlineStr">
        <is>
          <t>APA ADL Visitor Mgmt</t>
        </is>
      </c>
      <c r="C362" s="43">
        <f>SUMIFS(tbl_WIP[Amount],tbl_WIP[Job Number],$A362,tbl_WIP[Month],"&lt;&gt;",tbl_WIP[Month],"&lt;"&amp;$C$4)+SUMIF('Deferred Revenue'!$E$6:$E$578,$A362,'Deferred Revenue'!$P$6:$P$578)</f>
        <v/>
      </c>
      <c r="D362" s="43">
        <f>SUMIFS(tbl_WIP[Amount],tbl_WIP[Job Number],$A362,tbl_WIP[Month],$C$4)+SUMIF('Deferred Revenue'!$E$6:$E$578,$A362,'Deferred Revenue'!$Q$6:$Q$578)</f>
        <v/>
      </c>
      <c r="E362" s="43">
        <f>C362+D362</f>
        <v/>
      </c>
      <c r="F362" s="44">
        <f>IF(ROUND(C362,2)+ROUND(D362,2)=0,"","yes")</f>
        <v/>
      </c>
      <c r="G362" s="45" t="n"/>
      <c r="H362" s="43">
        <f>IF($G362="","",$E362-$G362)</f>
        <v/>
      </c>
    </row>
    <row r="363">
      <c r="A363" s="42" t="inlineStr">
        <is>
          <t>2849</t>
        </is>
      </c>
      <c r="B363" s="42" t="inlineStr">
        <is>
          <t>DTTL SYD Internal</t>
        </is>
      </c>
      <c r="C363" s="43">
        <f>SUMIFS(tbl_WIP[Amount],tbl_WIP[Job Number],$A363,tbl_WIP[Month],"&lt;&gt;",tbl_WIP[Month],"&lt;"&amp;$C$4)+SUMIF('Deferred Revenue'!$E$6:$E$578,$A363,'Deferred Revenue'!$P$6:$P$578)</f>
        <v/>
      </c>
      <c r="D363" s="43">
        <f>SUMIFS(tbl_WIP[Amount],tbl_WIP[Job Number],$A363,tbl_WIP[Month],$C$4)+SUMIF('Deferred Revenue'!$E$6:$E$578,$A363,'Deferred Revenue'!$Q$6:$Q$578)</f>
        <v/>
      </c>
      <c r="E363" s="43">
        <f>C363+D363</f>
        <v/>
      </c>
      <c r="F363" s="44">
        <f>IF(ROUND(C363,2)+ROUND(D363,2)=0,"","yes")</f>
        <v/>
      </c>
      <c r="G363" s="45" t="n"/>
      <c r="H363" s="43">
        <f>IF($G363="","",$E363-$G363)</f>
        <v/>
      </c>
    </row>
    <row r="364">
      <c r="A364" s="42" t="inlineStr">
        <is>
          <t>2855</t>
        </is>
      </c>
      <c r="B364" s="42" t="inlineStr">
        <is>
          <t>APA Melbourne VMS</t>
        </is>
      </c>
      <c r="C364" s="43">
        <f>SUMIFS(tbl_WIP[Amount],tbl_WIP[Job Number],$A364,tbl_WIP[Month],"&lt;&gt;",tbl_WIP[Month],"&lt;"&amp;$C$4)+SUMIF('Deferred Revenue'!$E$6:$E$578,$A364,'Deferred Revenue'!$P$6:$P$578)</f>
        <v/>
      </c>
      <c r="D364" s="43">
        <f>SUMIFS(tbl_WIP[Amount],tbl_WIP[Job Number],$A364,tbl_WIP[Month],$C$4)+SUMIF('Deferred Revenue'!$E$6:$E$578,$A364,'Deferred Revenue'!$Q$6:$Q$578)</f>
        <v/>
      </c>
      <c r="E364" s="43">
        <f>C364+D364</f>
        <v/>
      </c>
      <c r="F364" s="44">
        <f>IF(ROUND(C364,2)+ROUND(D364,2)=0,"","yes")</f>
        <v/>
      </c>
      <c r="G364" s="45" t="n"/>
      <c r="H364" s="43">
        <f>IF($G364="","",$E364-$G364)</f>
        <v/>
      </c>
    </row>
    <row r="365">
      <c r="A365" s="42" t="inlineStr">
        <is>
          <t>2857</t>
        </is>
      </c>
      <c r="B365" s="42" t="inlineStr">
        <is>
          <t>APA Sydney Visitor Mgmt</t>
        </is>
      </c>
      <c r="C365" s="43">
        <f>SUMIFS(tbl_WIP[Amount],tbl_WIP[Job Number],$A365,tbl_WIP[Month],"&lt;&gt;",tbl_WIP[Month],"&lt;"&amp;$C$4)+SUMIF('Deferred Revenue'!$E$6:$E$578,$A365,'Deferred Revenue'!$P$6:$P$578)</f>
        <v/>
      </c>
      <c r="D365" s="43">
        <f>SUMIFS(tbl_WIP[Amount],tbl_WIP[Job Number],$A365,tbl_WIP[Month],$C$4)+SUMIF('Deferred Revenue'!$E$6:$E$578,$A365,'Deferred Revenue'!$Q$6:$Q$578)</f>
        <v/>
      </c>
      <c r="E365" s="43">
        <f>C365+D365</f>
        <v/>
      </c>
      <c r="F365" s="44">
        <f>IF(ROUND(C365,2)+ROUND(D365,2)=0,"","yes")</f>
        <v/>
      </c>
      <c r="G365" s="45" t="n"/>
      <c r="H365" s="43">
        <f>IF($G365="","",$E365-$G365)</f>
        <v/>
      </c>
    </row>
    <row r="366">
      <c r="A366" s="42" t="inlineStr">
        <is>
          <t>2877</t>
        </is>
      </c>
      <c r="B366" s="42" t="inlineStr">
        <is>
          <t>DEWR Maintenance Ext</t>
        </is>
      </c>
      <c r="C366" s="43">
        <f>SUMIFS(tbl_WIP[Amount],tbl_WIP[Job Number],$A366,tbl_WIP[Month],"&lt;&gt;",tbl_WIP[Month],"&lt;"&amp;$C$4)+SUMIF('Deferred Revenue'!$E$6:$E$578,$A366,'Deferred Revenue'!$P$6:$P$578)</f>
        <v/>
      </c>
      <c r="D366" s="43">
        <f>SUMIFS(tbl_WIP[Amount],tbl_WIP[Job Number],$A366,tbl_WIP[Month],$C$4)+SUMIF('Deferred Revenue'!$E$6:$E$578,$A366,'Deferred Revenue'!$Q$6:$Q$578)</f>
        <v/>
      </c>
      <c r="E366" s="43">
        <f>C366+D366</f>
        <v/>
      </c>
      <c r="F366" s="44">
        <f>IF(ROUND(C366,2)+ROUND(D366,2)=0,"","yes")</f>
        <v/>
      </c>
      <c r="G366" s="45" t="n"/>
      <c r="H366" s="43">
        <f>IF($G366="","",$E366-$G366)</f>
        <v/>
      </c>
    </row>
    <row r="367">
      <c r="A367" s="42" t="inlineStr">
        <is>
          <t>2879</t>
        </is>
      </c>
      <c r="B367" s="42" t="inlineStr">
        <is>
          <t>ONS Ricoh-QANTAS (non-chgble)</t>
        </is>
      </c>
      <c r="C367" s="43">
        <f>SUMIFS(tbl_WIP[Amount],tbl_WIP[Job Number],$A367,tbl_WIP[Month],"&lt;&gt;",tbl_WIP[Month],"&lt;"&amp;$C$4)+SUMIF('Deferred Revenue'!$E$6:$E$578,$A367,'Deferred Revenue'!$P$6:$P$578)</f>
        <v/>
      </c>
      <c r="D367" s="43">
        <f>SUMIFS(tbl_WIP[Amount],tbl_WIP[Job Number],$A367,tbl_WIP[Month],$C$4)+SUMIF('Deferred Revenue'!$E$6:$E$578,$A367,'Deferred Revenue'!$Q$6:$Q$578)</f>
        <v/>
      </c>
      <c r="E367" s="43">
        <f>C367+D367</f>
        <v/>
      </c>
      <c r="F367" s="44">
        <f>IF(ROUND(C367,2)+ROUND(D367,2)=0,"","yes")</f>
        <v/>
      </c>
      <c r="G367" s="45" t="n"/>
      <c r="H367" s="43">
        <f>IF($G367="","",$E367-$G367)</f>
        <v/>
      </c>
    </row>
    <row r="368">
      <c r="A368" s="42" t="inlineStr">
        <is>
          <t>2880</t>
        </is>
      </c>
      <c r="B368" s="42" t="inlineStr">
        <is>
          <t>Ricoh - QANTAS</t>
        </is>
      </c>
      <c r="C368" s="43">
        <f>SUMIFS(tbl_WIP[Amount],tbl_WIP[Job Number],$A368,tbl_WIP[Month],"&lt;&gt;",tbl_WIP[Month],"&lt;"&amp;$C$4)+SUMIF('Deferred Revenue'!$E$6:$E$578,$A368,'Deferred Revenue'!$P$6:$P$578)</f>
        <v/>
      </c>
      <c r="D368" s="43">
        <f>SUMIFS(tbl_WIP[Amount],tbl_WIP[Job Number],$A368,tbl_WIP[Month],$C$4)+SUMIF('Deferred Revenue'!$E$6:$E$578,$A368,'Deferred Revenue'!$Q$6:$Q$578)</f>
        <v/>
      </c>
      <c r="E368" s="43">
        <f>C368+D368</f>
        <v/>
      </c>
      <c r="F368" s="44">
        <f>IF(ROUND(C368,2)+ROUND(D368,2)=0,"","yes")</f>
        <v/>
      </c>
      <c r="G368" s="45" t="n"/>
      <c r="H368" s="43">
        <f>IF($G368="","",$E368-$G368)</f>
        <v/>
      </c>
    </row>
    <row r="369">
      <c r="A369" s="42" t="inlineStr">
        <is>
          <t>2892</t>
        </is>
      </c>
      <c r="B369" s="42" t="inlineStr">
        <is>
          <t>JP Morgan Onsite Tech</t>
        </is>
      </c>
      <c r="C369" s="43">
        <f>SUMIFS(tbl_WIP[Amount],tbl_WIP[Job Number],$A369,tbl_WIP[Month],"&lt;&gt;",tbl_WIP[Month],"&lt;"&amp;$C$4)+SUMIF('Deferred Revenue'!$E$6:$E$578,$A369,'Deferred Revenue'!$P$6:$P$578)</f>
        <v/>
      </c>
      <c r="D369" s="43">
        <f>SUMIFS(tbl_WIP[Amount],tbl_WIP[Job Number],$A369,tbl_WIP[Month],$C$4)+SUMIF('Deferred Revenue'!$E$6:$E$578,$A369,'Deferred Revenue'!$Q$6:$Q$578)</f>
        <v/>
      </c>
      <c r="E369" s="43">
        <f>C369+D369</f>
        <v/>
      </c>
      <c r="F369" s="44">
        <f>IF(ROUND(C369,2)+ROUND(D369,2)=0,"","yes")</f>
        <v/>
      </c>
      <c r="G369" s="45" t="n"/>
      <c r="H369" s="43">
        <f>IF($G369="","",$E369-$G369)</f>
        <v/>
      </c>
    </row>
    <row r="370">
      <c r="A370" s="42" t="inlineStr">
        <is>
          <t>2896</t>
        </is>
      </c>
      <c r="B370" s="42" t="inlineStr">
        <is>
          <t>ONS KPMG (non-chargeable)</t>
        </is>
      </c>
      <c r="C370" s="43">
        <f>SUMIFS(tbl_WIP[Amount],tbl_WIP[Job Number],$A370,tbl_WIP[Month],"&lt;&gt;",tbl_WIP[Month],"&lt;"&amp;$C$4)+SUMIF('Deferred Revenue'!$E$6:$E$578,$A370,'Deferred Revenue'!$P$6:$P$578)</f>
        <v/>
      </c>
      <c r="D370" s="43">
        <f>SUMIFS(tbl_WIP[Amount],tbl_WIP[Job Number],$A370,tbl_WIP[Month],$C$4)+SUMIF('Deferred Revenue'!$E$6:$E$578,$A370,'Deferred Revenue'!$Q$6:$Q$578)</f>
        <v/>
      </c>
      <c r="E370" s="43">
        <f>C370+D370</f>
        <v/>
      </c>
      <c r="F370" s="44">
        <f>IF(ROUND(C370,2)+ROUND(D370,2)=0,"","yes")</f>
        <v/>
      </c>
      <c r="G370" s="45" t="n"/>
      <c r="H370" s="43">
        <f>IF($G370="","",$E370-$G370)</f>
        <v/>
      </c>
    </row>
    <row r="371">
      <c r="A371" s="42" t="inlineStr">
        <is>
          <t>2897</t>
        </is>
      </c>
      <c r="B371" s="42" t="inlineStr">
        <is>
          <t>ONS JPM (non-chargeable)</t>
        </is>
      </c>
      <c r="C371" s="43">
        <f>SUMIFS(tbl_WIP[Amount],tbl_WIP[Job Number],$A371,tbl_WIP[Month],"&lt;&gt;",tbl_WIP[Month],"&lt;"&amp;$C$4)+SUMIF('Deferred Revenue'!$E$6:$E$578,$A371,'Deferred Revenue'!$P$6:$P$578)</f>
        <v/>
      </c>
      <c r="D371" s="43">
        <f>SUMIFS(tbl_WIP[Amount],tbl_WIP[Job Number],$A371,tbl_WIP[Month],$C$4)+SUMIF('Deferred Revenue'!$E$6:$E$578,$A371,'Deferred Revenue'!$Q$6:$Q$578)</f>
        <v/>
      </c>
      <c r="E371" s="43">
        <f>C371+D371</f>
        <v/>
      </c>
      <c r="F371" s="44">
        <f>IF(ROUND(C371,2)+ROUND(D371,2)=0,"","yes")</f>
        <v/>
      </c>
      <c r="G371" s="45" t="n"/>
      <c r="H371" s="43">
        <f>IF($G371="","",$E371-$G371)</f>
        <v/>
      </c>
    </row>
    <row r="372">
      <c r="A372" s="42" t="inlineStr">
        <is>
          <t>2900</t>
        </is>
      </c>
      <c r="B372" s="42" t="inlineStr">
        <is>
          <t>ONS Ammacus-Woolworths (non-chargeable)</t>
        </is>
      </c>
      <c r="C372" s="43">
        <f>SUMIFS(tbl_WIP[Amount],tbl_WIP[Job Number],$A372,tbl_WIP[Month],"&lt;&gt;",tbl_WIP[Month],"&lt;"&amp;$C$4)+SUMIF('Deferred Revenue'!$E$6:$E$578,$A372,'Deferred Revenue'!$P$6:$P$578)</f>
        <v/>
      </c>
      <c r="D372" s="43">
        <f>SUMIFS(tbl_WIP[Amount],tbl_WIP[Job Number],$A372,tbl_WIP[Month],$C$4)+SUMIF('Deferred Revenue'!$E$6:$E$578,$A372,'Deferred Revenue'!$Q$6:$Q$578)</f>
        <v/>
      </c>
      <c r="E372" s="43">
        <f>C372+D372</f>
        <v/>
      </c>
      <c r="F372" s="44">
        <f>IF(ROUND(C372,2)+ROUND(D372,2)=0,"","yes")</f>
        <v/>
      </c>
      <c r="G372" s="45" t="n"/>
      <c r="H372" s="43">
        <f>IF($G372="","",$E372-$G372)</f>
        <v/>
      </c>
    </row>
    <row r="373">
      <c r="A373" s="42" t="inlineStr">
        <is>
          <t>2906</t>
        </is>
      </c>
      <c r="B373" s="42" t="inlineStr">
        <is>
          <t>KPMG BNE Tech</t>
        </is>
      </c>
      <c r="C373" s="43">
        <f>SUMIFS(tbl_WIP[Amount],tbl_WIP[Job Number],$A373,tbl_WIP[Month],"&lt;&gt;",tbl_WIP[Month],"&lt;"&amp;$C$4)+SUMIF('Deferred Revenue'!$E$6:$E$578,$A373,'Deferred Revenue'!$P$6:$P$578)</f>
        <v/>
      </c>
      <c r="D373" s="43">
        <f>SUMIFS(tbl_WIP[Amount],tbl_WIP[Job Number],$A373,tbl_WIP[Month],$C$4)+SUMIF('Deferred Revenue'!$E$6:$E$578,$A373,'Deferred Revenue'!$Q$6:$Q$578)</f>
        <v/>
      </c>
      <c r="E373" s="43">
        <f>C373+D373</f>
        <v/>
      </c>
      <c r="F373" s="44">
        <f>IF(ROUND(C373,2)+ROUND(D373,2)=0,"","yes")</f>
        <v/>
      </c>
      <c r="G373" s="45" t="n"/>
      <c r="H373" s="43">
        <f>IF($G373="","",$E373-$G373)</f>
        <v/>
      </c>
    </row>
    <row r="374">
      <c r="A374" s="42" t="inlineStr">
        <is>
          <t>2907</t>
        </is>
      </c>
      <c r="B374" s="42" t="inlineStr">
        <is>
          <t>Ammacus-Woolworths Tech</t>
        </is>
      </c>
      <c r="C374" s="43">
        <f>SUMIFS(tbl_WIP[Amount],tbl_WIP[Job Number],$A374,tbl_WIP[Month],"&lt;&gt;",tbl_WIP[Month],"&lt;"&amp;$C$4)+SUMIF('Deferred Revenue'!$E$6:$E$578,$A374,'Deferred Revenue'!$P$6:$P$578)</f>
        <v/>
      </c>
      <c r="D374" s="43">
        <f>SUMIFS(tbl_WIP[Amount],tbl_WIP[Job Number],$A374,tbl_WIP[Month],$C$4)+SUMIF('Deferred Revenue'!$E$6:$E$578,$A374,'Deferred Revenue'!$Q$6:$Q$578)</f>
        <v/>
      </c>
      <c r="E374" s="43">
        <f>C374+D374</f>
        <v/>
      </c>
      <c r="F374" s="44">
        <f>IF(ROUND(C374,2)+ROUND(D374,2)=0,"","yes")</f>
        <v/>
      </c>
      <c r="G374" s="45" t="n"/>
      <c r="H374" s="43">
        <f>IF($G374="","",$E374-$G374)</f>
        <v/>
      </c>
    </row>
    <row r="375">
      <c r="A375" s="42" t="inlineStr">
        <is>
          <t>2910</t>
        </is>
      </c>
      <c r="B375" s="42" t="inlineStr">
        <is>
          <t>Office Move 2024</t>
        </is>
      </c>
      <c r="C375" s="43">
        <f>SUMIFS(tbl_WIP[Amount],tbl_WIP[Job Number],$A375,tbl_WIP[Month],"&lt;&gt;",tbl_WIP[Month],"&lt;"&amp;$C$4)+SUMIF('Deferred Revenue'!$E$6:$E$578,$A375,'Deferred Revenue'!$P$6:$P$578)</f>
        <v/>
      </c>
      <c r="D375" s="43">
        <f>SUMIFS(tbl_WIP[Amount],tbl_WIP[Job Number],$A375,tbl_WIP[Month],$C$4)+SUMIF('Deferred Revenue'!$E$6:$E$578,$A375,'Deferred Revenue'!$Q$6:$Q$578)</f>
        <v/>
      </c>
      <c r="E375" s="43">
        <f>C375+D375</f>
        <v/>
      </c>
      <c r="F375" s="44">
        <f>IF(ROUND(C375,2)+ROUND(D375,2)=0,"","yes")</f>
        <v/>
      </c>
      <c r="G375" s="45" t="n"/>
      <c r="H375" s="43">
        <f>IF($G375="","",$E375-$G375)</f>
        <v/>
      </c>
    </row>
    <row r="376">
      <c r="A376" s="42" t="inlineStr">
        <is>
          <t>2977</t>
        </is>
      </c>
      <c r="B376" s="42" t="inlineStr">
        <is>
          <t>St Catherine's School (CONS)</t>
        </is>
      </c>
      <c r="C376" s="43">
        <f>SUMIFS(tbl_WIP[Amount],tbl_WIP[Job Number],$A376,tbl_WIP[Month],"&lt;&gt;",tbl_WIP[Month],"&lt;"&amp;$C$4)+SUMIF('Deferred Revenue'!$E$6:$E$578,$A376,'Deferred Revenue'!$P$6:$P$578)</f>
        <v/>
      </c>
      <c r="D376" s="43">
        <f>SUMIFS(tbl_WIP[Amount],tbl_WIP[Job Number],$A376,tbl_WIP[Month],$C$4)+SUMIF('Deferred Revenue'!$E$6:$E$578,$A376,'Deferred Revenue'!$Q$6:$Q$578)</f>
        <v/>
      </c>
      <c r="E376" s="43">
        <f>C376+D376</f>
        <v/>
      </c>
      <c r="F376" s="44">
        <f>IF(ROUND(C376,2)+ROUND(D376,2)=0,"","yes")</f>
        <v/>
      </c>
      <c r="G376" s="45" t="n"/>
      <c r="H376" s="43">
        <f>IF($G376="","",$E376-$G376)</f>
        <v/>
      </c>
    </row>
    <row r="377">
      <c r="A377" s="42" t="inlineStr">
        <is>
          <t>3014</t>
        </is>
      </c>
      <c r="B377" s="42" t="inlineStr">
        <is>
          <t>ONS Ricoh/Campari (Chargeable)</t>
        </is>
      </c>
      <c r="C377" s="43">
        <f>SUMIFS(tbl_WIP[Amount],tbl_WIP[Job Number],$A377,tbl_WIP[Month],"&lt;&gt;",tbl_WIP[Month],"&lt;"&amp;$C$4)+SUMIF('Deferred Revenue'!$E$6:$E$578,$A377,'Deferred Revenue'!$P$6:$P$578)</f>
        <v/>
      </c>
      <c r="D377" s="43">
        <f>SUMIFS(tbl_WIP[Amount],tbl_WIP[Job Number],$A377,tbl_WIP[Month],$C$4)+SUMIF('Deferred Revenue'!$E$6:$E$578,$A377,'Deferred Revenue'!$Q$6:$Q$578)</f>
        <v/>
      </c>
      <c r="E377" s="43">
        <f>C377+D377</f>
        <v/>
      </c>
      <c r="F377" s="44">
        <f>IF(ROUND(C377,2)+ROUND(D377,2)=0,"","yes")</f>
        <v/>
      </c>
      <c r="G377" s="45" t="n"/>
      <c r="H377" s="43">
        <f>IF($G377="","",$E377-$G377)</f>
        <v/>
      </c>
    </row>
    <row r="378">
      <c r="A378" s="42" t="inlineStr">
        <is>
          <t>3015</t>
        </is>
      </c>
      <c r="B378" s="42" t="inlineStr">
        <is>
          <t>ONS Ricoh/Campari (Non Chgble)</t>
        </is>
      </c>
      <c r="C378" s="43">
        <f>SUMIFS(tbl_WIP[Amount],tbl_WIP[Job Number],$A378,tbl_WIP[Month],"&lt;&gt;",tbl_WIP[Month],"&lt;"&amp;$C$4)+SUMIF('Deferred Revenue'!$E$6:$E$578,$A378,'Deferred Revenue'!$P$6:$P$578)</f>
        <v/>
      </c>
      <c r="D378" s="43">
        <f>SUMIFS(tbl_WIP[Amount],tbl_WIP[Job Number],$A378,tbl_WIP[Month],$C$4)+SUMIF('Deferred Revenue'!$E$6:$E$578,$A378,'Deferred Revenue'!$Q$6:$Q$578)</f>
        <v/>
      </c>
      <c r="E378" s="43">
        <f>C378+D378</f>
        <v/>
      </c>
      <c r="F378" s="44">
        <f>IF(ROUND(C378,2)+ROUND(D378,2)=0,"","yes")</f>
        <v/>
      </c>
      <c r="G378" s="45" t="n"/>
      <c r="H378" s="43">
        <f>IF($G378="","",$E378-$G378)</f>
        <v/>
      </c>
    </row>
    <row r="379">
      <c r="A379" s="42" t="inlineStr">
        <is>
          <t>3027</t>
        </is>
      </c>
      <c r="B379" s="42" t="inlineStr">
        <is>
          <t>DPIE Elizabeth St Booking</t>
        </is>
      </c>
      <c r="C379" s="43">
        <f>SUMIFS(tbl_WIP[Amount],tbl_WIP[Job Number],$A379,tbl_WIP[Month],"&lt;&gt;",tbl_WIP[Month],"&lt;"&amp;$C$4)+SUMIF('Deferred Revenue'!$E$6:$E$578,$A379,'Deferred Revenue'!$P$6:$P$578)</f>
        <v/>
      </c>
      <c r="D379" s="43">
        <f>SUMIFS(tbl_WIP[Amount],tbl_WIP[Job Number],$A379,tbl_WIP[Month],$C$4)+SUMIF('Deferred Revenue'!$E$6:$E$578,$A379,'Deferred Revenue'!$Q$6:$Q$578)</f>
        <v/>
      </c>
      <c r="E379" s="43">
        <f>C379+D379</f>
        <v/>
      </c>
      <c r="F379" s="44">
        <f>IF(ROUND(C379,2)+ROUND(D379,2)=0,"","yes")</f>
        <v/>
      </c>
      <c r="G379" s="45" t="n"/>
      <c r="H379" s="43">
        <f>IF($G379="","",$E379-$G379)</f>
        <v/>
      </c>
    </row>
    <row r="380">
      <c r="A380" s="42" t="inlineStr">
        <is>
          <t>3028</t>
        </is>
      </c>
      <c r="B380" s="42" t="inlineStr">
        <is>
          <t>APA Kidman Park VMS</t>
        </is>
      </c>
      <c r="C380" s="43">
        <f>SUMIFS(tbl_WIP[Amount],tbl_WIP[Job Number],$A380,tbl_WIP[Month],"&lt;&gt;",tbl_WIP[Month],"&lt;"&amp;$C$4)+SUMIF('Deferred Revenue'!$E$6:$E$578,$A380,'Deferred Revenue'!$P$6:$P$578)</f>
        <v/>
      </c>
      <c r="D380" s="43">
        <f>SUMIFS(tbl_WIP[Amount],tbl_WIP[Job Number],$A380,tbl_WIP[Month],$C$4)+SUMIF('Deferred Revenue'!$E$6:$E$578,$A380,'Deferred Revenue'!$Q$6:$Q$578)</f>
        <v/>
      </c>
      <c r="E380" s="43">
        <f>C380+D380</f>
        <v/>
      </c>
      <c r="F380" s="44">
        <f>IF(ROUND(C380,2)+ROUND(D380,2)=0,"","yes")</f>
        <v/>
      </c>
      <c r="G380" s="45" t="n"/>
      <c r="H380" s="43">
        <f>IF($G380="","",$E380-$G380)</f>
        <v/>
      </c>
    </row>
    <row r="381">
      <c r="A381" s="42" t="inlineStr">
        <is>
          <t>3034</t>
        </is>
      </c>
      <c r="B381" s="42" t="inlineStr">
        <is>
          <t>ARUP ONS (non-chargeable)</t>
        </is>
      </c>
      <c r="C381" s="43">
        <f>SUMIFS(tbl_WIP[Amount],tbl_WIP[Job Number],$A381,tbl_WIP[Month],"&lt;&gt;",tbl_WIP[Month],"&lt;"&amp;$C$4)+SUMIF('Deferred Revenue'!$E$6:$E$578,$A381,'Deferred Revenue'!$P$6:$P$578)</f>
        <v/>
      </c>
      <c r="D381" s="43">
        <f>SUMIFS(tbl_WIP[Amount],tbl_WIP[Job Number],$A381,tbl_WIP[Month],$C$4)+SUMIF('Deferred Revenue'!$E$6:$E$578,$A381,'Deferred Revenue'!$Q$6:$Q$578)</f>
        <v/>
      </c>
      <c r="E381" s="43">
        <f>C381+D381</f>
        <v/>
      </c>
      <c r="F381" s="44">
        <f>IF(ROUND(C381,2)+ROUND(D381,2)=0,"","yes")</f>
        <v/>
      </c>
      <c r="G381" s="45" t="n"/>
      <c r="H381" s="43">
        <f>IF($G381="","",$E381-$G381)</f>
        <v/>
      </c>
    </row>
    <row r="382">
      <c r="A382" s="42" t="inlineStr">
        <is>
          <t>3035</t>
        </is>
      </c>
      <c r="B382" s="42" t="inlineStr">
        <is>
          <t>ARUP ONS National (Chargeable)</t>
        </is>
      </c>
      <c r="C382" s="43">
        <f>SUMIFS(tbl_WIP[Amount],tbl_WIP[Job Number],$A382,tbl_WIP[Month],"&lt;&gt;",tbl_WIP[Month],"&lt;"&amp;$C$4)+SUMIF('Deferred Revenue'!$E$6:$E$578,$A382,'Deferred Revenue'!$P$6:$P$578)</f>
        <v/>
      </c>
      <c r="D382" s="43">
        <f>SUMIFS(tbl_WIP[Amount],tbl_WIP[Job Number],$A382,tbl_WIP[Month],$C$4)+SUMIF('Deferred Revenue'!$E$6:$E$578,$A382,'Deferred Revenue'!$Q$6:$Q$578)</f>
        <v/>
      </c>
      <c r="E382" s="43">
        <f>C382+D382</f>
        <v/>
      </c>
      <c r="F382" s="44">
        <f>IF(ROUND(C382,2)+ROUND(D382,2)=0,"","yes")</f>
        <v/>
      </c>
      <c r="G382" s="45" t="n"/>
      <c r="H382" s="43">
        <f>IF($G382="","",$E382-$G382)</f>
        <v/>
      </c>
    </row>
    <row r="383">
      <c r="A383" s="42" t="inlineStr">
        <is>
          <t>3040</t>
        </is>
      </c>
      <c r="B383" s="42" t="inlineStr">
        <is>
          <t>Corrs MELB Office Reloc</t>
        </is>
      </c>
      <c r="C383" s="43">
        <f>SUMIFS(tbl_WIP[Amount],tbl_WIP[Job Number],$A383,tbl_WIP[Month],"&lt;&gt;",tbl_WIP[Month],"&lt;"&amp;$C$4)+SUMIF('Deferred Revenue'!$E$6:$E$578,$A383,'Deferred Revenue'!$P$6:$P$578)</f>
        <v/>
      </c>
      <c r="D383" s="43">
        <f>SUMIFS(tbl_WIP[Amount],tbl_WIP[Job Number],$A383,tbl_WIP[Month],$C$4)+SUMIF('Deferred Revenue'!$E$6:$E$578,$A383,'Deferred Revenue'!$Q$6:$Q$578)</f>
        <v/>
      </c>
      <c r="E383" s="43">
        <f>C383+D383</f>
        <v/>
      </c>
      <c r="F383" s="44">
        <f>IF(ROUND(C383,2)+ROUND(D383,2)=0,"","yes")</f>
        <v/>
      </c>
      <c r="G383" s="45" t="n"/>
      <c r="H383" s="43">
        <f>IF($G383="","",$E383-$G383)</f>
        <v/>
      </c>
    </row>
    <row r="384">
      <c r="A384" s="42" t="inlineStr">
        <is>
          <t>3042</t>
        </is>
      </c>
      <c r="B384" s="42" t="inlineStr">
        <is>
          <t>Corrs-PER Office Reloc</t>
        </is>
      </c>
      <c r="C384" s="43">
        <f>SUMIFS(tbl_WIP[Amount],tbl_WIP[Job Number],$A384,tbl_WIP[Month],"&lt;&gt;",tbl_WIP[Month],"&lt;"&amp;$C$4)+SUMIF('Deferred Revenue'!$E$6:$E$578,$A384,'Deferred Revenue'!$P$6:$P$578)</f>
        <v/>
      </c>
      <c r="D384" s="43">
        <f>SUMIFS(tbl_WIP[Amount],tbl_WIP[Job Number],$A384,tbl_WIP[Month],$C$4)+SUMIF('Deferred Revenue'!$E$6:$E$578,$A384,'Deferred Revenue'!$Q$6:$Q$578)</f>
        <v/>
      </c>
      <c r="E384" s="43">
        <f>C384+D384</f>
        <v/>
      </c>
      <c r="F384" s="44">
        <f>IF(ROUND(C384,2)+ROUND(D384,2)=0,"","yes")</f>
        <v/>
      </c>
      <c r="G384" s="45" t="n"/>
      <c r="H384" s="43">
        <f>IF($G384="","",$E384-$G384)</f>
        <v/>
      </c>
    </row>
    <row r="385">
      <c r="A385" s="42" t="inlineStr">
        <is>
          <t>3046</t>
        </is>
      </c>
      <c r="B385" s="42" t="inlineStr">
        <is>
          <t>Stone&amp;Chalk ONS [chargeable]</t>
        </is>
      </c>
      <c r="C385" s="43">
        <f>SUMIFS(tbl_WIP[Amount],tbl_WIP[Job Number],$A385,tbl_WIP[Month],"&lt;&gt;",tbl_WIP[Month],"&lt;"&amp;$C$4)+SUMIF('Deferred Revenue'!$E$6:$E$578,$A385,'Deferred Revenue'!$P$6:$P$578)</f>
        <v/>
      </c>
      <c r="D385" s="43">
        <f>SUMIFS(tbl_WIP[Amount],tbl_WIP[Job Number],$A385,tbl_WIP[Month],$C$4)+SUMIF('Deferred Revenue'!$E$6:$E$578,$A385,'Deferred Revenue'!$Q$6:$Q$578)</f>
        <v/>
      </c>
      <c r="E385" s="43">
        <f>C385+D385</f>
        <v/>
      </c>
      <c r="F385" s="44">
        <f>IF(ROUND(C385,2)+ROUND(D385,2)=0,"","yes")</f>
        <v/>
      </c>
      <c r="G385" s="45" t="n"/>
      <c r="H385" s="43">
        <f>IF($G385="","",$E385-$G385)</f>
        <v/>
      </c>
    </row>
    <row r="386">
      <c r="A386" s="42" t="inlineStr">
        <is>
          <t>3047</t>
        </is>
      </c>
      <c r="B386" s="42" t="inlineStr">
        <is>
          <t>Stone&amp;Chalk ONS [non-chargable]</t>
        </is>
      </c>
      <c r="C386" s="43">
        <f>SUMIFS(tbl_WIP[Amount],tbl_WIP[Job Number],$A386,tbl_WIP[Month],"&lt;&gt;",tbl_WIP[Month],"&lt;"&amp;$C$4)+SUMIF('Deferred Revenue'!$E$6:$E$578,$A386,'Deferred Revenue'!$P$6:$P$578)</f>
        <v/>
      </c>
      <c r="D386" s="43">
        <f>SUMIFS(tbl_WIP[Amount],tbl_WIP[Job Number],$A386,tbl_WIP[Month],$C$4)+SUMIF('Deferred Revenue'!$E$6:$E$578,$A386,'Deferred Revenue'!$Q$6:$Q$578)</f>
        <v/>
      </c>
      <c r="E386" s="43">
        <f>C386+D386</f>
        <v/>
      </c>
      <c r="F386" s="44">
        <f>IF(ROUND(C386,2)+ROUND(D386,2)=0,"","yes")</f>
        <v/>
      </c>
      <c r="G386" s="45" t="n"/>
      <c r="H386" s="43">
        <f>IF($G386="","",$E386-$G386)</f>
        <v/>
      </c>
    </row>
    <row r="387">
      <c r="A387" s="42" t="inlineStr">
        <is>
          <t>3048</t>
        </is>
      </c>
      <c r="B387" s="42" t="inlineStr">
        <is>
          <t>Stone &amp; Chalk Audit 2</t>
        </is>
      </c>
      <c r="C387" s="43">
        <f>SUMIFS(tbl_WIP[Amount],tbl_WIP[Job Number],$A387,tbl_WIP[Month],"&lt;&gt;",tbl_WIP[Month],"&lt;"&amp;$C$4)+SUMIF('Deferred Revenue'!$E$6:$E$578,$A387,'Deferred Revenue'!$P$6:$P$578)</f>
        <v/>
      </c>
      <c r="D387" s="43">
        <f>SUMIFS(tbl_WIP[Amount],tbl_WIP[Job Number],$A387,tbl_WIP[Month],$C$4)+SUMIF('Deferred Revenue'!$E$6:$E$578,$A387,'Deferred Revenue'!$Q$6:$Q$578)</f>
        <v/>
      </c>
      <c r="E387" s="43">
        <f>C387+D387</f>
        <v/>
      </c>
      <c r="F387" s="44">
        <f>IF(ROUND(C387,2)+ROUND(D387,2)=0,"","yes")</f>
        <v/>
      </c>
      <c r="G387" s="45" t="n"/>
      <c r="H387" s="43">
        <f>IF($G387="","",$E387-$G387)</f>
        <v/>
      </c>
    </row>
    <row r="388">
      <c r="A388" s="42" t="inlineStr">
        <is>
          <t>3056</t>
        </is>
      </c>
      <c r="B388" s="42" t="inlineStr">
        <is>
          <t>AusPayNet Onsite [Chargeable]</t>
        </is>
      </c>
      <c r="C388" s="43">
        <f>SUMIFS(tbl_WIP[Amount],tbl_WIP[Job Number],$A388,tbl_WIP[Month],"&lt;&gt;",tbl_WIP[Month],"&lt;"&amp;$C$4)+SUMIF('Deferred Revenue'!$E$6:$E$578,$A388,'Deferred Revenue'!$P$6:$P$578)</f>
        <v/>
      </c>
      <c r="D388" s="43">
        <f>SUMIFS(tbl_WIP[Amount],tbl_WIP[Job Number],$A388,tbl_WIP[Month],$C$4)+SUMIF('Deferred Revenue'!$E$6:$E$578,$A388,'Deferred Revenue'!$Q$6:$Q$578)</f>
        <v/>
      </c>
      <c r="E388" s="43">
        <f>C388+D388</f>
        <v/>
      </c>
      <c r="F388" s="44">
        <f>IF(ROUND(C388,2)+ROUND(D388,2)=0,"","yes")</f>
        <v/>
      </c>
      <c r="G388" s="45" t="n"/>
      <c r="H388" s="43">
        <f>IF($G388="","",$E388-$G388)</f>
        <v/>
      </c>
    </row>
    <row r="389">
      <c r="A389" s="42" t="inlineStr">
        <is>
          <t>3057</t>
        </is>
      </c>
      <c r="B389" s="42" t="inlineStr">
        <is>
          <t>AusPayNet ONS[Non-Chargeable]</t>
        </is>
      </c>
      <c r="C389" s="43">
        <f>SUMIFS(tbl_WIP[Amount],tbl_WIP[Job Number],$A389,tbl_WIP[Month],"&lt;&gt;",tbl_WIP[Month],"&lt;"&amp;$C$4)+SUMIF('Deferred Revenue'!$E$6:$E$578,$A389,'Deferred Revenue'!$P$6:$P$578)</f>
        <v/>
      </c>
      <c r="D389" s="43">
        <f>SUMIFS(tbl_WIP[Amount],tbl_WIP[Job Number],$A389,tbl_WIP[Month],$C$4)+SUMIF('Deferred Revenue'!$E$6:$E$578,$A389,'Deferred Revenue'!$Q$6:$Q$578)</f>
        <v/>
      </c>
      <c r="E389" s="43">
        <f>C389+D389</f>
        <v/>
      </c>
      <c r="F389" s="44">
        <f>IF(ROUND(C389,2)+ROUND(D389,2)=0,"","yes")</f>
        <v/>
      </c>
      <c r="G389" s="45" t="n"/>
      <c r="H389" s="43">
        <f>IF($G389="","",$E389-$G389)</f>
        <v/>
      </c>
    </row>
    <row r="390">
      <c r="A390" s="42" t="inlineStr">
        <is>
          <t>3059</t>
        </is>
      </c>
      <c r="B390" s="42" t="inlineStr">
        <is>
          <t>CBA AGM 2025</t>
        </is>
      </c>
      <c r="C390" s="43">
        <f>SUMIFS(tbl_WIP[Amount],tbl_WIP[Job Number],$A390,tbl_WIP[Month],"&lt;&gt;",tbl_WIP[Month],"&lt;"&amp;$C$4)+SUMIF('Deferred Revenue'!$E$6:$E$578,$A390,'Deferred Revenue'!$P$6:$P$578)</f>
        <v/>
      </c>
      <c r="D390" s="43">
        <f>SUMIFS(tbl_WIP[Amount],tbl_WIP[Job Number],$A390,tbl_WIP[Month],$C$4)+SUMIF('Deferred Revenue'!$E$6:$E$578,$A390,'Deferred Revenue'!$Q$6:$Q$578)</f>
        <v/>
      </c>
      <c r="E390" s="43">
        <f>C390+D390</f>
        <v/>
      </c>
      <c r="F390" s="44">
        <f>IF(ROUND(C390,2)+ROUND(D390,2)=0,"","yes")</f>
        <v/>
      </c>
      <c r="G390" s="45" t="n"/>
      <c r="H390" s="43">
        <f>IF($G390="","",$E390-$G390)</f>
        <v/>
      </c>
    </row>
    <row r="391">
      <c r="A391" s="42" t="inlineStr">
        <is>
          <t>3068</t>
        </is>
      </c>
      <c r="B391" s="42" t="inlineStr">
        <is>
          <t>DPIE Pitt and Penrith</t>
        </is>
      </c>
      <c r="C391" s="43">
        <f>SUMIFS(tbl_WIP[Amount],tbl_WIP[Job Number],$A391,tbl_WIP[Month],"&lt;&gt;",tbl_WIP[Month],"&lt;"&amp;$C$4)+SUMIF('Deferred Revenue'!$E$6:$E$578,$A391,'Deferred Revenue'!$P$6:$P$578)</f>
        <v/>
      </c>
      <c r="D391" s="43">
        <f>SUMIFS(tbl_WIP[Amount],tbl_WIP[Job Number],$A391,tbl_WIP[Month],$C$4)+SUMIF('Deferred Revenue'!$E$6:$E$578,$A391,'Deferred Revenue'!$Q$6:$Q$578)</f>
        <v/>
      </c>
      <c r="E391" s="43">
        <f>C391+D391</f>
        <v/>
      </c>
      <c r="F391" s="44">
        <f>IF(ROUND(C391,2)+ROUND(D391,2)=0,"","yes")</f>
        <v/>
      </c>
      <c r="G391" s="45" t="n"/>
      <c r="H391" s="43">
        <f>IF($G391="","",$E391-$G391)</f>
        <v/>
      </c>
    </row>
    <row r="392">
      <c r="A392" s="42" t="inlineStr">
        <is>
          <t>3072</t>
        </is>
      </c>
      <c r="B392" s="42" t="inlineStr">
        <is>
          <t>APA Thomastown</t>
        </is>
      </c>
      <c r="C392" s="43">
        <f>SUMIFS(tbl_WIP[Amount],tbl_WIP[Job Number],$A392,tbl_WIP[Month],"&lt;&gt;",tbl_WIP[Month],"&lt;"&amp;$C$4)+SUMIF('Deferred Revenue'!$E$6:$E$578,$A392,'Deferred Revenue'!$P$6:$P$578)</f>
        <v/>
      </c>
      <c r="D392" s="43">
        <f>SUMIFS(tbl_WIP[Amount],tbl_WIP[Job Number],$A392,tbl_WIP[Month],$C$4)+SUMIF('Deferred Revenue'!$E$6:$E$578,$A392,'Deferred Revenue'!$Q$6:$Q$578)</f>
        <v/>
      </c>
      <c r="E392" s="43">
        <f>C392+D392</f>
        <v/>
      </c>
      <c r="F392" s="44">
        <f>IF(ROUND(C392,2)+ROUND(D392,2)=0,"","yes")</f>
        <v/>
      </c>
      <c r="G392" s="45" t="n"/>
      <c r="H392" s="43">
        <f>IF($G392="","",$E392-$G392)</f>
        <v/>
      </c>
    </row>
    <row r="393">
      <c r="A393" s="42" t="inlineStr">
        <is>
          <t>585</t>
        </is>
      </c>
      <c r="B393" s="42" t="inlineStr">
        <is>
          <t>CBA Team Leader</t>
        </is>
      </c>
      <c r="C393" s="43">
        <f>SUMIFS(tbl_WIP[Amount],tbl_WIP[Job Number],$A393,tbl_WIP[Month],"&lt;&gt;",tbl_WIP[Month],"&lt;"&amp;$C$4)+SUMIF('Deferred Revenue'!$E$6:$E$578,$A393,'Deferred Revenue'!$P$6:$P$578)</f>
        <v/>
      </c>
      <c r="D393" s="43">
        <f>SUMIFS(tbl_WIP[Amount],tbl_WIP[Job Number],$A393,tbl_WIP[Month],$C$4)+SUMIF('Deferred Revenue'!$E$6:$E$578,$A393,'Deferred Revenue'!$Q$6:$Q$578)</f>
        <v/>
      </c>
      <c r="E393" s="43">
        <f>C393+D393</f>
        <v/>
      </c>
      <c r="F393" s="44">
        <f>IF(ROUND(C393,2)+ROUND(D393,2)=0,"","yes")</f>
        <v/>
      </c>
      <c r="G393" s="45" t="n"/>
      <c r="H393" s="43">
        <f>IF($G393="","",$E393-$G393)</f>
        <v/>
      </c>
    </row>
    <row r="394">
      <c r="A394" s="42" t="inlineStr">
        <is>
          <t>586</t>
        </is>
      </c>
      <c r="B394" s="42" t="inlineStr">
        <is>
          <t>CBA Tech NP</t>
        </is>
      </c>
      <c r="C394" s="43">
        <f>SUMIFS(tbl_WIP[Amount],tbl_WIP[Job Number],$A394,tbl_WIP[Month],"&lt;&gt;",tbl_WIP[Month],"&lt;"&amp;$C$4)+SUMIF('Deferred Revenue'!$E$6:$E$578,$A394,'Deferred Revenue'!$P$6:$P$578)</f>
        <v/>
      </c>
      <c r="D394" s="43">
        <f>SUMIFS(tbl_WIP[Amount],tbl_WIP[Job Number],$A394,tbl_WIP[Month],$C$4)+SUMIF('Deferred Revenue'!$E$6:$E$578,$A394,'Deferred Revenue'!$Q$6:$Q$578)</f>
        <v/>
      </c>
      <c r="E394" s="43">
        <f>C394+D394</f>
        <v/>
      </c>
      <c r="F394" s="44">
        <f>IF(ROUND(C394,2)+ROUND(D394,2)=0,"","yes")</f>
        <v/>
      </c>
      <c r="G394" s="45" t="n"/>
      <c r="H394" s="43">
        <f>IF($G394="","",$E394-$G394)</f>
        <v/>
      </c>
    </row>
    <row r="395">
      <c r="A395" s="42" t="inlineStr">
        <is>
          <t>587</t>
        </is>
      </c>
      <c r="B395" s="42" t="inlineStr">
        <is>
          <t>CBA Tech TN</t>
        </is>
      </c>
      <c r="C395" s="43">
        <f>SUMIFS(tbl_WIP[Amount],tbl_WIP[Job Number],$A395,tbl_WIP[Month],"&lt;&gt;",tbl_WIP[Month],"&lt;"&amp;$C$4)+SUMIF('Deferred Revenue'!$E$6:$E$578,$A395,'Deferred Revenue'!$P$6:$P$578)</f>
        <v/>
      </c>
      <c r="D395" s="43">
        <f>SUMIFS(tbl_WIP[Amount],tbl_WIP[Job Number],$A395,tbl_WIP[Month],$C$4)+SUMIF('Deferred Revenue'!$E$6:$E$578,$A395,'Deferred Revenue'!$Q$6:$Q$578)</f>
        <v/>
      </c>
      <c r="E395" s="43">
        <f>C395+D395</f>
        <v/>
      </c>
      <c r="F395" s="44">
        <f>IF(ROUND(C395,2)+ROUND(D395,2)=0,"","yes")</f>
        <v/>
      </c>
      <c r="G395" s="45" t="n"/>
      <c r="H395" s="43">
        <f>IF($G395="","",$E395-$G395)</f>
        <v/>
      </c>
    </row>
    <row r="396">
      <c r="A396" s="42" t="inlineStr">
        <is>
          <t>724</t>
        </is>
      </c>
      <c r="B396" s="42" t="inlineStr">
        <is>
          <t>DTTL SYD NTSL</t>
        </is>
      </c>
      <c r="C396" s="43">
        <f>SUMIFS(tbl_WIP[Amount],tbl_WIP[Job Number],$A396,tbl_WIP[Month],"&lt;&gt;",tbl_WIP[Month],"&lt;"&amp;$C$4)+SUMIF('Deferred Revenue'!$E$6:$E$578,$A396,'Deferred Revenue'!$P$6:$P$578)</f>
        <v/>
      </c>
      <c r="D396" s="43">
        <f>SUMIFS(tbl_WIP[Amount],tbl_WIP[Job Number],$A396,tbl_WIP[Month],$C$4)+SUMIF('Deferred Revenue'!$E$6:$E$578,$A396,'Deferred Revenue'!$Q$6:$Q$578)</f>
        <v/>
      </c>
      <c r="E396" s="43">
        <f>C396+D396</f>
        <v/>
      </c>
      <c r="F396" s="44">
        <f>IF(ROUND(C396,2)+ROUND(D396,2)=0,"","yes")</f>
        <v/>
      </c>
      <c r="G396" s="45" t="n"/>
      <c r="H396" s="43">
        <f>IF($G396="","",$E396-$G396)</f>
        <v/>
      </c>
    </row>
    <row r="397">
      <c r="A397" s="42" t="inlineStr">
        <is>
          <t>725</t>
        </is>
      </c>
      <c r="B397" s="42" t="inlineStr">
        <is>
          <t>DTTL Mel Tech FT 1</t>
        </is>
      </c>
      <c r="C397" s="43">
        <f>SUMIFS(tbl_WIP[Amount],tbl_WIP[Job Number],$A397,tbl_WIP[Month],"&lt;&gt;",tbl_WIP[Month],"&lt;"&amp;$C$4)+SUMIF('Deferred Revenue'!$E$6:$E$578,$A397,'Deferred Revenue'!$P$6:$P$578)</f>
        <v/>
      </c>
      <c r="D397" s="43">
        <f>SUMIFS(tbl_WIP[Amount],tbl_WIP[Job Number],$A397,tbl_WIP[Month],$C$4)+SUMIF('Deferred Revenue'!$E$6:$E$578,$A397,'Deferred Revenue'!$Q$6:$Q$578)</f>
        <v/>
      </c>
      <c r="E397" s="43">
        <f>C397+D397</f>
        <v/>
      </c>
      <c r="F397" s="44">
        <f>IF(ROUND(C397,2)+ROUND(D397,2)=0,"","yes")</f>
        <v/>
      </c>
      <c r="G397" s="45" t="n"/>
      <c r="H397" s="43">
        <f>IF($G397="","",$E397-$G397)</f>
        <v/>
      </c>
    </row>
    <row r="398">
      <c r="A398" s="42" t="inlineStr">
        <is>
          <t>729</t>
        </is>
      </c>
      <c r="B398" s="42" t="inlineStr">
        <is>
          <t>DTTL Consulting</t>
        </is>
      </c>
      <c r="C398" s="43">
        <f>SUMIFS(tbl_WIP[Amount],tbl_WIP[Job Number],$A398,tbl_WIP[Month],"&lt;&gt;",tbl_WIP[Month],"&lt;"&amp;$C$4)+SUMIF('Deferred Revenue'!$E$6:$E$578,$A398,'Deferred Revenue'!$P$6:$P$578)</f>
        <v/>
      </c>
      <c r="D398" s="43">
        <f>SUMIFS(tbl_WIP[Amount],tbl_WIP[Job Number],$A398,tbl_WIP[Month],$C$4)+SUMIF('Deferred Revenue'!$E$6:$E$578,$A398,'Deferred Revenue'!$Q$6:$Q$578)</f>
        <v/>
      </c>
      <c r="E398" s="43">
        <f>C398+D398</f>
        <v/>
      </c>
      <c r="F398" s="44">
        <f>IF(ROUND(C398,2)+ROUND(D398,2)=0,"","yes")</f>
        <v/>
      </c>
      <c r="G398" s="45" t="n"/>
      <c r="H398" s="43">
        <f>IF($G398="","",$E398-$G398)</f>
        <v/>
      </c>
    </row>
    <row r="399">
      <c r="A399" s="42" t="inlineStr">
        <is>
          <t>732</t>
        </is>
      </c>
      <c r="B399" s="42" t="inlineStr">
        <is>
          <t>Bank West Contract</t>
        </is>
      </c>
      <c r="C399" s="43">
        <f>SUMIFS(tbl_WIP[Amount],tbl_WIP[Job Number],$A399,tbl_WIP[Month],"&lt;&gt;",tbl_WIP[Month],"&lt;"&amp;$C$4)+SUMIF('Deferred Revenue'!$E$6:$E$578,$A399,'Deferred Revenue'!$P$6:$P$578)</f>
        <v/>
      </c>
      <c r="D399" s="43">
        <f>SUMIFS(tbl_WIP[Amount],tbl_WIP[Job Number],$A399,tbl_WIP[Month],$C$4)+SUMIF('Deferred Revenue'!$E$6:$E$578,$A399,'Deferred Revenue'!$Q$6:$Q$578)</f>
        <v/>
      </c>
      <c r="E399" s="43">
        <f>C399+D399</f>
        <v/>
      </c>
      <c r="F399" s="44">
        <f>IF(ROUND(C399,2)+ROUND(D399,2)=0,"","yes")</f>
        <v/>
      </c>
      <c r="G399" s="45" t="n"/>
      <c r="H399" s="43">
        <f>IF($G399="","",$E399-$G399)</f>
        <v/>
      </c>
    </row>
    <row r="400">
      <c r="A400" s="42" t="inlineStr">
        <is>
          <t>9000</t>
        </is>
      </c>
      <c r="B400" s="42" t="inlineStr">
        <is>
          <t>OFFICE / ADMIN</t>
        </is>
      </c>
      <c r="C400" s="43">
        <f>SUMIFS(tbl_WIP[Amount],tbl_WIP[Job Number],$A400,tbl_WIP[Month],"&lt;&gt;",tbl_WIP[Month],"&lt;"&amp;$C$4)+SUMIF('Deferred Revenue'!$E$6:$E$578,$A400,'Deferred Revenue'!$P$6:$P$578)</f>
        <v/>
      </c>
      <c r="D400" s="43">
        <f>SUMIFS(tbl_WIP[Amount],tbl_WIP[Job Number],$A400,tbl_WIP[Month],$C$4)+SUMIF('Deferred Revenue'!$E$6:$E$578,$A400,'Deferred Revenue'!$Q$6:$Q$578)</f>
        <v/>
      </c>
      <c r="E400" s="43">
        <f>C400+D400</f>
        <v/>
      </c>
      <c r="F400" s="44">
        <f>IF(ROUND(C400,2)+ROUND(D400,2)=0,"","yes")</f>
        <v/>
      </c>
      <c r="G400" s="45" t="n"/>
      <c r="H400" s="43">
        <f>IF($G400="","",$E400-$G400)</f>
        <v/>
      </c>
    </row>
    <row r="401">
      <c r="A401" s="42" t="inlineStr">
        <is>
          <t>9001</t>
        </is>
      </c>
      <c r="B401" s="42" t="inlineStr">
        <is>
          <t>OFFICE/ADMIN Orientation</t>
        </is>
      </c>
      <c r="C401" s="43">
        <f>SUMIFS(tbl_WIP[Amount],tbl_WIP[Job Number],$A401,tbl_WIP[Month],"&lt;&gt;",tbl_WIP[Month],"&lt;"&amp;$C$4)+SUMIF('Deferred Revenue'!$E$6:$E$578,$A401,'Deferred Revenue'!$P$6:$P$578)</f>
        <v/>
      </c>
      <c r="D401" s="43">
        <f>SUMIFS(tbl_WIP[Amount],tbl_WIP[Job Number],$A401,tbl_WIP[Month],$C$4)+SUMIF('Deferred Revenue'!$E$6:$E$578,$A401,'Deferred Revenue'!$Q$6:$Q$578)</f>
        <v/>
      </c>
      <c r="E401" s="43">
        <f>C401+D401</f>
        <v/>
      </c>
      <c r="F401" s="44">
        <f>IF(ROUND(C401,2)+ROUND(D401,2)=0,"","yes")</f>
        <v/>
      </c>
      <c r="G401" s="45" t="n"/>
      <c r="H401" s="43">
        <f>IF($G401="","",$E401-$G401)</f>
        <v/>
      </c>
    </row>
    <row r="402">
      <c r="A402" s="42" t="inlineStr">
        <is>
          <t>9050</t>
        </is>
      </c>
      <c r="B402" s="42" t="inlineStr">
        <is>
          <t>OFFICE ASSETS</t>
        </is>
      </c>
      <c r="C402" s="43">
        <f>SUMIFS(tbl_WIP[Amount],tbl_WIP[Job Number],$A402,tbl_WIP[Month],"&lt;&gt;",tbl_WIP[Month],"&lt;"&amp;$C$4)+SUMIF('Deferred Revenue'!$E$6:$E$578,$A402,'Deferred Revenue'!$P$6:$P$578)</f>
        <v/>
      </c>
      <c r="D402" s="43">
        <f>SUMIFS(tbl_WIP[Amount],tbl_WIP[Job Number],$A402,tbl_WIP[Month],$C$4)+SUMIF('Deferred Revenue'!$E$6:$E$578,$A402,'Deferred Revenue'!$Q$6:$Q$578)</f>
        <v/>
      </c>
      <c r="E402" s="43">
        <f>C402+D402</f>
        <v/>
      </c>
      <c r="F402" s="44">
        <f>IF(ROUND(C402,2)+ROUND(D402,2)=0,"","yes")</f>
        <v/>
      </c>
      <c r="G402" s="45" t="n"/>
      <c r="H402" s="43">
        <f>IF($G402="","",$E402-$G402)</f>
        <v/>
      </c>
    </row>
    <row r="403">
      <c r="A403" s="42" t="inlineStr">
        <is>
          <t>9100</t>
        </is>
      </c>
      <c r="B403" s="42" t="inlineStr">
        <is>
          <t>PRODUCTION</t>
        </is>
      </c>
      <c r="C403" s="43">
        <f>SUMIFS(tbl_WIP[Amount],tbl_WIP[Job Number],$A403,tbl_WIP[Month],"&lt;&gt;",tbl_WIP[Month],"&lt;"&amp;$C$4)+SUMIF('Deferred Revenue'!$E$6:$E$578,$A403,'Deferred Revenue'!$P$6:$P$578)</f>
        <v/>
      </c>
      <c r="D403" s="43">
        <f>SUMIFS(tbl_WIP[Amount],tbl_WIP[Job Number],$A403,tbl_WIP[Month],$C$4)+SUMIF('Deferred Revenue'!$E$6:$E$578,$A403,'Deferred Revenue'!$Q$6:$Q$578)</f>
        <v/>
      </c>
      <c r="E403" s="43">
        <f>C403+D403</f>
        <v/>
      </c>
      <c r="F403" s="44">
        <f>IF(ROUND(C403,2)+ROUND(D403,2)=0,"","yes")</f>
        <v/>
      </c>
      <c r="G403" s="45" t="n"/>
      <c r="H403" s="43">
        <f>IF($G403="","",$E403-$G403)</f>
        <v/>
      </c>
    </row>
    <row r="404">
      <c r="A404" s="42" t="inlineStr">
        <is>
          <t>9101</t>
        </is>
      </c>
      <c r="B404" s="42" t="inlineStr">
        <is>
          <t>PRODUCTION - Orientation</t>
        </is>
      </c>
      <c r="C404" s="43">
        <f>SUMIFS(tbl_WIP[Amount],tbl_WIP[Job Number],$A404,tbl_WIP[Month],"&lt;&gt;",tbl_WIP[Month],"&lt;"&amp;$C$4)+SUMIF('Deferred Revenue'!$E$6:$E$578,$A404,'Deferred Revenue'!$P$6:$P$578)</f>
        <v/>
      </c>
      <c r="D404" s="43">
        <f>SUMIFS(tbl_WIP[Amount],tbl_WIP[Job Number],$A404,tbl_WIP[Month],$C$4)+SUMIF('Deferred Revenue'!$E$6:$E$578,$A404,'Deferred Revenue'!$Q$6:$Q$578)</f>
        <v/>
      </c>
      <c r="E404" s="43">
        <f>C404+D404</f>
        <v/>
      </c>
      <c r="F404" s="44">
        <f>IF(ROUND(C404,2)+ROUND(D404,2)=0,"","yes")</f>
        <v/>
      </c>
      <c r="G404" s="45" t="n"/>
      <c r="H404" s="43">
        <f>IF($G404="","",$E404-$G404)</f>
        <v/>
      </c>
    </row>
    <row r="405">
      <c r="A405" s="42" t="inlineStr">
        <is>
          <t>9102</t>
        </is>
      </c>
      <c r="B405" s="42" t="inlineStr">
        <is>
          <t>Production - Training</t>
        </is>
      </c>
      <c r="C405" s="43">
        <f>SUMIFS(tbl_WIP[Amount],tbl_WIP[Job Number],$A405,tbl_WIP[Month],"&lt;&gt;",tbl_WIP[Month],"&lt;"&amp;$C$4)+SUMIF('Deferred Revenue'!$E$6:$E$578,$A405,'Deferred Revenue'!$P$6:$P$578)</f>
        <v/>
      </c>
      <c r="D405" s="43">
        <f>SUMIFS(tbl_WIP[Amount],tbl_WIP[Job Number],$A405,tbl_WIP[Month],$C$4)+SUMIF('Deferred Revenue'!$E$6:$E$578,$A405,'Deferred Revenue'!$Q$6:$Q$578)</f>
        <v/>
      </c>
      <c r="E405" s="43">
        <f>C405+D405</f>
        <v/>
      </c>
      <c r="F405" s="44">
        <f>IF(ROUND(C405,2)+ROUND(D405,2)=0,"","yes")</f>
        <v/>
      </c>
      <c r="G405" s="45" t="n"/>
      <c r="H405" s="43">
        <f>IF($G405="","",$E405-$G405)</f>
        <v/>
      </c>
    </row>
    <row r="406">
      <c r="A406" s="42" t="inlineStr">
        <is>
          <t>9105</t>
        </is>
      </c>
      <c r="B406" s="42" t="inlineStr">
        <is>
          <t>ONSITE (including PROD backup)</t>
        </is>
      </c>
      <c r="C406" s="43">
        <f>SUMIFS(tbl_WIP[Amount],tbl_WIP[Job Number],$A406,tbl_WIP[Month],"&lt;&gt;",tbl_WIP[Month],"&lt;"&amp;$C$4)+SUMIF('Deferred Revenue'!$E$6:$E$578,$A406,'Deferred Revenue'!$P$6:$P$578)</f>
        <v/>
      </c>
      <c r="D406" s="43">
        <f>SUMIFS(tbl_WIP[Amount],tbl_WIP[Job Number],$A406,tbl_WIP[Month],$C$4)+SUMIF('Deferred Revenue'!$E$6:$E$578,$A406,'Deferred Revenue'!$Q$6:$Q$578)</f>
        <v/>
      </c>
      <c r="E406" s="43">
        <f>C406+D406</f>
        <v/>
      </c>
      <c r="F406" s="44">
        <f>IF(ROUND(C406,2)+ROUND(D406,2)=0,"","yes")</f>
        <v/>
      </c>
      <c r="G406" s="45" t="n"/>
      <c r="H406" s="43">
        <f>IF($G406="","",$E406-$G406)</f>
        <v/>
      </c>
    </row>
    <row r="407">
      <c r="A407" s="42" t="inlineStr">
        <is>
          <t>9106</t>
        </is>
      </c>
      <c r="B407" s="42" t="inlineStr">
        <is>
          <t>ONSITE - Orientation</t>
        </is>
      </c>
      <c r="C407" s="43">
        <f>SUMIFS(tbl_WIP[Amount],tbl_WIP[Job Number],$A407,tbl_WIP[Month],"&lt;&gt;",tbl_WIP[Month],"&lt;"&amp;$C$4)+SUMIF('Deferred Revenue'!$E$6:$E$578,$A407,'Deferred Revenue'!$P$6:$P$578)</f>
        <v/>
      </c>
      <c r="D407" s="43">
        <f>SUMIFS(tbl_WIP[Amount],tbl_WIP[Job Number],$A407,tbl_WIP[Month],$C$4)+SUMIF('Deferred Revenue'!$E$6:$E$578,$A407,'Deferred Revenue'!$Q$6:$Q$578)</f>
        <v/>
      </c>
      <c r="E407" s="43">
        <f>C407+D407</f>
        <v/>
      </c>
      <c r="F407" s="44">
        <f>IF(ROUND(C407,2)+ROUND(D407,2)=0,"","yes")</f>
        <v/>
      </c>
      <c r="G407" s="45" t="n"/>
      <c r="H407" s="43">
        <f>IF($G407="","",$E407-$G407)</f>
        <v/>
      </c>
    </row>
    <row r="408">
      <c r="A408" s="42" t="inlineStr">
        <is>
          <t>9107</t>
        </is>
      </c>
      <c r="B408" s="42" t="inlineStr">
        <is>
          <t>ONSITE - Assets</t>
        </is>
      </c>
      <c r="C408" s="43">
        <f>SUMIFS(tbl_WIP[Amount],tbl_WIP[Job Number],$A408,tbl_WIP[Month],"&lt;&gt;",tbl_WIP[Month],"&lt;"&amp;$C$4)+SUMIF('Deferred Revenue'!$E$6:$E$578,$A408,'Deferred Revenue'!$P$6:$P$578)</f>
        <v/>
      </c>
      <c r="D408" s="43">
        <f>SUMIFS(tbl_WIP[Amount],tbl_WIP[Job Number],$A408,tbl_WIP[Month],$C$4)+SUMIF('Deferred Revenue'!$E$6:$E$578,$A408,'Deferred Revenue'!$Q$6:$Q$578)</f>
        <v/>
      </c>
      <c r="E408" s="43">
        <f>C408+D408</f>
        <v/>
      </c>
      <c r="F408" s="44">
        <f>IF(ROUND(C408,2)+ROUND(D408,2)=0,"","yes")</f>
        <v/>
      </c>
      <c r="G408" s="45" t="n"/>
      <c r="H408" s="43">
        <f>IF($G408="","",$E408-$G408)</f>
        <v/>
      </c>
    </row>
    <row r="409">
      <c r="A409" s="42" t="inlineStr">
        <is>
          <t>9108</t>
        </is>
      </c>
      <c r="B409" s="42" t="inlineStr">
        <is>
          <t>ONSITE - Sales</t>
        </is>
      </c>
      <c r="C409" s="43">
        <f>SUMIFS(tbl_WIP[Amount],tbl_WIP[Job Number],$A409,tbl_WIP[Month],"&lt;&gt;",tbl_WIP[Month],"&lt;"&amp;$C$4)+SUMIF('Deferred Revenue'!$E$6:$E$578,$A409,'Deferred Revenue'!$P$6:$P$578)</f>
        <v/>
      </c>
      <c r="D409" s="43">
        <f>SUMIFS(tbl_WIP[Amount],tbl_WIP[Job Number],$A409,tbl_WIP[Month],$C$4)+SUMIF('Deferred Revenue'!$E$6:$E$578,$A409,'Deferred Revenue'!$Q$6:$Q$578)</f>
        <v/>
      </c>
      <c r="E409" s="43">
        <f>C409+D409</f>
        <v/>
      </c>
      <c r="F409" s="44">
        <f>IF(ROUND(C409,2)+ROUND(D409,2)=0,"","yes")</f>
        <v/>
      </c>
      <c r="G409" s="45" t="n"/>
      <c r="H409" s="43">
        <f>IF($G409="","",$E409-$G409)</f>
        <v/>
      </c>
    </row>
    <row r="410">
      <c r="A410" s="42" t="inlineStr">
        <is>
          <t>9109</t>
        </is>
      </c>
      <c r="B410" s="42" t="inlineStr">
        <is>
          <t>ONSITE - Marketing</t>
        </is>
      </c>
      <c r="C410" s="43">
        <f>SUMIFS(tbl_WIP[Amount],tbl_WIP[Job Number],$A410,tbl_WIP[Month],"&lt;&gt;",tbl_WIP[Month],"&lt;"&amp;$C$4)+SUMIF('Deferred Revenue'!$E$6:$E$578,$A410,'Deferred Revenue'!$P$6:$P$578)</f>
        <v/>
      </c>
      <c r="D410" s="43">
        <f>SUMIFS(tbl_WIP[Amount],tbl_WIP[Job Number],$A410,tbl_WIP[Month],$C$4)+SUMIF('Deferred Revenue'!$E$6:$E$578,$A410,'Deferred Revenue'!$Q$6:$Q$578)</f>
        <v/>
      </c>
      <c r="E410" s="43">
        <f>C410+D410</f>
        <v/>
      </c>
      <c r="F410" s="44">
        <f>IF(ROUND(C410,2)+ROUND(D410,2)=0,"","yes")</f>
        <v/>
      </c>
      <c r="G410" s="45" t="n"/>
      <c r="H410" s="43">
        <f>IF($G410="","",$E410-$G410)</f>
        <v/>
      </c>
    </row>
    <row r="411">
      <c r="A411" s="42" t="inlineStr">
        <is>
          <t>9125</t>
        </is>
      </c>
      <c r="B411" s="42" t="inlineStr">
        <is>
          <t>VIDEO DEPT</t>
        </is>
      </c>
      <c r="C411" s="43">
        <f>SUMIFS(tbl_WIP[Amount],tbl_WIP[Job Number],$A411,tbl_WIP[Month],"&lt;&gt;",tbl_WIP[Month],"&lt;"&amp;$C$4)+SUMIF('Deferred Revenue'!$E$6:$E$578,$A411,'Deferred Revenue'!$P$6:$P$578)</f>
        <v/>
      </c>
      <c r="D411" s="43">
        <f>SUMIFS(tbl_WIP[Amount],tbl_WIP[Job Number],$A411,tbl_WIP[Month],$C$4)+SUMIF('Deferred Revenue'!$E$6:$E$578,$A411,'Deferred Revenue'!$Q$6:$Q$578)</f>
        <v/>
      </c>
      <c r="E411" s="43">
        <f>C411+D411</f>
        <v/>
      </c>
      <c r="F411" s="44">
        <f>IF(ROUND(C411,2)+ROUND(D411,2)=0,"","yes")</f>
        <v/>
      </c>
      <c r="G411" s="45" t="n"/>
      <c r="H411" s="43">
        <f>IF($G411="","",$E411-$G411)</f>
        <v/>
      </c>
    </row>
    <row r="412">
      <c r="A412" s="42" t="inlineStr">
        <is>
          <t>9126</t>
        </is>
      </c>
      <c r="B412" s="42" t="inlineStr">
        <is>
          <t>VIDEO - Orientation</t>
        </is>
      </c>
      <c r="C412" s="43">
        <f>SUMIFS(tbl_WIP[Amount],tbl_WIP[Job Number],$A412,tbl_WIP[Month],"&lt;&gt;",tbl_WIP[Month],"&lt;"&amp;$C$4)+SUMIF('Deferred Revenue'!$E$6:$E$578,$A412,'Deferred Revenue'!$P$6:$P$578)</f>
        <v/>
      </c>
      <c r="D412" s="43">
        <f>SUMIFS(tbl_WIP[Amount],tbl_WIP[Job Number],$A412,tbl_WIP[Month],$C$4)+SUMIF('Deferred Revenue'!$E$6:$E$578,$A412,'Deferred Revenue'!$Q$6:$Q$578)</f>
        <v/>
      </c>
      <c r="E412" s="43">
        <f>C412+D412</f>
        <v/>
      </c>
      <c r="F412" s="44">
        <f>IF(ROUND(C412,2)+ROUND(D412,2)=0,"","yes")</f>
        <v/>
      </c>
      <c r="G412" s="45" t="n"/>
      <c r="H412" s="43">
        <f>IF($G412="","",$E412-$G412)</f>
        <v/>
      </c>
    </row>
    <row r="413">
      <c r="A413" s="42" t="inlineStr">
        <is>
          <t>9127</t>
        </is>
      </c>
      <c r="B413" s="42" t="inlineStr">
        <is>
          <t>VIDEO - Assets</t>
        </is>
      </c>
      <c r="C413" s="43">
        <f>SUMIFS(tbl_WIP[Amount],tbl_WIP[Job Number],$A413,tbl_WIP[Month],"&lt;&gt;",tbl_WIP[Month],"&lt;"&amp;$C$4)+SUMIF('Deferred Revenue'!$E$6:$E$578,$A413,'Deferred Revenue'!$P$6:$P$578)</f>
        <v/>
      </c>
      <c r="D413" s="43">
        <f>SUMIFS(tbl_WIP[Amount],tbl_WIP[Job Number],$A413,tbl_WIP[Month],$C$4)+SUMIF('Deferred Revenue'!$E$6:$E$578,$A413,'Deferred Revenue'!$Q$6:$Q$578)</f>
        <v/>
      </c>
      <c r="E413" s="43">
        <f>C413+D413</f>
        <v/>
      </c>
      <c r="F413" s="44">
        <f>IF(ROUND(C413,2)+ROUND(D413,2)=0,"","yes")</f>
        <v/>
      </c>
      <c r="G413" s="45" t="n"/>
      <c r="H413" s="43">
        <f>IF($G413="","",$E413-$G413)</f>
        <v/>
      </c>
    </row>
    <row r="414">
      <c r="A414" s="42" t="inlineStr">
        <is>
          <t>9128</t>
        </is>
      </c>
      <c r="B414" s="42" t="inlineStr">
        <is>
          <t>VIDEO - Sales</t>
        </is>
      </c>
      <c r="C414" s="43">
        <f>SUMIFS(tbl_WIP[Amount],tbl_WIP[Job Number],$A414,tbl_WIP[Month],"&lt;&gt;",tbl_WIP[Month],"&lt;"&amp;$C$4)+SUMIF('Deferred Revenue'!$E$6:$E$578,$A414,'Deferred Revenue'!$P$6:$P$578)</f>
        <v/>
      </c>
      <c r="D414" s="43">
        <f>SUMIFS(tbl_WIP[Amount],tbl_WIP[Job Number],$A414,tbl_WIP[Month],$C$4)+SUMIF('Deferred Revenue'!$E$6:$E$578,$A414,'Deferred Revenue'!$Q$6:$Q$578)</f>
        <v/>
      </c>
      <c r="E414" s="43">
        <f>C414+D414</f>
        <v/>
      </c>
      <c r="F414" s="44">
        <f>IF(ROUND(C414,2)+ROUND(D414,2)=0,"","yes")</f>
        <v/>
      </c>
      <c r="G414" s="45" t="n"/>
      <c r="H414" s="43">
        <f>IF($G414="","",$E414-$G414)</f>
        <v/>
      </c>
    </row>
    <row r="415">
      <c r="A415" s="42" t="inlineStr">
        <is>
          <t>9129</t>
        </is>
      </c>
      <c r="B415" s="42" t="inlineStr">
        <is>
          <t>VIDEO - Marketing</t>
        </is>
      </c>
      <c r="C415" s="43">
        <f>SUMIFS(tbl_WIP[Amount],tbl_WIP[Job Number],$A415,tbl_WIP[Month],"&lt;&gt;",tbl_WIP[Month],"&lt;"&amp;$C$4)+SUMIF('Deferred Revenue'!$E$6:$E$578,$A415,'Deferred Revenue'!$P$6:$P$578)</f>
        <v/>
      </c>
      <c r="D415" s="43">
        <f>SUMIFS(tbl_WIP[Amount],tbl_WIP[Job Number],$A415,tbl_WIP[Month],$C$4)+SUMIF('Deferred Revenue'!$E$6:$E$578,$A415,'Deferred Revenue'!$Q$6:$Q$578)</f>
        <v/>
      </c>
      <c r="E415" s="43">
        <f>C415+D415</f>
        <v/>
      </c>
      <c r="F415" s="44">
        <f>IF(ROUND(C415,2)+ROUND(D415,2)=0,"","yes")</f>
        <v/>
      </c>
      <c r="G415" s="45" t="n"/>
      <c r="H415" s="43">
        <f>IF($G415="","",$E415-$G415)</f>
        <v/>
      </c>
    </row>
    <row r="416">
      <c r="A416" s="42" t="inlineStr">
        <is>
          <t>9150</t>
        </is>
      </c>
      <c r="B416" s="42" t="inlineStr">
        <is>
          <t>PRODUCTION - Assets</t>
        </is>
      </c>
      <c r="C416" s="43">
        <f>SUMIFS(tbl_WIP[Amount],tbl_WIP[Job Number],$A416,tbl_WIP[Month],"&lt;&gt;",tbl_WIP[Month],"&lt;"&amp;$C$4)+SUMIF('Deferred Revenue'!$E$6:$E$578,$A416,'Deferred Revenue'!$P$6:$P$578)</f>
        <v/>
      </c>
      <c r="D416" s="43">
        <f>SUMIFS(tbl_WIP[Amount],tbl_WIP[Job Number],$A416,tbl_WIP[Month],$C$4)+SUMIF('Deferred Revenue'!$E$6:$E$578,$A416,'Deferred Revenue'!$Q$6:$Q$578)</f>
        <v/>
      </c>
      <c r="E416" s="43">
        <f>C416+D416</f>
        <v/>
      </c>
      <c r="F416" s="44">
        <f>IF(ROUND(C416,2)+ROUND(D416,2)=0,"","yes")</f>
        <v/>
      </c>
      <c r="G416" s="45" t="n"/>
      <c r="H416" s="43">
        <f>IF($G416="","",$E416-$G416)</f>
        <v/>
      </c>
    </row>
    <row r="417">
      <c r="A417" s="42" t="inlineStr">
        <is>
          <t>9175</t>
        </is>
      </c>
      <c r="B417" s="42" t="inlineStr">
        <is>
          <t>PRODUCTION - Sales</t>
        </is>
      </c>
      <c r="C417" s="43">
        <f>SUMIFS(tbl_WIP[Amount],tbl_WIP[Job Number],$A417,tbl_WIP[Month],"&lt;&gt;",tbl_WIP[Month],"&lt;"&amp;$C$4)+SUMIF('Deferred Revenue'!$E$6:$E$578,$A417,'Deferred Revenue'!$P$6:$P$578)</f>
        <v/>
      </c>
      <c r="D417" s="43">
        <f>SUMIFS(tbl_WIP[Amount],tbl_WIP[Job Number],$A417,tbl_WIP[Month],$C$4)+SUMIF('Deferred Revenue'!$E$6:$E$578,$A417,'Deferred Revenue'!$Q$6:$Q$578)</f>
        <v/>
      </c>
      <c r="E417" s="43">
        <f>C417+D417</f>
        <v/>
      </c>
      <c r="F417" s="44">
        <f>IF(ROUND(C417,2)+ROUND(D417,2)=0,"","yes")</f>
        <v/>
      </c>
      <c r="G417" s="45" t="n"/>
      <c r="H417" s="43">
        <f>IF($G417="","",$E417-$G417)</f>
        <v/>
      </c>
    </row>
    <row r="418">
      <c r="A418" s="42" t="inlineStr">
        <is>
          <t>9176</t>
        </is>
      </c>
      <c r="B418" s="42" t="inlineStr">
        <is>
          <t>Production - Marketing</t>
        </is>
      </c>
      <c r="C418" s="43">
        <f>SUMIFS(tbl_WIP[Amount],tbl_WIP[Job Number],$A418,tbl_WIP[Month],"&lt;&gt;",tbl_WIP[Month],"&lt;"&amp;$C$4)+SUMIF('Deferred Revenue'!$E$6:$E$578,$A418,'Deferred Revenue'!$P$6:$P$578)</f>
        <v/>
      </c>
      <c r="D418" s="43">
        <f>SUMIFS(tbl_WIP[Amount],tbl_WIP[Job Number],$A418,tbl_WIP[Month],$C$4)+SUMIF('Deferred Revenue'!$E$6:$E$578,$A418,'Deferred Revenue'!$Q$6:$Q$578)</f>
        <v/>
      </c>
      <c r="E418" s="43">
        <f>C418+D418</f>
        <v/>
      </c>
      <c r="F418" s="44">
        <f>IF(ROUND(C418,2)+ROUND(D418,2)=0,"","yes")</f>
        <v/>
      </c>
      <c r="G418" s="45" t="n"/>
      <c r="H418" s="43">
        <f>IF($G418="","",$E418-$G418)</f>
        <v/>
      </c>
    </row>
    <row r="419">
      <c r="A419" s="42" t="inlineStr">
        <is>
          <t>9178</t>
        </is>
      </c>
      <c r="B419" s="42" t="inlineStr">
        <is>
          <t>Production – Webcasts</t>
        </is>
      </c>
      <c r="C419" s="43">
        <f>SUMIFS(tbl_WIP[Amount],tbl_WIP[Job Number],$A419,tbl_WIP[Month],"&lt;&gt;",tbl_WIP[Month],"&lt;"&amp;$C$4)+SUMIF('Deferred Revenue'!$E$6:$E$578,$A419,'Deferred Revenue'!$P$6:$P$578)</f>
        <v/>
      </c>
      <c r="D419" s="43">
        <f>SUMIFS(tbl_WIP[Amount],tbl_WIP[Job Number],$A419,tbl_WIP[Month],$C$4)+SUMIF('Deferred Revenue'!$E$6:$E$578,$A419,'Deferred Revenue'!$Q$6:$Q$578)</f>
        <v/>
      </c>
      <c r="E419" s="43">
        <f>C419+D419</f>
        <v/>
      </c>
      <c r="F419" s="44">
        <f>IF(ROUND(C419,2)+ROUND(D419,2)=0,"","yes")</f>
        <v/>
      </c>
      <c r="G419" s="45" t="n"/>
      <c r="H419" s="43">
        <f>IF($G419="","",$E419-$G419)</f>
        <v/>
      </c>
    </row>
    <row r="420">
      <c r="A420" s="42" t="inlineStr">
        <is>
          <t>9200</t>
        </is>
      </c>
      <c r="B420" s="42" t="inlineStr">
        <is>
          <t>INTEGRATION</t>
        </is>
      </c>
      <c r="C420" s="43">
        <f>SUMIFS(tbl_WIP[Amount],tbl_WIP[Job Number],$A420,tbl_WIP[Month],"&lt;&gt;",tbl_WIP[Month],"&lt;"&amp;$C$4)+SUMIF('Deferred Revenue'!$E$6:$E$578,$A420,'Deferred Revenue'!$P$6:$P$578)</f>
        <v/>
      </c>
      <c r="D420" s="43">
        <f>SUMIFS(tbl_WIP[Amount],tbl_WIP[Job Number],$A420,tbl_WIP[Month],$C$4)+SUMIF('Deferred Revenue'!$E$6:$E$578,$A420,'Deferred Revenue'!$Q$6:$Q$578)</f>
        <v/>
      </c>
      <c r="E420" s="43">
        <f>C420+D420</f>
        <v/>
      </c>
      <c r="F420" s="44">
        <f>IF(ROUND(C420,2)+ROUND(D420,2)=0,"","yes")</f>
        <v/>
      </c>
      <c r="G420" s="45" t="n"/>
      <c r="H420" s="43">
        <f>IF($G420="","",$E420-$G420)</f>
        <v/>
      </c>
    </row>
    <row r="421">
      <c r="A421" s="42" t="inlineStr">
        <is>
          <t>9201</t>
        </is>
      </c>
      <c r="B421" s="42" t="inlineStr">
        <is>
          <t>INTEGRATION - Orientation [INT</t>
        </is>
      </c>
      <c r="C421" s="43">
        <f>SUMIFS(tbl_WIP[Amount],tbl_WIP[Job Number],$A421,tbl_WIP[Month],"&lt;&gt;",tbl_WIP[Month],"&lt;"&amp;$C$4)+SUMIF('Deferred Revenue'!$E$6:$E$578,$A421,'Deferred Revenue'!$P$6:$P$578)</f>
        <v/>
      </c>
      <c r="D421" s="43">
        <f>SUMIFS(tbl_WIP[Amount],tbl_WIP[Job Number],$A421,tbl_WIP[Month],$C$4)+SUMIF('Deferred Revenue'!$E$6:$E$578,$A421,'Deferred Revenue'!$Q$6:$Q$578)</f>
        <v/>
      </c>
      <c r="E421" s="43">
        <f>C421+D421</f>
        <v/>
      </c>
      <c r="F421" s="44">
        <f>IF(ROUND(C421,2)+ROUND(D421,2)=0,"","yes")</f>
        <v/>
      </c>
      <c r="G421" s="45" t="n"/>
      <c r="H421" s="43">
        <f>IF($G421="","",$E421-$G421)</f>
        <v/>
      </c>
    </row>
    <row r="422">
      <c r="A422" s="42" t="inlineStr">
        <is>
          <t>9202</t>
        </is>
      </c>
      <c r="B422" s="42" t="inlineStr">
        <is>
          <t>INTEGRATION - Quotes</t>
        </is>
      </c>
      <c r="C422" s="43">
        <f>SUMIFS(tbl_WIP[Amount],tbl_WIP[Job Number],$A422,tbl_WIP[Month],"&lt;&gt;",tbl_WIP[Month],"&lt;"&amp;$C$4)+SUMIF('Deferred Revenue'!$E$6:$E$578,$A422,'Deferred Revenue'!$P$6:$P$578)</f>
        <v/>
      </c>
      <c r="D422" s="43">
        <f>SUMIFS(tbl_WIP[Amount],tbl_WIP[Job Number],$A422,tbl_WIP[Month],$C$4)+SUMIF('Deferred Revenue'!$E$6:$E$578,$A422,'Deferred Revenue'!$Q$6:$Q$578)</f>
        <v/>
      </c>
      <c r="E422" s="43">
        <f>C422+D422</f>
        <v/>
      </c>
      <c r="F422" s="44">
        <f>IF(ROUND(C422,2)+ROUND(D422,2)=0,"","yes")</f>
        <v/>
      </c>
      <c r="G422" s="45" t="n"/>
      <c r="H422" s="43">
        <f>IF($G422="","",$E422-$G422)</f>
        <v/>
      </c>
    </row>
    <row r="423">
      <c r="A423" s="42" t="inlineStr">
        <is>
          <t>9225</t>
        </is>
      </c>
      <c r="B423" s="42" t="inlineStr">
        <is>
          <t>Integration - SALES</t>
        </is>
      </c>
      <c r="C423" s="43">
        <f>SUMIFS(tbl_WIP[Amount],tbl_WIP[Job Number],$A423,tbl_WIP[Month],"&lt;&gt;",tbl_WIP[Month],"&lt;"&amp;$C$4)+SUMIF('Deferred Revenue'!$E$6:$E$578,$A423,'Deferred Revenue'!$P$6:$P$578)</f>
        <v/>
      </c>
      <c r="D423" s="43">
        <f>SUMIFS(tbl_WIP[Amount],tbl_WIP[Job Number],$A423,tbl_WIP[Month],$C$4)+SUMIF('Deferred Revenue'!$E$6:$E$578,$A423,'Deferred Revenue'!$Q$6:$Q$578)</f>
        <v/>
      </c>
      <c r="E423" s="43">
        <f>C423+D423</f>
        <v/>
      </c>
      <c r="F423" s="44">
        <f>IF(ROUND(C423,2)+ROUND(D423,2)=0,"","yes")</f>
        <v/>
      </c>
      <c r="G423" s="45" t="n"/>
      <c r="H423" s="43">
        <f>IF($G423="","",$E423-$G423)</f>
        <v/>
      </c>
    </row>
    <row r="424">
      <c r="A424" s="42" t="inlineStr">
        <is>
          <t>9226</t>
        </is>
      </c>
      <c r="B424" s="42" t="inlineStr">
        <is>
          <t>Integration - Marketing</t>
        </is>
      </c>
      <c r="C424" s="43">
        <f>SUMIFS(tbl_WIP[Amount],tbl_WIP[Job Number],$A424,tbl_WIP[Month],"&lt;&gt;",tbl_WIP[Month],"&lt;"&amp;$C$4)+SUMIF('Deferred Revenue'!$E$6:$E$578,$A424,'Deferred Revenue'!$P$6:$P$578)</f>
        <v/>
      </c>
      <c r="D424" s="43">
        <f>SUMIFS(tbl_WIP[Amount],tbl_WIP[Job Number],$A424,tbl_WIP[Month],$C$4)+SUMIF('Deferred Revenue'!$E$6:$E$578,$A424,'Deferred Revenue'!$Q$6:$Q$578)</f>
        <v/>
      </c>
      <c r="E424" s="43">
        <f>C424+D424</f>
        <v/>
      </c>
      <c r="F424" s="44">
        <f>IF(ROUND(C424,2)+ROUND(D424,2)=0,"","yes")</f>
        <v/>
      </c>
      <c r="G424" s="45" t="n"/>
      <c r="H424" s="43">
        <f>IF($G424="","",$E424-$G424)</f>
        <v/>
      </c>
    </row>
    <row r="425">
      <c r="A425" s="42" t="inlineStr">
        <is>
          <t>9300</t>
        </is>
      </c>
      <c r="B425" s="42" t="inlineStr">
        <is>
          <t>HUMAN RESOURCES</t>
        </is>
      </c>
      <c r="C425" s="43">
        <f>SUMIFS(tbl_WIP[Amount],tbl_WIP[Job Number],$A425,tbl_WIP[Month],"&lt;&gt;",tbl_WIP[Month],"&lt;"&amp;$C$4)+SUMIF('Deferred Revenue'!$E$6:$E$578,$A425,'Deferred Revenue'!$P$6:$P$578)</f>
        <v/>
      </c>
      <c r="D425" s="43">
        <f>SUMIFS(tbl_WIP[Amount],tbl_WIP[Job Number],$A425,tbl_WIP[Month],$C$4)+SUMIF('Deferred Revenue'!$E$6:$E$578,$A425,'Deferred Revenue'!$Q$6:$Q$578)</f>
        <v/>
      </c>
      <c r="E425" s="43">
        <f>C425+D425</f>
        <v/>
      </c>
      <c r="F425" s="44">
        <f>IF(ROUND(C425,2)+ROUND(D425,2)=0,"","yes")</f>
        <v/>
      </c>
      <c r="G425" s="45" t="n"/>
      <c r="H425" s="43">
        <f>IF($G425="","",$E425-$G425)</f>
        <v/>
      </c>
    </row>
    <row r="426">
      <c r="A426" s="42" t="inlineStr">
        <is>
          <t>9301</t>
        </is>
      </c>
      <c r="B426" s="42" t="inlineStr">
        <is>
          <t>Recruitment</t>
        </is>
      </c>
      <c r="C426" s="43">
        <f>SUMIFS(tbl_WIP[Amount],tbl_WIP[Job Number],$A426,tbl_WIP[Month],"&lt;&gt;",tbl_WIP[Month],"&lt;"&amp;$C$4)+SUMIF('Deferred Revenue'!$E$6:$E$578,$A426,'Deferred Revenue'!$P$6:$P$578)</f>
        <v/>
      </c>
      <c r="D426" s="43">
        <f>SUMIFS(tbl_WIP[Amount],tbl_WIP[Job Number],$A426,tbl_WIP[Month],$C$4)+SUMIF('Deferred Revenue'!$E$6:$E$578,$A426,'Deferred Revenue'!$Q$6:$Q$578)</f>
        <v/>
      </c>
      <c r="E426" s="43">
        <f>C426+D426</f>
        <v/>
      </c>
      <c r="F426" s="44">
        <f>IF(ROUND(C426,2)+ROUND(D426,2)=0,"","yes")</f>
        <v/>
      </c>
      <c r="G426" s="45" t="n"/>
      <c r="H426" s="43">
        <f>IF($G426="","",$E426-$G426)</f>
        <v/>
      </c>
    </row>
    <row r="427">
      <c r="A427" s="42" t="inlineStr">
        <is>
          <t>9350</t>
        </is>
      </c>
      <c r="B427" s="42" t="inlineStr">
        <is>
          <t>MARKETING (external)</t>
        </is>
      </c>
      <c r="C427" s="43">
        <f>SUMIFS(tbl_WIP[Amount],tbl_WIP[Job Number],$A427,tbl_WIP[Month],"&lt;&gt;",tbl_WIP[Month],"&lt;"&amp;$C$4)+SUMIF('Deferred Revenue'!$E$6:$E$578,$A427,'Deferred Revenue'!$P$6:$P$578)</f>
        <v/>
      </c>
      <c r="D427" s="43">
        <f>SUMIFS(tbl_WIP[Amount],tbl_WIP[Job Number],$A427,tbl_WIP[Month],$C$4)+SUMIF('Deferred Revenue'!$E$6:$E$578,$A427,'Deferred Revenue'!$Q$6:$Q$578)</f>
        <v/>
      </c>
      <c r="E427" s="43">
        <f>C427+D427</f>
        <v/>
      </c>
      <c r="F427" s="44">
        <f>IF(ROUND(C427,2)+ROUND(D427,2)=0,"","yes")</f>
        <v/>
      </c>
      <c r="G427" s="45" t="n"/>
      <c r="H427" s="43">
        <f>IF($G427="","",$E427-$G427)</f>
        <v/>
      </c>
    </row>
    <row r="428">
      <c r="A428" s="42" t="inlineStr">
        <is>
          <t>9375</t>
        </is>
      </c>
      <c r="B428" s="42" t="inlineStr">
        <is>
          <t>MARKETING / COMMS</t>
        </is>
      </c>
      <c r="C428" s="43">
        <f>SUMIFS(tbl_WIP[Amount],tbl_WIP[Job Number],$A428,tbl_WIP[Month],"&lt;&gt;",tbl_WIP[Month],"&lt;"&amp;$C$4)+SUMIF('Deferred Revenue'!$E$6:$E$578,$A428,'Deferred Revenue'!$P$6:$P$578)</f>
        <v/>
      </c>
      <c r="D428" s="43">
        <f>SUMIFS(tbl_WIP[Amount],tbl_WIP[Job Number],$A428,tbl_WIP[Month],$C$4)+SUMIF('Deferred Revenue'!$E$6:$E$578,$A428,'Deferred Revenue'!$Q$6:$Q$578)</f>
        <v/>
      </c>
      <c r="E428" s="43">
        <f>C428+D428</f>
        <v/>
      </c>
      <c r="F428" s="44">
        <f>IF(ROUND(C428,2)+ROUND(D428,2)=0,"","yes")</f>
        <v/>
      </c>
      <c r="G428" s="45" t="n"/>
      <c r="H428" s="43">
        <f>IF($G428="","",$E428-$G428)</f>
        <v/>
      </c>
    </row>
    <row r="429">
      <c r="A429" s="42" t="inlineStr">
        <is>
          <t>9400</t>
        </is>
      </c>
      <c r="B429" s="42" t="inlineStr">
        <is>
          <t>CONSULTING</t>
        </is>
      </c>
      <c r="C429" s="43">
        <f>SUMIFS(tbl_WIP[Amount],tbl_WIP[Job Number],$A429,tbl_WIP[Month],"&lt;&gt;",tbl_WIP[Month],"&lt;"&amp;$C$4)+SUMIF('Deferred Revenue'!$E$6:$E$578,$A429,'Deferred Revenue'!$P$6:$P$578)</f>
        <v/>
      </c>
      <c r="D429" s="43">
        <f>SUMIFS(tbl_WIP[Amount],tbl_WIP[Job Number],$A429,tbl_WIP[Month],$C$4)+SUMIF('Deferred Revenue'!$E$6:$E$578,$A429,'Deferred Revenue'!$Q$6:$Q$578)</f>
        <v/>
      </c>
      <c r="E429" s="43">
        <f>C429+D429</f>
        <v/>
      </c>
      <c r="F429" s="44">
        <f>IF(ROUND(C429,2)+ROUND(D429,2)=0,"","yes")</f>
        <v/>
      </c>
      <c r="G429" s="45" t="n"/>
      <c r="H429" s="43">
        <f>IF($G429="","",$E429-$G429)</f>
        <v/>
      </c>
    </row>
    <row r="430">
      <c r="A430" s="42" t="inlineStr">
        <is>
          <t>9402</t>
        </is>
      </c>
      <c r="B430" s="42" t="inlineStr">
        <is>
          <t>CONSULTING - Assets</t>
        </is>
      </c>
      <c r="C430" s="43">
        <f>SUMIFS(tbl_WIP[Amount],tbl_WIP[Job Number],$A430,tbl_WIP[Month],"&lt;&gt;",tbl_WIP[Month],"&lt;"&amp;$C$4)+SUMIF('Deferred Revenue'!$E$6:$E$578,$A430,'Deferred Revenue'!$P$6:$P$578)</f>
        <v/>
      </c>
      <c r="D430" s="43">
        <f>SUMIFS(tbl_WIP[Amount],tbl_WIP[Job Number],$A430,tbl_WIP[Month],$C$4)+SUMIF('Deferred Revenue'!$E$6:$E$578,$A430,'Deferred Revenue'!$Q$6:$Q$578)</f>
        <v/>
      </c>
      <c r="E430" s="43">
        <f>C430+D430</f>
        <v/>
      </c>
      <c r="F430" s="44">
        <f>IF(ROUND(C430,2)+ROUND(D430,2)=0,"","yes")</f>
        <v/>
      </c>
      <c r="G430" s="45" t="n"/>
      <c r="H430" s="43">
        <f>IF($G430="","",$E430-$G430)</f>
        <v/>
      </c>
    </row>
    <row r="431">
      <c r="A431" s="42" t="inlineStr">
        <is>
          <t>9403</t>
        </is>
      </c>
      <c r="B431" s="42" t="inlineStr">
        <is>
          <t>CONSULTING - Sales</t>
        </is>
      </c>
      <c r="C431" s="43">
        <f>SUMIFS(tbl_WIP[Amount],tbl_WIP[Job Number],$A431,tbl_WIP[Month],"&lt;&gt;",tbl_WIP[Month],"&lt;"&amp;$C$4)+SUMIF('Deferred Revenue'!$E$6:$E$578,$A431,'Deferred Revenue'!$P$6:$P$578)</f>
        <v/>
      </c>
      <c r="D431" s="43">
        <f>SUMIFS(tbl_WIP[Amount],tbl_WIP[Job Number],$A431,tbl_WIP[Month],$C$4)+SUMIF('Deferred Revenue'!$E$6:$E$578,$A431,'Deferred Revenue'!$Q$6:$Q$578)</f>
        <v/>
      </c>
      <c r="E431" s="43">
        <f>C431+D431</f>
        <v/>
      </c>
      <c r="F431" s="44">
        <f>IF(ROUND(C431,2)+ROUND(D431,2)=0,"","yes")</f>
        <v/>
      </c>
      <c r="G431" s="45" t="n"/>
      <c r="H431" s="43">
        <f>IF($G431="","",$E431-$G431)</f>
        <v/>
      </c>
    </row>
    <row r="432">
      <c r="A432" s="42" t="inlineStr">
        <is>
          <t>9405</t>
        </is>
      </c>
      <c r="B432" s="42" t="inlineStr">
        <is>
          <t>CONSULTING - Marketing</t>
        </is>
      </c>
      <c r="C432" s="43">
        <f>SUMIFS(tbl_WIP[Amount],tbl_WIP[Job Number],$A432,tbl_WIP[Month],"&lt;&gt;",tbl_WIP[Month],"&lt;"&amp;$C$4)+SUMIF('Deferred Revenue'!$E$6:$E$578,$A432,'Deferred Revenue'!$P$6:$P$578)</f>
        <v/>
      </c>
      <c r="D432" s="43">
        <f>SUMIFS(tbl_WIP[Amount],tbl_WIP[Job Number],$A432,tbl_WIP[Month],$C$4)+SUMIF('Deferred Revenue'!$E$6:$E$578,$A432,'Deferred Revenue'!$Q$6:$Q$578)</f>
        <v/>
      </c>
      <c r="E432" s="43">
        <f>C432+D432</f>
        <v/>
      </c>
      <c r="F432" s="44">
        <f>IF(ROUND(C432,2)+ROUND(D432,2)=0,"","yes")</f>
        <v/>
      </c>
      <c r="G432" s="45" t="n"/>
      <c r="H432" s="43">
        <f>IF($G432="","",$E432-$G432)</f>
        <v/>
      </c>
    </row>
    <row r="433">
      <c r="A433" s="42" t="inlineStr">
        <is>
          <t>9407</t>
        </is>
      </c>
      <c r="B433" s="42" t="inlineStr">
        <is>
          <t>CONSULTING - Training</t>
        </is>
      </c>
      <c r="C433" s="43">
        <f>SUMIFS(tbl_WIP[Amount],tbl_WIP[Job Number],$A433,tbl_WIP[Month],"&lt;&gt;",tbl_WIP[Month],"&lt;"&amp;$C$4)+SUMIF('Deferred Revenue'!$E$6:$E$578,$A433,'Deferred Revenue'!$P$6:$P$578)</f>
        <v/>
      </c>
      <c r="D433" s="43">
        <f>SUMIFS(tbl_WIP[Amount],tbl_WIP[Job Number],$A433,tbl_WIP[Month],$C$4)+SUMIF('Deferred Revenue'!$E$6:$E$578,$A433,'Deferred Revenue'!$Q$6:$Q$578)</f>
        <v/>
      </c>
      <c r="E433" s="43">
        <f>C433+D433</f>
        <v/>
      </c>
      <c r="F433" s="44">
        <f>IF(ROUND(C433,2)+ROUND(D433,2)=0,"","yes")</f>
        <v/>
      </c>
      <c r="G433" s="45" t="n"/>
      <c r="H433" s="43">
        <f>IF($G433="","",$E433-$G433)</f>
        <v/>
      </c>
    </row>
    <row r="434">
      <c r="A434" s="42" t="inlineStr">
        <is>
          <t>974</t>
        </is>
      </c>
      <c r="B434" s="42" t="inlineStr">
        <is>
          <t>DTTL 1300 Number</t>
        </is>
      </c>
      <c r="C434" s="43">
        <f>SUMIFS(tbl_WIP[Amount],tbl_WIP[Job Number],$A434,tbl_WIP[Month],"&lt;&gt;",tbl_WIP[Month],"&lt;"&amp;$C$4)+SUMIF('Deferred Revenue'!$E$6:$E$578,$A434,'Deferred Revenue'!$P$6:$P$578)</f>
        <v/>
      </c>
      <c r="D434" s="43">
        <f>SUMIFS(tbl_WIP[Amount],tbl_WIP[Job Number],$A434,tbl_WIP[Month],$C$4)+SUMIF('Deferred Revenue'!$E$6:$E$578,$A434,'Deferred Revenue'!$Q$6:$Q$578)</f>
        <v/>
      </c>
      <c r="E434" s="43">
        <f>C434+D434</f>
        <v/>
      </c>
      <c r="F434" s="44">
        <f>IF(ROUND(C434,2)+ROUND(D434,2)=0,"","yes")</f>
        <v/>
      </c>
      <c r="G434" s="45" t="n"/>
      <c r="H434" s="43">
        <f>IF($G434="","",$E434-$G434)</f>
        <v/>
      </c>
    </row>
  </sheetData>
  <autoFilter ref="A11:H434"/>
  <conditionalFormatting sqref="H12:H434">
    <cfRule type="expression" priority="1" dxfId="1">
      <formula>AND(H12&lt;&gt;"",ROUND(H12,2)&lt;&gt;0)</formula>
    </cfRule>
  </conditionalFormatting>
  <pageMargins left="0.75" right="0.75" top="1" bottom="1" header="0.5" footer="0.5"/>
</worksheet>
</file>

<file path=xl/worksheets/sheet5.xml><?xml version="1.0" encoding="utf-8"?>
<worksheet xmlns="http://schemas.openxmlformats.org/spreadsheetml/2006/main">
  <sheetPr>
    <tabColor rgb="008B6A2B"/>
    <outlinePr summaryBelow="1" summaryRight="1"/>
    <pageSetUpPr/>
  </sheetPr>
  <dimension ref="A1:R578"/>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18" t="inlineStr">
        <is>
          <t>Month</t>
        </is>
      </c>
      <c r="C3" s="40">
        <f>'Month-End'!C4</f>
        <v/>
      </c>
      <c r="D3" s="20" t="inlineStr">
        <is>
          <t>&lt;- set on the Month-End sheet</t>
        </is>
      </c>
    </row>
    <row r="5" ht="32" customHeight="1">
      <c r="A5" s="46" t="inlineStr">
        <is>
          <t>Line</t>
        </is>
      </c>
      <c r="B5" s="46" t="inlineStr">
        <is>
          <t>Date</t>
        </is>
      </c>
      <c r="C5" s="46" t="inlineStr">
        <is>
          <t>Xero Invoice No</t>
        </is>
      </c>
      <c r="D5" s="46" t="inlineStr">
        <is>
          <t>Client</t>
        </is>
      </c>
      <c r="E5" s="46" t="inlineStr">
        <is>
          <t>Job Number</t>
        </is>
      </c>
      <c r="F5" s="46" t="inlineStr">
        <is>
          <t>Cost Centre</t>
        </is>
      </c>
      <c r="G5" s="46" t="inlineStr">
        <is>
          <t>Ex GST</t>
        </is>
      </c>
      <c r="H5" s="46" t="inlineStr">
        <is>
          <t>Defer Start</t>
        </is>
      </c>
      <c r="I5" s="46" t="inlineStr">
        <is>
          <t>Defer End</t>
        </is>
      </c>
      <c r="J5" s="46" t="inlineStr">
        <is>
          <t>Months</t>
        </is>
      </c>
      <c r="K5" s="46" t="inlineStr">
        <is>
          <t>Per Month</t>
        </is>
      </c>
      <c r="L5" s="46" t="inlineStr">
        <is>
          <t>Recognised to date</t>
        </is>
      </c>
      <c r="M5" s="46" t="inlineStr">
        <is>
          <t>Recognised to prior</t>
        </is>
      </c>
      <c r="N5" s="46" t="inlineStr">
        <is>
          <t>Invoiced to date</t>
        </is>
      </c>
      <c r="O5" s="46" t="inlineStr">
        <is>
          <t>Invoiced to prior</t>
        </is>
      </c>
      <c r="P5" s="46" t="inlineStr">
        <is>
          <t>Opening WIP</t>
        </is>
      </c>
      <c r="Q5" s="46" t="inlineStr">
        <is>
          <t>Movement</t>
        </is>
      </c>
      <c r="R5" s="46" t="inlineStr">
        <is>
          <t>Closing WIP</t>
        </is>
      </c>
    </row>
    <row r="6">
      <c r="A6" s="47">
        <f>ROW()-5</f>
        <v/>
      </c>
      <c r="B6" s="48">
        <f>IFERROR(INDEX(tbl_Finance[Date],$A6),"")</f>
        <v/>
      </c>
      <c r="C6" s="49">
        <f>IFERROR(INDEX(tbl_Finance[Xero Invoice No],$A6),"")</f>
        <v/>
      </c>
      <c r="D6" s="49">
        <f>IFERROR(INDEX(tbl_Finance[Client],$A6),"")</f>
        <v/>
      </c>
      <c r="E6" s="49">
        <f>IFERROR(INDEX(tbl_Finance[Job Number],$A6),"")</f>
        <v/>
      </c>
      <c r="F6" s="49">
        <f>IFERROR(INDEX(tbl_Finance[Cost Centre],$A6),"")</f>
        <v/>
      </c>
      <c r="G6" s="50">
        <f>IFERROR(INDEX(tbl_Finance[Ex GST],$A6),"")</f>
        <v/>
      </c>
      <c r="H6" s="48">
        <f>IFERROR(INDEX(tbl_Finance[Defer Start],$A6),"")</f>
        <v/>
      </c>
      <c r="I6" s="48">
        <f>IFERROR(INDEX(tbl_Finance[Defer End],$A6),"")</f>
        <v/>
      </c>
      <c r="J6" s="47">
        <f>IF(OR($H6="",$I6="",$G6=""),"",MAX(1,(YEAR($I6)-YEAR($H6))*12+MONTH($I6)-MONTH($H6)+1))</f>
        <v/>
      </c>
      <c r="K6" s="50">
        <f>IF($J6="","",$G6/$J6)</f>
        <v/>
      </c>
      <c r="L6" s="50">
        <f>IF($J6="",0,$K6*MAX(0,MIN(YEAR($C$3)*12+MONTH($C$3),YEAR($I6)*12+MONTH($I6))-(YEAR($H6)*12+MONTH($H6))+1))</f>
        <v/>
      </c>
      <c r="M6" s="50">
        <f>IF($J6="",0,$K6*MAX(0,MIN(YEAR($C$3)*12+MONTH($C$3)-1,YEAR($I6)*12+MONTH($I6))-(YEAR($H6)*12+MONTH($H6))+1))</f>
        <v/>
      </c>
      <c r="N6" s="50">
        <f>IF(OR($J6="",$B6=""),0,IF(YEAR($B6)*12+MONTH($B6)&lt;=YEAR($C$3)*12+MONTH($C$3),$G6,0))</f>
        <v/>
      </c>
      <c r="O6" s="50">
        <f>IF(OR($J6="",$B6=""),0,IF(YEAR($B6)*12+MONTH($B6)&lt;=YEAR($C$3)*12+MONTH($C$3)-1,$G6,0))</f>
        <v/>
      </c>
      <c r="P6" s="50">
        <f>$M6-$O6</f>
        <v/>
      </c>
      <c r="Q6" s="50">
        <f>($L6-$M6)-($N6-$O6)</f>
        <v/>
      </c>
      <c r="R6" s="50">
        <f>$L6-$N6</f>
        <v/>
      </c>
    </row>
    <row r="7">
      <c r="A7" s="47">
        <f>ROW()-5</f>
        <v/>
      </c>
      <c r="B7" s="48">
        <f>IFERROR(INDEX(tbl_Finance[Date],$A7),"")</f>
        <v/>
      </c>
      <c r="C7" s="49">
        <f>IFERROR(INDEX(tbl_Finance[Xero Invoice No],$A7),"")</f>
        <v/>
      </c>
      <c r="D7" s="49">
        <f>IFERROR(INDEX(tbl_Finance[Client],$A7),"")</f>
        <v/>
      </c>
      <c r="E7" s="49">
        <f>IFERROR(INDEX(tbl_Finance[Job Number],$A7),"")</f>
        <v/>
      </c>
      <c r="F7" s="49">
        <f>IFERROR(INDEX(tbl_Finance[Cost Centre],$A7),"")</f>
        <v/>
      </c>
      <c r="G7" s="50">
        <f>IFERROR(INDEX(tbl_Finance[Ex GST],$A7),"")</f>
        <v/>
      </c>
      <c r="H7" s="48">
        <f>IFERROR(INDEX(tbl_Finance[Defer Start],$A7),"")</f>
        <v/>
      </c>
      <c r="I7" s="48">
        <f>IFERROR(INDEX(tbl_Finance[Defer End],$A7),"")</f>
        <v/>
      </c>
      <c r="J7" s="47">
        <f>IF(OR($H7="",$I7="",$G7=""),"",MAX(1,(YEAR($I7)-YEAR($H7))*12+MONTH($I7)-MONTH($H7)+1))</f>
        <v/>
      </c>
      <c r="K7" s="50">
        <f>IF($J7="","",$G7/$J7)</f>
        <v/>
      </c>
      <c r="L7" s="50">
        <f>IF($J7="",0,$K7*MAX(0,MIN(YEAR($C$3)*12+MONTH($C$3),YEAR($I7)*12+MONTH($I7))-(YEAR($H7)*12+MONTH($H7))+1))</f>
        <v/>
      </c>
      <c r="M7" s="50">
        <f>IF($J7="",0,$K7*MAX(0,MIN(YEAR($C$3)*12+MONTH($C$3)-1,YEAR($I7)*12+MONTH($I7))-(YEAR($H7)*12+MONTH($H7))+1))</f>
        <v/>
      </c>
      <c r="N7" s="50">
        <f>IF(OR($J7="",$B7=""),0,IF(YEAR($B7)*12+MONTH($B7)&lt;=YEAR($C$3)*12+MONTH($C$3),$G7,0))</f>
        <v/>
      </c>
      <c r="O7" s="50">
        <f>IF(OR($J7="",$B7=""),0,IF(YEAR($B7)*12+MONTH($B7)&lt;=YEAR($C$3)*12+MONTH($C$3)-1,$G7,0))</f>
        <v/>
      </c>
      <c r="P7" s="50">
        <f>$M7-$O7</f>
        <v/>
      </c>
      <c r="Q7" s="50">
        <f>($L7-$M7)-($N7-$O7)</f>
        <v/>
      </c>
      <c r="R7" s="50">
        <f>$L7-$N7</f>
        <v/>
      </c>
    </row>
    <row r="8">
      <c r="A8" s="47">
        <f>ROW()-5</f>
        <v/>
      </c>
      <c r="B8" s="48">
        <f>IFERROR(INDEX(tbl_Finance[Date],$A8),"")</f>
        <v/>
      </c>
      <c r="C8" s="49">
        <f>IFERROR(INDEX(tbl_Finance[Xero Invoice No],$A8),"")</f>
        <v/>
      </c>
      <c r="D8" s="49">
        <f>IFERROR(INDEX(tbl_Finance[Client],$A8),"")</f>
        <v/>
      </c>
      <c r="E8" s="49">
        <f>IFERROR(INDEX(tbl_Finance[Job Number],$A8),"")</f>
        <v/>
      </c>
      <c r="F8" s="49">
        <f>IFERROR(INDEX(tbl_Finance[Cost Centre],$A8),"")</f>
        <v/>
      </c>
      <c r="G8" s="50">
        <f>IFERROR(INDEX(tbl_Finance[Ex GST],$A8),"")</f>
        <v/>
      </c>
      <c r="H8" s="48">
        <f>IFERROR(INDEX(tbl_Finance[Defer Start],$A8),"")</f>
        <v/>
      </c>
      <c r="I8" s="48">
        <f>IFERROR(INDEX(tbl_Finance[Defer End],$A8),"")</f>
        <v/>
      </c>
      <c r="J8" s="47">
        <f>IF(OR($H8="",$I8="",$G8=""),"",MAX(1,(YEAR($I8)-YEAR($H8))*12+MONTH($I8)-MONTH($H8)+1))</f>
        <v/>
      </c>
      <c r="K8" s="50">
        <f>IF($J8="","",$G8/$J8)</f>
        <v/>
      </c>
      <c r="L8" s="50">
        <f>IF($J8="",0,$K8*MAX(0,MIN(YEAR($C$3)*12+MONTH($C$3),YEAR($I8)*12+MONTH($I8))-(YEAR($H8)*12+MONTH($H8))+1))</f>
        <v/>
      </c>
      <c r="M8" s="50">
        <f>IF($J8="",0,$K8*MAX(0,MIN(YEAR($C$3)*12+MONTH($C$3)-1,YEAR($I8)*12+MONTH($I8))-(YEAR($H8)*12+MONTH($H8))+1))</f>
        <v/>
      </c>
      <c r="N8" s="50">
        <f>IF(OR($J8="",$B8=""),0,IF(YEAR($B8)*12+MONTH($B8)&lt;=YEAR($C$3)*12+MONTH($C$3),$G8,0))</f>
        <v/>
      </c>
      <c r="O8" s="50">
        <f>IF(OR($J8="",$B8=""),0,IF(YEAR($B8)*12+MONTH($B8)&lt;=YEAR($C$3)*12+MONTH($C$3)-1,$G8,0))</f>
        <v/>
      </c>
      <c r="P8" s="50">
        <f>$M8-$O8</f>
        <v/>
      </c>
      <c r="Q8" s="50">
        <f>($L8-$M8)-($N8-$O8)</f>
        <v/>
      </c>
      <c r="R8" s="50">
        <f>$L8-$N8</f>
        <v/>
      </c>
    </row>
    <row r="9">
      <c r="A9" s="47">
        <f>ROW()-5</f>
        <v/>
      </c>
      <c r="B9" s="48">
        <f>IFERROR(INDEX(tbl_Finance[Date],$A9),"")</f>
        <v/>
      </c>
      <c r="C9" s="49">
        <f>IFERROR(INDEX(tbl_Finance[Xero Invoice No],$A9),"")</f>
        <v/>
      </c>
      <c r="D9" s="49">
        <f>IFERROR(INDEX(tbl_Finance[Client],$A9),"")</f>
        <v/>
      </c>
      <c r="E9" s="49">
        <f>IFERROR(INDEX(tbl_Finance[Job Number],$A9),"")</f>
        <v/>
      </c>
      <c r="F9" s="49">
        <f>IFERROR(INDEX(tbl_Finance[Cost Centre],$A9),"")</f>
        <v/>
      </c>
      <c r="G9" s="50">
        <f>IFERROR(INDEX(tbl_Finance[Ex GST],$A9),"")</f>
        <v/>
      </c>
      <c r="H9" s="48">
        <f>IFERROR(INDEX(tbl_Finance[Defer Start],$A9),"")</f>
        <v/>
      </c>
      <c r="I9" s="48">
        <f>IFERROR(INDEX(tbl_Finance[Defer End],$A9),"")</f>
        <v/>
      </c>
      <c r="J9" s="47">
        <f>IF(OR($H9="",$I9="",$G9=""),"",MAX(1,(YEAR($I9)-YEAR($H9))*12+MONTH($I9)-MONTH($H9)+1))</f>
        <v/>
      </c>
      <c r="K9" s="50">
        <f>IF($J9="","",$G9/$J9)</f>
        <v/>
      </c>
      <c r="L9" s="50">
        <f>IF($J9="",0,$K9*MAX(0,MIN(YEAR($C$3)*12+MONTH($C$3),YEAR($I9)*12+MONTH($I9))-(YEAR($H9)*12+MONTH($H9))+1))</f>
        <v/>
      </c>
      <c r="M9" s="50">
        <f>IF($J9="",0,$K9*MAX(0,MIN(YEAR($C$3)*12+MONTH($C$3)-1,YEAR($I9)*12+MONTH($I9))-(YEAR($H9)*12+MONTH($H9))+1))</f>
        <v/>
      </c>
      <c r="N9" s="50">
        <f>IF(OR($J9="",$B9=""),0,IF(YEAR($B9)*12+MONTH($B9)&lt;=YEAR($C$3)*12+MONTH($C$3),$G9,0))</f>
        <v/>
      </c>
      <c r="O9" s="50">
        <f>IF(OR($J9="",$B9=""),0,IF(YEAR($B9)*12+MONTH($B9)&lt;=YEAR($C$3)*12+MONTH($C$3)-1,$G9,0))</f>
        <v/>
      </c>
      <c r="P9" s="50">
        <f>$M9-$O9</f>
        <v/>
      </c>
      <c r="Q9" s="50">
        <f>($L9-$M9)-($N9-$O9)</f>
        <v/>
      </c>
      <c r="R9" s="50">
        <f>$L9-$N9</f>
        <v/>
      </c>
    </row>
    <row r="10">
      <c r="A10" s="47">
        <f>ROW()-5</f>
        <v/>
      </c>
      <c r="B10" s="48">
        <f>IFERROR(INDEX(tbl_Finance[Date],$A10),"")</f>
        <v/>
      </c>
      <c r="C10" s="49">
        <f>IFERROR(INDEX(tbl_Finance[Xero Invoice No],$A10),"")</f>
        <v/>
      </c>
      <c r="D10" s="49">
        <f>IFERROR(INDEX(tbl_Finance[Client],$A10),"")</f>
        <v/>
      </c>
      <c r="E10" s="49">
        <f>IFERROR(INDEX(tbl_Finance[Job Number],$A10),"")</f>
        <v/>
      </c>
      <c r="F10" s="49">
        <f>IFERROR(INDEX(tbl_Finance[Cost Centre],$A10),"")</f>
        <v/>
      </c>
      <c r="G10" s="50">
        <f>IFERROR(INDEX(tbl_Finance[Ex GST],$A10),"")</f>
        <v/>
      </c>
      <c r="H10" s="48">
        <f>IFERROR(INDEX(tbl_Finance[Defer Start],$A10),"")</f>
        <v/>
      </c>
      <c r="I10" s="48">
        <f>IFERROR(INDEX(tbl_Finance[Defer End],$A10),"")</f>
        <v/>
      </c>
      <c r="J10" s="47">
        <f>IF(OR($H10="",$I10="",$G10=""),"",MAX(1,(YEAR($I10)-YEAR($H10))*12+MONTH($I10)-MONTH($H10)+1))</f>
        <v/>
      </c>
      <c r="K10" s="50">
        <f>IF($J10="","",$G10/$J10)</f>
        <v/>
      </c>
      <c r="L10" s="50">
        <f>IF($J10="",0,$K10*MAX(0,MIN(YEAR($C$3)*12+MONTH($C$3),YEAR($I10)*12+MONTH($I10))-(YEAR($H10)*12+MONTH($H10))+1))</f>
        <v/>
      </c>
      <c r="M10" s="50">
        <f>IF($J10="",0,$K10*MAX(0,MIN(YEAR($C$3)*12+MONTH($C$3)-1,YEAR($I10)*12+MONTH($I10))-(YEAR($H10)*12+MONTH($H10))+1))</f>
        <v/>
      </c>
      <c r="N10" s="50">
        <f>IF(OR($J10="",$B10=""),0,IF(YEAR($B10)*12+MONTH($B10)&lt;=YEAR($C$3)*12+MONTH($C$3),$G10,0))</f>
        <v/>
      </c>
      <c r="O10" s="50">
        <f>IF(OR($J10="",$B10=""),0,IF(YEAR($B10)*12+MONTH($B10)&lt;=YEAR($C$3)*12+MONTH($C$3)-1,$G10,0))</f>
        <v/>
      </c>
      <c r="P10" s="50">
        <f>$M10-$O10</f>
        <v/>
      </c>
      <c r="Q10" s="50">
        <f>($L10-$M10)-($N10-$O10)</f>
        <v/>
      </c>
      <c r="R10" s="50">
        <f>$L10-$N10</f>
        <v/>
      </c>
    </row>
    <row r="11">
      <c r="A11" s="47">
        <f>ROW()-5</f>
        <v/>
      </c>
      <c r="B11" s="48">
        <f>IFERROR(INDEX(tbl_Finance[Date],$A11),"")</f>
        <v/>
      </c>
      <c r="C11" s="49">
        <f>IFERROR(INDEX(tbl_Finance[Xero Invoice No],$A11),"")</f>
        <v/>
      </c>
      <c r="D11" s="49">
        <f>IFERROR(INDEX(tbl_Finance[Client],$A11),"")</f>
        <v/>
      </c>
      <c r="E11" s="49">
        <f>IFERROR(INDEX(tbl_Finance[Job Number],$A11),"")</f>
        <v/>
      </c>
      <c r="F11" s="49">
        <f>IFERROR(INDEX(tbl_Finance[Cost Centre],$A11),"")</f>
        <v/>
      </c>
      <c r="G11" s="50">
        <f>IFERROR(INDEX(tbl_Finance[Ex GST],$A11),"")</f>
        <v/>
      </c>
      <c r="H11" s="48">
        <f>IFERROR(INDEX(tbl_Finance[Defer Start],$A11),"")</f>
        <v/>
      </c>
      <c r="I11" s="48">
        <f>IFERROR(INDEX(tbl_Finance[Defer End],$A11),"")</f>
        <v/>
      </c>
      <c r="J11" s="47">
        <f>IF(OR($H11="",$I11="",$G11=""),"",MAX(1,(YEAR($I11)-YEAR($H11))*12+MONTH($I11)-MONTH($H11)+1))</f>
        <v/>
      </c>
      <c r="K11" s="50">
        <f>IF($J11="","",$G11/$J11)</f>
        <v/>
      </c>
      <c r="L11" s="50">
        <f>IF($J11="",0,$K11*MAX(0,MIN(YEAR($C$3)*12+MONTH($C$3),YEAR($I11)*12+MONTH($I11))-(YEAR($H11)*12+MONTH($H11))+1))</f>
        <v/>
      </c>
      <c r="M11" s="50">
        <f>IF($J11="",0,$K11*MAX(0,MIN(YEAR($C$3)*12+MONTH($C$3)-1,YEAR($I11)*12+MONTH($I11))-(YEAR($H11)*12+MONTH($H11))+1))</f>
        <v/>
      </c>
      <c r="N11" s="50">
        <f>IF(OR($J11="",$B11=""),0,IF(YEAR($B11)*12+MONTH($B11)&lt;=YEAR($C$3)*12+MONTH($C$3),$G11,0))</f>
        <v/>
      </c>
      <c r="O11" s="50">
        <f>IF(OR($J11="",$B11=""),0,IF(YEAR($B11)*12+MONTH($B11)&lt;=YEAR($C$3)*12+MONTH($C$3)-1,$G11,0))</f>
        <v/>
      </c>
      <c r="P11" s="50">
        <f>$M11-$O11</f>
        <v/>
      </c>
      <c r="Q11" s="50">
        <f>($L11-$M11)-($N11-$O11)</f>
        <v/>
      </c>
      <c r="R11" s="50">
        <f>$L11-$N11</f>
        <v/>
      </c>
    </row>
    <row r="12">
      <c r="A12" s="47">
        <f>ROW()-5</f>
        <v/>
      </c>
      <c r="B12" s="48">
        <f>IFERROR(INDEX(tbl_Finance[Date],$A12),"")</f>
        <v/>
      </c>
      <c r="C12" s="49">
        <f>IFERROR(INDEX(tbl_Finance[Xero Invoice No],$A12),"")</f>
        <v/>
      </c>
      <c r="D12" s="49">
        <f>IFERROR(INDEX(tbl_Finance[Client],$A12),"")</f>
        <v/>
      </c>
      <c r="E12" s="49">
        <f>IFERROR(INDEX(tbl_Finance[Job Number],$A12),"")</f>
        <v/>
      </c>
      <c r="F12" s="49">
        <f>IFERROR(INDEX(tbl_Finance[Cost Centre],$A12),"")</f>
        <v/>
      </c>
      <c r="G12" s="50">
        <f>IFERROR(INDEX(tbl_Finance[Ex GST],$A12),"")</f>
        <v/>
      </c>
      <c r="H12" s="48">
        <f>IFERROR(INDEX(tbl_Finance[Defer Start],$A12),"")</f>
        <v/>
      </c>
      <c r="I12" s="48">
        <f>IFERROR(INDEX(tbl_Finance[Defer End],$A12),"")</f>
        <v/>
      </c>
      <c r="J12" s="47">
        <f>IF(OR($H12="",$I12="",$G12=""),"",MAX(1,(YEAR($I12)-YEAR($H12))*12+MONTH($I12)-MONTH($H12)+1))</f>
        <v/>
      </c>
      <c r="K12" s="50">
        <f>IF($J12="","",$G12/$J12)</f>
        <v/>
      </c>
      <c r="L12" s="50">
        <f>IF($J12="",0,$K12*MAX(0,MIN(YEAR($C$3)*12+MONTH($C$3),YEAR($I12)*12+MONTH($I12))-(YEAR($H12)*12+MONTH($H12))+1))</f>
        <v/>
      </c>
      <c r="M12" s="50">
        <f>IF($J12="",0,$K12*MAX(0,MIN(YEAR($C$3)*12+MONTH($C$3)-1,YEAR($I12)*12+MONTH($I12))-(YEAR($H12)*12+MONTH($H12))+1))</f>
        <v/>
      </c>
      <c r="N12" s="50">
        <f>IF(OR($J12="",$B12=""),0,IF(YEAR($B12)*12+MONTH($B12)&lt;=YEAR($C$3)*12+MONTH($C$3),$G12,0))</f>
        <v/>
      </c>
      <c r="O12" s="50">
        <f>IF(OR($J12="",$B12=""),0,IF(YEAR($B12)*12+MONTH($B12)&lt;=YEAR($C$3)*12+MONTH($C$3)-1,$G12,0))</f>
        <v/>
      </c>
      <c r="P12" s="50">
        <f>$M12-$O12</f>
        <v/>
      </c>
      <c r="Q12" s="50">
        <f>($L12-$M12)-($N12-$O12)</f>
        <v/>
      </c>
      <c r="R12" s="50">
        <f>$L12-$N12</f>
        <v/>
      </c>
    </row>
    <row r="13">
      <c r="A13" s="47">
        <f>ROW()-5</f>
        <v/>
      </c>
      <c r="B13" s="48">
        <f>IFERROR(INDEX(tbl_Finance[Date],$A13),"")</f>
        <v/>
      </c>
      <c r="C13" s="49">
        <f>IFERROR(INDEX(tbl_Finance[Xero Invoice No],$A13),"")</f>
        <v/>
      </c>
      <c r="D13" s="49">
        <f>IFERROR(INDEX(tbl_Finance[Client],$A13),"")</f>
        <v/>
      </c>
      <c r="E13" s="49">
        <f>IFERROR(INDEX(tbl_Finance[Job Number],$A13),"")</f>
        <v/>
      </c>
      <c r="F13" s="49">
        <f>IFERROR(INDEX(tbl_Finance[Cost Centre],$A13),"")</f>
        <v/>
      </c>
      <c r="G13" s="50">
        <f>IFERROR(INDEX(tbl_Finance[Ex GST],$A13),"")</f>
        <v/>
      </c>
      <c r="H13" s="48">
        <f>IFERROR(INDEX(tbl_Finance[Defer Start],$A13),"")</f>
        <v/>
      </c>
      <c r="I13" s="48">
        <f>IFERROR(INDEX(tbl_Finance[Defer End],$A13),"")</f>
        <v/>
      </c>
      <c r="J13" s="47">
        <f>IF(OR($H13="",$I13="",$G13=""),"",MAX(1,(YEAR($I13)-YEAR($H13))*12+MONTH($I13)-MONTH($H13)+1))</f>
        <v/>
      </c>
      <c r="K13" s="50">
        <f>IF($J13="","",$G13/$J13)</f>
        <v/>
      </c>
      <c r="L13" s="50">
        <f>IF($J13="",0,$K13*MAX(0,MIN(YEAR($C$3)*12+MONTH($C$3),YEAR($I13)*12+MONTH($I13))-(YEAR($H13)*12+MONTH($H13))+1))</f>
        <v/>
      </c>
      <c r="M13" s="50">
        <f>IF($J13="",0,$K13*MAX(0,MIN(YEAR($C$3)*12+MONTH($C$3)-1,YEAR($I13)*12+MONTH($I13))-(YEAR($H13)*12+MONTH($H13))+1))</f>
        <v/>
      </c>
      <c r="N13" s="50">
        <f>IF(OR($J13="",$B13=""),0,IF(YEAR($B13)*12+MONTH($B13)&lt;=YEAR($C$3)*12+MONTH($C$3),$G13,0))</f>
        <v/>
      </c>
      <c r="O13" s="50">
        <f>IF(OR($J13="",$B13=""),0,IF(YEAR($B13)*12+MONTH($B13)&lt;=YEAR($C$3)*12+MONTH($C$3)-1,$G13,0))</f>
        <v/>
      </c>
      <c r="P13" s="50">
        <f>$M13-$O13</f>
        <v/>
      </c>
      <c r="Q13" s="50">
        <f>($L13-$M13)-($N13-$O13)</f>
        <v/>
      </c>
      <c r="R13" s="50">
        <f>$L13-$N13</f>
        <v/>
      </c>
    </row>
    <row r="14">
      <c r="A14" s="47">
        <f>ROW()-5</f>
        <v/>
      </c>
      <c r="B14" s="48">
        <f>IFERROR(INDEX(tbl_Finance[Date],$A14),"")</f>
        <v/>
      </c>
      <c r="C14" s="49">
        <f>IFERROR(INDEX(tbl_Finance[Xero Invoice No],$A14),"")</f>
        <v/>
      </c>
      <c r="D14" s="49">
        <f>IFERROR(INDEX(tbl_Finance[Client],$A14),"")</f>
        <v/>
      </c>
      <c r="E14" s="49">
        <f>IFERROR(INDEX(tbl_Finance[Job Number],$A14),"")</f>
        <v/>
      </c>
      <c r="F14" s="49">
        <f>IFERROR(INDEX(tbl_Finance[Cost Centre],$A14),"")</f>
        <v/>
      </c>
      <c r="G14" s="50">
        <f>IFERROR(INDEX(tbl_Finance[Ex GST],$A14),"")</f>
        <v/>
      </c>
      <c r="H14" s="48">
        <f>IFERROR(INDEX(tbl_Finance[Defer Start],$A14),"")</f>
        <v/>
      </c>
      <c r="I14" s="48">
        <f>IFERROR(INDEX(tbl_Finance[Defer End],$A14),"")</f>
        <v/>
      </c>
      <c r="J14" s="47">
        <f>IF(OR($H14="",$I14="",$G14=""),"",MAX(1,(YEAR($I14)-YEAR($H14))*12+MONTH($I14)-MONTH($H14)+1))</f>
        <v/>
      </c>
      <c r="K14" s="50">
        <f>IF($J14="","",$G14/$J14)</f>
        <v/>
      </c>
      <c r="L14" s="50">
        <f>IF($J14="",0,$K14*MAX(0,MIN(YEAR($C$3)*12+MONTH($C$3),YEAR($I14)*12+MONTH($I14))-(YEAR($H14)*12+MONTH($H14))+1))</f>
        <v/>
      </c>
      <c r="M14" s="50">
        <f>IF($J14="",0,$K14*MAX(0,MIN(YEAR($C$3)*12+MONTH($C$3)-1,YEAR($I14)*12+MONTH($I14))-(YEAR($H14)*12+MONTH($H14))+1))</f>
        <v/>
      </c>
      <c r="N14" s="50">
        <f>IF(OR($J14="",$B14=""),0,IF(YEAR($B14)*12+MONTH($B14)&lt;=YEAR($C$3)*12+MONTH($C$3),$G14,0))</f>
        <v/>
      </c>
      <c r="O14" s="50">
        <f>IF(OR($J14="",$B14=""),0,IF(YEAR($B14)*12+MONTH($B14)&lt;=YEAR($C$3)*12+MONTH($C$3)-1,$G14,0))</f>
        <v/>
      </c>
      <c r="P14" s="50">
        <f>$M14-$O14</f>
        <v/>
      </c>
      <c r="Q14" s="50">
        <f>($L14-$M14)-($N14-$O14)</f>
        <v/>
      </c>
      <c r="R14" s="50">
        <f>$L14-$N14</f>
        <v/>
      </c>
    </row>
    <row r="15">
      <c r="A15" s="47">
        <f>ROW()-5</f>
        <v/>
      </c>
      <c r="B15" s="48">
        <f>IFERROR(INDEX(tbl_Finance[Date],$A15),"")</f>
        <v/>
      </c>
      <c r="C15" s="49">
        <f>IFERROR(INDEX(tbl_Finance[Xero Invoice No],$A15),"")</f>
        <v/>
      </c>
      <c r="D15" s="49">
        <f>IFERROR(INDEX(tbl_Finance[Client],$A15),"")</f>
        <v/>
      </c>
      <c r="E15" s="49">
        <f>IFERROR(INDEX(tbl_Finance[Job Number],$A15),"")</f>
        <v/>
      </c>
      <c r="F15" s="49">
        <f>IFERROR(INDEX(tbl_Finance[Cost Centre],$A15),"")</f>
        <v/>
      </c>
      <c r="G15" s="50">
        <f>IFERROR(INDEX(tbl_Finance[Ex GST],$A15),"")</f>
        <v/>
      </c>
      <c r="H15" s="48">
        <f>IFERROR(INDEX(tbl_Finance[Defer Start],$A15),"")</f>
        <v/>
      </c>
      <c r="I15" s="48">
        <f>IFERROR(INDEX(tbl_Finance[Defer End],$A15),"")</f>
        <v/>
      </c>
      <c r="J15" s="47">
        <f>IF(OR($H15="",$I15="",$G15=""),"",MAX(1,(YEAR($I15)-YEAR($H15))*12+MONTH($I15)-MONTH($H15)+1))</f>
        <v/>
      </c>
      <c r="K15" s="50">
        <f>IF($J15="","",$G15/$J15)</f>
        <v/>
      </c>
      <c r="L15" s="50">
        <f>IF($J15="",0,$K15*MAX(0,MIN(YEAR($C$3)*12+MONTH($C$3),YEAR($I15)*12+MONTH($I15))-(YEAR($H15)*12+MONTH($H15))+1))</f>
        <v/>
      </c>
      <c r="M15" s="50">
        <f>IF($J15="",0,$K15*MAX(0,MIN(YEAR($C$3)*12+MONTH($C$3)-1,YEAR($I15)*12+MONTH($I15))-(YEAR($H15)*12+MONTH($H15))+1))</f>
        <v/>
      </c>
      <c r="N15" s="50">
        <f>IF(OR($J15="",$B15=""),0,IF(YEAR($B15)*12+MONTH($B15)&lt;=YEAR($C$3)*12+MONTH($C$3),$G15,0))</f>
        <v/>
      </c>
      <c r="O15" s="50">
        <f>IF(OR($J15="",$B15=""),0,IF(YEAR($B15)*12+MONTH($B15)&lt;=YEAR($C$3)*12+MONTH($C$3)-1,$G15,0))</f>
        <v/>
      </c>
      <c r="P15" s="50">
        <f>$M15-$O15</f>
        <v/>
      </c>
      <c r="Q15" s="50">
        <f>($L15-$M15)-($N15-$O15)</f>
        <v/>
      </c>
      <c r="R15" s="50">
        <f>$L15-$N15</f>
        <v/>
      </c>
    </row>
    <row r="16">
      <c r="A16" s="47">
        <f>ROW()-5</f>
        <v/>
      </c>
      <c r="B16" s="48">
        <f>IFERROR(INDEX(tbl_Finance[Date],$A16),"")</f>
        <v/>
      </c>
      <c r="C16" s="49">
        <f>IFERROR(INDEX(tbl_Finance[Xero Invoice No],$A16),"")</f>
        <v/>
      </c>
      <c r="D16" s="49">
        <f>IFERROR(INDEX(tbl_Finance[Client],$A16),"")</f>
        <v/>
      </c>
      <c r="E16" s="49">
        <f>IFERROR(INDEX(tbl_Finance[Job Number],$A16),"")</f>
        <v/>
      </c>
      <c r="F16" s="49">
        <f>IFERROR(INDEX(tbl_Finance[Cost Centre],$A16),"")</f>
        <v/>
      </c>
      <c r="G16" s="50">
        <f>IFERROR(INDEX(tbl_Finance[Ex GST],$A16),"")</f>
        <v/>
      </c>
      <c r="H16" s="48">
        <f>IFERROR(INDEX(tbl_Finance[Defer Start],$A16),"")</f>
        <v/>
      </c>
      <c r="I16" s="48">
        <f>IFERROR(INDEX(tbl_Finance[Defer End],$A16),"")</f>
        <v/>
      </c>
      <c r="J16" s="47">
        <f>IF(OR($H16="",$I16="",$G16=""),"",MAX(1,(YEAR($I16)-YEAR($H16))*12+MONTH($I16)-MONTH($H16)+1))</f>
        <v/>
      </c>
      <c r="K16" s="50">
        <f>IF($J16="","",$G16/$J16)</f>
        <v/>
      </c>
      <c r="L16" s="50">
        <f>IF($J16="",0,$K16*MAX(0,MIN(YEAR($C$3)*12+MONTH($C$3),YEAR($I16)*12+MONTH($I16))-(YEAR($H16)*12+MONTH($H16))+1))</f>
        <v/>
      </c>
      <c r="M16" s="50">
        <f>IF($J16="",0,$K16*MAX(0,MIN(YEAR($C$3)*12+MONTH($C$3)-1,YEAR($I16)*12+MONTH($I16))-(YEAR($H16)*12+MONTH($H16))+1))</f>
        <v/>
      </c>
      <c r="N16" s="50">
        <f>IF(OR($J16="",$B16=""),0,IF(YEAR($B16)*12+MONTH($B16)&lt;=YEAR($C$3)*12+MONTH($C$3),$G16,0))</f>
        <v/>
      </c>
      <c r="O16" s="50">
        <f>IF(OR($J16="",$B16=""),0,IF(YEAR($B16)*12+MONTH($B16)&lt;=YEAR($C$3)*12+MONTH($C$3)-1,$G16,0))</f>
        <v/>
      </c>
      <c r="P16" s="50">
        <f>$M16-$O16</f>
        <v/>
      </c>
      <c r="Q16" s="50">
        <f>($L16-$M16)-($N16-$O16)</f>
        <v/>
      </c>
      <c r="R16" s="50">
        <f>$L16-$N16</f>
        <v/>
      </c>
    </row>
    <row r="17">
      <c r="A17" s="47">
        <f>ROW()-5</f>
        <v/>
      </c>
      <c r="B17" s="48">
        <f>IFERROR(INDEX(tbl_Finance[Date],$A17),"")</f>
        <v/>
      </c>
      <c r="C17" s="49">
        <f>IFERROR(INDEX(tbl_Finance[Xero Invoice No],$A17),"")</f>
        <v/>
      </c>
      <c r="D17" s="49">
        <f>IFERROR(INDEX(tbl_Finance[Client],$A17),"")</f>
        <v/>
      </c>
      <c r="E17" s="49">
        <f>IFERROR(INDEX(tbl_Finance[Job Number],$A17),"")</f>
        <v/>
      </c>
      <c r="F17" s="49">
        <f>IFERROR(INDEX(tbl_Finance[Cost Centre],$A17),"")</f>
        <v/>
      </c>
      <c r="G17" s="50">
        <f>IFERROR(INDEX(tbl_Finance[Ex GST],$A17),"")</f>
        <v/>
      </c>
      <c r="H17" s="48">
        <f>IFERROR(INDEX(tbl_Finance[Defer Start],$A17),"")</f>
        <v/>
      </c>
      <c r="I17" s="48">
        <f>IFERROR(INDEX(tbl_Finance[Defer End],$A17),"")</f>
        <v/>
      </c>
      <c r="J17" s="47">
        <f>IF(OR($H17="",$I17="",$G17=""),"",MAX(1,(YEAR($I17)-YEAR($H17))*12+MONTH($I17)-MONTH($H17)+1))</f>
        <v/>
      </c>
      <c r="K17" s="50">
        <f>IF($J17="","",$G17/$J17)</f>
        <v/>
      </c>
      <c r="L17" s="50">
        <f>IF($J17="",0,$K17*MAX(0,MIN(YEAR($C$3)*12+MONTH($C$3),YEAR($I17)*12+MONTH($I17))-(YEAR($H17)*12+MONTH($H17))+1))</f>
        <v/>
      </c>
      <c r="M17" s="50">
        <f>IF($J17="",0,$K17*MAX(0,MIN(YEAR($C$3)*12+MONTH($C$3)-1,YEAR($I17)*12+MONTH($I17))-(YEAR($H17)*12+MONTH($H17))+1))</f>
        <v/>
      </c>
      <c r="N17" s="50">
        <f>IF(OR($J17="",$B17=""),0,IF(YEAR($B17)*12+MONTH($B17)&lt;=YEAR($C$3)*12+MONTH($C$3),$G17,0))</f>
        <v/>
      </c>
      <c r="O17" s="50">
        <f>IF(OR($J17="",$B17=""),0,IF(YEAR($B17)*12+MONTH($B17)&lt;=YEAR($C$3)*12+MONTH($C$3)-1,$G17,0))</f>
        <v/>
      </c>
      <c r="P17" s="50">
        <f>$M17-$O17</f>
        <v/>
      </c>
      <c r="Q17" s="50">
        <f>($L17-$M17)-($N17-$O17)</f>
        <v/>
      </c>
      <c r="R17" s="50">
        <f>$L17-$N17</f>
        <v/>
      </c>
    </row>
    <row r="18">
      <c r="A18" s="47">
        <f>ROW()-5</f>
        <v/>
      </c>
      <c r="B18" s="48">
        <f>IFERROR(INDEX(tbl_Finance[Date],$A18),"")</f>
        <v/>
      </c>
      <c r="C18" s="49">
        <f>IFERROR(INDEX(tbl_Finance[Xero Invoice No],$A18),"")</f>
        <v/>
      </c>
      <c r="D18" s="49">
        <f>IFERROR(INDEX(tbl_Finance[Client],$A18),"")</f>
        <v/>
      </c>
      <c r="E18" s="49">
        <f>IFERROR(INDEX(tbl_Finance[Job Number],$A18),"")</f>
        <v/>
      </c>
      <c r="F18" s="49">
        <f>IFERROR(INDEX(tbl_Finance[Cost Centre],$A18),"")</f>
        <v/>
      </c>
      <c r="G18" s="50">
        <f>IFERROR(INDEX(tbl_Finance[Ex GST],$A18),"")</f>
        <v/>
      </c>
      <c r="H18" s="48">
        <f>IFERROR(INDEX(tbl_Finance[Defer Start],$A18),"")</f>
        <v/>
      </c>
      <c r="I18" s="48">
        <f>IFERROR(INDEX(tbl_Finance[Defer End],$A18),"")</f>
        <v/>
      </c>
      <c r="J18" s="47">
        <f>IF(OR($H18="",$I18="",$G18=""),"",MAX(1,(YEAR($I18)-YEAR($H18))*12+MONTH($I18)-MONTH($H18)+1))</f>
        <v/>
      </c>
      <c r="K18" s="50">
        <f>IF($J18="","",$G18/$J18)</f>
        <v/>
      </c>
      <c r="L18" s="50">
        <f>IF($J18="",0,$K18*MAX(0,MIN(YEAR($C$3)*12+MONTH($C$3),YEAR($I18)*12+MONTH($I18))-(YEAR($H18)*12+MONTH($H18))+1))</f>
        <v/>
      </c>
      <c r="M18" s="50">
        <f>IF($J18="",0,$K18*MAX(0,MIN(YEAR($C$3)*12+MONTH($C$3)-1,YEAR($I18)*12+MONTH($I18))-(YEAR($H18)*12+MONTH($H18))+1))</f>
        <v/>
      </c>
      <c r="N18" s="50">
        <f>IF(OR($J18="",$B18=""),0,IF(YEAR($B18)*12+MONTH($B18)&lt;=YEAR($C$3)*12+MONTH($C$3),$G18,0))</f>
        <v/>
      </c>
      <c r="O18" s="50">
        <f>IF(OR($J18="",$B18=""),0,IF(YEAR($B18)*12+MONTH($B18)&lt;=YEAR($C$3)*12+MONTH($C$3)-1,$G18,0))</f>
        <v/>
      </c>
      <c r="P18" s="50">
        <f>$M18-$O18</f>
        <v/>
      </c>
      <c r="Q18" s="50">
        <f>($L18-$M18)-($N18-$O18)</f>
        <v/>
      </c>
      <c r="R18" s="50">
        <f>$L18-$N18</f>
        <v/>
      </c>
    </row>
    <row r="19">
      <c r="A19" s="47">
        <f>ROW()-5</f>
        <v/>
      </c>
      <c r="B19" s="48">
        <f>IFERROR(INDEX(tbl_Finance[Date],$A19),"")</f>
        <v/>
      </c>
      <c r="C19" s="49">
        <f>IFERROR(INDEX(tbl_Finance[Xero Invoice No],$A19),"")</f>
        <v/>
      </c>
      <c r="D19" s="49">
        <f>IFERROR(INDEX(tbl_Finance[Client],$A19),"")</f>
        <v/>
      </c>
      <c r="E19" s="49">
        <f>IFERROR(INDEX(tbl_Finance[Job Number],$A19),"")</f>
        <v/>
      </c>
      <c r="F19" s="49">
        <f>IFERROR(INDEX(tbl_Finance[Cost Centre],$A19),"")</f>
        <v/>
      </c>
      <c r="G19" s="50">
        <f>IFERROR(INDEX(tbl_Finance[Ex GST],$A19),"")</f>
        <v/>
      </c>
      <c r="H19" s="48">
        <f>IFERROR(INDEX(tbl_Finance[Defer Start],$A19),"")</f>
        <v/>
      </c>
      <c r="I19" s="48">
        <f>IFERROR(INDEX(tbl_Finance[Defer End],$A19),"")</f>
        <v/>
      </c>
      <c r="J19" s="47">
        <f>IF(OR($H19="",$I19="",$G19=""),"",MAX(1,(YEAR($I19)-YEAR($H19))*12+MONTH($I19)-MONTH($H19)+1))</f>
        <v/>
      </c>
      <c r="K19" s="50">
        <f>IF($J19="","",$G19/$J19)</f>
        <v/>
      </c>
      <c r="L19" s="50">
        <f>IF($J19="",0,$K19*MAX(0,MIN(YEAR($C$3)*12+MONTH($C$3),YEAR($I19)*12+MONTH($I19))-(YEAR($H19)*12+MONTH($H19))+1))</f>
        <v/>
      </c>
      <c r="M19" s="50">
        <f>IF($J19="",0,$K19*MAX(0,MIN(YEAR($C$3)*12+MONTH($C$3)-1,YEAR($I19)*12+MONTH($I19))-(YEAR($H19)*12+MONTH($H19))+1))</f>
        <v/>
      </c>
      <c r="N19" s="50">
        <f>IF(OR($J19="",$B19=""),0,IF(YEAR($B19)*12+MONTH($B19)&lt;=YEAR($C$3)*12+MONTH($C$3),$G19,0))</f>
        <v/>
      </c>
      <c r="O19" s="50">
        <f>IF(OR($J19="",$B19=""),0,IF(YEAR($B19)*12+MONTH($B19)&lt;=YEAR($C$3)*12+MONTH($C$3)-1,$G19,0))</f>
        <v/>
      </c>
      <c r="P19" s="50">
        <f>$M19-$O19</f>
        <v/>
      </c>
      <c r="Q19" s="50">
        <f>($L19-$M19)-($N19-$O19)</f>
        <v/>
      </c>
      <c r="R19" s="50">
        <f>$L19-$N19</f>
        <v/>
      </c>
    </row>
    <row r="20">
      <c r="A20" s="47">
        <f>ROW()-5</f>
        <v/>
      </c>
      <c r="B20" s="48">
        <f>IFERROR(INDEX(tbl_Finance[Date],$A20),"")</f>
        <v/>
      </c>
      <c r="C20" s="49">
        <f>IFERROR(INDEX(tbl_Finance[Xero Invoice No],$A20),"")</f>
        <v/>
      </c>
      <c r="D20" s="49">
        <f>IFERROR(INDEX(tbl_Finance[Client],$A20),"")</f>
        <v/>
      </c>
      <c r="E20" s="49">
        <f>IFERROR(INDEX(tbl_Finance[Job Number],$A20),"")</f>
        <v/>
      </c>
      <c r="F20" s="49">
        <f>IFERROR(INDEX(tbl_Finance[Cost Centre],$A20),"")</f>
        <v/>
      </c>
      <c r="G20" s="50">
        <f>IFERROR(INDEX(tbl_Finance[Ex GST],$A20),"")</f>
        <v/>
      </c>
      <c r="H20" s="48">
        <f>IFERROR(INDEX(tbl_Finance[Defer Start],$A20),"")</f>
        <v/>
      </c>
      <c r="I20" s="48">
        <f>IFERROR(INDEX(tbl_Finance[Defer End],$A20),"")</f>
        <v/>
      </c>
      <c r="J20" s="47">
        <f>IF(OR($H20="",$I20="",$G20=""),"",MAX(1,(YEAR($I20)-YEAR($H20))*12+MONTH($I20)-MONTH($H20)+1))</f>
        <v/>
      </c>
      <c r="K20" s="50">
        <f>IF($J20="","",$G20/$J20)</f>
        <v/>
      </c>
      <c r="L20" s="50">
        <f>IF($J20="",0,$K20*MAX(0,MIN(YEAR($C$3)*12+MONTH($C$3),YEAR($I20)*12+MONTH($I20))-(YEAR($H20)*12+MONTH($H20))+1))</f>
        <v/>
      </c>
      <c r="M20" s="50">
        <f>IF($J20="",0,$K20*MAX(0,MIN(YEAR($C$3)*12+MONTH($C$3)-1,YEAR($I20)*12+MONTH($I20))-(YEAR($H20)*12+MONTH($H20))+1))</f>
        <v/>
      </c>
      <c r="N20" s="50">
        <f>IF(OR($J20="",$B20=""),0,IF(YEAR($B20)*12+MONTH($B20)&lt;=YEAR($C$3)*12+MONTH($C$3),$G20,0))</f>
        <v/>
      </c>
      <c r="O20" s="50">
        <f>IF(OR($J20="",$B20=""),0,IF(YEAR($B20)*12+MONTH($B20)&lt;=YEAR($C$3)*12+MONTH($C$3)-1,$G20,0))</f>
        <v/>
      </c>
      <c r="P20" s="50">
        <f>$M20-$O20</f>
        <v/>
      </c>
      <c r="Q20" s="50">
        <f>($L20-$M20)-($N20-$O20)</f>
        <v/>
      </c>
      <c r="R20" s="50">
        <f>$L20-$N20</f>
        <v/>
      </c>
    </row>
    <row r="21">
      <c r="A21" s="47">
        <f>ROW()-5</f>
        <v/>
      </c>
      <c r="B21" s="48">
        <f>IFERROR(INDEX(tbl_Finance[Date],$A21),"")</f>
        <v/>
      </c>
      <c r="C21" s="49">
        <f>IFERROR(INDEX(tbl_Finance[Xero Invoice No],$A21),"")</f>
        <v/>
      </c>
      <c r="D21" s="49">
        <f>IFERROR(INDEX(tbl_Finance[Client],$A21),"")</f>
        <v/>
      </c>
      <c r="E21" s="49">
        <f>IFERROR(INDEX(tbl_Finance[Job Number],$A21),"")</f>
        <v/>
      </c>
      <c r="F21" s="49">
        <f>IFERROR(INDEX(tbl_Finance[Cost Centre],$A21),"")</f>
        <v/>
      </c>
      <c r="G21" s="50">
        <f>IFERROR(INDEX(tbl_Finance[Ex GST],$A21),"")</f>
        <v/>
      </c>
      <c r="H21" s="48">
        <f>IFERROR(INDEX(tbl_Finance[Defer Start],$A21),"")</f>
        <v/>
      </c>
      <c r="I21" s="48">
        <f>IFERROR(INDEX(tbl_Finance[Defer End],$A21),"")</f>
        <v/>
      </c>
      <c r="J21" s="47">
        <f>IF(OR($H21="",$I21="",$G21=""),"",MAX(1,(YEAR($I21)-YEAR($H21))*12+MONTH($I21)-MONTH($H21)+1))</f>
        <v/>
      </c>
      <c r="K21" s="50">
        <f>IF($J21="","",$G21/$J21)</f>
        <v/>
      </c>
      <c r="L21" s="50">
        <f>IF($J21="",0,$K21*MAX(0,MIN(YEAR($C$3)*12+MONTH($C$3),YEAR($I21)*12+MONTH($I21))-(YEAR($H21)*12+MONTH($H21))+1))</f>
        <v/>
      </c>
      <c r="M21" s="50">
        <f>IF($J21="",0,$K21*MAX(0,MIN(YEAR($C$3)*12+MONTH($C$3)-1,YEAR($I21)*12+MONTH($I21))-(YEAR($H21)*12+MONTH($H21))+1))</f>
        <v/>
      </c>
      <c r="N21" s="50">
        <f>IF(OR($J21="",$B21=""),0,IF(YEAR($B21)*12+MONTH($B21)&lt;=YEAR($C$3)*12+MONTH($C$3),$G21,0))</f>
        <v/>
      </c>
      <c r="O21" s="50">
        <f>IF(OR($J21="",$B21=""),0,IF(YEAR($B21)*12+MONTH($B21)&lt;=YEAR($C$3)*12+MONTH($C$3)-1,$G21,0))</f>
        <v/>
      </c>
      <c r="P21" s="50">
        <f>$M21-$O21</f>
        <v/>
      </c>
      <c r="Q21" s="50">
        <f>($L21-$M21)-($N21-$O21)</f>
        <v/>
      </c>
      <c r="R21" s="50">
        <f>$L21-$N21</f>
        <v/>
      </c>
    </row>
    <row r="22">
      <c r="A22" s="47">
        <f>ROW()-5</f>
        <v/>
      </c>
      <c r="B22" s="48">
        <f>IFERROR(INDEX(tbl_Finance[Date],$A22),"")</f>
        <v/>
      </c>
      <c r="C22" s="49">
        <f>IFERROR(INDEX(tbl_Finance[Xero Invoice No],$A22),"")</f>
        <v/>
      </c>
      <c r="D22" s="49">
        <f>IFERROR(INDEX(tbl_Finance[Client],$A22),"")</f>
        <v/>
      </c>
      <c r="E22" s="49">
        <f>IFERROR(INDEX(tbl_Finance[Job Number],$A22),"")</f>
        <v/>
      </c>
      <c r="F22" s="49">
        <f>IFERROR(INDEX(tbl_Finance[Cost Centre],$A22),"")</f>
        <v/>
      </c>
      <c r="G22" s="50">
        <f>IFERROR(INDEX(tbl_Finance[Ex GST],$A22),"")</f>
        <v/>
      </c>
      <c r="H22" s="48">
        <f>IFERROR(INDEX(tbl_Finance[Defer Start],$A22),"")</f>
        <v/>
      </c>
      <c r="I22" s="48">
        <f>IFERROR(INDEX(tbl_Finance[Defer End],$A22),"")</f>
        <v/>
      </c>
      <c r="J22" s="47">
        <f>IF(OR($H22="",$I22="",$G22=""),"",MAX(1,(YEAR($I22)-YEAR($H22))*12+MONTH($I22)-MONTH($H22)+1))</f>
        <v/>
      </c>
      <c r="K22" s="50">
        <f>IF($J22="","",$G22/$J22)</f>
        <v/>
      </c>
      <c r="L22" s="50">
        <f>IF($J22="",0,$K22*MAX(0,MIN(YEAR($C$3)*12+MONTH($C$3),YEAR($I22)*12+MONTH($I22))-(YEAR($H22)*12+MONTH($H22))+1))</f>
        <v/>
      </c>
      <c r="M22" s="50">
        <f>IF($J22="",0,$K22*MAX(0,MIN(YEAR($C$3)*12+MONTH($C$3)-1,YEAR($I22)*12+MONTH($I22))-(YEAR($H22)*12+MONTH($H22))+1))</f>
        <v/>
      </c>
      <c r="N22" s="50">
        <f>IF(OR($J22="",$B22=""),0,IF(YEAR($B22)*12+MONTH($B22)&lt;=YEAR($C$3)*12+MONTH($C$3),$G22,0))</f>
        <v/>
      </c>
      <c r="O22" s="50">
        <f>IF(OR($J22="",$B22=""),0,IF(YEAR($B22)*12+MONTH($B22)&lt;=YEAR($C$3)*12+MONTH($C$3)-1,$G22,0))</f>
        <v/>
      </c>
      <c r="P22" s="50">
        <f>$M22-$O22</f>
        <v/>
      </c>
      <c r="Q22" s="50">
        <f>($L22-$M22)-($N22-$O22)</f>
        <v/>
      </c>
      <c r="R22" s="50">
        <f>$L22-$N22</f>
        <v/>
      </c>
    </row>
    <row r="23">
      <c r="A23" s="47">
        <f>ROW()-5</f>
        <v/>
      </c>
      <c r="B23" s="48">
        <f>IFERROR(INDEX(tbl_Finance[Date],$A23),"")</f>
        <v/>
      </c>
      <c r="C23" s="49">
        <f>IFERROR(INDEX(tbl_Finance[Xero Invoice No],$A23),"")</f>
        <v/>
      </c>
      <c r="D23" s="49">
        <f>IFERROR(INDEX(tbl_Finance[Client],$A23),"")</f>
        <v/>
      </c>
      <c r="E23" s="49">
        <f>IFERROR(INDEX(tbl_Finance[Job Number],$A23),"")</f>
        <v/>
      </c>
      <c r="F23" s="49">
        <f>IFERROR(INDEX(tbl_Finance[Cost Centre],$A23),"")</f>
        <v/>
      </c>
      <c r="G23" s="50">
        <f>IFERROR(INDEX(tbl_Finance[Ex GST],$A23),"")</f>
        <v/>
      </c>
      <c r="H23" s="48">
        <f>IFERROR(INDEX(tbl_Finance[Defer Start],$A23),"")</f>
        <v/>
      </c>
      <c r="I23" s="48">
        <f>IFERROR(INDEX(tbl_Finance[Defer End],$A23),"")</f>
        <v/>
      </c>
      <c r="J23" s="47">
        <f>IF(OR($H23="",$I23="",$G23=""),"",MAX(1,(YEAR($I23)-YEAR($H23))*12+MONTH($I23)-MONTH($H23)+1))</f>
        <v/>
      </c>
      <c r="K23" s="50">
        <f>IF($J23="","",$G23/$J23)</f>
        <v/>
      </c>
      <c r="L23" s="50">
        <f>IF($J23="",0,$K23*MAX(0,MIN(YEAR($C$3)*12+MONTH($C$3),YEAR($I23)*12+MONTH($I23))-(YEAR($H23)*12+MONTH($H23))+1))</f>
        <v/>
      </c>
      <c r="M23" s="50">
        <f>IF($J23="",0,$K23*MAX(0,MIN(YEAR($C$3)*12+MONTH($C$3)-1,YEAR($I23)*12+MONTH($I23))-(YEAR($H23)*12+MONTH($H23))+1))</f>
        <v/>
      </c>
      <c r="N23" s="50">
        <f>IF(OR($J23="",$B23=""),0,IF(YEAR($B23)*12+MONTH($B23)&lt;=YEAR($C$3)*12+MONTH($C$3),$G23,0))</f>
        <v/>
      </c>
      <c r="O23" s="50">
        <f>IF(OR($J23="",$B23=""),0,IF(YEAR($B23)*12+MONTH($B23)&lt;=YEAR($C$3)*12+MONTH($C$3)-1,$G23,0))</f>
        <v/>
      </c>
      <c r="P23" s="50">
        <f>$M23-$O23</f>
        <v/>
      </c>
      <c r="Q23" s="50">
        <f>($L23-$M23)-($N23-$O23)</f>
        <v/>
      </c>
      <c r="R23" s="50">
        <f>$L23-$N23</f>
        <v/>
      </c>
    </row>
    <row r="24">
      <c r="A24" s="47">
        <f>ROW()-5</f>
        <v/>
      </c>
      <c r="B24" s="48">
        <f>IFERROR(INDEX(tbl_Finance[Date],$A24),"")</f>
        <v/>
      </c>
      <c r="C24" s="49">
        <f>IFERROR(INDEX(tbl_Finance[Xero Invoice No],$A24),"")</f>
        <v/>
      </c>
      <c r="D24" s="49">
        <f>IFERROR(INDEX(tbl_Finance[Client],$A24),"")</f>
        <v/>
      </c>
      <c r="E24" s="49">
        <f>IFERROR(INDEX(tbl_Finance[Job Number],$A24),"")</f>
        <v/>
      </c>
      <c r="F24" s="49">
        <f>IFERROR(INDEX(tbl_Finance[Cost Centre],$A24),"")</f>
        <v/>
      </c>
      <c r="G24" s="50">
        <f>IFERROR(INDEX(tbl_Finance[Ex GST],$A24),"")</f>
        <v/>
      </c>
      <c r="H24" s="48">
        <f>IFERROR(INDEX(tbl_Finance[Defer Start],$A24),"")</f>
        <v/>
      </c>
      <c r="I24" s="48">
        <f>IFERROR(INDEX(tbl_Finance[Defer End],$A24),"")</f>
        <v/>
      </c>
      <c r="J24" s="47">
        <f>IF(OR($H24="",$I24="",$G24=""),"",MAX(1,(YEAR($I24)-YEAR($H24))*12+MONTH($I24)-MONTH($H24)+1))</f>
        <v/>
      </c>
      <c r="K24" s="50">
        <f>IF($J24="","",$G24/$J24)</f>
        <v/>
      </c>
      <c r="L24" s="50">
        <f>IF($J24="",0,$K24*MAX(0,MIN(YEAR($C$3)*12+MONTH($C$3),YEAR($I24)*12+MONTH($I24))-(YEAR($H24)*12+MONTH($H24))+1))</f>
        <v/>
      </c>
      <c r="M24" s="50">
        <f>IF($J24="",0,$K24*MAX(0,MIN(YEAR($C$3)*12+MONTH($C$3)-1,YEAR($I24)*12+MONTH($I24))-(YEAR($H24)*12+MONTH($H24))+1))</f>
        <v/>
      </c>
      <c r="N24" s="50">
        <f>IF(OR($J24="",$B24=""),0,IF(YEAR($B24)*12+MONTH($B24)&lt;=YEAR($C$3)*12+MONTH($C$3),$G24,0))</f>
        <v/>
      </c>
      <c r="O24" s="50">
        <f>IF(OR($J24="",$B24=""),0,IF(YEAR($B24)*12+MONTH($B24)&lt;=YEAR($C$3)*12+MONTH($C$3)-1,$G24,0))</f>
        <v/>
      </c>
      <c r="P24" s="50">
        <f>$M24-$O24</f>
        <v/>
      </c>
      <c r="Q24" s="50">
        <f>($L24-$M24)-($N24-$O24)</f>
        <v/>
      </c>
      <c r="R24" s="50">
        <f>$L24-$N24</f>
        <v/>
      </c>
    </row>
    <row r="25">
      <c r="A25" s="47">
        <f>ROW()-5</f>
        <v/>
      </c>
      <c r="B25" s="48">
        <f>IFERROR(INDEX(tbl_Finance[Date],$A25),"")</f>
        <v/>
      </c>
      <c r="C25" s="49">
        <f>IFERROR(INDEX(tbl_Finance[Xero Invoice No],$A25),"")</f>
        <v/>
      </c>
      <c r="D25" s="49">
        <f>IFERROR(INDEX(tbl_Finance[Client],$A25),"")</f>
        <v/>
      </c>
      <c r="E25" s="49">
        <f>IFERROR(INDEX(tbl_Finance[Job Number],$A25),"")</f>
        <v/>
      </c>
      <c r="F25" s="49">
        <f>IFERROR(INDEX(tbl_Finance[Cost Centre],$A25),"")</f>
        <v/>
      </c>
      <c r="G25" s="50">
        <f>IFERROR(INDEX(tbl_Finance[Ex GST],$A25),"")</f>
        <v/>
      </c>
      <c r="H25" s="48">
        <f>IFERROR(INDEX(tbl_Finance[Defer Start],$A25),"")</f>
        <v/>
      </c>
      <c r="I25" s="48">
        <f>IFERROR(INDEX(tbl_Finance[Defer End],$A25),"")</f>
        <v/>
      </c>
      <c r="J25" s="47">
        <f>IF(OR($H25="",$I25="",$G25=""),"",MAX(1,(YEAR($I25)-YEAR($H25))*12+MONTH($I25)-MONTH($H25)+1))</f>
        <v/>
      </c>
      <c r="K25" s="50">
        <f>IF($J25="","",$G25/$J25)</f>
        <v/>
      </c>
      <c r="L25" s="50">
        <f>IF($J25="",0,$K25*MAX(0,MIN(YEAR($C$3)*12+MONTH($C$3),YEAR($I25)*12+MONTH($I25))-(YEAR($H25)*12+MONTH($H25))+1))</f>
        <v/>
      </c>
      <c r="M25" s="50">
        <f>IF($J25="",0,$K25*MAX(0,MIN(YEAR($C$3)*12+MONTH($C$3)-1,YEAR($I25)*12+MONTH($I25))-(YEAR($H25)*12+MONTH($H25))+1))</f>
        <v/>
      </c>
      <c r="N25" s="50">
        <f>IF(OR($J25="",$B25=""),0,IF(YEAR($B25)*12+MONTH($B25)&lt;=YEAR($C$3)*12+MONTH($C$3),$G25,0))</f>
        <v/>
      </c>
      <c r="O25" s="50">
        <f>IF(OR($J25="",$B25=""),0,IF(YEAR($B25)*12+MONTH($B25)&lt;=YEAR($C$3)*12+MONTH($C$3)-1,$G25,0))</f>
        <v/>
      </c>
      <c r="P25" s="50">
        <f>$M25-$O25</f>
        <v/>
      </c>
      <c r="Q25" s="50">
        <f>($L25-$M25)-($N25-$O25)</f>
        <v/>
      </c>
      <c r="R25" s="50">
        <f>$L25-$N25</f>
        <v/>
      </c>
    </row>
    <row r="26">
      <c r="A26" s="47">
        <f>ROW()-5</f>
        <v/>
      </c>
      <c r="B26" s="48">
        <f>IFERROR(INDEX(tbl_Finance[Date],$A26),"")</f>
        <v/>
      </c>
      <c r="C26" s="49">
        <f>IFERROR(INDEX(tbl_Finance[Xero Invoice No],$A26),"")</f>
        <v/>
      </c>
      <c r="D26" s="49">
        <f>IFERROR(INDEX(tbl_Finance[Client],$A26),"")</f>
        <v/>
      </c>
      <c r="E26" s="49">
        <f>IFERROR(INDEX(tbl_Finance[Job Number],$A26),"")</f>
        <v/>
      </c>
      <c r="F26" s="49">
        <f>IFERROR(INDEX(tbl_Finance[Cost Centre],$A26),"")</f>
        <v/>
      </c>
      <c r="G26" s="50">
        <f>IFERROR(INDEX(tbl_Finance[Ex GST],$A26),"")</f>
        <v/>
      </c>
      <c r="H26" s="48">
        <f>IFERROR(INDEX(tbl_Finance[Defer Start],$A26),"")</f>
        <v/>
      </c>
      <c r="I26" s="48">
        <f>IFERROR(INDEX(tbl_Finance[Defer End],$A26),"")</f>
        <v/>
      </c>
      <c r="J26" s="47">
        <f>IF(OR($H26="",$I26="",$G26=""),"",MAX(1,(YEAR($I26)-YEAR($H26))*12+MONTH($I26)-MONTH($H26)+1))</f>
        <v/>
      </c>
      <c r="K26" s="50">
        <f>IF($J26="","",$G26/$J26)</f>
        <v/>
      </c>
      <c r="L26" s="50">
        <f>IF($J26="",0,$K26*MAX(0,MIN(YEAR($C$3)*12+MONTH($C$3),YEAR($I26)*12+MONTH($I26))-(YEAR($H26)*12+MONTH($H26))+1))</f>
        <v/>
      </c>
      <c r="M26" s="50">
        <f>IF($J26="",0,$K26*MAX(0,MIN(YEAR($C$3)*12+MONTH($C$3)-1,YEAR($I26)*12+MONTH($I26))-(YEAR($H26)*12+MONTH($H26))+1))</f>
        <v/>
      </c>
      <c r="N26" s="50">
        <f>IF(OR($J26="",$B26=""),0,IF(YEAR($B26)*12+MONTH($B26)&lt;=YEAR($C$3)*12+MONTH($C$3),$G26,0))</f>
        <v/>
      </c>
      <c r="O26" s="50">
        <f>IF(OR($J26="",$B26=""),0,IF(YEAR($B26)*12+MONTH($B26)&lt;=YEAR($C$3)*12+MONTH($C$3)-1,$G26,0))</f>
        <v/>
      </c>
      <c r="P26" s="50">
        <f>$M26-$O26</f>
        <v/>
      </c>
      <c r="Q26" s="50">
        <f>($L26-$M26)-($N26-$O26)</f>
        <v/>
      </c>
      <c r="R26" s="50">
        <f>$L26-$N26</f>
        <v/>
      </c>
    </row>
    <row r="27">
      <c r="A27" s="47">
        <f>ROW()-5</f>
        <v/>
      </c>
      <c r="B27" s="48">
        <f>IFERROR(INDEX(tbl_Finance[Date],$A27),"")</f>
        <v/>
      </c>
      <c r="C27" s="49">
        <f>IFERROR(INDEX(tbl_Finance[Xero Invoice No],$A27),"")</f>
        <v/>
      </c>
      <c r="D27" s="49">
        <f>IFERROR(INDEX(tbl_Finance[Client],$A27),"")</f>
        <v/>
      </c>
      <c r="E27" s="49">
        <f>IFERROR(INDEX(tbl_Finance[Job Number],$A27),"")</f>
        <v/>
      </c>
      <c r="F27" s="49">
        <f>IFERROR(INDEX(tbl_Finance[Cost Centre],$A27),"")</f>
        <v/>
      </c>
      <c r="G27" s="50">
        <f>IFERROR(INDEX(tbl_Finance[Ex GST],$A27),"")</f>
        <v/>
      </c>
      <c r="H27" s="48">
        <f>IFERROR(INDEX(tbl_Finance[Defer Start],$A27),"")</f>
        <v/>
      </c>
      <c r="I27" s="48">
        <f>IFERROR(INDEX(tbl_Finance[Defer End],$A27),"")</f>
        <v/>
      </c>
      <c r="J27" s="47">
        <f>IF(OR($H27="",$I27="",$G27=""),"",MAX(1,(YEAR($I27)-YEAR($H27))*12+MONTH($I27)-MONTH($H27)+1))</f>
        <v/>
      </c>
      <c r="K27" s="50">
        <f>IF($J27="","",$G27/$J27)</f>
        <v/>
      </c>
      <c r="L27" s="50">
        <f>IF($J27="",0,$K27*MAX(0,MIN(YEAR($C$3)*12+MONTH($C$3),YEAR($I27)*12+MONTH($I27))-(YEAR($H27)*12+MONTH($H27))+1))</f>
        <v/>
      </c>
      <c r="M27" s="50">
        <f>IF($J27="",0,$K27*MAX(0,MIN(YEAR($C$3)*12+MONTH($C$3)-1,YEAR($I27)*12+MONTH($I27))-(YEAR($H27)*12+MONTH($H27))+1))</f>
        <v/>
      </c>
      <c r="N27" s="50">
        <f>IF(OR($J27="",$B27=""),0,IF(YEAR($B27)*12+MONTH($B27)&lt;=YEAR($C$3)*12+MONTH($C$3),$G27,0))</f>
        <v/>
      </c>
      <c r="O27" s="50">
        <f>IF(OR($J27="",$B27=""),0,IF(YEAR($B27)*12+MONTH($B27)&lt;=YEAR($C$3)*12+MONTH($C$3)-1,$G27,0))</f>
        <v/>
      </c>
      <c r="P27" s="50">
        <f>$M27-$O27</f>
        <v/>
      </c>
      <c r="Q27" s="50">
        <f>($L27-$M27)-($N27-$O27)</f>
        <v/>
      </c>
      <c r="R27" s="50">
        <f>$L27-$N27</f>
        <v/>
      </c>
    </row>
    <row r="28">
      <c r="A28" s="47">
        <f>ROW()-5</f>
        <v/>
      </c>
      <c r="B28" s="48">
        <f>IFERROR(INDEX(tbl_Finance[Date],$A28),"")</f>
        <v/>
      </c>
      <c r="C28" s="49">
        <f>IFERROR(INDEX(tbl_Finance[Xero Invoice No],$A28),"")</f>
        <v/>
      </c>
      <c r="D28" s="49">
        <f>IFERROR(INDEX(tbl_Finance[Client],$A28),"")</f>
        <v/>
      </c>
      <c r="E28" s="49">
        <f>IFERROR(INDEX(tbl_Finance[Job Number],$A28),"")</f>
        <v/>
      </c>
      <c r="F28" s="49">
        <f>IFERROR(INDEX(tbl_Finance[Cost Centre],$A28),"")</f>
        <v/>
      </c>
      <c r="G28" s="50">
        <f>IFERROR(INDEX(tbl_Finance[Ex GST],$A28),"")</f>
        <v/>
      </c>
      <c r="H28" s="48">
        <f>IFERROR(INDEX(tbl_Finance[Defer Start],$A28),"")</f>
        <v/>
      </c>
      <c r="I28" s="48">
        <f>IFERROR(INDEX(tbl_Finance[Defer End],$A28),"")</f>
        <v/>
      </c>
      <c r="J28" s="47">
        <f>IF(OR($H28="",$I28="",$G28=""),"",MAX(1,(YEAR($I28)-YEAR($H28))*12+MONTH($I28)-MONTH($H28)+1))</f>
        <v/>
      </c>
      <c r="K28" s="50">
        <f>IF($J28="","",$G28/$J28)</f>
        <v/>
      </c>
      <c r="L28" s="50">
        <f>IF($J28="",0,$K28*MAX(0,MIN(YEAR($C$3)*12+MONTH($C$3),YEAR($I28)*12+MONTH($I28))-(YEAR($H28)*12+MONTH($H28))+1))</f>
        <v/>
      </c>
      <c r="M28" s="50">
        <f>IF($J28="",0,$K28*MAX(0,MIN(YEAR($C$3)*12+MONTH($C$3)-1,YEAR($I28)*12+MONTH($I28))-(YEAR($H28)*12+MONTH($H28))+1))</f>
        <v/>
      </c>
      <c r="N28" s="50">
        <f>IF(OR($J28="",$B28=""),0,IF(YEAR($B28)*12+MONTH($B28)&lt;=YEAR($C$3)*12+MONTH($C$3),$G28,0))</f>
        <v/>
      </c>
      <c r="O28" s="50">
        <f>IF(OR($J28="",$B28=""),0,IF(YEAR($B28)*12+MONTH($B28)&lt;=YEAR($C$3)*12+MONTH($C$3)-1,$G28,0))</f>
        <v/>
      </c>
      <c r="P28" s="50">
        <f>$M28-$O28</f>
        <v/>
      </c>
      <c r="Q28" s="50">
        <f>($L28-$M28)-($N28-$O28)</f>
        <v/>
      </c>
      <c r="R28" s="50">
        <f>$L28-$N28</f>
        <v/>
      </c>
    </row>
    <row r="29">
      <c r="A29" s="47">
        <f>ROW()-5</f>
        <v/>
      </c>
      <c r="B29" s="48">
        <f>IFERROR(INDEX(tbl_Finance[Date],$A29),"")</f>
        <v/>
      </c>
      <c r="C29" s="49">
        <f>IFERROR(INDEX(tbl_Finance[Xero Invoice No],$A29),"")</f>
        <v/>
      </c>
      <c r="D29" s="49">
        <f>IFERROR(INDEX(tbl_Finance[Client],$A29),"")</f>
        <v/>
      </c>
      <c r="E29" s="49">
        <f>IFERROR(INDEX(tbl_Finance[Job Number],$A29),"")</f>
        <v/>
      </c>
      <c r="F29" s="49">
        <f>IFERROR(INDEX(tbl_Finance[Cost Centre],$A29),"")</f>
        <v/>
      </c>
      <c r="G29" s="50">
        <f>IFERROR(INDEX(tbl_Finance[Ex GST],$A29),"")</f>
        <v/>
      </c>
      <c r="H29" s="48">
        <f>IFERROR(INDEX(tbl_Finance[Defer Start],$A29),"")</f>
        <v/>
      </c>
      <c r="I29" s="48">
        <f>IFERROR(INDEX(tbl_Finance[Defer End],$A29),"")</f>
        <v/>
      </c>
      <c r="J29" s="47">
        <f>IF(OR($H29="",$I29="",$G29=""),"",MAX(1,(YEAR($I29)-YEAR($H29))*12+MONTH($I29)-MONTH($H29)+1))</f>
        <v/>
      </c>
      <c r="K29" s="50">
        <f>IF($J29="","",$G29/$J29)</f>
        <v/>
      </c>
      <c r="L29" s="50">
        <f>IF($J29="",0,$K29*MAX(0,MIN(YEAR($C$3)*12+MONTH($C$3),YEAR($I29)*12+MONTH($I29))-(YEAR($H29)*12+MONTH($H29))+1))</f>
        <v/>
      </c>
      <c r="M29" s="50">
        <f>IF($J29="",0,$K29*MAX(0,MIN(YEAR($C$3)*12+MONTH($C$3)-1,YEAR($I29)*12+MONTH($I29))-(YEAR($H29)*12+MONTH($H29))+1))</f>
        <v/>
      </c>
      <c r="N29" s="50">
        <f>IF(OR($J29="",$B29=""),0,IF(YEAR($B29)*12+MONTH($B29)&lt;=YEAR($C$3)*12+MONTH($C$3),$G29,0))</f>
        <v/>
      </c>
      <c r="O29" s="50">
        <f>IF(OR($J29="",$B29=""),0,IF(YEAR($B29)*12+MONTH($B29)&lt;=YEAR($C$3)*12+MONTH($C$3)-1,$G29,0))</f>
        <v/>
      </c>
      <c r="P29" s="50">
        <f>$M29-$O29</f>
        <v/>
      </c>
      <c r="Q29" s="50">
        <f>($L29-$M29)-($N29-$O29)</f>
        <v/>
      </c>
      <c r="R29" s="50">
        <f>$L29-$N29</f>
        <v/>
      </c>
    </row>
    <row r="30">
      <c r="A30" s="47">
        <f>ROW()-5</f>
        <v/>
      </c>
      <c r="B30" s="48">
        <f>IFERROR(INDEX(tbl_Finance[Date],$A30),"")</f>
        <v/>
      </c>
      <c r="C30" s="49">
        <f>IFERROR(INDEX(tbl_Finance[Xero Invoice No],$A30),"")</f>
        <v/>
      </c>
      <c r="D30" s="49">
        <f>IFERROR(INDEX(tbl_Finance[Client],$A30),"")</f>
        <v/>
      </c>
      <c r="E30" s="49">
        <f>IFERROR(INDEX(tbl_Finance[Job Number],$A30),"")</f>
        <v/>
      </c>
      <c r="F30" s="49">
        <f>IFERROR(INDEX(tbl_Finance[Cost Centre],$A30),"")</f>
        <v/>
      </c>
      <c r="G30" s="50">
        <f>IFERROR(INDEX(tbl_Finance[Ex GST],$A30),"")</f>
        <v/>
      </c>
      <c r="H30" s="48">
        <f>IFERROR(INDEX(tbl_Finance[Defer Start],$A30),"")</f>
        <v/>
      </c>
      <c r="I30" s="48">
        <f>IFERROR(INDEX(tbl_Finance[Defer End],$A30),"")</f>
        <v/>
      </c>
      <c r="J30" s="47">
        <f>IF(OR($H30="",$I30="",$G30=""),"",MAX(1,(YEAR($I30)-YEAR($H30))*12+MONTH($I30)-MONTH($H30)+1))</f>
        <v/>
      </c>
      <c r="K30" s="50">
        <f>IF($J30="","",$G30/$J30)</f>
        <v/>
      </c>
      <c r="L30" s="50">
        <f>IF($J30="",0,$K30*MAX(0,MIN(YEAR($C$3)*12+MONTH($C$3),YEAR($I30)*12+MONTH($I30))-(YEAR($H30)*12+MONTH($H30))+1))</f>
        <v/>
      </c>
      <c r="M30" s="50">
        <f>IF($J30="",0,$K30*MAX(0,MIN(YEAR($C$3)*12+MONTH($C$3)-1,YEAR($I30)*12+MONTH($I30))-(YEAR($H30)*12+MONTH($H30))+1))</f>
        <v/>
      </c>
      <c r="N30" s="50">
        <f>IF(OR($J30="",$B30=""),0,IF(YEAR($B30)*12+MONTH($B30)&lt;=YEAR($C$3)*12+MONTH($C$3),$G30,0))</f>
        <v/>
      </c>
      <c r="O30" s="50">
        <f>IF(OR($J30="",$B30=""),0,IF(YEAR($B30)*12+MONTH($B30)&lt;=YEAR($C$3)*12+MONTH($C$3)-1,$G30,0))</f>
        <v/>
      </c>
      <c r="P30" s="50">
        <f>$M30-$O30</f>
        <v/>
      </c>
      <c r="Q30" s="50">
        <f>($L30-$M30)-($N30-$O30)</f>
        <v/>
      </c>
      <c r="R30" s="50">
        <f>$L30-$N30</f>
        <v/>
      </c>
    </row>
    <row r="31">
      <c r="A31" s="47">
        <f>ROW()-5</f>
        <v/>
      </c>
      <c r="B31" s="48">
        <f>IFERROR(INDEX(tbl_Finance[Date],$A31),"")</f>
        <v/>
      </c>
      <c r="C31" s="49">
        <f>IFERROR(INDEX(tbl_Finance[Xero Invoice No],$A31),"")</f>
        <v/>
      </c>
      <c r="D31" s="49">
        <f>IFERROR(INDEX(tbl_Finance[Client],$A31),"")</f>
        <v/>
      </c>
      <c r="E31" s="49">
        <f>IFERROR(INDEX(tbl_Finance[Job Number],$A31),"")</f>
        <v/>
      </c>
      <c r="F31" s="49">
        <f>IFERROR(INDEX(tbl_Finance[Cost Centre],$A31),"")</f>
        <v/>
      </c>
      <c r="G31" s="50">
        <f>IFERROR(INDEX(tbl_Finance[Ex GST],$A31),"")</f>
        <v/>
      </c>
      <c r="H31" s="48">
        <f>IFERROR(INDEX(tbl_Finance[Defer Start],$A31),"")</f>
        <v/>
      </c>
      <c r="I31" s="48">
        <f>IFERROR(INDEX(tbl_Finance[Defer End],$A31),"")</f>
        <v/>
      </c>
      <c r="J31" s="47">
        <f>IF(OR($H31="",$I31="",$G31=""),"",MAX(1,(YEAR($I31)-YEAR($H31))*12+MONTH($I31)-MONTH($H31)+1))</f>
        <v/>
      </c>
      <c r="K31" s="50">
        <f>IF($J31="","",$G31/$J31)</f>
        <v/>
      </c>
      <c r="L31" s="50">
        <f>IF($J31="",0,$K31*MAX(0,MIN(YEAR($C$3)*12+MONTH($C$3),YEAR($I31)*12+MONTH($I31))-(YEAR($H31)*12+MONTH($H31))+1))</f>
        <v/>
      </c>
      <c r="M31" s="50">
        <f>IF($J31="",0,$K31*MAX(0,MIN(YEAR($C$3)*12+MONTH($C$3)-1,YEAR($I31)*12+MONTH($I31))-(YEAR($H31)*12+MONTH($H31))+1))</f>
        <v/>
      </c>
      <c r="N31" s="50">
        <f>IF(OR($J31="",$B31=""),0,IF(YEAR($B31)*12+MONTH($B31)&lt;=YEAR($C$3)*12+MONTH($C$3),$G31,0))</f>
        <v/>
      </c>
      <c r="O31" s="50">
        <f>IF(OR($J31="",$B31=""),0,IF(YEAR($B31)*12+MONTH($B31)&lt;=YEAR($C$3)*12+MONTH($C$3)-1,$G31,0))</f>
        <v/>
      </c>
      <c r="P31" s="50">
        <f>$M31-$O31</f>
        <v/>
      </c>
      <c r="Q31" s="50">
        <f>($L31-$M31)-($N31-$O31)</f>
        <v/>
      </c>
      <c r="R31" s="50">
        <f>$L31-$N31</f>
        <v/>
      </c>
    </row>
    <row r="32">
      <c r="A32" s="47">
        <f>ROW()-5</f>
        <v/>
      </c>
      <c r="B32" s="48">
        <f>IFERROR(INDEX(tbl_Finance[Date],$A32),"")</f>
        <v/>
      </c>
      <c r="C32" s="49">
        <f>IFERROR(INDEX(tbl_Finance[Xero Invoice No],$A32),"")</f>
        <v/>
      </c>
      <c r="D32" s="49">
        <f>IFERROR(INDEX(tbl_Finance[Client],$A32),"")</f>
        <v/>
      </c>
      <c r="E32" s="49">
        <f>IFERROR(INDEX(tbl_Finance[Job Number],$A32),"")</f>
        <v/>
      </c>
      <c r="F32" s="49">
        <f>IFERROR(INDEX(tbl_Finance[Cost Centre],$A32),"")</f>
        <v/>
      </c>
      <c r="G32" s="50">
        <f>IFERROR(INDEX(tbl_Finance[Ex GST],$A32),"")</f>
        <v/>
      </c>
      <c r="H32" s="48">
        <f>IFERROR(INDEX(tbl_Finance[Defer Start],$A32),"")</f>
        <v/>
      </c>
      <c r="I32" s="48">
        <f>IFERROR(INDEX(tbl_Finance[Defer End],$A32),"")</f>
        <v/>
      </c>
      <c r="J32" s="47">
        <f>IF(OR($H32="",$I32="",$G32=""),"",MAX(1,(YEAR($I32)-YEAR($H32))*12+MONTH($I32)-MONTH($H32)+1))</f>
        <v/>
      </c>
      <c r="K32" s="50">
        <f>IF($J32="","",$G32/$J32)</f>
        <v/>
      </c>
      <c r="L32" s="50">
        <f>IF($J32="",0,$K32*MAX(0,MIN(YEAR($C$3)*12+MONTH($C$3),YEAR($I32)*12+MONTH($I32))-(YEAR($H32)*12+MONTH($H32))+1))</f>
        <v/>
      </c>
      <c r="M32" s="50">
        <f>IF($J32="",0,$K32*MAX(0,MIN(YEAR($C$3)*12+MONTH($C$3)-1,YEAR($I32)*12+MONTH($I32))-(YEAR($H32)*12+MONTH($H32))+1))</f>
        <v/>
      </c>
      <c r="N32" s="50">
        <f>IF(OR($J32="",$B32=""),0,IF(YEAR($B32)*12+MONTH($B32)&lt;=YEAR($C$3)*12+MONTH($C$3),$G32,0))</f>
        <v/>
      </c>
      <c r="O32" s="50">
        <f>IF(OR($J32="",$B32=""),0,IF(YEAR($B32)*12+MONTH($B32)&lt;=YEAR($C$3)*12+MONTH($C$3)-1,$G32,0))</f>
        <v/>
      </c>
      <c r="P32" s="50">
        <f>$M32-$O32</f>
        <v/>
      </c>
      <c r="Q32" s="50">
        <f>($L32-$M32)-($N32-$O32)</f>
        <v/>
      </c>
      <c r="R32" s="50">
        <f>$L32-$N32</f>
        <v/>
      </c>
    </row>
    <row r="33">
      <c r="A33" s="47">
        <f>ROW()-5</f>
        <v/>
      </c>
      <c r="B33" s="48">
        <f>IFERROR(INDEX(tbl_Finance[Date],$A33),"")</f>
        <v/>
      </c>
      <c r="C33" s="49">
        <f>IFERROR(INDEX(tbl_Finance[Xero Invoice No],$A33),"")</f>
        <v/>
      </c>
      <c r="D33" s="49">
        <f>IFERROR(INDEX(tbl_Finance[Client],$A33),"")</f>
        <v/>
      </c>
      <c r="E33" s="49">
        <f>IFERROR(INDEX(tbl_Finance[Job Number],$A33),"")</f>
        <v/>
      </c>
      <c r="F33" s="49">
        <f>IFERROR(INDEX(tbl_Finance[Cost Centre],$A33),"")</f>
        <v/>
      </c>
      <c r="G33" s="50">
        <f>IFERROR(INDEX(tbl_Finance[Ex GST],$A33),"")</f>
        <v/>
      </c>
      <c r="H33" s="48">
        <f>IFERROR(INDEX(tbl_Finance[Defer Start],$A33),"")</f>
        <v/>
      </c>
      <c r="I33" s="48">
        <f>IFERROR(INDEX(tbl_Finance[Defer End],$A33),"")</f>
        <v/>
      </c>
      <c r="J33" s="47">
        <f>IF(OR($H33="",$I33="",$G33=""),"",MAX(1,(YEAR($I33)-YEAR($H33))*12+MONTH($I33)-MONTH($H33)+1))</f>
        <v/>
      </c>
      <c r="K33" s="50">
        <f>IF($J33="","",$G33/$J33)</f>
        <v/>
      </c>
      <c r="L33" s="50">
        <f>IF($J33="",0,$K33*MAX(0,MIN(YEAR($C$3)*12+MONTH($C$3),YEAR($I33)*12+MONTH($I33))-(YEAR($H33)*12+MONTH($H33))+1))</f>
        <v/>
      </c>
      <c r="M33" s="50">
        <f>IF($J33="",0,$K33*MAX(0,MIN(YEAR($C$3)*12+MONTH($C$3)-1,YEAR($I33)*12+MONTH($I33))-(YEAR($H33)*12+MONTH($H33))+1))</f>
        <v/>
      </c>
      <c r="N33" s="50">
        <f>IF(OR($J33="",$B33=""),0,IF(YEAR($B33)*12+MONTH($B33)&lt;=YEAR($C$3)*12+MONTH($C$3),$G33,0))</f>
        <v/>
      </c>
      <c r="O33" s="50">
        <f>IF(OR($J33="",$B33=""),0,IF(YEAR($B33)*12+MONTH($B33)&lt;=YEAR($C$3)*12+MONTH($C$3)-1,$G33,0))</f>
        <v/>
      </c>
      <c r="P33" s="50">
        <f>$M33-$O33</f>
        <v/>
      </c>
      <c r="Q33" s="50">
        <f>($L33-$M33)-($N33-$O33)</f>
        <v/>
      </c>
      <c r="R33" s="50">
        <f>$L33-$N33</f>
        <v/>
      </c>
    </row>
    <row r="34">
      <c r="A34" s="47">
        <f>ROW()-5</f>
        <v/>
      </c>
      <c r="B34" s="48">
        <f>IFERROR(INDEX(tbl_Finance[Date],$A34),"")</f>
        <v/>
      </c>
      <c r="C34" s="49">
        <f>IFERROR(INDEX(tbl_Finance[Xero Invoice No],$A34),"")</f>
        <v/>
      </c>
      <c r="D34" s="49">
        <f>IFERROR(INDEX(tbl_Finance[Client],$A34),"")</f>
        <v/>
      </c>
      <c r="E34" s="49">
        <f>IFERROR(INDEX(tbl_Finance[Job Number],$A34),"")</f>
        <v/>
      </c>
      <c r="F34" s="49">
        <f>IFERROR(INDEX(tbl_Finance[Cost Centre],$A34),"")</f>
        <v/>
      </c>
      <c r="G34" s="50">
        <f>IFERROR(INDEX(tbl_Finance[Ex GST],$A34),"")</f>
        <v/>
      </c>
      <c r="H34" s="48">
        <f>IFERROR(INDEX(tbl_Finance[Defer Start],$A34),"")</f>
        <v/>
      </c>
      <c r="I34" s="48">
        <f>IFERROR(INDEX(tbl_Finance[Defer End],$A34),"")</f>
        <v/>
      </c>
      <c r="J34" s="47">
        <f>IF(OR($H34="",$I34="",$G34=""),"",MAX(1,(YEAR($I34)-YEAR($H34))*12+MONTH($I34)-MONTH($H34)+1))</f>
        <v/>
      </c>
      <c r="K34" s="50">
        <f>IF($J34="","",$G34/$J34)</f>
        <v/>
      </c>
      <c r="L34" s="50">
        <f>IF($J34="",0,$K34*MAX(0,MIN(YEAR($C$3)*12+MONTH($C$3),YEAR($I34)*12+MONTH($I34))-(YEAR($H34)*12+MONTH($H34))+1))</f>
        <v/>
      </c>
      <c r="M34" s="50">
        <f>IF($J34="",0,$K34*MAX(0,MIN(YEAR($C$3)*12+MONTH($C$3)-1,YEAR($I34)*12+MONTH($I34))-(YEAR($H34)*12+MONTH($H34))+1))</f>
        <v/>
      </c>
      <c r="N34" s="50">
        <f>IF(OR($J34="",$B34=""),0,IF(YEAR($B34)*12+MONTH($B34)&lt;=YEAR($C$3)*12+MONTH($C$3),$G34,0))</f>
        <v/>
      </c>
      <c r="O34" s="50">
        <f>IF(OR($J34="",$B34=""),0,IF(YEAR($B34)*12+MONTH($B34)&lt;=YEAR($C$3)*12+MONTH($C$3)-1,$G34,0))</f>
        <v/>
      </c>
      <c r="P34" s="50">
        <f>$M34-$O34</f>
        <v/>
      </c>
      <c r="Q34" s="50">
        <f>($L34-$M34)-($N34-$O34)</f>
        <v/>
      </c>
      <c r="R34" s="50">
        <f>$L34-$N34</f>
        <v/>
      </c>
    </row>
    <row r="35">
      <c r="A35" s="47">
        <f>ROW()-5</f>
        <v/>
      </c>
      <c r="B35" s="48">
        <f>IFERROR(INDEX(tbl_Finance[Date],$A35),"")</f>
        <v/>
      </c>
      <c r="C35" s="49">
        <f>IFERROR(INDEX(tbl_Finance[Xero Invoice No],$A35),"")</f>
        <v/>
      </c>
      <c r="D35" s="49">
        <f>IFERROR(INDEX(tbl_Finance[Client],$A35),"")</f>
        <v/>
      </c>
      <c r="E35" s="49">
        <f>IFERROR(INDEX(tbl_Finance[Job Number],$A35),"")</f>
        <v/>
      </c>
      <c r="F35" s="49">
        <f>IFERROR(INDEX(tbl_Finance[Cost Centre],$A35),"")</f>
        <v/>
      </c>
      <c r="G35" s="50">
        <f>IFERROR(INDEX(tbl_Finance[Ex GST],$A35),"")</f>
        <v/>
      </c>
      <c r="H35" s="48">
        <f>IFERROR(INDEX(tbl_Finance[Defer Start],$A35),"")</f>
        <v/>
      </c>
      <c r="I35" s="48">
        <f>IFERROR(INDEX(tbl_Finance[Defer End],$A35),"")</f>
        <v/>
      </c>
      <c r="J35" s="47">
        <f>IF(OR($H35="",$I35="",$G35=""),"",MAX(1,(YEAR($I35)-YEAR($H35))*12+MONTH($I35)-MONTH($H35)+1))</f>
        <v/>
      </c>
      <c r="K35" s="50">
        <f>IF($J35="","",$G35/$J35)</f>
        <v/>
      </c>
      <c r="L35" s="50">
        <f>IF($J35="",0,$K35*MAX(0,MIN(YEAR($C$3)*12+MONTH($C$3),YEAR($I35)*12+MONTH($I35))-(YEAR($H35)*12+MONTH($H35))+1))</f>
        <v/>
      </c>
      <c r="M35" s="50">
        <f>IF($J35="",0,$K35*MAX(0,MIN(YEAR($C$3)*12+MONTH($C$3)-1,YEAR($I35)*12+MONTH($I35))-(YEAR($H35)*12+MONTH($H35))+1))</f>
        <v/>
      </c>
      <c r="N35" s="50">
        <f>IF(OR($J35="",$B35=""),0,IF(YEAR($B35)*12+MONTH($B35)&lt;=YEAR($C$3)*12+MONTH($C$3),$G35,0))</f>
        <v/>
      </c>
      <c r="O35" s="50">
        <f>IF(OR($J35="",$B35=""),0,IF(YEAR($B35)*12+MONTH($B35)&lt;=YEAR($C$3)*12+MONTH($C$3)-1,$G35,0))</f>
        <v/>
      </c>
      <c r="P35" s="50">
        <f>$M35-$O35</f>
        <v/>
      </c>
      <c r="Q35" s="50">
        <f>($L35-$M35)-($N35-$O35)</f>
        <v/>
      </c>
      <c r="R35" s="50">
        <f>$L35-$N35</f>
        <v/>
      </c>
    </row>
    <row r="36">
      <c r="A36" s="47">
        <f>ROW()-5</f>
        <v/>
      </c>
      <c r="B36" s="48">
        <f>IFERROR(INDEX(tbl_Finance[Date],$A36),"")</f>
        <v/>
      </c>
      <c r="C36" s="49">
        <f>IFERROR(INDEX(tbl_Finance[Xero Invoice No],$A36),"")</f>
        <v/>
      </c>
      <c r="D36" s="49">
        <f>IFERROR(INDEX(tbl_Finance[Client],$A36),"")</f>
        <v/>
      </c>
      <c r="E36" s="49">
        <f>IFERROR(INDEX(tbl_Finance[Job Number],$A36),"")</f>
        <v/>
      </c>
      <c r="F36" s="49">
        <f>IFERROR(INDEX(tbl_Finance[Cost Centre],$A36),"")</f>
        <v/>
      </c>
      <c r="G36" s="50">
        <f>IFERROR(INDEX(tbl_Finance[Ex GST],$A36),"")</f>
        <v/>
      </c>
      <c r="H36" s="48">
        <f>IFERROR(INDEX(tbl_Finance[Defer Start],$A36),"")</f>
        <v/>
      </c>
      <c r="I36" s="48">
        <f>IFERROR(INDEX(tbl_Finance[Defer End],$A36),"")</f>
        <v/>
      </c>
      <c r="J36" s="47">
        <f>IF(OR($H36="",$I36="",$G36=""),"",MAX(1,(YEAR($I36)-YEAR($H36))*12+MONTH($I36)-MONTH($H36)+1))</f>
        <v/>
      </c>
      <c r="K36" s="50">
        <f>IF($J36="","",$G36/$J36)</f>
        <v/>
      </c>
      <c r="L36" s="50">
        <f>IF($J36="",0,$K36*MAX(0,MIN(YEAR($C$3)*12+MONTH($C$3),YEAR($I36)*12+MONTH($I36))-(YEAR($H36)*12+MONTH($H36))+1))</f>
        <v/>
      </c>
      <c r="M36" s="50">
        <f>IF($J36="",0,$K36*MAX(0,MIN(YEAR($C$3)*12+MONTH($C$3)-1,YEAR($I36)*12+MONTH($I36))-(YEAR($H36)*12+MONTH($H36))+1))</f>
        <v/>
      </c>
      <c r="N36" s="50">
        <f>IF(OR($J36="",$B36=""),0,IF(YEAR($B36)*12+MONTH($B36)&lt;=YEAR($C$3)*12+MONTH($C$3),$G36,0))</f>
        <v/>
      </c>
      <c r="O36" s="50">
        <f>IF(OR($J36="",$B36=""),0,IF(YEAR($B36)*12+MONTH($B36)&lt;=YEAR($C$3)*12+MONTH($C$3)-1,$G36,0))</f>
        <v/>
      </c>
      <c r="P36" s="50">
        <f>$M36-$O36</f>
        <v/>
      </c>
      <c r="Q36" s="50">
        <f>($L36-$M36)-($N36-$O36)</f>
        <v/>
      </c>
      <c r="R36" s="50">
        <f>$L36-$N36</f>
        <v/>
      </c>
    </row>
    <row r="37">
      <c r="A37" s="47">
        <f>ROW()-5</f>
        <v/>
      </c>
      <c r="B37" s="48">
        <f>IFERROR(INDEX(tbl_Finance[Date],$A37),"")</f>
        <v/>
      </c>
      <c r="C37" s="49">
        <f>IFERROR(INDEX(tbl_Finance[Xero Invoice No],$A37),"")</f>
        <v/>
      </c>
      <c r="D37" s="49">
        <f>IFERROR(INDEX(tbl_Finance[Client],$A37),"")</f>
        <v/>
      </c>
      <c r="E37" s="49">
        <f>IFERROR(INDEX(tbl_Finance[Job Number],$A37),"")</f>
        <v/>
      </c>
      <c r="F37" s="49">
        <f>IFERROR(INDEX(tbl_Finance[Cost Centre],$A37),"")</f>
        <v/>
      </c>
      <c r="G37" s="50">
        <f>IFERROR(INDEX(tbl_Finance[Ex GST],$A37),"")</f>
        <v/>
      </c>
      <c r="H37" s="48">
        <f>IFERROR(INDEX(tbl_Finance[Defer Start],$A37),"")</f>
        <v/>
      </c>
      <c r="I37" s="48">
        <f>IFERROR(INDEX(tbl_Finance[Defer End],$A37),"")</f>
        <v/>
      </c>
      <c r="J37" s="47">
        <f>IF(OR($H37="",$I37="",$G37=""),"",MAX(1,(YEAR($I37)-YEAR($H37))*12+MONTH($I37)-MONTH($H37)+1))</f>
        <v/>
      </c>
      <c r="K37" s="50">
        <f>IF($J37="","",$G37/$J37)</f>
        <v/>
      </c>
      <c r="L37" s="50">
        <f>IF($J37="",0,$K37*MAX(0,MIN(YEAR($C$3)*12+MONTH($C$3),YEAR($I37)*12+MONTH($I37))-(YEAR($H37)*12+MONTH($H37))+1))</f>
        <v/>
      </c>
      <c r="M37" s="50">
        <f>IF($J37="",0,$K37*MAX(0,MIN(YEAR($C$3)*12+MONTH($C$3)-1,YEAR($I37)*12+MONTH($I37))-(YEAR($H37)*12+MONTH($H37))+1))</f>
        <v/>
      </c>
      <c r="N37" s="50">
        <f>IF(OR($J37="",$B37=""),0,IF(YEAR($B37)*12+MONTH($B37)&lt;=YEAR($C$3)*12+MONTH($C$3),$G37,0))</f>
        <v/>
      </c>
      <c r="O37" s="50">
        <f>IF(OR($J37="",$B37=""),0,IF(YEAR($B37)*12+MONTH($B37)&lt;=YEAR($C$3)*12+MONTH($C$3)-1,$G37,0))</f>
        <v/>
      </c>
      <c r="P37" s="50">
        <f>$M37-$O37</f>
        <v/>
      </c>
      <c r="Q37" s="50">
        <f>($L37-$M37)-($N37-$O37)</f>
        <v/>
      </c>
      <c r="R37" s="50">
        <f>$L37-$N37</f>
        <v/>
      </c>
    </row>
    <row r="38">
      <c r="A38" s="47">
        <f>ROW()-5</f>
        <v/>
      </c>
      <c r="B38" s="48">
        <f>IFERROR(INDEX(tbl_Finance[Date],$A38),"")</f>
        <v/>
      </c>
      <c r="C38" s="49">
        <f>IFERROR(INDEX(tbl_Finance[Xero Invoice No],$A38),"")</f>
        <v/>
      </c>
      <c r="D38" s="49">
        <f>IFERROR(INDEX(tbl_Finance[Client],$A38),"")</f>
        <v/>
      </c>
      <c r="E38" s="49">
        <f>IFERROR(INDEX(tbl_Finance[Job Number],$A38),"")</f>
        <v/>
      </c>
      <c r="F38" s="49">
        <f>IFERROR(INDEX(tbl_Finance[Cost Centre],$A38),"")</f>
        <v/>
      </c>
      <c r="G38" s="50">
        <f>IFERROR(INDEX(tbl_Finance[Ex GST],$A38),"")</f>
        <v/>
      </c>
      <c r="H38" s="48">
        <f>IFERROR(INDEX(tbl_Finance[Defer Start],$A38),"")</f>
        <v/>
      </c>
      <c r="I38" s="48">
        <f>IFERROR(INDEX(tbl_Finance[Defer End],$A38),"")</f>
        <v/>
      </c>
      <c r="J38" s="47">
        <f>IF(OR($H38="",$I38="",$G38=""),"",MAX(1,(YEAR($I38)-YEAR($H38))*12+MONTH($I38)-MONTH($H38)+1))</f>
        <v/>
      </c>
      <c r="K38" s="50">
        <f>IF($J38="","",$G38/$J38)</f>
        <v/>
      </c>
      <c r="L38" s="50">
        <f>IF($J38="",0,$K38*MAX(0,MIN(YEAR($C$3)*12+MONTH($C$3),YEAR($I38)*12+MONTH($I38))-(YEAR($H38)*12+MONTH($H38))+1))</f>
        <v/>
      </c>
      <c r="M38" s="50">
        <f>IF($J38="",0,$K38*MAX(0,MIN(YEAR($C$3)*12+MONTH($C$3)-1,YEAR($I38)*12+MONTH($I38))-(YEAR($H38)*12+MONTH($H38))+1))</f>
        <v/>
      </c>
      <c r="N38" s="50">
        <f>IF(OR($J38="",$B38=""),0,IF(YEAR($B38)*12+MONTH($B38)&lt;=YEAR($C$3)*12+MONTH($C$3),$G38,0))</f>
        <v/>
      </c>
      <c r="O38" s="50">
        <f>IF(OR($J38="",$B38=""),0,IF(YEAR($B38)*12+MONTH($B38)&lt;=YEAR($C$3)*12+MONTH($C$3)-1,$G38,0))</f>
        <v/>
      </c>
      <c r="P38" s="50">
        <f>$M38-$O38</f>
        <v/>
      </c>
      <c r="Q38" s="50">
        <f>($L38-$M38)-($N38-$O38)</f>
        <v/>
      </c>
      <c r="R38" s="50">
        <f>$L38-$N38</f>
        <v/>
      </c>
    </row>
    <row r="39">
      <c r="A39" s="47">
        <f>ROW()-5</f>
        <v/>
      </c>
      <c r="B39" s="48">
        <f>IFERROR(INDEX(tbl_Finance[Date],$A39),"")</f>
        <v/>
      </c>
      <c r="C39" s="49">
        <f>IFERROR(INDEX(tbl_Finance[Xero Invoice No],$A39),"")</f>
        <v/>
      </c>
      <c r="D39" s="49">
        <f>IFERROR(INDEX(tbl_Finance[Client],$A39),"")</f>
        <v/>
      </c>
      <c r="E39" s="49">
        <f>IFERROR(INDEX(tbl_Finance[Job Number],$A39),"")</f>
        <v/>
      </c>
      <c r="F39" s="49">
        <f>IFERROR(INDEX(tbl_Finance[Cost Centre],$A39),"")</f>
        <v/>
      </c>
      <c r="G39" s="50">
        <f>IFERROR(INDEX(tbl_Finance[Ex GST],$A39),"")</f>
        <v/>
      </c>
      <c r="H39" s="48">
        <f>IFERROR(INDEX(tbl_Finance[Defer Start],$A39),"")</f>
        <v/>
      </c>
      <c r="I39" s="48">
        <f>IFERROR(INDEX(tbl_Finance[Defer End],$A39),"")</f>
        <v/>
      </c>
      <c r="J39" s="47">
        <f>IF(OR($H39="",$I39="",$G39=""),"",MAX(1,(YEAR($I39)-YEAR($H39))*12+MONTH($I39)-MONTH($H39)+1))</f>
        <v/>
      </c>
      <c r="K39" s="50">
        <f>IF($J39="","",$G39/$J39)</f>
        <v/>
      </c>
      <c r="L39" s="50">
        <f>IF($J39="",0,$K39*MAX(0,MIN(YEAR($C$3)*12+MONTH($C$3),YEAR($I39)*12+MONTH($I39))-(YEAR($H39)*12+MONTH($H39))+1))</f>
        <v/>
      </c>
      <c r="M39" s="50">
        <f>IF($J39="",0,$K39*MAX(0,MIN(YEAR($C$3)*12+MONTH($C$3)-1,YEAR($I39)*12+MONTH($I39))-(YEAR($H39)*12+MONTH($H39))+1))</f>
        <v/>
      </c>
      <c r="N39" s="50">
        <f>IF(OR($J39="",$B39=""),0,IF(YEAR($B39)*12+MONTH($B39)&lt;=YEAR($C$3)*12+MONTH($C$3),$G39,0))</f>
        <v/>
      </c>
      <c r="O39" s="50">
        <f>IF(OR($J39="",$B39=""),0,IF(YEAR($B39)*12+MONTH($B39)&lt;=YEAR($C$3)*12+MONTH($C$3)-1,$G39,0))</f>
        <v/>
      </c>
      <c r="P39" s="50">
        <f>$M39-$O39</f>
        <v/>
      </c>
      <c r="Q39" s="50">
        <f>($L39-$M39)-($N39-$O39)</f>
        <v/>
      </c>
      <c r="R39" s="50">
        <f>$L39-$N39</f>
        <v/>
      </c>
    </row>
    <row r="40">
      <c r="A40" s="47">
        <f>ROW()-5</f>
        <v/>
      </c>
      <c r="B40" s="48">
        <f>IFERROR(INDEX(tbl_Finance[Date],$A40),"")</f>
        <v/>
      </c>
      <c r="C40" s="49">
        <f>IFERROR(INDEX(tbl_Finance[Xero Invoice No],$A40),"")</f>
        <v/>
      </c>
      <c r="D40" s="49">
        <f>IFERROR(INDEX(tbl_Finance[Client],$A40),"")</f>
        <v/>
      </c>
      <c r="E40" s="49">
        <f>IFERROR(INDEX(tbl_Finance[Job Number],$A40),"")</f>
        <v/>
      </c>
      <c r="F40" s="49">
        <f>IFERROR(INDEX(tbl_Finance[Cost Centre],$A40),"")</f>
        <v/>
      </c>
      <c r="G40" s="50">
        <f>IFERROR(INDEX(tbl_Finance[Ex GST],$A40),"")</f>
        <v/>
      </c>
      <c r="H40" s="48">
        <f>IFERROR(INDEX(tbl_Finance[Defer Start],$A40),"")</f>
        <v/>
      </c>
      <c r="I40" s="48">
        <f>IFERROR(INDEX(tbl_Finance[Defer End],$A40),"")</f>
        <v/>
      </c>
      <c r="J40" s="47">
        <f>IF(OR($H40="",$I40="",$G40=""),"",MAX(1,(YEAR($I40)-YEAR($H40))*12+MONTH($I40)-MONTH($H40)+1))</f>
        <v/>
      </c>
      <c r="K40" s="50">
        <f>IF($J40="","",$G40/$J40)</f>
        <v/>
      </c>
      <c r="L40" s="50">
        <f>IF($J40="",0,$K40*MAX(0,MIN(YEAR($C$3)*12+MONTH($C$3),YEAR($I40)*12+MONTH($I40))-(YEAR($H40)*12+MONTH($H40))+1))</f>
        <v/>
      </c>
      <c r="M40" s="50">
        <f>IF($J40="",0,$K40*MAX(0,MIN(YEAR($C$3)*12+MONTH($C$3)-1,YEAR($I40)*12+MONTH($I40))-(YEAR($H40)*12+MONTH($H40))+1))</f>
        <v/>
      </c>
      <c r="N40" s="50">
        <f>IF(OR($J40="",$B40=""),0,IF(YEAR($B40)*12+MONTH($B40)&lt;=YEAR($C$3)*12+MONTH($C$3),$G40,0))</f>
        <v/>
      </c>
      <c r="O40" s="50">
        <f>IF(OR($J40="",$B40=""),0,IF(YEAR($B40)*12+MONTH($B40)&lt;=YEAR($C$3)*12+MONTH($C$3)-1,$G40,0))</f>
        <v/>
      </c>
      <c r="P40" s="50">
        <f>$M40-$O40</f>
        <v/>
      </c>
      <c r="Q40" s="50">
        <f>($L40-$M40)-($N40-$O40)</f>
        <v/>
      </c>
      <c r="R40" s="50">
        <f>$L40-$N40</f>
        <v/>
      </c>
    </row>
    <row r="41">
      <c r="A41" s="47">
        <f>ROW()-5</f>
        <v/>
      </c>
      <c r="B41" s="48">
        <f>IFERROR(INDEX(tbl_Finance[Date],$A41),"")</f>
        <v/>
      </c>
      <c r="C41" s="49">
        <f>IFERROR(INDEX(tbl_Finance[Xero Invoice No],$A41),"")</f>
        <v/>
      </c>
      <c r="D41" s="49">
        <f>IFERROR(INDEX(tbl_Finance[Client],$A41),"")</f>
        <v/>
      </c>
      <c r="E41" s="49">
        <f>IFERROR(INDEX(tbl_Finance[Job Number],$A41),"")</f>
        <v/>
      </c>
      <c r="F41" s="49">
        <f>IFERROR(INDEX(tbl_Finance[Cost Centre],$A41),"")</f>
        <v/>
      </c>
      <c r="G41" s="50">
        <f>IFERROR(INDEX(tbl_Finance[Ex GST],$A41),"")</f>
        <v/>
      </c>
      <c r="H41" s="48">
        <f>IFERROR(INDEX(tbl_Finance[Defer Start],$A41),"")</f>
        <v/>
      </c>
      <c r="I41" s="48">
        <f>IFERROR(INDEX(tbl_Finance[Defer End],$A41),"")</f>
        <v/>
      </c>
      <c r="J41" s="47">
        <f>IF(OR($H41="",$I41="",$G41=""),"",MAX(1,(YEAR($I41)-YEAR($H41))*12+MONTH($I41)-MONTH($H41)+1))</f>
        <v/>
      </c>
      <c r="K41" s="50">
        <f>IF($J41="","",$G41/$J41)</f>
        <v/>
      </c>
      <c r="L41" s="50">
        <f>IF($J41="",0,$K41*MAX(0,MIN(YEAR($C$3)*12+MONTH($C$3),YEAR($I41)*12+MONTH($I41))-(YEAR($H41)*12+MONTH($H41))+1))</f>
        <v/>
      </c>
      <c r="M41" s="50">
        <f>IF($J41="",0,$K41*MAX(0,MIN(YEAR($C$3)*12+MONTH($C$3)-1,YEAR($I41)*12+MONTH($I41))-(YEAR($H41)*12+MONTH($H41))+1))</f>
        <v/>
      </c>
      <c r="N41" s="50">
        <f>IF(OR($J41="",$B41=""),0,IF(YEAR($B41)*12+MONTH($B41)&lt;=YEAR($C$3)*12+MONTH($C$3),$G41,0))</f>
        <v/>
      </c>
      <c r="O41" s="50">
        <f>IF(OR($J41="",$B41=""),0,IF(YEAR($B41)*12+MONTH($B41)&lt;=YEAR($C$3)*12+MONTH($C$3)-1,$G41,0))</f>
        <v/>
      </c>
      <c r="P41" s="50">
        <f>$M41-$O41</f>
        <v/>
      </c>
      <c r="Q41" s="50">
        <f>($L41-$M41)-($N41-$O41)</f>
        <v/>
      </c>
      <c r="R41" s="50">
        <f>$L41-$N41</f>
        <v/>
      </c>
    </row>
    <row r="42">
      <c r="A42" s="47">
        <f>ROW()-5</f>
        <v/>
      </c>
      <c r="B42" s="48">
        <f>IFERROR(INDEX(tbl_Finance[Date],$A42),"")</f>
        <v/>
      </c>
      <c r="C42" s="49">
        <f>IFERROR(INDEX(tbl_Finance[Xero Invoice No],$A42),"")</f>
        <v/>
      </c>
      <c r="D42" s="49">
        <f>IFERROR(INDEX(tbl_Finance[Client],$A42),"")</f>
        <v/>
      </c>
      <c r="E42" s="49">
        <f>IFERROR(INDEX(tbl_Finance[Job Number],$A42),"")</f>
        <v/>
      </c>
      <c r="F42" s="49">
        <f>IFERROR(INDEX(tbl_Finance[Cost Centre],$A42),"")</f>
        <v/>
      </c>
      <c r="G42" s="50">
        <f>IFERROR(INDEX(tbl_Finance[Ex GST],$A42),"")</f>
        <v/>
      </c>
      <c r="H42" s="48">
        <f>IFERROR(INDEX(tbl_Finance[Defer Start],$A42),"")</f>
        <v/>
      </c>
      <c r="I42" s="48">
        <f>IFERROR(INDEX(tbl_Finance[Defer End],$A42),"")</f>
        <v/>
      </c>
      <c r="J42" s="47">
        <f>IF(OR($H42="",$I42="",$G42=""),"",MAX(1,(YEAR($I42)-YEAR($H42))*12+MONTH($I42)-MONTH($H42)+1))</f>
        <v/>
      </c>
      <c r="K42" s="50">
        <f>IF($J42="","",$G42/$J42)</f>
        <v/>
      </c>
      <c r="L42" s="50">
        <f>IF($J42="",0,$K42*MAX(0,MIN(YEAR($C$3)*12+MONTH($C$3),YEAR($I42)*12+MONTH($I42))-(YEAR($H42)*12+MONTH($H42))+1))</f>
        <v/>
      </c>
      <c r="M42" s="50">
        <f>IF($J42="",0,$K42*MAX(0,MIN(YEAR($C$3)*12+MONTH($C$3)-1,YEAR($I42)*12+MONTH($I42))-(YEAR($H42)*12+MONTH($H42))+1))</f>
        <v/>
      </c>
      <c r="N42" s="50">
        <f>IF(OR($J42="",$B42=""),0,IF(YEAR($B42)*12+MONTH($B42)&lt;=YEAR($C$3)*12+MONTH($C$3),$G42,0))</f>
        <v/>
      </c>
      <c r="O42" s="50">
        <f>IF(OR($J42="",$B42=""),0,IF(YEAR($B42)*12+MONTH($B42)&lt;=YEAR($C$3)*12+MONTH($C$3)-1,$G42,0))</f>
        <v/>
      </c>
      <c r="P42" s="50">
        <f>$M42-$O42</f>
        <v/>
      </c>
      <c r="Q42" s="50">
        <f>($L42-$M42)-($N42-$O42)</f>
        <v/>
      </c>
      <c r="R42" s="50">
        <f>$L42-$N42</f>
        <v/>
      </c>
    </row>
    <row r="43">
      <c r="A43" s="47">
        <f>ROW()-5</f>
        <v/>
      </c>
      <c r="B43" s="48">
        <f>IFERROR(INDEX(tbl_Finance[Date],$A43),"")</f>
        <v/>
      </c>
      <c r="C43" s="49">
        <f>IFERROR(INDEX(tbl_Finance[Xero Invoice No],$A43),"")</f>
        <v/>
      </c>
      <c r="D43" s="49">
        <f>IFERROR(INDEX(tbl_Finance[Client],$A43),"")</f>
        <v/>
      </c>
      <c r="E43" s="49">
        <f>IFERROR(INDEX(tbl_Finance[Job Number],$A43),"")</f>
        <v/>
      </c>
      <c r="F43" s="49">
        <f>IFERROR(INDEX(tbl_Finance[Cost Centre],$A43),"")</f>
        <v/>
      </c>
      <c r="G43" s="50">
        <f>IFERROR(INDEX(tbl_Finance[Ex GST],$A43),"")</f>
        <v/>
      </c>
      <c r="H43" s="48">
        <f>IFERROR(INDEX(tbl_Finance[Defer Start],$A43),"")</f>
        <v/>
      </c>
      <c r="I43" s="48">
        <f>IFERROR(INDEX(tbl_Finance[Defer End],$A43),"")</f>
        <v/>
      </c>
      <c r="J43" s="47">
        <f>IF(OR($H43="",$I43="",$G43=""),"",MAX(1,(YEAR($I43)-YEAR($H43))*12+MONTH($I43)-MONTH($H43)+1))</f>
        <v/>
      </c>
      <c r="K43" s="50">
        <f>IF($J43="","",$G43/$J43)</f>
        <v/>
      </c>
      <c r="L43" s="50">
        <f>IF($J43="",0,$K43*MAX(0,MIN(YEAR($C$3)*12+MONTH($C$3),YEAR($I43)*12+MONTH($I43))-(YEAR($H43)*12+MONTH($H43))+1))</f>
        <v/>
      </c>
      <c r="M43" s="50">
        <f>IF($J43="",0,$K43*MAX(0,MIN(YEAR($C$3)*12+MONTH($C$3)-1,YEAR($I43)*12+MONTH($I43))-(YEAR($H43)*12+MONTH($H43))+1))</f>
        <v/>
      </c>
      <c r="N43" s="50">
        <f>IF(OR($J43="",$B43=""),0,IF(YEAR($B43)*12+MONTH($B43)&lt;=YEAR($C$3)*12+MONTH($C$3),$G43,0))</f>
        <v/>
      </c>
      <c r="O43" s="50">
        <f>IF(OR($J43="",$B43=""),0,IF(YEAR($B43)*12+MONTH($B43)&lt;=YEAR($C$3)*12+MONTH($C$3)-1,$G43,0))</f>
        <v/>
      </c>
      <c r="P43" s="50">
        <f>$M43-$O43</f>
        <v/>
      </c>
      <c r="Q43" s="50">
        <f>($L43-$M43)-($N43-$O43)</f>
        <v/>
      </c>
      <c r="R43" s="50">
        <f>$L43-$N43</f>
        <v/>
      </c>
    </row>
    <row r="44">
      <c r="A44" s="47">
        <f>ROW()-5</f>
        <v/>
      </c>
      <c r="B44" s="48">
        <f>IFERROR(INDEX(tbl_Finance[Date],$A44),"")</f>
        <v/>
      </c>
      <c r="C44" s="49">
        <f>IFERROR(INDEX(tbl_Finance[Xero Invoice No],$A44),"")</f>
        <v/>
      </c>
      <c r="D44" s="49">
        <f>IFERROR(INDEX(tbl_Finance[Client],$A44),"")</f>
        <v/>
      </c>
      <c r="E44" s="49">
        <f>IFERROR(INDEX(tbl_Finance[Job Number],$A44),"")</f>
        <v/>
      </c>
      <c r="F44" s="49">
        <f>IFERROR(INDEX(tbl_Finance[Cost Centre],$A44),"")</f>
        <v/>
      </c>
      <c r="G44" s="50">
        <f>IFERROR(INDEX(tbl_Finance[Ex GST],$A44),"")</f>
        <v/>
      </c>
      <c r="H44" s="48">
        <f>IFERROR(INDEX(tbl_Finance[Defer Start],$A44),"")</f>
        <v/>
      </c>
      <c r="I44" s="48">
        <f>IFERROR(INDEX(tbl_Finance[Defer End],$A44),"")</f>
        <v/>
      </c>
      <c r="J44" s="47">
        <f>IF(OR($H44="",$I44="",$G44=""),"",MAX(1,(YEAR($I44)-YEAR($H44))*12+MONTH($I44)-MONTH($H44)+1))</f>
        <v/>
      </c>
      <c r="K44" s="50">
        <f>IF($J44="","",$G44/$J44)</f>
        <v/>
      </c>
      <c r="L44" s="50">
        <f>IF($J44="",0,$K44*MAX(0,MIN(YEAR($C$3)*12+MONTH($C$3),YEAR($I44)*12+MONTH($I44))-(YEAR($H44)*12+MONTH($H44))+1))</f>
        <v/>
      </c>
      <c r="M44" s="50">
        <f>IF($J44="",0,$K44*MAX(0,MIN(YEAR($C$3)*12+MONTH($C$3)-1,YEAR($I44)*12+MONTH($I44))-(YEAR($H44)*12+MONTH($H44))+1))</f>
        <v/>
      </c>
      <c r="N44" s="50">
        <f>IF(OR($J44="",$B44=""),0,IF(YEAR($B44)*12+MONTH($B44)&lt;=YEAR($C$3)*12+MONTH($C$3),$G44,0))</f>
        <v/>
      </c>
      <c r="O44" s="50">
        <f>IF(OR($J44="",$B44=""),0,IF(YEAR($B44)*12+MONTH($B44)&lt;=YEAR($C$3)*12+MONTH($C$3)-1,$G44,0))</f>
        <v/>
      </c>
      <c r="P44" s="50">
        <f>$M44-$O44</f>
        <v/>
      </c>
      <c r="Q44" s="50">
        <f>($L44-$M44)-($N44-$O44)</f>
        <v/>
      </c>
      <c r="R44" s="50">
        <f>$L44-$N44</f>
        <v/>
      </c>
    </row>
    <row r="45">
      <c r="A45" s="47">
        <f>ROW()-5</f>
        <v/>
      </c>
      <c r="B45" s="48">
        <f>IFERROR(INDEX(tbl_Finance[Date],$A45),"")</f>
        <v/>
      </c>
      <c r="C45" s="49">
        <f>IFERROR(INDEX(tbl_Finance[Xero Invoice No],$A45),"")</f>
        <v/>
      </c>
      <c r="D45" s="49">
        <f>IFERROR(INDEX(tbl_Finance[Client],$A45),"")</f>
        <v/>
      </c>
      <c r="E45" s="49">
        <f>IFERROR(INDEX(tbl_Finance[Job Number],$A45),"")</f>
        <v/>
      </c>
      <c r="F45" s="49">
        <f>IFERROR(INDEX(tbl_Finance[Cost Centre],$A45),"")</f>
        <v/>
      </c>
      <c r="G45" s="50">
        <f>IFERROR(INDEX(tbl_Finance[Ex GST],$A45),"")</f>
        <v/>
      </c>
      <c r="H45" s="48">
        <f>IFERROR(INDEX(tbl_Finance[Defer Start],$A45),"")</f>
        <v/>
      </c>
      <c r="I45" s="48">
        <f>IFERROR(INDEX(tbl_Finance[Defer End],$A45),"")</f>
        <v/>
      </c>
      <c r="J45" s="47">
        <f>IF(OR($H45="",$I45="",$G45=""),"",MAX(1,(YEAR($I45)-YEAR($H45))*12+MONTH($I45)-MONTH($H45)+1))</f>
        <v/>
      </c>
      <c r="K45" s="50">
        <f>IF($J45="","",$G45/$J45)</f>
        <v/>
      </c>
      <c r="L45" s="50">
        <f>IF($J45="",0,$K45*MAX(0,MIN(YEAR($C$3)*12+MONTH($C$3),YEAR($I45)*12+MONTH($I45))-(YEAR($H45)*12+MONTH($H45))+1))</f>
        <v/>
      </c>
      <c r="M45" s="50">
        <f>IF($J45="",0,$K45*MAX(0,MIN(YEAR($C$3)*12+MONTH($C$3)-1,YEAR($I45)*12+MONTH($I45))-(YEAR($H45)*12+MONTH($H45))+1))</f>
        <v/>
      </c>
      <c r="N45" s="50">
        <f>IF(OR($J45="",$B45=""),0,IF(YEAR($B45)*12+MONTH($B45)&lt;=YEAR($C$3)*12+MONTH($C$3),$G45,0))</f>
        <v/>
      </c>
      <c r="O45" s="50">
        <f>IF(OR($J45="",$B45=""),0,IF(YEAR($B45)*12+MONTH($B45)&lt;=YEAR($C$3)*12+MONTH($C$3)-1,$G45,0))</f>
        <v/>
      </c>
      <c r="P45" s="50">
        <f>$M45-$O45</f>
        <v/>
      </c>
      <c r="Q45" s="50">
        <f>($L45-$M45)-($N45-$O45)</f>
        <v/>
      </c>
      <c r="R45" s="50">
        <f>$L45-$N45</f>
        <v/>
      </c>
    </row>
    <row r="46">
      <c r="A46" s="47">
        <f>ROW()-5</f>
        <v/>
      </c>
      <c r="B46" s="48">
        <f>IFERROR(INDEX(tbl_Finance[Date],$A46),"")</f>
        <v/>
      </c>
      <c r="C46" s="49">
        <f>IFERROR(INDEX(tbl_Finance[Xero Invoice No],$A46),"")</f>
        <v/>
      </c>
      <c r="D46" s="49">
        <f>IFERROR(INDEX(tbl_Finance[Client],$A46),"")</f>
        <v/>
      </c>
      <c r="E46" s="49">
        <f>IFERROR(INDEX(tbl_Finance[Job Number],$A46),"")</f>
        <v/>
      </c>
      <c r="F46" s="49">
        <f>IFERROR(INDEX(tbl_Finance[Cost Centre],$A46),"")</f>
        <v/>
      </c>
      <c r="G46" s="50">
        <f>IFERROR(INDEX(tbl_Finance[Ex GST],$A46),"")</f>
        <v/>
      </c>
      <c r="H46" s="48">
        <f>IFERROR(INDEX(tbl_Finance[Defer Start],$A46),"")</f>
        <v/>
      </c>
      <c r="I46" s="48">
        <f>IFERROR(INDEX(tbl_Finance[Defer End],$A46),"")</f>
        <v/>
      </c>
      <c r="J46" s="47">
        <f>IF(OR($H46="",$I46="",$G46=""),"",MAX(1,(YEAR($I46)-YEAR($H46))*12+MONTH($I46)-MONTH($H46)+1))</f>
        <v/>
      </c>
      <c r="K46" s="50">
        <f>IF($J46="","",$G46/$J46)</f>
        <v/>
      </c>
      <c r="L46" s="50">
        <f>IF($J46="",0,$K46*MAX(0,MIN(YEAR($C$3)*12+MONTH($C$3),YEAR($I46)*12+MONTH($I46))-(YEAR($H46)*12+MONTH($H46))+1))</f>
        <v/>
      </c>
      <c r="M46" s="50">
        <f>IF($J46="",0,$K46*MAX(0,MIN(YEAR($C$3)*12+MONTH($C$3)-1,YEAR($I46)*12+MONTH($I46))-(YEAR($H46)*12+MONTH($H46))+1))</f>
        <v/>
      </c>
      <c r="N46" s="50">
        <f>IF(OR($J46="",$B46=""),0,IF(YEAR($B46)*12+MONTH($B46)&lt;=YEAR($C$3)*12+MONTH($C$3),$G46,0))</f>
        <v/>
      </c>
      <c r="O46" s="50">
        <f>IF(OR($J46="",$B46=""),0,IF(YEAR($B46)*12+MONTH($B46)&lt;=YEAR($C$3)*12+MONTH($C$3)-1,$G46,0))</f>
        <v/>
      </c>
      <c r="P46" s="50">
        <f>$M46-$O46</f>
        <v/>
      </c>
      <c r="Q46" s="50">
        <f>($L46-$M46)-($N46-$O46)</f>
        <v/>
      </c>
      <c r="R46" s="50">
        <f>$L46-$N46</f>
        <v/>
      </c>
    </row>
    <row r="47">
      <c r="A47" s="47">
        <f>ROW()-5</f>
        <v/>
      </c>
      <c r="B47" s="48">
        <f>IFERROR(INDEX(tbl_Finance[Date],$A47),"")</f>
        <v/>
      </c>
      <c r="C47" s="49">
        <f>IFERROR(INDEX(tbl_Finance[Xero Invoice No],$A47),"")</f>
        <v/>
      </c>
      <c r="D47" s="49">
        <f>IFERROR(INDEX(tbl_Finance[Client],$A47),"")</f>
        <v/>
      </c>
      <c r="E47" s="49">
        <f>IFERROR(INDEX(tbl_Finance[Job Number],$A47),"")</f>
        <v/>
      </c>
      <c r="F47" s="49">
        <f>IFERROR(INDEX(tbl_Finance[Cost Centre],$A47),"")</f>
        <v/>
      </c>
      <c r="G47" s="50">
        <f>IFERROR(INDEX(tbl_Finance[Ex GST],$A47),"")</f>
        <v/>
      </c>
      <c r="H47" s="48">
        <f>IFERROR(INDEX(tbl_Finance[Defer Start],$A47),"")</f>
        <v/>
      </c>
      <c r="I47" s="48">
        <f>IFERROR(INDEX(tbl_Finance[Defer End],$A47),"")</f>
        <v/>
      </c>
      <c r="J47" s="47">
        <f>IF(OR($H47="",$I47="",$G47=""),"",MAX(1,(YEAR($I47)-YEAR($H47))*12+MONTH($I47)-MONTH($H47)+1))</f>
        <v/>
      </c>
      <c r="K47" s="50">
        <f>IF($J47="","",$G47/$J47)</f>
        <v/>
      </c>
      <c r="L47" s="50">
        <f>IF($J47="",0,$K47*MAX(0,MIN(YEAR($C$3)*12+MONTH($C$3),YEAR($I47)*12+MONTH($I47))-(YEAR($H47)*12+MONTH($H47))+1))</f>
        <v/>
      </c>
      <c r="M47" s="50">
        <f>IF($J47="",0,$K47*MAX(0,MIN(YEAR($C$3)*12+MONTH($C$3)-1,YEAR($I47)*12+MONTH($I47))-(YEAR($H47)*12+MONTH($H47))+1))</f>
        <v/>
      </c>
      <c r="N47" s="50">
        <f>IF(OR($J47="",$B47=""),0,IF(YEAR($B47)*12+MONTH($B47)&lt;=YEAR($C$3)*12+MONTH($C$3),$G47,0))</f>
        <v/>
      </c>
      <c r="O47" s="50">
        <f>IF(OR($J47="",$B47=""),0,IF(YEAR($B47)*12+MONTH($B47)&lt;=YEAR($C$3)*12+MONTH($C$3)-1,$G47,0))</f>
        <v/>
      </c>
      <c r="P47" s="50">
        <f>$M47-$O47</f>
        <v/>
      </c>
      <c r="Q47" s="50">
        <f>($L47-$M47)-($N47-$O47)</f>
        <v/>
      </c>
      <c r="R47" s="50">
        <f>$L47-$N47</f>
        <v/>
      </c>
    </row>
    <row r="48">
      <c r="A48" s="47">
        <f>ROW()-5</f>
        <v/>
      </c>
      <c r="B48" s="48">
        <f>IFERROR(INDEX(tbl_Finance[Date],$A48),"")</f>
        <v/>
      </c>
      <c r="C48" s="49">
        <f>IFERROR(INDEX(tbl_Finance[Xero Invoice No],$A48),"")</f>
        <v/>
      </c>
      <c r="D48" s="49">
        <f>IFERROR(INDEX(tbl_Finance[Client],$A48),"")</f>
        <v/>
      </c>
      <c r="E48" s="49">
        <f>IFERROR(INDEX(tbl_Finance[Job Number],$A48),"")</f>
        <v/>
      </c>
      <c r="F48" s="49">
        <f>IFERROR(INDEX(tbl_Finance[Cost Centre],$A48),"")</f>
        <v/>
      </c>
      <c r="G48" s="50">
        <f>IFERROR(INDEX(tbl_Finance[Ex GST],$A48),"")</f>
        <v/>
      </c>
      <c r="H48" s="48">
        <f>IFERROR(INDEX(tbl_Finance[Defer Start],$A48),"")</f>
        <v/>
      </c>
      <c r="I48" s="48">
        <f>IFERROR(INDEX(tbl_Finance[Defer End],$A48),"")</f>
        <v/>
      </c>
      <c r="J48" s="47">
        <f>IF(OR($H48="",$I48="",$G48=""),"",MAX(1,(YEAR($I48)-YEAR($H48))*12+MONTH($I48)-MONTH($H48)+1))</f>
        <v/>
      </c>
      <c r="K48" s="50">
        <f>IF($J48="","",$G48/$J48)</f>
        <v/>
      </c>
      <c r="L48" s="50">
        <f>IF($J48="",0,$K48*MAX(0,MIN(YEAR($C$3)*12+MONTH($C$3),YEAR($I48)*12+MONTH($I48))-(YEAR($H48)*12+MONTH($H48))+1))</f>
        <v/>
      </c>
      <c r="M48" s="50">
        <f>IF($J48="",0,$K48*MAX(0,MIN(YEAR($C$3)*12+MONTH($C$3)-1,YEAR($I48)*12+MONTH($I48))-(YEAR($H48)*12+MONTH($H48))+1))</f>
        <v/>
      </c>
      <c r="N48" s="50">
        <f>IF(OR($J48="",$B48=""),0,IF(YEAR($B48)*12+MONTH($B48)&lt;=YEAR($C$3)*12+MONTH($C$3),$G48,0))</f>
        <v/>
      </c>
      <c r="O48" s="50">
        <f>IF(OR($J48="",$B48=""),0,IF(YEAR($B48)*12+MONTH($B48)&lt;=YEAR($C$3)*12+MONTH($C$3)-1,$G48,0))</f>
        <v/>
      </c>
      <c r="P48" s="50">
        <f>$M48-$O48</f>
        <v/>
      </c>
      <c r="Q48" s="50">
        <f>($L48-$M48)-($N48-$O48)</f>
        <v/>
      </c>
      <c r="R48" s="50">
        <f>$L48-$N48</f>
        <v/>
      </c>
    </row>
    <row r="49">
      <c r="A49" s="47">
        <f>ROW()-5</f>
        <v/>
      </c>
      <c r="B49" s="48">
        <f>IFERROR(INDEX(tbl_Finance[Date],$A49),"")</f>
        <v/>
      </c>
      <c r="C49" s="49">
        <f>IFERROR(INDEX(tbl_Finance[Xero Invoice No],$A49),"")</f>
        <v/>
      </c>
      <c r="D49" s="49">
        <f>IFERROR(INDEX(tbl_Finance[Client],$A49),"")</f>
        <v/>
      </c>
      <c r="E49" s="49">
        <f>IFERROR(INDEX(tbl_Finance[Job Number],$A49),"")</f>
        <v/>
      </c>
      <c r="F49" s="49">
        <f>IFERROR(INDEX(tbl_Finance[Cost Centre],$A49),"")</f>
        <v/>
      </c>
      <c r="G49" s="50">
        <f>IFERROR(INDEX(tbl_Finance[Ex GST],$A49),"")</f>
        <v/>
      </c>
      <c r="H49" s="48">
        <f>IFERROR(INDEX(tbl_Finance[Defer Start],$A49),"")</f>
        <v/>
      </c>
      <c r="I49" s="48">
        <f>IFERROR(INDEX(tbl_Finance[Defer End],$A49),"")</f>
        <v/>
      </c>
      <c r="J49" s="47">
        <f>IF(OR($H49="",$I49="",$G49=""),"",MAX(1,(YEAR($I49)-YEAR($H49))*12+MONTH($I49)-MONTH($H49)+1))</f>
        <v/>
      </c>
      <c r="K49" s="50">
        <f>IF($J49="","",$G49/$J49)</f>
        <v/>
      </c>
      <c r="L49" s="50">
        <f>IF($J49="",0,$K49*MAX(0,MIN(YEAR($C$3)*12+MONTH($C$3),YEAR($I49)*12+MONTH($I49))-(YEAR($H49)*12+MONTH($H49))+1))</f>
        <v/>
      </c>
      <c r="M49" s="50">
        <f>IF($J49="",0,$K49*MAX(0,MIN(YEAR($C$3)*12+MONTH($C$3)-1,YEAR($I49)*12+MONTH($I49))-(YEAR($H49)*12+MONTH($H49))+1))</f>
        <v/>
      </c>
      <c r="N49" s="50">
        <f>IF(OR($J49="",$B49=""),0,IF(YEAR($B49)*12+MONTH($B49)&lt;=YEAR($C$3)*12+MONTH($C$3),$G49,0))</f>
        <v/>
      </c>
      <c r="O49" s="50">
        <f>IF(OR($J49="",$B49=""),0,IF(YEAR($B49)*12+MONTH($B49)&lt;=YEAR($C$3)*12+MONTH($C$3)-1,$G49,0))</f>
        <v/>
      </c>
      <c r="P49" s="50">
        <f>$M49-$O49</f>
        <v/>
      </c>
      <c r="Q49" s="50">
        <f>($L49-$M49)-($N49-$O49)</f>
        <v/>
      </c>
      <c r="R49" s="50">
        <f>$L49-$N49</f>
        <v/>
      </c>
    </row>
    <row r="50">
      <c r="A50" s="47">
        <f>ROW()-5</f>
        <v/>
      </c>
      <c r="B50" s="48">
        <f>IFERROR(INDEX(tbl_Finance[Date],$A50),"")</f>
        <v/>
      </c>
      <c r="C50" s="49">
        <f>IFERROR(INDEX(tbl_Finance[Xero Invoice No],$A50),"")</f>
        <v/>
      </c>
      <c r="D50" s="49">
        <f>IFERROR(INDEX(tbl_Finance[Client],$A50),"")</f>
        <v/>
      </c>
      <c r="E50" s="49">
        <f>IFERROR(INDEX(tbl_Finance[Job Number],$A50),"")</f>
        <v/>
      </c>
      <c r="F50" s="49">
        <f>IFERROR(INDEX(tbl_Finance[Cost Centre],$A50),"")</f>
        <v/>
      </c>
      <c r="G50" s="50">
        <f>IFERROR(INDEX(tbl_Finance[Ex GST],$A50),"")</f>
        <v/>
      </c>
      <c r="H50" s="48">
        <f>IFERROR(INDEX(tbl_Finance[Defer Start],$A50),"")</f>
        <v/>
      </c>
      <c r="I50" s="48">
        <f>IFERROR(INDEX(tbl_Finance[Defer End],$A50),"")</f>
        <v/>
      </c>
      <c r="J50" s="47">
        <f>IF(OR($H50="",$I50="",$G50=""),"",MAX(1,(YEAR($I50)-YEAR($H50))*12+MONTH($I50)-MONTH($H50)+1))</f>
        <v/>
      </c>
      <c r="K50" s="50">
        <f>IF($J50="","",$G50/$J50)</f>
        <v/>
      </c>
      <c r="L50" s="50">
        <f>IF($J50="",0,$K50*MAX(0,MIN(YEAR($C$3)*12+MONTH($C$3),YEAR($I50)*12+MONTH($I50))-(YEAR($H50)*12+MONTH($H50))+1))</f>
        <v/>
      </c>
      <c r="M50" s="50">
        <f>IF($J50="",0,$K50*MAX(0,MIN(YEAR($C$3)*12+MONTH($C$3)-1,YEAR($I50)*12+MONTH($I50))-(YEAR($H50)*12+MONTH($H50))+1))</f>
        <v/>
      </c>
      <c r="N50" s="50">
        <f>IF(OR($J50="",$B50=""),0,IF(YEAR($B50)*12+MONTH($B50)&lt;=YEAR($C$3)*12+MONTH($C$3),$G50,0))</f>
        <v/>
      </c>
      <c r="O50" s="50">
        <f>IF(OR($J50="",$B50=""),0,IF(YEAR($B50)*12+MONTH($B50)&lt;=YEAR($C$3)*12+MONTH($C$3)-1,$G50,0))</f>
        <v/>
      </c>
      <c r="P50" s="50">
        <f>$M50-$O50</f>
        <v/>
      </c>
      <c r="Q50" s="50">
        <f>($L50-$M50)-($N50-$O50)</f>
        <v/>
      </c>
      <c r="R50" s="50">
        <f>$L50-$N50</f>
        <v/>
      </c>
    </row>
    <row r="51">
      <c r="A51" s="47">
        <f>ROW()-5</f>
        <v/>
      </c>
      <c r="B51" s="48">
        <f>IFERROR(INDEX(tbl_Finance[Date],$A51),"")</f>
        <v/>
      </c>
      <c r="C51" s="49">
        <f>IFERROR(INDEX(tbl_Finance[Xero Invoice No],$A51),"")</f>
        <v/>
      </c>
      <c r="D51" s="49">
        <f>IFERROR(INDEX(tbl_Finance[Client],$A51),"")</f>
        <v/>
      </c>
      <c r="E51" s="49">
        <f>IFERROR(INDEX(tbl_Finance[Job Number],$A51),"")</f>
        <v/>
      </c>
      <c r="F51" s="49">
        <f>IFERROR(INDEX(tbl_Finance[Cost Centre],$A51),"")</f>
        <v/>
      </c>
      <c r="G51" s="50">
        <f>IFERROR(INDEX(tbl_Finance[Ex GST],$A51),"")</f>
        <v/>
      </c>
      <c r="H51" s="48">
        <f>IFERROR(INDEX(tbl_Finance[Defer Start],$A51),"")</f>
        <v/>
      </c>
      <c r="I51" s="48">
        <f>IFERROR(INDEX(tbl_Finance[Defer End],$A51),"")</f>
        <v/>
      </c>
      <c r="J51" s="47">
        <f>IF(OR($H51="",$I51="",$G51=""),"",MAX(1,(YEAR($I51)-YEAR($H51))*12+MONTH($I51)-MONTH($H51)+1))</f>
        <v/>
      </c>
      <c r="K51" s="50">
        <f>IF($J51="","",$G51/$J51)</f>
        <v/>
      </c>
      <c r="L51" s="50">
        <f>IF($J51="",0,$K51*MAX(0,MIN(YEAR($C$3)*12+MONTH($C$3),YEAR($I51)*12+MONTH($I51))-(YEAR($H51)*12+MONTH($H51))+1))</f>
        <v/>
      </c>
      <c r="M51" s="50">
        <f>IF($J51="",0,$K51*MAX(0,MIN(YEAR($C$3)*12+MONTH($C$3)-1,YEAR($I51)*12+MONTH($I51))-(YEAR($H51)*12+MONTH($H51))+1))</f>
        <v/>
      </c>
      <c r="N51" s="50">
        <f>IF(OR($J51="",$B51=""),0,IF(YEAR($B51)*12+MONTH($B51)&lt;=YEAR($C$3)*12+MONTH($C$3),$G51,0))</f>
        <v/>
      </c>
      <c r="O51" s="50">
        <f>IF(OR($J51="",$B51=""),0,IF(YEAR($B51)*12+MONTH($B51)&lt;=YEAR($C$3)*12+MONTH($C$3)-1,$G51,0))</f>
        <v/>
      </c>
      <c r="P51" s="50">
        <f>$M51-$O51</f>
        <v/>
      </c>
      <c r="Q51" s="50">
        <f>($L51-$M51)-($N51-$O51)</f>
        <v/>
      </c>
      <c r="R51" s="50">
        <f>$L51-$N51</f>
        <v/>
      </c>
    </row>
    <row r="52">
      <c r="A52" s="47">
        <f>ROW()-5</f>
        <v/>
      </c>
      <c r="B52" s="48">
        <f>IFERROR(INDEX(tbl_Finance[Date],$A52),"")</f>
        <v/>
      </c>
      <c r="C52" s="49">
        <f>IFERROR(INDEX(tbl_Finance[Xero Invoice No],$A52),"")</f>
        <v/>
      </c>
      <c r="D52" s="49">
        <f>IFERROR(INDEX(tbl_Finance[Client],$A52),"")</f>
        <v/>
      </c>
      <c r="E52" s="49">
        <f>IFERROR(INDEX(tbl_Finance[Job Number],$A52),"")</f>
        <v/>
      </c>
      <c r="F52" s="49">
        <f>IFERROR(INDEX(tbl_Finance[Cost Centre],$A52),"")</f>
        <v/>
      </c>
      <c r="G52" s="50">
        <f>IFERROR(INDEX(tbl_Finance[Ex GST],$A52),"")</f>
        <v/>
      </c>
      <c r="H52" s="48">
        <f>IFERROR(INDEX(tbl_Finance[Defer Start],$A52),"")</f>
        <v/>
      </c>
      <c r="I52" s="48">
        <f>IFERROR(INDEX(tbl_Finance[Defer End],$A52),"")</f>
        <v/>
      </c>
      <c r="J52" s="47">
        <f>IF(OR($H52="",$I52="",$G52=""),"",MAX(1,(YEAR($I52)-YEAR($H52))*12+MONTH($I52)-MONTH($H52)+1))</f>
        <v/>
      </c>
      <c r="K52" s="50">
        <f>IF($J52="","",$G52/$J52)</f>
        <v/>
      </c>
      <c r="L52" s="50">
        <f>IF($J52="",0,$K52*MAX(0,MIN(YEAR($C$3)*12+MONTH($C$3),YEAR($I52)*12+MONTH($I52))-(YEAR($H52)*12+MONTH($H52))+1))</f>
        <v/>
      </c>
      <c r="M52" s="50">
        <f>IF($J52="",0,$K52*MAX(0,MIN(YEAR($C$3)*12+MONTH($C$3)-1,YEAR($I52)*12+MONTH($I52))-(YEAR($H52)*12+MONTH($H52))+1))</f>
        <v/>
      </c>
      <c r="N52" s="50">
        <f>IF(OR($J52="",$B52=""),0,IF(YEAR($B52)*12+MONTH($B52)&lt;=YEAR($C$3)*12+MONTH($C$3),$G52,0))</f>
        <v/>
      </c>
      <c r="O52" s="50">
        <f>IF(OR($J52="",$B52=""),0,IF(YEAR($B52)*12+MONTH($B52)&lt;=YEAR($C$3)*12+MONTH($C$3)-1,$G52,0))</f>
        <v/>
      </c>
      <c r="P52" s="50">
        <f>$M52-$O52</f>
        <v/>
      </c>
      <c r="Q52" s="50">
        <f>($L52-$M52)-($N52-$O52)</f>
        <v/>
      </c>
      <c r="R52" s="50">
        <f>$L52-$N52</f>
        <v/>
      </c>
    </row>
    <row r="53">
      <c r="A53" s="47">
        <f>ROW()-5</f>
        <v/>
      </c>
      <c r="B53" s="48">
        <f>IFERROR(INDEX(tbl_Finance[Date],$A53),"")</f>
        <v/>
      </c>
      <c r="C53" s="49">
        <f>IFERROR(INDEX(tbl_Finance[Xero Invoice No],$A53),"")</f>
        <v/>
      </c>
      <c r="D53" s="49">
        <f>IFERROR(INDEX(tbl_Finance[Client],$A53),"")</f>
        <v/>
      </c>
      <c r="E53" s="49">
        <f>IFERROR(INDEX(tbl_Finance[Job Number],$A53),"")</f>
        <v/>
      </c>
      <c r="F53" s="49">
        <f>IFERROR(INDEX(tbl_Finance[Cost Centre],$A53),"")</f>
        <v/>
      </c>
      <c r="G53" s="50">
        <f>IFERROR(INDEX(tbl_Finance[Ex GST],$A53),"")</f>
        <v/>
      </c>
      <c r="H53" s="48">
        <f>IFERROR(INDEX(tbl_Finance[Defer Start],$A53),"")</f>
        <v/>
      </c>
      <c r="I53" s="48">
        <f>IFERROR(INDEX(tbl_Finance[Defer End],$A53),"")</f>
        <v/>
      </c>
      <c r="J53" s="47">
        <f>IF(OR($H53="",$I53="",$G53=""),"",MAX(1,(YEAR($I53)-YEAR($H53))*12+MONTH($I53)-MONTH($H53)+1))</f>
        <v/>
      </c>
      <c r="K53" s="50">
        <f>IF($J53="","",$G53/$J53)</f>
        <v/>
      </c>
      <c r="L53" s="50">
        <f>IF($J53="",0,$K53*MAX(0,MIN(YEAR($C$3)*12+MONTH($C$3),YEAR($I53)*12+MONTH($I53))-(YEAR($H53)*12+MONTH($H53))+1))</f>
        <v/>
      </c>
      <c r="M53" s="50">
        <f>IF($J53="",0,$K53*MAX(0,MIN(YEAR($C$3)*12+MONTH($C$3)-1,YEAR($I53)*12+MONTH($I53))-(YEAR($H53)*12+MONTH($H53))+1))</f>
        <v/>
      </c>
      <c r="N53" s="50">
        <f>IF(OR($J53="",$B53=""),0,IF(YEAR($B53)*12+MONTH($B53)&lt;=YEAR($C$3)*12+MONTH($C$3),$G53,0))</f>
        <v/>
      </c>
      <c r="O53" s="50">
        <f>IF(OR($J53="",$B53=""),0,IF(YEAR($B53)*12+MONTH($B53)&lt;=YEAR($C$3)*12+MONTH($C$3)-1,$G53,0))</f>
        <v/>
      </c>
      <c r="P53" s="50">
        <f>$M53-$O53</f>
        <v/>
      </c>
      <c r="Q53" s="50">
        <f>($L53-$M53)-($N53-$O53)</f>
        <v/>
      </c>
      <c r="R53" s="50">
        <f>$L53-$N53</f>
        <v/>
      </c>
    </row>
    <row r="54">
      <c r="A54" s="47">
        <f>ROW()-5</f>
        <v/>
      </c>
      <c r="B54" s="48">
        <f>IFERROR(INDEX(tbl_Finance[Date],$A54),"")</f>
        <v/>
      </c>
      <c r="C54" s="49">
        <f>IFERROR(INDEX(tbl_Finance[Xero Invoice No],$A54),"")</f>
        <v/>
      </c>
      <c r="D54" s="49">
        <f>IFERROR(INDEX(tbl_Finance[Client],$A54),"")</f>
        <v/>
      </c>
      <c r="E54" s="49">
        <f>IFERROR(INDEX(tbl_Finance[Job Number],$A54),"")</f>
        <v/>
      </c>
      <c r="F54" s="49">
        <f>IFERROR(INDEX(tbl_Finance[Cost Centre],$A54),"")</f>
        <v/>
      </c>
      <c r="G54" s="50">
        <f>IFERROR(INDEX(tbl_Finance[Ex GST],$A54),"")</f>
        <v/>
      </c>
      <c r="H54" s="48">
        <f>IFERROR(INDEX(tbl_Finance[Defer Start],$A54),"")</f>
        <v/>
      </c>
      <c r="I54" s="48">
        <f>IFERROR(INDEX(tbl_Finance[Defer End],$A54),"")</f>
        <v/>
      </c>
      <c r="J54" s="47">
        <f>IF(OR($H54="",$I54="",$G54=""),"",MAX(1,(YEAR($I54)-YEAR($H54))*12+MONTH($I54)-MONTH($H54)+1))</f>
        <v/>
      </c>
      <c r="K54" s="50">
        <f>IF($J54="","",$G54/$J54)</f>
        <v/>
      </c>
      <c r="L54" s="50">
        <f>IF($J54="",0,$K54*MAX(0,MIN(YEAR($C$3)*12+MONTH($C$3),YEAR($I54)*12+MONTH($I54))-(YEAR($H54)*12+MONTH($H54))+1))</f>
        <v/>
      </c>
      <c r="M54" s="50">
        <f>IF($J54="",0,$K54*MAX(0,MIN(YEAR($C$3)*12+MONTH($C$3)-1,YEAR($I54)*12+MONTH($I54))-(YEAR($H54)*12+MONTH($H54))+1))</f>
        <v/>
      </c>
      <c r="N54" s="50">
        <f>IF(OR($J54="",$B54=""),0,IF(YEAR($B54)*12+MONTH($B54)&lt;=YEAR($C$3)*12+MONTH($C$3),$G54,0))</f>
        <v/>
      </c>
      <c r="O54" s="50">
        <f>IF(OR($J54="",$B54=""),0,IF(YEAR($B54)*12+MONTH($B54)&lt;=YEAR($C$3)*12+MONTH($C$3)-1,$G54,0))</f>
        <v/>
      </c>
      <c r="P54" s="50">
        <f>$M54-$O54</f>
        <v/>
      </c>
      <c r="Q54" s="50">
        <f>($L54-$M54)-($N54-$O54)</f>
        <v/>
      </c>
      <c r="R54" s="50">
        <f>$L54-$N54</f>
        <v/>
      </c>
    </row>
    <row r="55">
      <c r="A55" s="47">
        <f>ROW()-5</f>
        <v/>
      </c>
      <c r="B55" s="48">
        <f>IFERROR(INDEX(tbl_Finance[Date],$A55),"")</f>
        <v/>
      </c>
      <c r="C55" s="49">
        <f>IFERROR(INDEX(tbl_Finance[Xero Invoice No],$A55),"")</f>
        <v/>
      </c>
      <c r="D55" s="49">
        <f>IFERROR(INDEX(tbl_Finance[Client],$A55),"")</f>
        <v/>
      </c>
      <c r="E55" s="49">
        <f>IFERROR(INDEX(tbl_Finance[Job Number],$A55),"")</f>
        <v/>
      </c>
      <c r="F55" s="49">
        <f>IFERROR(INDEX(tbl_Finance[Cost Centre],$A55),"")</f>
        <v/>
      </c>
      <c r="G55" s="50">
        <f>IFERROR(INDEX(tbl_Finance[Ex GST],$A55),"")</f>
        <v/>
      </c>
      <c r="H55" s="48">
        <f>IFERROR(INDEX(tbl_Finance[Defer Start],$A55),"")</f>
        <v/>
      </c>
      <c r="I55" s="48">
        <f>IFERROR(INDEX(tbl_Finance[Defer End],$A55),"")</f>
        <v/>
      </c>
      <c r="J55" s="47">
        <f>IF(OR($H55="",$I55="",$G55=""),"",MAX(1,(YEAR($I55)-YEAR($H55))*12+MONTH($I55)-MONTH($H55)+1))</f>
        <v/>
      </c>
      <c r="K55" s="50">
        <f>IF($J55="","",$G55/$J55)</f>
        <v/>
      </c>
      <c r="L55" s="50">
        <f>IF($J55="",0,$K55*MAX(0,MIN(YEAR($C$3)*12+MONTH($C$3),YEAR($I55)*12+MONTH($I55))-(YEAR($H55)*12+MONTH($H55))+1))</f>
        <v/>
      </c>
      <c r="M55" s="50">
        <f>IF($J55="",0,$K55*MAX(0,MIN(YEAR($C$3)*12+MONTH($C$3)-1,YEAR($I55)*12+MONTH($I55))-(YEAR($H55)*12+MONTH($H55))+1))</f>
        <v/>
      </c>
      <c r="N55" s="50">
        <f>IF(OR($J55="",$B55=""),0,IF(YEAR($B55)*12+MONTH($B55)&lt;=YEAR($C$3)*12+MONTH($C$3),$G55,0))</f>
        <v/>
      </c>
      <c r="O55" s="50">
        <f>IF(OR($J55="",$B55=""),0,IF(YEAR($B55)*12+MONTH($B55)&lt;=YEAR($C$3)*12+MONTH($C$3)-1,$G55,0))</f>
        <v/>
      </c>
      <c r="P55" s="50">
        <f>$M55-$O55</f>
        <v/>
      </c>
      <c r="Q55" s="50">
        <f>($L55-$M55)-($N55-$O55)</f>
        <v/>
      </c>
      <c r="R55" s="50">
        <f>$L55-$N55</f>
        <v/>
      </c>
    </row>
    <row r="56">
      <c r="A56" s="47">
        <f>ROW()-5</f>
        <v/>
      </c>
      <c r="B56" s="48">
        <f>IFERROR(INDEX(tbl_Finance[Date],$A56),"")</f>
        <v/>
      </c>
      <c r="C56" s="49">
        <f>IFERROR(INDEX(tbl_Finance[Xero Invoice No],$A56),"")</f>
        <v/>
      </c>
      <c r="D56" s="49">
        <f>IFERROR(INDEX(tbl_Finance[Client],$A56),"")</f>
        <v/>
      </c>
      <c r="E56" s="49">
        <f>IFERROR(INDEX(tbl_Finance[Job Number],$A56),"")</f>
        <v/>
      </c>
      <c r="F56" s="49">
        <f>IFERROR(INDEX(tbl_Finance[Cost Centre],$A56),"")</f>
        <v/>
      </c>
      <c r="G56" s="50">
        <f>IFERROR(INDEX(tbl_Finance[Ex GST],$A56),"")</f>
        <v/>
      </c>
      <c r="H56" s="48">
        <f>IFERROR(INDEX(tbl_Finance[Defer Start],$A56),"")</f>
        <v/>
      </c>
      <c r="I56" s="48">
        <f>IFERROR(INDEX(tbl_Finance[Defer End],$A56),"")</f>
        <v/>
      </c>
      <c r="J56" s="47">
        <f>IF(OR($H56="",$I56="",$G56=""),"",MAX(1,(YEAR($I56)-YEAR($H56))*12+MONTH($I56)-MONTH($H56)+1))</f>
        <v/>
      </c>
      <c r="K56" s="50">
        <f>IF($J56="","",$G56/$J56)</f>
        <v/>
      </c>
      <c r="L56" s="50">
        <f>IF($J56="",0,$K56*MAX(0,MIN(YEAR($C$3)*12+MONTH($C$3),YEAR($I56)*12+MONTH($I56))-(YEAR($H56)*12+MONTH($H56))+1))</f>
        <v/>
      </c>
      <c r="M56" s="50">
        <f>IF($J56="",0,$K56*MAX(0,MIN(YEAR($C$3)*12+MONTH($C$3)-1,YEAR($I56)*12+MONTH($I56))-(YEAR($H56)*12+MONTH($H56))+1))</f>
        <v/>
      </c>
      <c r="N56" s="50">
        <f>IF(OR($J56="",$B56=""),0,IF(YEAR($B56)*12+MONTH($B56)&lt;=YEAR($C$3)*12+MONTH($C$3),$G56,0))</f>
        <v/>
      </c>
      <c r="O56" s="50">
        <f>IF(OR($J56="",$B56=""),0,IF(YEAR($B56)*12+MONTH($B56)&lt;=YEAR($C$3)*12+MONTH($C$3)-1,$G56,0))</f>
        <v/>
      </c>
      <c r="P56" s="50">
        <f>$M56-$O56</f>
        <v/>
      </c>
      <c r="Q56" s="50">
        <f>($L56-$M56)-($N56-$O56)</f>
        <v/>
      </c>
      <c r="R56" s="50">
        <f>$L56-$N56</f>
        <v/>
      </c>
    </row>
    <row r="57">
      <c r="A57" s="47">
        <f>ROW()-5</f>
        <v/>
      </c>
      <c r="B57" s="48">
        <f>IFERROR(INDEX(tbl_Finance[Date],$A57),"")</f>
        <v/>
      </c>
      <c r="C57" s="49">
        <f>IFERROR(INDEX(tbl_Finance[Xero Invoice No],$A57),"")</f>
        <v/>
      </c>
      <c r="D57" s="49">
        <f>IFERROR(INDEX(tbl_Finance[Client],$A57),"")</f>
        <v/>
      </c>
      <c r="E57" s="49">
        <f>IFERROR(INDEX(tbl_Finance[Job Number],$A57),"")</f>
        <v/>
      </c>
      <c r="F57" s="49">
        <f>IFERROR(INDEX(tbl_Finance[Cost Centre],$A57),"")</f>
        <v/>
      </c>
      <c r="G57" s="50">
        <f>IFERROR(INDEX(tbl_Finance[Ex GST],$A57),"")</f>
        <v/>
      </c>
      <c r="H57" s="48">
        <f>IFERROR(INDEX(tbl_Finance[Defer Start],$A57),"")</f>
        <v/>
      </c>
      <c r="I57" s="48">
        <f>IFERROR(INDEX(tbl_Finance[Defer End],$A57),"")</f>
        <v/>
      </c>
      <c r="J57" s="47">
        <f>IF(OR($H57="",$I57="",$G57=""),"",MAX(1,(YEAR($I57)-YEAR($H57))*12+MONTH($I57)-MONTH($H57)+1))</f>
        <v/>
      </c>
      <c r="K57" s="50">
        <f>IF($J57="","",$G57/$J57)</f>
        <v/>
      </c>
      <c r="L57" s="50">
        <f>IF($J57="",0,$K57*MAX(0,MIN(YEAR($C$3)*12+MONTH($C$3),YEAR($I57)*12+MONTH($I57))-(YEAR($H57)*12+MONTH($H57))+1))</f>
        <v/>
      </c>
      <c r="M57" s="50">
        <f>IF($J57="",0,$K57*MAX(0,MIN(YEAR($C$3)*12+MONTH($C$3)-1,YEAR($I57)*12+MONTH($I57))-(YEAR($H57)*12+MONTH($H57))+1))</f>
        <v/>
      </c>
      <c r="N57" s="50">
        <f>IF(OR($J57="",$B57=""),0,IF(YEAR($B57)*12+MONTH($B57)&lt;=YEAR($C$3)*12+MONTH($C$3),$G57,0))</f>
        <v/>
      </c>
      <c r="O57" s="50">
        <f>IF(OR($J57="",$B57=""),0,IF(YEAR($B57)*12+MONTH($B57)&lt;=YEAR($C$3)*12+MONTH($C$3)-1,$G57,0))</f>
        <v/>
      </c>
      <c r="P57" s="50">
        <f>$M57-$O57</f>
        <v/>
      </c>
      <c r="Q57" s="50">
        <f>($L57-$M57)-($N57-$O57)</f>
        <v/>
      </c>
      <c r="R57" s="50">
        <f>$L57-$N57</f>
        <v/>
      </c>
    </row>
    <row r="58">
      <c r="A58" s="47">
        <f>ROW()-5</f>
        <v/>
      </c>
      <c r="B58" s="48">
        <f>IFERROR(INDEX(tbl_Finance[Date],$A58),"")</f>
        <v/>
      </c>
      <c r="C58" s="49">
        <f>IFERROR(INDEX(tbl_Finance[Xero Invoice No],$A58),"")</f>
        <v/>
      </c>
      <c r="D58" s="49">
        <f>IFERROR(INDEX(tbl_Finance[Client],$A58),"")</f>
        <v/>
      </c>
      <c r="E58" s="49">
        <f>IFERROR(INDEX(tbl_Finance[Job Number],$A58),"")</f>
        <v/>
      </c>
      <c r="F58" s="49">
        <f>IFERROR(INDEX(tbl_Finance[Cost Centre],$A58),"")</f>
        <v/>
      </c>
      <c r="G58" s="50">
        <f>IFERROR(INDEX(tbl_Finance[Ex GST],$A58),"")</f>
        <v/>
      </c>
      <c r="H58" s="48">
        <f>IFERROR(INDEX(tbl_Finance[Defer Start],$A58),"")</f>
        <v/>
      </c>
      <c r="I58" s="48">
        <f>IFERROR(INDEX(tbl_Finance[Defer End],$A58),"")</f>
        <v/>
      </c>
      <c r="J58" s="47">
        <f>IF(OR($H58="",$I58="",$G58=""),"",MAX(1,(YEAR($I58)-YEAR($H58))*12+MONTH($I58)-MONTH($H58)+1))</f>
        <v/>
      </c>
      <c r="K58" s="50">
        <f>IF($J58="","",$G58/$J58)</f>
        <v/>
      </c>
      <c r="L58" s="50">
        <f>IF($J58="",0,$K58*MAX(0,MIN(YEAR($C$3)*12+MONTH($C$3),YEAR($I58)*12+MONTH($I58))-(YEAR($H58)*12+MONTH($H58))+1))</f>
        <v/>
      </c>
      <c r="M58" s="50">
        <f>IF($J58="",0,$K58*MAX(0,MIN(YEAR($C$3)*12+MONTH($C$3)-1,YEAR($I58)*12+MONTH($I58))-(YEAR($H58)*12+MONTH($H58))+1))</f>
        <v/>
      </c>
      <c r="N58" s="50">
        <f>IF(OR($J58="",$B58=""),0,IF(YEAR($B58)*12+MONTH($B58)&lt;=YEAR($C$3)*12+MONTH($C$3),$G58,0))</f>
        <v/>
      </c>
      <c r="O58" s="50">
        <f>IF(OR($J58="",$B58=""),0,IF(YEAR($B58)*12+MONTH($B58)&lt;=YEAR($C$3)*12+MONTH($C$3)-1,$G58,0))</f>
        <v/>
      </c>
      <c r="P58" s="50">
        <f>$M58-$O58</f>
        <v/>
      </c>
      <c r="Q58" s="50">
        <f>($L58-$M58)-($N58-$O58)</f>
        <v/>
      </c>
      <c r="R58" s="50">
        <f>$L58-$N58</f>
        <v/>
      </c>
    </row>
    <row r="59">
      <c r="A59" s="47">
        <f>ROW()-5</f>
        <v/>
      </c>
      <c r="B59" s="48">
        <f>IFERROR(INDEX(tbl_Finance[Date],$A59),"")</f>
        <v/>
      </c>
      <c r="C59" s="49">
        <f>IFERROR(INDEX(tbl_Finance[Xero Invoice No],$A59),"")</f>
        <v/>
      </c>
      <c r="D59" s="49">
        <f>IFERROR(INDEX(tbl_Finance[Client],$A59),"")</f>
        <v/>
      </c>
      <c r="E59" s="49">
        <f>IFERROR(INDEX(tbl_Finance[Job Number],$A59),"")</f>
        <v/>
      </c>
      <c r="F59" s="49">
        <f>IFERROR(INDEX(tbl_Finance[Cost Centre],$A59),"")</f>
        <v/>
      </c>
      <c r="G59" s="50">
        <f>IFERROR(INDEX(tbl_Finance[Ex GST],$A59),"")</f>
        <v/>
      </c>
      <c r="H59" s="48">
        <f>IFERROR(INDEX(tbl_Finance[Defer Start],$A59),"")</f>
        <v/>
      </c>
      <c r="I59" s="48">
        <f>IFERROR(INDEX(tbl_Finance[Defer End],$A59),"")</f>
        <v/>
      </c>
      <c r="J59" s="47">
        <f>IF(OR($H59="",$I59="",$G59=""),"",MAX(1,(YEAR($I59)-YEAR($H59))*12+MONTH($I59)-MONTH($H59)+1))</f>
        <v/>
      </c>
      <c r="K59" s="50">
        <f>IF($J59="","",$G59/$J59)</f>
        <v/>
      </c>
      <c r="L59" s="50">
        <f>IF($J59="",0,$K59*MAX(0,MIN(YEAR($C$3)*12+MONTH($C$3),YEAR($I59)*12+MONTH($I59))-(YEAR($H59)*12+MONTH($H59))+1))</f>
        <v/>
      </c>
      <c r="M59" s="50">
        <f>IF($J59="",0,$K59*MAX(0,MIN(YEAR($C$3)*12+MONTH($C$3)-1,YEAR($I59)*12+MONTH($I59))-(YEAR($H59)*12+MONTH($H59))+1))</f>
        <v/>
      </c>
      <c r="N59" s="50">
        <f>IF(OR($J59="",$B59=""),0,IF(YEAR($B59)*12+MONTH($B59)&lt;=YEAR($C$3)*12+MONTH($C$3),$G59,0))</f>
        <v/>
      </c>
      <c r="O59" s="50">
        <f>IF(OR($J59="",$B59=""),0,IF(YEAR($B59)*12+MONTH($B59)&lt;=YEAR($C$3)*12+MONTH($C$3)-1,$G59,0))</f>
        <v/>
      </c>
      <c r="P59" s="50">
        <f>$M59-$O59</f>
        <v/>
      </c>
      <c r="Q59" s="50">
        <f>($L59-$M59)-($N59-$O59)</f>
        <v/>
      </c>
      <c r="R59" s="50">
        <f>$L59-$N59</f>
        <v/>
      </c>
    </row>
    <row r="60">
      <c r="A60" s="47">
        <f>ROW()-5</f>
        <v/>
      </c>
      <c r="B60" s="48">
        <f>IFERROR(INDEX(tbl_Finance[Date],$A60),"")</f>
        <v/>
      </c>
      <c r="C60" s="49">
        <f>IFERROR(INDEX(tbl_Finance[Xero Invoice No],$A60),"")</f>
        <v/>
      </c>
      <c r="D60" s="49">
        <f>IFERROR(INDEX(tbl_Finance[Client],$A60),"")</f>
        <v/>
      </c>
      <c r="E60" s="49">
        <f>IFERROR(INDEX(tbl_Finance[Job Number],$A60),"")</f>
        <v/>
      </c>
      <c r="F60" s="49">
        <f>IFERROR(INDEX(tbl_Finance[Cost Centre],$A60),"")</f>
        <v/>
      </c>
      <c r="G60" s="50">
        <f>IFERROR(INDEX(tbl_Finance[Ex GST],$A60),"")</f>
        <v/>
      </c>
      <c r="H60" s="48">
        <f>IFERROR(INDEX(tbl_Finance[Defer Start],$A60),"")</f>
        <v/>
      </c>
      <c r="I60" s="48">
        <f>IFERROR(INDEX(tbl_Finance[Defer End],$A60),"")</f>
        <v/>
      </c>
      <c r="J60" s="47">
        <f>IF(OR($H60="",$I60="",$G60=""),"",MAX(1,(YEAR($I60)-YEAR($H60))*12+MONTH($I60)-MONTH($H60)+1))</f>
        <v/>
      </c>
      <c r="K60" s="50">
        <f>IF($J60="","",$G60/$J60)</f>
        <v/>
      </c>
      <c r="L60" s="50">
        <f>IF($J60="",0,$K60*MAX(0,MIN(YEAR($C$3)*12+MONTH($C$3),YEAR($I60)*12+MONTH($I60))-(YEAR($H60)*12+MONTH($H60))+1))</f>
        <v/>
      </c>
      <c r="M60" s="50">
        <f>IF($J60="",0,$K60*MAX(0,MIN(YEAR($C$3)*12+MONTH($C$3)-1,YEAR($I60)*12+MONTH($I60))-(YEAR($H60)*12+MONTH($H60))+1))</f>
        <v/>
      </c>
      <c r="N60" s="50">
        <f>IF(OR($J60="",$B60=""),0,IF(YEAR($B60)*12+MONTH($B60)&lt;=YEAR($C$3)*12+MONTH($C$3),$G60,0))</f>
        <v/>
      </c>
      <c r="O60" s="50">
        <f>IF(OR($J60="",$B60=""),0,IF(YEAR($B60)*12+MONTH($B60)&lt;=YEAR($C$3)*12+MONTH($C$3)-1,$G60,0))</f>
        <v/>
      </c>
      <c r="P60" s="50">
        <f>$M60-$O60</f>
        <v/>
      </c>
      <c r="Q60" s="50">
        <f>($L60-$M60)-($N60-$O60)</f>
        <v/>
      </c>
      <c r="R60" s="50">
        <f>$L60-$N60</f>
        <v/>
      </c>
    </row>
    <row r="61">
      <c r="A61" s="47">
        <f>ROW()-5</f>
        <v/>
      </c>
      <c r="B61" s="48">
        <f>IFERROR(INDEX(tbl_Finance[Date],$A61),"")</f>
        <v/>
      </c>
      <c r="C61" s="49">
        <f>IFERROR(INDEX(tbl_Finance[Xero Invoice No],$A61),"")</f>
        <v/>
      </c>
      <c r="D61" s="49">
        <f>IFERROR(INDEX(tbl_Finance[Client],$A61),"")</f>
        <v/>
      </c>
      <c r="E61" s="49">
        <f>IFERROR(INDEX(tbl_Finance[Job Number],$A61),"")</f>
        <v/>
      </c>
      <c r="F61" s="49">
        <f>IFERROR(INDEX(tbl_Finance[Cost Centre],$A61),"")</f>
        <v/>
      </c>
      <c r="G61" s="50">
        <f>IFERROR(INDEX(tbl_Finance[Ex GST],$A61),"")</f>
        <v/>
      </c>
      <c r="H61" s="48">
        <f>IFERROR(INDEX(tbl_Finance[Defer Start],$A61),"")</f>
        <v/>
      </c>
      <c r="I61" s="48">
        <f>IFERROR(INDEX(tbl_Finance[Defer End],$A61),"")</f>
        <v/>
      </c>
      <c r="J61" s="47">
        <f>IF(OR($H61="",$I61="",$G61=""),"",MAX(1,(YEAR($I61)-YEAR($H61))*12+MONTH($I61)-MONTH($H61)+1))</f>
        <v/>
      </c>
      <c r="K61" s="50">
        <f>IF($J61="","",$G61/$J61)</f>
        <v/>
      </c>
      <c r="L61" s="50">
        <f>IF($J61="",0,$K61*MAX(0,MIN(YEAR($C$3)*12+MONTH($C$3),YEAR($I61)*12+MONTH($I61))-(YEAR($H61)*12+MONTH($H61))+1))</f>
        <v/>
      </c>
      <c r="M61" s="50">
        <f>IF($J61="",0,$K61*MAX(0,MIN(YEAR($C$3)*12+MONTH($C$3)-1,YEAR($I61)*12+MONTH($I61))-(YEAR($H61)*12+MONTH($H61))+1))</f>
        <v/>
      </c>
      <c r="N61" s="50">
        <f>IF(OR($J61="",$B61=""),0,IF(YEAR($B61)*12+MONTH($B61)&lt;=YEAR($C$3)*12+MONTH($C$3),$G61,0))</f>
        <v/>
      </c>
      <c r="O61" s="50">
        <f>IF(OR($J61="",$B61=""),0,IF(YEAR($B61)*12+MONTH($B61)&lt;=YEAR($C$3)*12+MONTH($C$3)-1,$G61,0))</f>
        <v/>
      </c>
      <c r="P61" s="50">
        <f>$M61-$O61</f>
        <v/>
      </c>
      <c r="Q61" s="50">
        <f>($L61-$M61)-($N61-$O61)</f>
        <v/>
      </c>
      <c r="R61" s="50">
        <f>$L61-$N61</f>
        <v/>
      </c>
    </row>
    <row r="62">
      <c r="A62" s="47">
        <f>ROW()-5</f>
        <v/>
      </c>
      <c r="B62" s="48">
        <f>IFERROR(INDEX(tbl_Finance[Date],$A62),"")</f>
        <v/>
      </c>
      <c r="C62" s="49">
        <f>IFERROR(INDEX(tbl_Finance[Xero Invoice No],$A62),"")</f>
        <v/>
      </c>
      <c r="D62" s="49">
        <f>IFERROR(INDEX(tbl_Finance[Client],$A62),"")</f>
        <v/>
      </c>
      <c r="E62" s="49">
        <f>IFERROR(INDEX(tbl_Finance[Job Number],$A62),"")</f>
        <v/>
      </c>
      <c r="F62" s="49">
        <f>IFERROR(INDEX(tbl_Finance[Cost Centre],$A62),"")</f>
        <v/>
      </c>
      <c r="G62" s="50">
        <f>IFERROR(INDEX(tbl_Finance[Ex GST],$A62),"")</f>
        <v/>
      </c>
      <c r="H62" s="48">
        <f>IFERROR(INDEX(tbl_Finance[Defer Start],$A62),"")</f>
        <v/>
      </c>
      <c r="I62" s="48">
        <f>IFERROR(INDEX(tbl_Finance[Defer End],$A62),"")</f>
        <v/>
      </c>
      <c r="J62" s="47">
        <f>IF(OR($H62="",$I62="",$G62=""),"",MAX(1,(YEAR($I62)-YEAR($H62))*12+MONTH($I62)-MONTH($H62)+1))</f>
        <v/>
      </c>
      <c r="K62" s="50">
        <f>IF($J62="","",$G62/$J62)</f>
        <v/>
      </c>
      <c r="L62" s="50">
        <f>IF($J62="",0,$K62*MAX(0,MIN(YEAR($C$3)*12+MONTH($C$3),YEAR($I62)*12+MONTH($I62))-(YEAR($H62)*12+MONTH($H62))+1))</f>
        <v/>
      </c>
      <c r="M62" s="50">
        <f>IF($J62="",0,$K62*MAX(0,MIN(YEAR($C$3)*12+MONTH($C$3)-1,YEAR($I62)*12+MONTH($I62))-(YEAR($H62)*12+MONTH($H62))+1))</f>
        <v/>
      </c>
      <c r="N62" s="50">
        <f>IF(OR($J62="",$B62=""),0,IF(YEAR($B62)*12+MONTH($B62)&lt;=YEAR($C$3)*12+MONTH($C$3),$G62,0))</f>
        <v/>
      </c>
      <c r="O62" s="50">
        <f>IF(OR($J62="",$B62=""),0,IF(YEAR($B62)*12+MONTH($B62)&lt;=YEAR($C$3)*12+MONTH($C$3)-1,$G62,0))</f>
        <v/>
      </c>
      <c r="P62" s="50">
        <f>$M62-$O62</f>
        <v/>
      </c>
      <c r="Q62" s="50">
        <f>($L62-$M62)-($N62-$O62)</f>
        <v/>
      </c>
      <c r="R62" s="50">
        <f>$L62-$N62</f>
        <v/>
      </c>
    </row>
    <row r="63">
      <c r="A63" s="47">
        <f>ROW()-5</f>
        <v/>
      </c>
      <c r="B63" s="48">
        <f>IFERROR(INDEX(tbl_Finance[Date],$A63),"")</f>
        <v/>
      </c>
      <c r="C63" s="49">
        <f>IFERROR(INDEX(tbl_Finance[Xero Invoice No],$A63),"")</f>
        <v/>
      </c>
      <c r="D63" s="49">
        <f>IFERROR(INDEX(tbl_Finance[Client],$A63),"")</f>
        <v/>
      </c>
      <c r="E63" s="49">
        <f>IFERROR(INDEX(tbl_Finance[Job Number],$A63),"")</f>
        <v/>
      </c>
      <c r="F63" s="49">
        <f>IFERROR(INDEX(tbl_Finance[Cost Centre],$A63),"")</f>
        <v/>
      </c>
      <c r="G63" s="50">
        <f>IFERROR(INDEX(tbl_Finance[Ex GST],$A63),"")</f>
        <v/>
      </c>
      <c r="H63" s="48">
        <f>IFERROR(INDEX(tbl_Finance[Defer Start],$A63),"")</f>
        <v/>
      </c>
      <c r="I63" s="48">
        <f>IFERROR(INDEX(tbl_Finance[Defer End],$A63),"")</f>
        <v/>
      </c>
      <c r="J63" s="47">
        <f>IF(OR($H63="",$I63="",$G63=""),"",MAX(1,(YEAR($I63)-YEAR($H63))*12+MONTH($I63)-MONTH($H63)+1))</f>
        <v/>
      </c>
      <c r="K63" s="50">
        <f>IF($J63="","",$G63/$J63)</f>
        <v/>
      </c>
      <c r="L63" s="50">
        <f>IF($J63="",0,$K63*MAX(0,MIN(YEAR($C$3)*12+MONTH($C$3),YEAR($I63)*12+MONTH($I63))-(YEAR($H63)*12+MONTH($H63))+1))</f>
        <v/>
      </c>
      <c r="M63" s="50">
        <f>IF($J63="",0,$K63*MAX(0,MIN(YEAR($C$3)*12+MONTH($C$3)-1,YEAR($I63)*12+MONTH($I63))-(YEAR($H63)*12+MONTH($H63))+1))</f>
        <v/>
      </c>
      <c r="N63" s="50">
        <f>IF(OR($J63="",$B63=""),0,IF(YEAR($B63)*12+MONTH($B63)&lt;=YEAR($C$3)*12+MONTH($C$3),$G63,0))</f>
        <v/>
      </c>
      <c r="O63" s="50">
        <f>IF(OR($J63="",$B63=""),0,IF(YEAR($B63)*12+MONTH($B63)&lt;=YEAR($C$3)*12+MONTH($C$3)-1,$G63,0))</f>
        <v/>
      </c>
      <c r="P63" s="50">
        <f>$M63-$O63</f>
        <v/>
      </c>
      <c r="Q63" s="50">
        <f>($L63-$M63)-($N63-$O63)</f>
        <v/>
      </c>
      <c r="R63" s="50">
        <f>$L63-$N63</f>
        <v/>
      </c>
    </row>
    <row r="64">
      <c r="A64" s="47">
        <f>ROW()-5</f>
        <v/>
      </c>
      <c r="B64" s="48">
        <f>IFERROR(INDEX(tbl_Finance[Date],$A64),"")</f>
        <v/>
      </c>
      <c r="C64" s="49">
        <f>IFERROR(INDEX(tbl_Finance[Xero Invoice No],$A64),"")</f>
        <v/>
      </c>
      <c r="D64" s="49">
        <f>IFERROR(INDEX(tbl_Finance[Client],$A64),"")</f>
        <v/>
      </c>
      <c r="E64" s="49">
        <f>IFERROR(INDEX(tbl_Finance[Job Number],$A64),"")</f>
        <v/>
      </c>
      <c r="F64" s="49">
        <f>IFERROR(INDEX(tbl_Finance[Cost Centre],$A64),"")</f>
        <v/>
      </c>
      <c r="G64" s="50">
        <f>IFERROR(INDEX(tbl_Finance[Ex GST],$A64),"")</f>
        <v/>
      </c>
      <c r="H64" s="48">
        <f>IFERROR(INDEX(tbl_Finance[Defer Start],$A64),"")</f>
        <v/>
      </c>
      <c r="I64" s="48">
        <f>IFERROR(INDEX(tbl_Finance[Defer End],$A64),"")</f>
        <v/>
      </c>
      <c r="J64" s="47">
        <f>IF(OR($H64="",$I64="",$G64=""),"",MAX(1,(YEAR($I64)-YEAR($H64))*12+MONTH($I64)-MONTH($H64)+1))</f>
        <v/>
      </c>
      <c r="K64" s="50">
        <f>IF($J64="","",$G64/$J64)</f>
        <v/>
      </c>
      <c r="L64" s="50">
        <f>IF($J64="",0,$K64*MAX(0,MIN(YEAR($C$3)*12+MONTH($C$3),YEAR($I64)*12+MONTH($I64))-(YEAR($H64)*12+MONTH($H64))+1))</f>
        <v/>
      </c>
      <c r="M64" s="50">
        <f>IF($J64="",0,$K64*MAX(0,MIN(YEAR($C$3)*12+MONTH($C$3)-1,YEAR($I64)*12+MONTH($I64))-(YEAR($H64)*12+MONTH($H64))+1))</f>
        <v/>
      </c>
      <c r="N64" s="50">
        <f>IF(OR($J64="",$B64=""),0,IF(YEAR($B64)*12+MONTH($B64)&lt;=YEAR($C$3)*12+MONTH($C$3),$G64,0))</f>
        <v/>
      </c>
      <c r="O64" s="50">
        <f>IF(OR($J64="",$B64=""),0,IF(YEAR($B64)*12+MONTH($B64)&lt;=YEAR($C$3)*12+MONTH($C$3)-1,$G64,0))</f>
        <v/>
      </c>
      <c r="P64" s="50">
        <f>$M64-$O64</f>
        <v/>
      </c>
      <c r="Q64" s="50">
        <f>($L64-$M64)-($N64-$O64)</f>
        <v/>
      </c>
      <c r="R64" s="50">
        <f>$L64-$N64</f>
        <v/>
      </c>
    </row>
    <row r="65">
      <c r="A65" s="47">
        <f>ROW()-5</f>
        <v/>
      </c>
      <c r="B65" s="48">
        <f>IFERROR(INDEX(tbl_Finance[Date],$A65),"")</f>
        <v/>
      </c>
      <c r="C65" s="49">
        <f>IFERROR(INDEX(tbl_Finance[Xero Invoice No],$A65),"")</f>
        <v/>
      </c>
      <c r="D65" s="49">
        <f>IFERROR(INDEX(tbl_Finance[Client],$A65),"")</f>
        <v/>
      </c>
      <c r="E65" s="49">
        <f>IFERROR(INDEX(tbl_Finance[Job Number],$A65),"")</f>
        <v/>
      </c>
      <c r="F65" s="49">
        <f>IFERROR(INDEX(tbl_Finance[Cost Centre],$A65),"")</f>
        <v/>
      </c>
      <c r="G65" s="50">
        <f>IFERROR(INDEX(tbl_Finance[Ex GST],$A65),"")</f>
        <v/>
      </c>
      <c r="H65" s="48">
        <f>IFERROR(INDEX(tbl_Finance[Defer Start],$A65),"")</f>
        <v/>
      </c>
      <c r="I65" s="48">
        <f>IFERROR(INDEX(tbl_Finance[Defer End],$A65),"")</f>
        <v/>
      </c>
      <c r="J65" s="47">
        <f>IF(OR($H65="",$I65="",$G65=""),"",MAX(1,(YEAR($I65)-YEAR($H65))*12+MONTH($I65)-MONTH($H65)+1))</f>
        <v/>
      </c>
      <c r="K65" s="50">
        <f>IF($J65="","",$G65/$J65)</f>
        <v/>
      </c>
      <c r="L65" s="50">
        <f>IF($J65="",0,$K65*MAX(0,MIN(YEAR($C$3)*12+MONTH($C$3),YEAR($I65)*12+MONTH($I65))-(YEAR($H65)*12+MONTH($H65))+1))</f>
        <v/>
      </c>
      <c r="M65" s="50">
        <f>IF($J65="",0,$K65*MAX(0,MIN(YEAR($C$3)*12+MONTH($C$3)-1,YEAR($I65)*12+MONTH($I65))-(YEAR($H65)*12+MONTH($H65))+1))</f>
        <v/>
      </c>
      <c r="N65" s="50">
        <f>IF(OR($J65="",$B65=""),0,IF(YEAR($B65)*12+MONTH($B65)&lt;=YEAR($C$3)*12+MONTH($C$3),$G65,0))</f>
        <v/>
      </c>
      <c r="O65" s="50">
        <f>IF(OR($J65="",$B65=""),0,IF(YEAR($B65)*12+MONTH($B65)&lt;=YEAR($C$3)*12+MONTH($C$3)-1,$G65,0))</f>
        <v/>
      </c>
      <c r="P65" s="50">
        <f>$M65-$O65</f>
        <v/>
      </c>
      <c r="Q65" s="50">
        <f>($L65-$M65)-($N65-$O65)</f>
        <v/>
      </c>
      <c r="R65" s="50">
        <f>$L65-$N65</f>
        <v/>
      </c>
    </row>
    <row r="66">
      <c r="A66" s="47">
        <f>ROW()-5</f>
        <v/>
      </c>
      <c r="B66" s="48">
        <f>IFERROR(INDEX(tbl_Finance[Date],$A66),"")</f>
        <v/>
      </c>
      <c r="C66" s="49">
        <f>IFERROR(INDEX(tbl_Finance[Xero Invoice No],$A66),"")</f>
        <v/>
      </c>
      <c r="D66" s="49">
        <f>IFERROR(INDEX(tbl_Finance[Client],$A66),"")</f>
        <v/>
      </c>
      <c r="E66" s="49">
        <f>IFERROR(INDEX(tbl_Finance[Job Number],$A66),"")</f>
        <v/>
      </c>
      <c r="F66" s="49">
        <f>IFERROR(INDEX(tbl_Finance[Cost Centre],$A66),"")</f>
        <v/>
      </c>
      <c r="G66" s="50">
        <f>IFERROR(INDEX(tbl_Finance[Ex GST],$A66),"")</f>
        <v/>
      </c>
      <c r="H66" s="48">
        <f>IFERROR(INDEX(tbl_Finance[Defer Start],$A66),"")</f>
        <v/>
      </c>
      <c r="I66" s="48">
        <f>IFERROR(INDEX(tbl_Finance[Defer End],$A66),"")</f>
        <v/>
      </c>
      <c r="J66" s="47">
        <f>IF(OR($H66="",$I66="",$G66=""),"",MAX(1,(YEAR($I66)-YEAR($H66))*12+MONTH($I66)-MONTH($H66)+1))</f>
        <v/>
      </c>
      <c r="K66" s="50">
        <f>IF($J66="","",$G66/$J66)</f>
        <v/>
      </c>
      <c r="L66" s="50">
        <f>IF($J66="",0,$K66*MAX(0,MIN(YEAR($C$3)*12+MONTH($C$3),YEAR($I66)*12+MONTH($I66))-(YEAR($H66)*12+MONTH($H66))+1))</f>
        <v/>
      </c>
      <c r="M66" s="50">
        <f>IF($J66="",0,$K66*MAX(0,MIN(YEAR($C$3)*12+MONTH($C$3)-1,YEAR($I66)*12+MONTH($I66))-(YEAR($H66)*12+MONTH($H66))+1))</f>
        <v/>
      </c>
      <c r="N66" s="50">
        <f>IF(OR($J66="",$B66=""),0,IF(YEAR($B66)*12+MONTH($B66)&lt;=YEAR($C$3)*12+MONTH($C$3),$G66,0))</f>
        <v/>
      </c>
      <c r="O66" s="50">
        <f>IF(OR($J66="",$B66=""),0,IF(YEAR($B66)*12+MONTH($B66)&lt;=YEAR($C$3)*12+MONTH($C$3)-1,$G66,0))</f>
        <v/>
      </c>
      <c r="P66" s="50">
        <f>$M66-$O66</f>
        <v/>
      </c>
      <c r="Q66" s="50">
        <f>($L66-$M66)-($N66-$O66)</f>
        <v/>
      </c>
      <c r="R66" s="50">
        <f>$L66-$N66</f>
        <v/>
      </c>
    </row>
    <row r="67">
      <c r="A67" s="47">
        <f>ROW()-5</f>
        <v/>
      </c>
      <c r="B67" s="48">
        <f>IFERROR(INDEX(tbl_Finance[Date],$A67),"")</f>
        <v/>
      </c>
      <c r="C67" s="49">
        <f>IFERROR(INDEX(tbl_Finance[Xero Invoice No],$A67),"")</f>
        <v/>
      </c>
      <c r="D67" s="49">
        <f>IFERROR(INDEX(tbl_Finance[Client],$A67),"")</f>
        <v/>
      </c>
      <c r="E67" s="49">
        <f>IFERROR(INDEX(tbl_Finance[Job Number],$A67),"")</f>
        <v/>
      </c>
      <c r="F67" s="49">
        <f>IFERROR(INDEX(tbl_Finance[Cost Centre],$A67),"")</f>
        <v/>
      </c>
      <c r="G67" s="50">
        <f>IFERROR(INDEX(tbl_Finance[Ex GST],$A67),"")</f>
        <v/>
      </c>
      <c r="H67" s="48">
        <f>IFERROR(INDEX(tbl_Finance[Defer Start],$A67),"")</f>
        <v/>
      </c>
      <c r="I67" s="48">
        <f>IFERROR(INDEX(tbl_Finance[Defer End],$A67),"")</f>
        <v/>
      </c>
      <c r="J67" s="47">
        <f>IF(OR($H67="",$I67="",$G67=""),"",MAX(1,(YEAR($I67)-YEAR($H67))*12+MONTH($I67)-MONTH($H67)+1))</f>
        <v/>
      </c>
      <c r="K67" s="50">
        <f>IF($J67="","",$G67/$J67)</f>
        <v/>
      </c>
      <c r="L67" s="50">
        <f>IF($J67="",0,$K67*MAX(0,MIN(YEAR($C$3)*12+MONTH($C$3),YEAR($I67)*12+MONTH($I67))-(YEAR($H67)*12+MONTH($H67))+1))</f>
        <v/>
      </c>
      <c r="M67" s="50">
        <f>IF($J67="",0,$K67*MAX(0,MIN(YEAR($C$3)*12+MONTH($C$3)-1,YEAR($I67)*12+MONTH($I67))-(YEAR($H67)*12+MONTH($H67))+1))</f>
        <v/>
      </c>
      <c r="N67" s="50">
        <f>IF(OR($J67="",$B67=""),0,IF(YEAR($B67)*12+MONTH($B67)&lt;=YEAR($C$3)*12+MONTH($C$3),$G67,0))</f>
        <v/>
      </c>
      <c r="O67" s="50">
        <f>IF(OR($J67="",$B67=""),0,IF(YEAR($B67)*12+MONTH($B67)&lt;=YEAR($C$3)*12+MONTH($C$3)-1,$G67,0))</f>
        <v/>
      </c>
      <c r="P67" s="50">
        <f>$M67-$O67</f>
        <v/>
      </c>
      <c r="Q67" s="50">
        <f>($L67-$M67)-($N67-$O67)</f>
        <v/>
      </c>
      <c r="R67" s="50">
        <f>$L67-$N67</f>
        <v/>
      </c>
    </row>
    <row r="68">
      <c r="A68" s="47">
        <f>ROW()-5</f>
        <v/>
      </c>
      <c r="B68" s="48">
        <f>IFERROR(INDEX(tbl_Finance[Date],$A68),"")</f>
        <v/>
      </c>
      <c r="C68" s="49">
        <f>IFERROR(INDEX(tbl_Finance[Xero Invoice No],$A68),"")</f>
        <v/>
      </c>
      <c r="D68" s="49">
        <f>IFERROR(INDEX(tbl_Finance[Client],$A68),"")</f>
        <v/>
      </c>
      <c r="E68" s="49">
        <f>IFERROR(INDEX(tbl_Finance[Job Number],$A68),"")</f>
        <v/>
      </c>
      <c r="F68" s="49">
        <f>IFERROR(INDEX(tbl_Finance[Cost Centre],$A68),"")</f>
        <v/>
      </c>
      <c r="G68" s="50">
        <f>IFERROR(INDEX(tbl_Finance[Ex GST],$A68),"")</f>
        <v/>
      </c>
      <c r="H68" s="48">
        <f>IFERROR(INDEX(tbl_Finance[Defer Start],$A68),"")</f>
        <v/>
      </c>
      <c r="I68" s="48">
        <f>IFERROR(INDEX(tbl_Finance[Defer End],$A68),"")</f>
        <v/>
      </c>
      <c r="J68" s="47">
        <f>IF(OR($H68="",$I68="",$G68=""),"",MAX(1,(YEAR($I68)-YEAR($H68))*12+MONTH($I68)-MONTH($H68)+1))</f>
        <v/>
      </c>
      <c r="K68" s="50">
        <f>IF($J68="","",$G68/$J68)</f>
        <v/>
      </c>
      <c r="L68" s="50">
        <f>IF($J68="",0,$K68*MAX(0,MIN(YEAR($C$3)*12+MONTH($C$3),YEAR($I68)*12+MONTH($I68))-(YEAR($H68)*12+MONTH($H68))+1))</f>
        <v/>
      </c>
      <c r="M68" s="50">
        <f>IF($J68="",0,$K68*MAX(0,MIN(YEAR($C$3)*12+MONTH($C$3)-1,YEAR($I68)*12+MONTH($I68))-(YEAR($H68)*12+MONTH($H68))+1))</f>
        <v/>
      </c>
      <c r="N68" s="50">
        <f>IF(OR($J68="",$B68=""),0,IF(YEAR($B68)*12+MONTH($B68)&lt;=YEAR($C$3)*12+MONTH($C$3),$G68,0))</f>
        <v/>
      </c>
      <c r="O68" s="50">
        <f>IF(OR($J68="",$B68=""),0,IF(YEAR($B68)*12+MONTH($B68)&lt;=YEAR($C$3)*12+MONTH($C$3)-1,$G68,0))</f>
        <v/>
      </c>
      <c r="P68" s="50">
        <f>$M68-$O68</f>
        <v/>
      </c>
      <c r="Q68" s="50">
        <f>($L68-$M68)-($N68-$O68)</f>
        <v/>
      </c>
      <c r="R68" s="50">
        <f>$L68-$N68</f>
        <v/>
      </c>
    </row>
    <row r="69">
      <c r="A69" s="47">
        <f>ROW()-5</f>
        <v/>
      </c>
      <c r="B69" s="48">
        <f>IFERROR(INDEX(tbl_Finance[Date],$A69),"")</f>
        <v/>
      </c>
      <c r="C69" s="49">
        <f>IFERROR(INDEX(tbl_Finance[Xero Invoice No],$A69),"")</f>
        <v/>
      </c>
      <c r="D69" s="49">
        <f>IFERROR(INDEX(tbl_Finance[Client],$A69),"")</f>
        <v/>
      </c>
      <c r="E69" s="49">
        <f>IFERROR(INDEX(tbl_Finance[Job Number],$A69),"")</f>
        <v/>
      </c>
      <c r="F69" s="49">
        <f>IFERROR(INDEX(tbl_Finance[Cost Centre],$A69),"")</f>
        <v/>
      </c>
      <c r="G69" s="50">
        <f>IFERROR(INDEX(tbl_Finance[Ex GST],$A69),"")</f>
        <v/>
      </c>
      <c r="H69" s="48">
        <f>IFERROR(INDEX(tbl_Finance[Defer Start],$A69),"")</f>
        <v/>
      </c>
      <c r="I69" s="48">
        <f>IFERROR(INDEX(tbl_Finance[Defer End],$A69),"")</f>
        <v/>
      </c>
      <c r="J69" s="47">
        <f>IF(OR($H69="",$I69="",$G69=""),"",MAX(1,(YEAR($I69)-YEAR($H69))*12+MONTH($I69)-MONTH($H69)+1))</f>
        <v/>
      </c>
      <c r="K69" s="50">
        <f>IF($J69="","",$G69/$J69)</f>
        <v/>
      </c>
      <c r="L69" s="50">
        <f>IF($J69="",0,$K69*MAX(0,MIN(YEAR($C$3)*12+MONTH($C$3),YEAR($I69)*12+MONTH($I69))-(YEAR($H69)*12+MONTH($H69))+1))</f>
        <v/>
      </c>
      <c r="M69" s="50">
        <f>IF($J69="",0,$K69*MAX(0,MIN(YEAR($C$3)*12+MONTH($C$3)-1,YEAR($I69)*12+MONTH($I69))-(YEAR($H69)*12+MONTH($H69))+1))</f>
        <v/>
      </c>
      <c r="N69" s="50">
        <f>IF(OR($J69="",$B69=""),0,IF(YEAR($B69)*12+MONTH($B69)&lt;=YEAR($C$3)*12+MONTH($C$3),$G69,0))</f>
        <v/>
      </c>
      <c r="O69" s="50">
        <f>IF(OR($J69="",$B69=""),0,IF(YEAR($B69)*12+MONTH($B69)&lt;=YEAR($C$3)*12+MONTH($C$3)-1,$G69,0))</f>
        <v/>
      </c>
      <c r="P69" s="50">
        <f>$M69-$O69</f>
        <v/>
      </c>
      <c r="Q69" s="50">
        <f>($L69-$M69)-($N69-$O69)</f>
        <v/>
      </c>
      <c r="R69" s="50">
        <f>$L69-$N69</f>
        <v/>
      </c>
    </row>
    <row r="70">
      <c r="A70" s="47">
        <f>ROW()-5</f>
        <v/>
      </c>
      <c r="B70" s="48">
        <f>IFERROR(INDEX(tbl_Finance[Date],$A70),"")</f>
        <v/>
      </c>
      <c r="C70" s="49">
        <f>IFERROR(INDEX(tbl_Finance[Xero Invoice No],$A70),"")</f>
        <v/>
      </c>
      <c r="D70" s="49">
        <f>IFERROR(INDEX(tbl_Finance[Client],$A70),"")</f>
        <v/>
      </c>
      <c r="E70" s="49">
        <f>IFERROR(INDEX(tbl_Finance[Job Number],$A70),"")</f>
        <v/>
      </c>
      <c r="F70" s="49">
        <f>IFERROR(INDEX(tbl_Finance[Cost Centre],$A70),"")</f>
        <v/>
      </c>
      <c r="G70" s="50">
        <f>IFERROR(INDEX(tbl_Finance[Ex GST],$A70),"")</f>
        <v/>
      </c>
      <c r="H70" s="48">
        <f>IFERROR(INDEX(tbl_Finance[Defer Start],$A70),"")</f>
        <v/>
      </c>
      <c r="I70" s="48">
        <f>IFERROR(INDEX(tbl_Finance[Defer End],$A70),"")</f>
        <v/>
      </c>
      <c r="J70" s="47">
        <f>IF(OR($H70="",$I70="",$G70=""),"",MAX(1,(YEAR($I70)-YEAR($H70))*12+MONTH($I70)-MONTH($H70)+1))</f>
        <v/>
      </c>
      <c r="K70" s="50">
        <f>IF($J70="","",$G70/$J70)</f>
        <v/>
      </c>
      <c r="L70" s="50">
        <f>IF($J70="",0,$K70*MAX(0,MIN(YEAR($C$3)*12+MONTH($C$3),YEAR($I70)*12+MONTH($I70))-(YEAR($H70)*12+MONTH($H70))+1))</f>
        <v/>
      </c>
      <c r="M70" s="50">
        <f>IF($J70="",0,$K70*MAX(0,MIN(YEAR($C$3)*12+MONTH($C$3)-1,YEAR($I70)*12+MONTH($I70))-(YEAR($H70)*12+MONTH($H70))+1))</f>
        <v/>
      </c>
      <c r="N70" s="50">
        <f>IF(OR($J70="",$B70=""),0,IF(YEAR($B70)*12+MONTH($B70)&lt;=YEAR($C$3)*12+MONTH($C$3),$G70,0))</f>
        <v/>
      </c>
      <c r="O70" s="50">
        <f>IF(OR($J70="",$B70=""),0,IF(YEAR($B70)*12+MONTH($B70)&lt;=YEAR($C$3)*12+MONTH($C$3)-1,$G70,0))</f>
        <v/>
      </c>
      <c r="P70" s="50">
        <f>$M70-$O70</f>
        <v/>
      </c>
      <c r="Q70" s="50">
        <f>($L70-$M70)-($N70-$O70)</f>
        <v/>
      </c>
      <c r="R70" s="50">
        <f>$L70-$N70</f>
        <v/>
      </c>
    </row>
    <row r="71">
      <c r="A71" s="47">
        <f>ROW()-5</f>
        <v/>
      </c>
      <c r="B71" s="48">
        <f>IFERROR(INDEX(tbl_Finance[Date],$A71),"")</f>
        <v/>
      </c>
      <c r="C71" s="49">
        <f>IFERROR(INDEX(tbl_Finance[Xero Invoice No],$A71),"")</f>
        <v/>
      </c>
      <c r="D71" s="49">
        <f>IFERROR(INDEX(tbl_Finance[Client],$A71),"")</f>
        <v/>
      </c>
      <c r="E71" s="49">
        <f>IFERROR(INDEX(tbl_Finance[Job Number],$A71),"")</f>
        <v/>
      </c>
      <c r="F71" s="49">
        <f>IFERROR(INDEX(tbl_Finance[Cost Centre],$A71),"")</f>
        <v/>
      </c>
      <c r="G71" s="50">
        <f>IFERROR(INDEX(tbl_Finance[Ex GST],$A71),"")</f>
        <v/>
      </c>
      <c r="H71" s="48">
        <f>IFERROR(INDEX(tbl_Finance[Defer Start],$A71),"")</f>
        <v/>
      </c>
      <c r="I71" s="48">
        <f>IFERROR(INDEX(tbl_Finance[Defer End],$A71),"")</f>
        <v/>
      </c>
      <c r="J71" s="47">
        <f>IF(OR($H71="",$I71="",$G71=""),"",MAX(1,(YEAR($I71)-YEAR($H71))*12+MONTH($I71)-MONTH($H71)+1))</f>
        <v/>
      </c>
      <c r="K71" s="50">
        <f>IF($J71="","",$G71/$J71)</f>
        <v/>
      </c>
      <c r="L71" s="50">
        <f>IF($J71="",0,$K71*MAX(0,MIN(YEAR($C$3)*12+MONTH($C$3),YEAR($I71)*12+MONTH($I71))-(YEAR($H71)*12+MONTH($H71))+1))</f>
        <v/>
      </c>
      <c r="M71" s="50">
        <f>IF($J71="",0,$K71*MAX(0,MIN(YEAR($C$3)*12+MONTH($C$3)-1,YEAR($I71)*12+MONTH($I71))-(YEAR($H71)*12+MONTH($H71))+1))</f>
        <v/>
      </c>
      <c r="N71" s="50">
        <f>IF(OR($J71="",$B71=""),0,IF(YEAR($B71)*12+MONTH($B71)&lt;=YEAR($C$3)*12+MONTH($C$3),$G71,0))</f>
        <v/>
      </c>
      <c r="O71" s="50">
        <f>IF(OR($J71="",$B71=""),0,IF(YEAR($B71)*12+MONTH($B71)&lt;=YEAR($C$3)*12+MONTH($C$3)-1,$G71,0))</f>
        <v/>
      </c>
      <c r="P71" s="50">
        <f>$M71-$O71</f>
        <v/>
      </c>
      <c r="Q71" s="50">
        <f>($L71-$M71)-($N71-$O71)</f>
        <v/>
      </c>
      <c r="R71" s="50">
        <f>$L71-$N71</f>
        <v/>
      </c>
    </row>
    <row r="72">
      <c r="A72" s="47">
        <f>ROW()-5</f>
        <v/>
      </c>
      <c r="B72" s="48">
        <f>IFERROR(INDEX(tbl_Finance[Date],$A72),"")</f>
        <v/>
      </c>
      <c r="C72" s="49">
        <f>IFERROR(INDEX(tbl_Finance[Xero Invoice No],$A72),"")</f>
        <v/>
      </c>
      <c r="D72" s="49">
        <f>IFERROR(INDEX(tbl_Finance[Client],$A72),"")</f>
        <v/>
      </c>
      <c r="E72" s="49">
        <f>IFERROR(INDEX(tbl_Finance[Job Number],$A72),"")</f>
        <v/>
      </c>
      <c r="F72" s="49">
        <f>IFERROR(INDEX(tbl_Finance[Cost Centre],$A72),"")</f>
        <v/>
      </c>
      <c r="G72" s="50">
        <f>IFERROR(INDEX(tbl_Finance[Ex GST],$A72),"")</f>
        <v/>
      </c>
      <c r="H72" s="48">
        <f>IFERROR(INDEX(tbl_Finance[Defer Start],$A72),"")</f>
        <v/>
      </c>
      <c r="I72" s="48">
        <f>IFERROR(INDEX(tbl_Finance[Defer End],$A72),"")</f>
        <v/>
      </c>
      <c r="J72" s="47">
        <f>IF(OR($H72="",$I72="",$G72=""),"",MAX(1,(YEAR($I72)-YEAR($H72))*12+MONTH($I72)-MONTH($H72)+1))</f>
        <v/>
      </c>
      <c r="K72" s="50">
        <f>IF($J72="","",$G72/$J72)</f>
        <v/>
      </c>
      <c r="L72" s="50">
        <f>IF($J72="",0,$K72*MAX(0,MIN(YEAR($C$3)*12+MONTH($C$3),YEAR($I72)*12+MONTH($I72))-(YEAR($H72)*12+MONTH($H72))+1))</f>
        <v/>
      </c>
      <c r="M72" s="50">
        <f>IF($J72="",0,$K72*MAX(0,MIN(YEAR($C$3)*12+MONTH($C$3)-1,YEAR($I72)*12+MONTH($I72))-(YEAR($H72)*12+MONTH($H72))+1))</f>
        <v/>
      </c>
      <c r="N72" s="50">
        <f>IF(OR($J72="",$B72=""),0,IF(YEAR($B72)*12+MONTH($B72)&lt;=YEAR($C$3)*12+MONTH($C$3),$G72,0))</f>
        <v/>
      </c>
      <c r="O72" s="50">
        <f>IF(OR($J72="",$B72=""),0,IF(YEAR($B72)*12+MONTH($B72)&lt;=YEAR($C$3)*12+MONTH($C$3)-1,$G72,0))</f>
        <v/>
      </c>
      <c r="P72" s="50">
        <f>$M72-$O72</f>
        <v/>
      </c>
      <c r="Q72" s="50">
        <f>($L72-$M72)-($N72-$O72)</f>
        <v/>
      </c>
      <c r="R72" s="50">
        <f>$L72-$N72</f>
        <v/>
      </c>
    </row>
    <row r="73">
      <c r="A73" s="47">
        <f>ROW()-5</f>
        <v/>
      </c>
      <c r="B73" s="48">
        <f>IFERROR(INDEX(tbl_Finance[Date],$A73),"")</f>
        <v/>
      </c>
      <c r="C73" s="49">
        <f>IFERROR(INDEX(tbl_Finance[Xero Invoice No],$A73),"")</f>
        <v/>
      </c>
      <c r="D73" s="49">
        <f>IFERROR(INDEX(tbl_Finance[Client],$A73),"")</f>
        <v/>
      </c>
      <c r="E73" s="49">
        <f>IFERROR(INDEX(tbl_Finance[Job Number],$A73),"")</f>
        <v/>
      </c>
      <c r="F73" s="49">
        <f>IFERROR(INDEX(tbl_Finance[Cost Centre],$A73),"")</f>
        <v/>
      </c>
      <c r="G73" s="50">
        <f>IFERROR(INDEX(tbl_Finance[Ex GST],$A73),"")</f>
        <v/>
      </c>
      <c r="H73" s="48">
        <f>IFERROR(INDEX(tbl_Finance[Defer Start],$A73),"")</f>
        <v/>
      </c>
      <c r="I73" s="48">
        <f>IFERROR(INDEX(tbl_Finance[Defer End],$A73),"")</f>
        <v/>
      </c>
      <c r="J73" s="47">
        <f>IF(OR($H73="",$I73="",$G73=""),"",MAX(1,(YEAR($I73)-YEAR($H73))*12+MONTH($I73)-MONTH($H73)+1))</f>
        <v/>
      </c>
      <c r="K73" s="50">
        <f>IF($J73="","",$G73/$J73)</f>
        <v/>
      </c>
      <c r="L73" s="50">
        <f>IF($J73="",0,$K73*MAX(0,MIN(YEAR($C$3)*12+MONTH($C$3),YEAR($I73)*12+MONTH($I73))-(YEAR($H73)*12+MONTH($H73))+1))</f>
        <v/>
      </c>
      <c r="M73" s="50">
        <f>IF($J73="",0,$K73*MAX(0,MIN(YEAR($C$3)*12+MONTH($C$3)-1,YEAR($I73)*12+MONTH($I73))-(YEAR($H73)*12+MONTH($H73))+1))</f>
        <v/>
      </c>
      <c r="N73" s="50">
        <f>IF(OR($J73="",$B73=""),0,IF(YEAR($B73)*12+MONTH($B73)&lt;=YEAR($C$3)*12+MONTH($C$3),$G73,0))</f>
        <v/>
      </c>
      <c r="O73" s="50">
        <f>IF(OR($J73="",$B73=""),0,IF(YEAR($B73)*12+MONTH($B73)&lt;=YEAR($C$3)*12+MONTH($C$3)-1,$G73,0))</f>
        <v/>
      </c>
      <c r="P73" s="50">
        <f>$M73-$O73</f>
        <v/>
      </c>
      <c r="Q73" s="50">
        <f>($L73-$M73)-($N73-$O73)</f>
        <v/>
      </c>
      <c r="R73" s="50">
        <f>$L73-$N73</f>
        <v/>
      </c>
    </row>
    <row r="74">
      <c r="A74" s="47">
        <f>ROW()-5</f>
        <v/>
      </c>
      <c r="B74" s="48">
        <f>IFERROR(INDEX(tbl_Finance[Date],$A74),"")</f>
        <v/>
      </c>
      <c r="C74" s="49">
        <f>IFERROR(INDEX(tbl_Finance[Xero Invoice No],$A74),"")</f>
        <v/>
      </c>
      <c r="D74" s="49">
        <f>IFERROR(INDEX(tbl_Finance[Client],$A74),"")</f>
        <v/>
      </c>
      <c r="E74" s="49">
        <f>IFERROR(INDEX(tbl_Finance[Job Number],$A74),"")</f>
        <v/>
      </c>
      <c r="F74" s="49">
        <f>IFERROR(INDEX(tbl_Finance[Cost Centre],$A74),"")</f>
        <v/>
      </c>
      <c r="G74" s="50">
        <f>IFERROR(INDEX(tbl_Finance[Ex GST],$A74),"")</f>
        <v/>
      </c>
      <c r="H74" s="48">
        <f>IFERROR(INDEX(tbl_Finance[Defer Start],$A74),"")</f>
        <v/>
      </c>
      <c r="I74" s="48">
        <f>IFERROR(INDEX(tbl_Finance[Defer End],$A74),"")</f>
        <v/>
      </c>
      <c r="J74" s="47">
        <f>IF(OR($H74="",$I74="",$G74=""),"",MAX(1,(YEAR($I74)-YEAR($H74))*12+MONTH($I74)-MONTH($H74)+1))</f>
        <v/>
      </c>
      <c r="K74" s="50">
        <f>IF($J74="","",$G74/$J74)</f>
        <v/>
      </c>
      <c r="L74" s="50">
        <f>IF($J74="",0,$K74*MAX(0,MIN(YEAR($C$3)*12+MONTH($C$3),YEAR($I74)*12+MONTH($I74))-(YEAR($H74)*12+MONTH($H74))+1))</f>
        <v/>
      </c>
      <c r="M74" s="50">
        <f>IF($J74="",0,$K74*MAX(0,MIN(YEAR($C$3)*12+MONTH($C$3)-1,YEAR($I74)*12+MONTH($I74))-(YEAR($H74)*12+MONTH($H74))+1))</f>
        <v/>
      </c>
      <c r="N74" s="50">
        <f>IF(OR($J74="",$B74=""),0,IF(YEAR($B74)*12+MONTH($B74)&lt;=YEAR($C$3)*12+MONTH($C$3),$G74,0))</f>
        <v/>
      </c>
      <c r="O74" s="50">
        <f>IF(OR($J74="",$B74=""),0,IF(YEAR($B74)*12+MONTH($B74)&lt;=YEAR($C$3)*12+MONTH($C$3)-1,$G74,0))</f>
        <v/>
      </c>
      <c r="P74" s="50">
        <f>$M74-$O74</f>
        <v/>
      </c>
      <c r="Q74" s="50">
        <f>($L74-$M74)-($N74-$O74)</f>
        <v/>
      </c>
      <c r="R74" s="50">
        <f>$L74-$N74</f>
        <v/>
      </c>
    </row>
    <row r="75">
      <c r="A75" s="47">
        <f>ROW()-5</f>
        <v/>
      </c>
      <c r="B75" s="48">
        <f>IFERROR(INDEX(tbl_Finance[Date],$A75),"")</f>
        <v/>
      </c>
      <c r="C75" s="49">
        <f>IFERROR(INDEX(tbl_Finance[Xero Invoice No],$A75),"")</f>
        <v/>
      </c>
      <c r="D75" s="49">
        <f>IFERROR(INDEX(tbl_Finance[Client],$A75),"")</f>
        <v/>
      </c>
      <c r="E75" s="49">
        <f>IFERROR(INDEX(tbl_Finance[Job Number],$A75),"")</f>
        <v/>
      </c>
      <c r="F75" s="49">
        <f>IFERROR(INDEX(tbl_Finance[Cost Centre],$A75),"")</f>
        <v/>
      </c>
      <c r="G75" s="50">
        <f>IFERROR(INDEX(tbl_Finance[Ex GST],$A75),"")</f>
        <v/>
      </c>
      <c r="H75" s="48">
        <f>IFERROR(INDEX(tbl_Finance[Defer Start],$A75),"")</f>
        <v/>
      </c>
      <c r="I75" s="48">
        <f>IFERROR(INDEX(tbl_Finance[Defer End],$A75),"")</f>
        <v/>
      </c>
      <c r="J75" s="47">
        <f>IF(OR($H75="",$I75="",$G75=""),"",MAX(1,(YEAR($I75)-YEAR($H75))*12+MONTH($I75)-MONTH($H75)+1))</f>
        <v/>
      </c>
      <c r="K75" s="50">
        <f>IF($J75="","",$G75/$J75)</f>
        <v/>
      </c>
      <c r="L75" s="50">
        <f>IF($J75="",0,$K75*MAX(0,MIN(YEAR($C$3)*12+MONTH($C$3),YEAR($I75)*12+MONTH($I75))-(YEAR($H75)*12+MONTH($H75))+1))</f>
        <v/>
      </c>
      <c r="M75" s="50">
        <f>IF($J75="",0,$K75*MAX(0,MIN(YEAR($C$3)*12+MONTH($C$3)-1,YEAR($I75)*12+MONTH($I75))-(YEAR($H75)*12+MONTH($H75))+1))</f>
        <v/>
      </c>
      <c r="N75" s="50">
        <f>IF(OR($J75="",$B75=""),0,IF(YEAR($B75)*12+MONTH($B75)&lt;=YEAR($C$3)*12+MONTH($C$3),$G75,0))</f>
        <v/>
      </c>
      <c r="O75" s="50">
        <f>IF(OR($J75="",$B75=""),0,IF(YEAR($B75)*12+MONTH($B75)&lt;=YEAR($C$3)*12+MONTH($C$3)-1,$G75,0))</f>
        <v/>
      </c>
      <c r="P75" s="50">
        <f>$M75-$O75</f>
        <v/>
      </c>
      <c r="Q75" s="50">
        <f>($L75-$M75)-($N75-$O75)</f>
        <v/>
      </c>
      <c r="R75" s="50">
        <f>$L75-$N75</f>
        <v/>
      </c>
    </row>
    <row r="76">
      <c r="A76" s="47">
        <f>ROW()-5</f>
        <v/>
      </c>
      <c r="B76" s="48">
        <f>IFERROR(INDEX(tbl_Finance[Date],$A76),"")</f>
        <v/>
      </c>
      <c r="C76" s="49">
        <f>IFERROR(INDEX(tbl_Finance[Xero Invoice No],$A76),"")</f>
        <v/>
      </c>
      <c r="D76" s="49">
        <f>IFERROR(INDEX(tbl_Finance[Client],$A76),"")</f>
        <v/>
      </c>
      <c r="E76" s="49">
        <f>IFERROR(INDEX(tbl_Finance[Job Number],$A76),"")</f>
        <v/>
      </c>
      <c r="F76" s="49">
        <f>IFERROR(INDEX(tbl_Finance[Cost Centre],$A76),"")</f>
        <v/>
      </c>
      <c r="G76" s="50">
        <f>IFERROR(INDEX(tbl_Finance[Ex GST],$A76),"")</f>
        <v/>
      </c>
      <c r="H76" s="48">
        <f>IFERROR(INDEX(tbl_Finance[Defer Start],$A76),"")</f>
        <v/>
      </c>
      <c r="I76" s="48">
        <f>IFERROR(INDEX(tbl_Finance[Defer End],$A76),"")</f>
        <v/>
      </c>
      <c r="J76" s="47">
        <f>IF(OR($H76="",$I76="",$G76=""),"",MAX(1,(YEAR($I76)-YEAR($H76))*12+MONTH($I76)-MONTH($H76)+1))</f>
        <v/>
      </c>
      <c r="K76" s="50">
        <f>IF($J76="","",$G76/$J76)</f>
        <v/>
      </c>
      <c r="L76" s="50">
        <f>IF($J76="",0,$K76*MAX(0,MIN(YEAR($C$3)*12+MONTH($C$3),YEAR($I76)*12+MONTH($I76))-(YEAR($H76)*12+MONTH($H76))+1))</f>
        <v/>
      </c>
      <c r="M76" s="50">
        <f>IF($J76="",0,$K76*MAX(0,MIN(YEAR($C$3)*12+MONTH($C$3)-1,YEAR($I76)*12+MONTH($I76))-(YEAR($H76)*12+MONTH($H76))+1))</f>
        <v/>
      </c>
      <c r="N76" s="50">
        <f>IF(OR($J76="",$B76=""),0,IF(YEAR($B76)*12+MONTH($B76)&lt;=YEAR($C$3)*12+MONTH($C$3),$G76,0))</f>
        <v/>
      </c>
      <c r="O76" s="50">
        <f>IF(OR($J76="",$B76=""),0,IF(YEAR($B76)*12+MONTH($B76)&lt;=YEAR($C$3)*12+MONTH($C$3)-1,$G76,0))</f>
        <v/>
      </c>
      <c r="P76" s="50">
        <f>$M76-$O76</f>
        <v/>
      </c>
      <c r="Q76" s="50">
        <f>($L76-$M76)-($N76-$O76)</f>
        <v/>
      </c>
      <c r="R76" s="50">
        <f>$L76-$N76</f>
        <v/>
      </c>
    </row>
    <row r="77">
      <c r="A77" s="47">
        <f>ROW()-5</f>
        <v/>
      </c>
      <c r="B77" s="48">
        <f>IFERROR(INDEX(tbl_Finance[Date],$A77),"")</f>
        <v/>
      </c>
      <c r="C77" s="49">
        <f>IFERROR(INDEX(tbl_Finance[Xero Invoice No],$A77),"")</f>
        <v/>
      </c>
      <c r="D77" s="49">
        <f>IFERROR(INDEX(tbl_Finance[Client],$A77),"")</f>
        <v/>
      </c>
      <c r="E77" s="49">
        <f>IFERROR(INDEX(tbl_Finance[Job Number],$A77),"")</f>
        <v/>
      </c>
      <c r="F77" s="49">
        <f>IFERROR(INDEX(tbl_Finance[Cost Centre],$A77),"")</f>
        <v/>
      </c>
      <c r="G77" s="50">
        <f>IFERROR(INDEX(tbl_Finance[Ex GST],$A77),"")</f>
        <v/>
      </c>
      <c r="H77" s="48">
        <f>IFERROR(INDEX(tbl_Finance[Defer Start],$A77),"")</f>
        <v/>
      </c>
      <c r="I77" s="48">
        <f>IFERROR(INDEX(tbl_Finance[Defer End],$A77),"")</f>
        <v/>
      </c>
      <c r="J77" s="47">
        <f>IF(OR($H77="",$I77="",$G77=""),"",MAX(1,(YEAR($I77)-YEAR($H77))*12+MONTH($I77)-MONTH($H77)+1))</f>
        <v/>
      </c>
      <c r="K77" s="50">
        <f>IF($J77="","",$G77/$J77)</f>
        <v/>
      </c>
      <c r="L77" s="50">
        <f>IF($J77="",0,$K77*MAX(0,MIN(YEAR($C$3)*12+MONTH($C$3),YEAR($I77)*12+MONTH($I77))-(YEAR($H77)*12+MONTH($H77))+1))</f>
        <v/>
      </c>
      <c r="M77" s="50">
        <f>IF($J77="",0,$K77*MAX(0,MIN(YEAR($C$3)*12+MONTH($C$3)-1,YEAR($I77)*12+MONTH($I77))-(YEAR($H77)*12+MONTH($H77))+1))</f>
        <v/>
      </c>
      <c r="N77" s="50">
        <f>IF(OR($J77="",$B77=""),0,IF(YEAR($B77)*12+MONTH($B77)&lt;=YEAR($C$3)*12+MONTH($C$3),$G77,0))</f>
        <v/>
      </c>
      <c r="O77" s="50">
        <f>IF(OR($J77="",$B77=""),0,IF(YEAR($B77)*12+MONTH($B77)&lt;=YEAR($C$3)*12+MONTH($C$3)-1,$G77,0))</f>
        <v/>
      </c>
      <c r="P77" s="50">
        <f>$M77-$O77</f>
        <v/>
      </c>
      <c r="Q77" s="50">
        <f>($L77-$M77)-($N77-$O77)</f>
        <v/>
      </c>
      <c r="R77" s="50">
        <f>$L77-$N77</f>
        <v/>
      </c>
    </row>
    <row r="78">
      <c r="A78" s="47">
        <f>ROW()-5</f>
        <v/>
      </c>
      <c r="B78" s="48">
        <f>IFERROR(INDEX(tbl_Finance[Date],$A78),"")</f>
        <v/>
      </c>
      <c r="C78" s="49">
        <f>IFERROR(INDEX(tbl_Finance[Xero Invoice No],$A78),"")</f>
        <v/>
      </c>
      <c r="D78" s="49">
        <f>IFERROR(INDEX(tbl_Finance[Client],$A78),"")</f>
        <v/>
      </c>
      <c r="E78" s="49">
        <f>IFERROR(INDEX(tbl_Finance[Job Number],$A78),"")</f>
        <v/>
      </c>
      <c r="F78" s="49">
        <f>IFERROR(INDEX(tbl_Finance[Cost Centre],$A78),"")</f>
        <v/>
      </c>
      <c r="G78" s="50">
        <f>IFERROR(INDEX(tbl_Finance[Ex GST],$A78),"")</f>
        <v/>
      </c>
      <c r="H78" s="48">
        <f>IFERROR(INDEX(tbl_Finance[Defer Start],$A78),"")</f>
        <v/>
      </c>
      <c r="I78" s="48">
        <f>IFERROR(INDEX(tbl_Finance[Defer End],$A78),"")</f>
        <v/>
      </c>
      <c r="J78" s="47">
        <f>IF(OR($H78="",$I78="",$G78=""),"",MAX(1,(YEAR($I78)-YEAR($H78))*12+MONTH($I78)-MONTH($H78)+1))</f>
        <v/>
      </c>
      <c r="K78" s="50">
        <f>IF($J78="","",$G78/$J78)</f>
        <v/>
      </c>
      <c r="L78" s="50">
        <f>IF($J78="",0,$K78*MAX(0,MIN(YEAR($C$3)*12+MONTH($C$3),YEAR($I78)*12+MONTH($I78))-(YEAR($H78)*12+MONTH($H78))+1))</f>
        <v/>
      </c>
      <c r="M78" s="50">
        <f>IF($J78="",0,$K78*MAX(0,MIN(YEAR($C$3)*12+MONTH($C$3)-1,YEAR($I78)*12+MONTH($I78))-(YEAR($H78)*12+MONTH($H78))+1))</f>
        <v/>
      </c>
      <c r="N78" s="50">
        <f>IF(OR($J78="",$B78=""),0,IF(YEAR($B78)*12+MONTH($B78)&lt;=YEAR($C$3)*12+MONTH($C$3),$G78,0))</f>
        <v/>
      </c>
      <c r="O78" s="50">
        <f>IF(OR($J78="",$B78=""),0,IF(YEAR($B78)*12+MONTH($B78)&lt;=YEAR($C$3)*12+MONTH($C$3)-1,$G78,0))</f>
        <v/>
      </c>
      <c r="P78" s="50">
        <f>$M78-$O78</f>
        <v/>
      </c>
      <c r="Q78" s="50">
        <f>($L78-$M78)-($N78-$O78)</f>
        <v/>
      </c>
      <c r="R78" s="50">
        <f>$L78-$N78</f>
        <v/>
      </c>
    </row>
    <row r="79">
      <c r="A79" s="47">
        <f>ROW()-5</f>
        <v/>
      </c>
      <c r="B79" s="48">
        <f>IFERROR(INDEX(tbl_Finance[Date],$A79),"")</f>
        <v/>
      </c>
      <c r="C79" s="49">
        <f>IFERROR(INDEX(tbl_Finance[Xero Invoice No],$A79),"")</f>
        <v/>
      </c>
      <c r="D79" s="49">
        <f>IFERROR(INDEX(tbl_Finance[Client],$A79),"")</f>
        <v/>
      </c>
      <c r="E79" s="49">
        <f>IFERROR(INDEX(tbl_Finance[Job Number],$A79),"")</f>
        <v/>
      </c>
      <c r="F79" s="49">
        <f>IFERROR(INDEX(tbl_Finance[Cost Centre],$A79),"")</f>
        <v/>
      </c>
      <c r="G79" s="50">
        <f>IFERROR(INDEX(tbl_Finance[Ex GST],$A79),"")</f>
        <v/>
      </c>
      <c r="H79" s="48">
        <f>IFERROR(INDEX(tbl_Finance[Defer Start],$A79),"")</f>
        <v/>
      </c>
      <c r="I79" s="48">
        <f>IFERROR(INDEX(tbl_Finance[Defer End],$A79),"")</f>
        <v/>
      </c>
      <c r="J79" s="47">
        <f>IF(OR($H79="",$I79="",$G79=""),"",MAX(1,(YEAR($I79)-YEAR($H79))*12+MONTH($I79)-MONTH($H79)+1))</f>
        <v/>
      </c>
      <c r="K79" s="50">
        <f>IF($J79="","",$G79/$J79)</f>
        <v/>
      </c>
      <c r="L79" s="50">
        <f>IF($J79="",0,$K79*MAX(0,MIN(YEAR($C$3)*12+MONTH($C$3),YEAR($I79)*12+MONTH($I79))-(YEAR($H79)*12+MONTH($H79))+1))</f>
        <v/>
      </c>
      <c r="M79" s="50">
        <f>IF($J79="",0,$K79*MAX(0,MIN(YEAR($C$3)*12+MONTH($C$3)-1,YEAR($I79)*12+MONTH($I79))-(YEAR($H79)*12+MONTH($H79))+1))</f>
        <v/>
      </c>
      <c r="N79" s="50">
        <f>IF(OR($J79="",$B79=""),0,IF(YEAR($B79)*12+MONTH($B79)&lt;=YEAR($C$3)*12+MONTH($C$3),$G79,0))</f>
        <v/>
      </c>
      <c r="O79" s="50">
        <f>IF(OR($J79="",$B79=""),0,IF(YEAR($B79)*12+MONTH($B79)&lt;=YEAR($C$3)*12+MONTH($C$3)-1,$G79,0))</f>
        <v/>
      </c>
      <c r="P79" s="50">
        <f>$M79-$O79</f>
        <v/>
      </c>
      <c r="Q79" s="50">
        <f>($L79-$M79)-($N79-$O79)</f>
        <v/>
      </c>
      <c r="R79" s="50">
        <f>$L79-$N79</f>
        <v/>
      </c>
    </row>
    <row r="80">
      <c r="A80" s="47">
        <f>ROW()-5</f>
        <v/>
      </c>
      <c r="B80" s="48">
        <f>IFERROR(INDEX(tbl_Finance[Date],$A80),"")</f>
        <v/>
      </c>
      <c r="C80" s="49">
        <f>IFERROR(INDEX(tbl_Finance[Xero Invoice No],$A80),"")</f>
        <v/>
      </c>
      <c r="D80" s="49">
        <f>IFERROR(INDEX(tbl_Finance[Client],$A80),"")</f>
        <v/>
      </c>
      <c r="E80" s="49">
        <f>IFERROR(INDEX(tbl_Finance[Job Number],$A80),"")</f>
        <v/>
      </c>
      <c r="F80" s="49">
        <f>IFERROR(INDEX(tbl_Finance[Cost Centre],$A80),"")</f>
        <v/>
      </c>
      <c r="G80" s="50">
        <f>IFERROR(INDEX(tbl_Finance[Ex GST],$A80),"")</f>
        <v/>
      </c>
      <c r="H80" s="48">
        <f>IFERROR(INDEX(tbl_Finance[Defer Start],$A80),"")</f>
        <v/>
      </c>
      <c r="I80" s="48">
        <f>IFERROR(INDEX(tbl_Finance[Defer End],$A80),"")</f>
        <v/>
      </c>
      <c r="J80" s="47">
        <f>IF(OR($H80="",$I80="",$G80=""),"",MAX(1,(YEAR($I80)-YEAR($H80))*12+MONTH($I80)-MONTH($H80)+1))</f>
        <v/>
      </c>
      <c r="K80" s="50">
        <f>IF($J80="","",$G80/$J80)</f>
        <v/>
      </c>
      <c r="L80" s="50">
        <f>IF($J80="",0,$K80*MAX(0,MIN(YEAR($C$3)*12+MONTH($C$3),YEAR($I80)*12+MONTH($I80))-(YEAR($H80)*12+MONTH($H80))+1))</f>
        <v/>
      </c>
      <c r="M80" s="50">
        <f>IF($J80="",0,$K80*MAX(0,MIN(YEAR($C$3)*12+MONTH($C$3)-1,YEAR($I80)*12+MONTH($I80))-(YEAR($H80)*12+MONTH($H80))+1))</f>
        <v/>
      </c>
      <c r="N80" s="50">
        <f>IF(OR($J80="",$B80=""),0,IF(YEAR($B80)*12+MONTH($B80)&lt;=YEAR($C$3)*12+MONTH($C$3),$G80,0))</f>
        <v/>
      </c>
      <c r="O80" s="50">
        <f>IF(OR($J80="",$B80=""),0,IF(YEAR($B80)*12+MONTH($B80)&lt;=YEAR($C$3)*12+MONTH($C$3)-1,$G80,0))</f>
        <v/>
      </c>
      <c r="P80" s="50">
        <f>$M80-$O80</f>
        <v/>
      </c>
      <c r="Q80" s="50">
        <f>($L80-$M80)-($N80-$O80)</f>
        <v/>
      </c>
      <c r="R80" s="50">
        <f>$L80-$N80</f>
        <v/>
      </c>
    </row>
    <row r="81">
      <c r="A81" s="47">
        <f>ROW()-5</f>
        <v/>
      </c>
      <c r="B81" s="48">
        <f>IFERROR(INDEX(tbl_Finance[Date],$A81),"")</f>
        <v/>
      </c>
      <c r="C81" s="49">
        <f>IFERROR(INDEX(tbl_Finance[Xero Invoice No],$A81),"")</f>
        <v/>
      </c>
      <c r="D81" s="49">
        <f>IFERROR(INDEX(tbl_Finance[Client],$A81),"")</f>
        <v/>
      </c>
      <c r="E81" s="49">
        <f>IFERROR(INDEX(tbl_Finance[Job Number],$A81),"")</f>
        <v/>
      </c>
      <c r="F81" s="49">
        <f>IFERROR(INDEX(tbl_Finance[Cost Centre],$A81),"")</f>
        <v/>
      </c>
      <c r="G81" s="50">
        <f>IFERROR(INDEX(tbl_Finance[Ex GST],$A81),"")</f>
        <v/>
      </c>
      <c r="H81" s="48">
        <f>IFERROR(INDEX(tbl_Finance[Defer Start],$A81),"")</f>
        <v/>
      </c>
      <c r="I81" s="48">
        <f>IFERROR(INDEX(tbl_Finance[Defer End],$A81),"")</f>
        <v/>
      </c>
      <c r="J81" s="47">
        <f>IF(OR($H81="",$I81="",$G81=""),"",MAX(1,(YEAR($I81)-YEAR($H81))*12+MONTH($I81)-MONTH($H81)+1))</f>
        <v/>
      </c>
      <c r="K81" s="50">
        <f>IF($J81="","",$G81/$J81)</f>
        <v/>
      </c>
      <c r="L81" s="50">
        <f>IF($J81="",0,$K81*MAX(0,MIN(YEAR($C$3)*12+MONTH($C$3),YEAR($I81)*12+MONTH($I81))-(YEAR($H81)*12+MONTH($H81))+1))</f>
        <v/>
      </c>
      <c r="M81" s="50">
        <f>IF($J81="",0,$K81*MAX(0,MIN(YEAR($C$3)*12+MONTH($C$3)-1,YEAR($I81)*12+MONTH($I81))-(YEAR($H81)*12+MONTH($H81))+1))</f>
        <v/>
      </c>
      <c r="N81" s="50">
        <f>IF(OR($J81="",$B81=""),0,IF(YEAR($B81)*12+MONTH($B81)&lt;=YEAR($C$3)*12+MONTH($C$3),$G81,0))</f>
        <v/>
      </c>
      <c r="O81" s="50">
        <f>IF(OR($J81="",$B81=""),0,IF(YEAR($B81)*12+MONTH($B81)&lt;=YEAR($C$3)*12+MONTH($C$3)-1,$G81,0))</f>
        <v/>
      </c>
      <c r="P81" s="50">
        <f>$M81-$O81</f>
        <v/>
      </c>
      <c r="Q81" s="50">
        <f>($L81-$M81)-($N81-$O81)</f>
        <v/>
      </c>
      <c r="R81" s="50">
        <f>$L81-$N81</f>
        <v/>
      </c>
    </row>
    <row r="82">
      <c r="A82" s="47">
        <f>ROW()-5</f>
        <v/>
      </c>
      <c r="B82" s="48">
        <f>IFERROR(INDEX(tbl_Finance[Date],$A82),"")</f>
        <v/>
      </c>
      <c r="C82" s="49">
        <f>IFERROR(INDEX(tbl_Finance[Xero Invoice No],$A82),"")</f>
        <v/>
      </c>
      <c r="D82" s="49">
        <f>IFERROR(INDEX(tbl_Finance[Client],$A82),"")</f>
        <v/>
      </c>
      <c r="E82" s="49">
        <f>IFERROR(INDEX(tbl_Finance[Job Number],$A82),"")</f>
        <v/>
      </c>
      <c r="F82" s="49">
        <f>IFERROR(INDEX(tbl_Finance[Cost Centre],$A82),"")</f>
        <v/>
      </c>
      <c r="G82" s="50">
        <f>IFERROR(INDEX(tbl_Finance[Ex GST],$A82),"")</f>
        <v/>
      </c>
      <c r="H82" s="48">
        <f>IFERROR(INDEX(tbl_Finance[Defer Start],$A82),"")</f>
        <v/>
      </c>
      <c r="I82" s="48">
        <f>IFERROR(INDEX(tbl_Finance[Defer End],$A82),"")</f>
        <v/>
      </c>
      <c r="J82" s="47">
        <f>IF(OR($H82="",$I82="",$G82=""),"",MAX(1,(YEAR($I82)-YEAR($H82))*12+MONTH($I82)-MONTH($H82)+1))</f>
        <v/>
      </c>
      <c r="K82" s="50">
        <f>IF($J82="","",$G82/$J82)</f>
        <v/>
      </c>
      <c r="L82" s="50">
        <f>IF($J82="",0,$K82*MAX(0,MIN(YEAR($C$3)*12+MONTH($C$3),YEAR($I82)*12+MONTH($I82))-(YEAR($H82)*12+MONTH($H82))+1))</f>
        <v/>
      </c>
      <c r="M82" s="50">
        <f>IF($J82="",0,$K82*MAX(0,MIN(YEAR($C$3)*12+MONTH($C$3)-1,YEAR($I82)*12+MONTH($I82))-(YEAR($H82)*12+MONTH($H82))+1))</f>
        <v/>
      </c>
      <c r="N82" s="50">
        <f>IF(OR($J82="",$B82=""),0,IF(YEAR($B82)*12+MONTH($B82)&lt;=YEAR($C$3)*12+MONTH($C$3),$G82,0))</f>
        <v/>
      </c>
      <c r="O82" s="50">
        <f>IF(OR($J82="",$B82=""),0,IF(YEAR($B82)*12+MONTH($B82)&lt;=YEAR($C$3)*12+MONTH($C$3)-1,$G82,0))</f>
        <v/>
      </c>
      <c r="P82" s="50">
        <f>$M82-$O82</f>
        <v/>
      </c>
      <c r="Q82" s="50">
        <f>($L82-$M82)-($N82-$O82)</f>
        <v/>
      </c>
      <c r="R82" s="50">
        <f>$L82-$N82</f>
        <v/>
      </c>
    </row>
    <row r="83">
      <c r="A83" s="47">
        <f>ROW()-5</f>
        <v/>
      </c>
      <c r="B83" s="48">
        <f>IFERROR(INDEX(tbl_Finance[Date],$A83),"")</f>
        <v/>
      </c>
      <c r="C83" s="49">
        <f>IFERROR(INDEX(tbl_Finance[Xero Invoice No],$A83),"")</f>
        <v/>
      </c>
      <c r="D83" s="49">
        <f>IFERROR(INDEX(tbl_Finance[Client],$A83),"")</f>
        <v/>
      </c>
      <c r="E83" s="49">
        <f>IFERROR(INDEX(tbl_Finance[Job Number],$A83),"")</f>
        <v/>
      </c>
      <c r="F83" s="49">
        <f>IFERROR(INDEX(tbl_Finance[Cost Centre],$A83),"")</f>
        <v/>
      </c>
      <c r="G83" s="50">
        <f>IFERROR(INDEX(tbl_Finance[Ex GST],$A83),"")</f>
        <v/>
      </c>
      <c r="H83" s="48">
        <f>IFERROR(INDEX(tbl_Finance[Defer Start],$A83),"")</f>
        <v/>
      </c>
      <c r="I83" s="48">
        <f>IFERROR(INDEX(tbl_Finance[Defer End],$A83),"")</f>
        <v/>
      </c>
      <c r="J83" s="47">
        <f>IF(OR($H83="",$I83="",$G83=""),"",MAX(1,(YEAR($I83)-YEAR($H83))*12+MONTH($I83)-MONTH($H83)+1))</f>
        <v/>
      </c>
      <c r="K83" s="50">
        <f>IF($J83="","",$G83/$J83)</f>
        <v/>
      </c>
      <c r="L83" s="50">
        <f>IF($J83="",0,$K83*MAX(0,MIN(YEAR($C$3)*12+MONTH($C$3),YEAR($I83)*12+MONTH($I83))-(YEAR($H83)*12+MONTH($H83))+1))</f>
        <v/>
      </c>
      <c r="M83" s="50">
        <f>IF($J83="",0,$K83*MAX(0,MIN(YEAR($C$3)*12+MONTH($C$3)-1,YEAR($I83)*12+MONTH($I83))-(YEAR($H83)*12+MONTH($H83))+1))</f>
        <v/>
      </c>
      <c r="N83" s="50">
        <f>IF(OR($J83="",$B83=""),0,IF(YEAR($B83)*12+MONTH($B83)&lt;=YEAR($C$3)*12+MONTH($C$3),$G83,0))</f>
        <v/>
      </c>
      <c r="O83" s="50">
        <f>IF(OR($J83="",$B83=""),0,IF(YEAR($B83)*12+MONTH($B83)&lt;=YEAR($C$3)*12+MONTH($C$3)-1,$G83,0))</f>
        <v/>
      </c>
      <c r="P83" s="50">
        <f>$M83-$O83</f>
        <v/>
      </c>
      <c r="Q83" s="50">
        <f>($L83-$M83)-($N83-$O83)</f>
        <v/>
      </c>
      <c r="R83" s="50">
        <f>$L83-$N83</f>
        <v/>
      </c>
    </row>
    <row r="84">
      <c r="A84" s="47">
        <f>ROW()-5</f>
        <v/>
      </c>
      <c r="B84" s="48">
        <f>IFERROR(INDEX(tbl_Finance[Date],$A84),"")</f>
        <v/>
      </c>
      <c r="C84" s="49">
        <f>IFERROR(INDEX(tbl_Finance[Xero Invoice No],$A84),"")</f>
        <v/>
      </c>
      <c r="D84" s="49">
        <f>IFERROR(INDEX(tbl_Finance[Client],$A84),"")</f>
        <v/>
      </c>
      <c r="E84" s="49">
        <f>IFERROR(INDEX(tbl_Finance[Job Number],$A84),"")</f>
        <v/>
      </c>
      <c r="F84" s="49">
        <f>IFERROR(INDEX(tbl_Finance[Cost Centre],$A84),"")</f>
        <v/>
      </c>
      <c r="G84" s="50">
        <f>IFERROR(INDEX(tbl_Finance[Ex GST],$A84),"")</f>
        <v/>
      </c>
      <c r="H84" s="48">
        <f>IFERROR(INDEX(tbl_Finance[Defer Start],$A84),"")</f>
        <v/>
      </c>
      <c r="I84" s="48">
        <f>IFERROR(INDEX(tbl_Finance[Defer End],$A84),"")</f>
        <v/>
      </c>
      <c r="J84" s="47">
        <f>IF(OR($H84="",$I84="",$G84=""),"",MAX(1,(YEAR($I84)-YEAR($H84))*12+MONTH($I84)-MONTH($H84)+1))</f>
        <v/>
      </c>
      <c r="K84" s="50">
        <f>IF($J84="","",$G84/$J84)</f>
        <v/>
      </c>
      <c r="L84" s="50">
        <f>IF($J84="",0,$K84*MAX(0,MIN(YEAR($C$3)*12+MONTH($C$3),YEAR($I84)*12+MONTH($I84))-(YEAR($H84)*12+MONTH($H84))+1))</f>
        <v/>
      </c>
      <c r="M84" s="50">
        <f>IF($J84="",0,$K84*MAX(0,MIN(YEAR($C$3)*12+MONTH($C$3)-1,YEAR($I84)*12+MONTH($I84))-(YEAR($H84)*12+MONTH($H84))+1))</f>
        <v/>
      </c>
      <c r="N84" s="50">
        <f>IF(OR($J84="",$B84=""),0,IF(YEAR($B84)*12+MONTH($B84)&lt;=YEAR($C$3)*12+MONTH($C$3),$G84,0))</f>
        <v/>
      </c>
      <c r="O84" s="50">
        <f>IF(OR($J84="",$B84=""),0,IF(YEAR($B84)*12+MONTH($B84)&lt;=YEAR($C$3)*12+MONTH($C$3)-1,$G84,0))</f>
        <v/>
      </c>
      <c r="P84" s="50">
        <f>$M84-$O84</f>
        <v/>
      </c>
      <c r="Q84" s="50">
        <f>($L84-$M84)-($N84-$O84)</f>
        <v/>
      </c>
      <c r="R84" s="50">
        <f>$L84-$N84</f>
        <v/>
      </c>
    </row>
    <row r="85">
      <c r="A85" s="47">
        <f>ROW()-5</f>
        <v/>
      </c>
      <c r="B85" s="48">
        <f>IFERROR(INDEX(tbl_Finance[Date],$A85),"")</f>
        <v/>
      </c>
      <c r="C85" s="49">
        <f>IFERROR(INDEX(tbl_Finance[Xero Invoice No],$A85),"")</f>
        <v/>
      </c>
      <c r="D85" s="49">
        <f>IFERROR(INDEX(tbl_Finance[Client],$A85),"")</f>
        <v/>
      </c>
      <c r="E85" s="49">
        <f>IFERROR(INDEX(tbl_Finance[Job Number],$A85),"")</f>
        <v/>
      </c>
      <c r="F85" s="49">
        <f>IFERROR(INDEX(tbl_Finance[Cost Centre],$A85),"")</f>
        <v/>
      </c>
      <c r="G85" s="50">
        <f>IFERROR(INDEX(tbl_Finance[Ex GST],$A85),"")</f>
        <v/>
      </c>
      <c r="H85" s="48">
        <f>IFERROR(INDEX(tbl_Finance[Defer Start],$A85),"")</f>
        <v/>
      </c>
      <c r="I85" s="48">
        <f>IFERROR(INDEX(tbl_Finance[Defer End],$A85),"")</f>
        <v/>
      </c>
      <c r="J85" s="47">
        <f>IF(OR($H85="",$I85="",$G85=""),"",MAX(1,(YEAR($I85)-YEAR($H85))*12+MONTH($I85)-MONTH($H85)+1))</f>
        <v/>
      </c>
      <c r="K85" s="50">
        <f>IF($J85="","",$G85/$J85)</f>
        <v/>
      </c>
      <c r="L85" s="50">
        <f>IF($J85="",0,$K85*MAX(0,MIN(YEAR($C$3)*12+MONTH($C$3),YEAR($I85)*12+MONTH($I85))-(YEAR($H85)*12+MONTH($H85))+1))</f>
        <v/>
      </c>
      <c r="M85" s="50">
        <f>IF($J85="",0,$K85*MAX(0,MIN(YEAR($C$3)*12+MONTH($C$3)-1,YEAR($I85)*12+MONTH($I85))-(YEAR($H85)*12+MONTH($H85))+1))</f>
        <v/>
      </c>
      <c r="N85" s="50">
        <f>IF(OR($J85="",$B85=""),0,IF(YEAR($B85)*12+MONTH($B85)&lt;=YEAR($C$3)*12+MONTH($C$3),$G85,0))</f>
        <v/>
      </c>
      <c r="O85" s="50">
        <f>IF(OR($J85="",$B85=""),0,IF(YEAR($B85)*12+MONTH($B85)&lt;=YEAR($C$3)*12+MONTH($C$3)-1,$G85,0))</f>
        <v/>
      </c>
      <c r="P85" s="50">
        <f>$M85-$O85</f>
        <v/>
      </c>
      <c r="Q85" s="50">
        <f>($L85-$M85)-($N85-$O85)</f>
        <v/>
      </c>
      <c r="R85" s="50">
        <f>$L85-$N85</f>
        <v/>
      </c>
    </row>
    <row r="86">
      <c r="A86" s="47">
        <f>ROW()-5</f>
        <v/>
      </c>
      <c r="B86" s="48">
        <f>IFERROR(INDEX(tbl_Finance[Date],$A86),"")</f>
        <v/>
      </c>
      <c r="C86" s="49">
        <f>IFERROR(INDEX(tbl_Finance[Xero Invoice No],$A86),"")</f>
        <v/>
      </c>
      <c r="D86" s="49">
        <f>IFERROR(INDEX(tbl_Finance[Client],$A86),"")</f>
        <v/>
      </c>
      <c r="E86" s="49">
        <f>IFERROR(INDEX(tbl_Finance[Job Number],$A86),"")</f>
        <v/>
      </c>
      <c r="F86" s="49">
        <f>IFERROR(INDEX(tbl_Finance[Cost Centre],$A86),"")</f>
        <v/>
      </c>
      <c r="G86" s="50">
        <f>IFERROR(INDEX(tbl_Finance[Ex GST],$A86),"")</f>
        <v/>
      </c>
      <c r="H86" s="48">
        <f>IFERROR(INDEX(tbl_Finance[Defer Start],$A86),"")</f>
        <v/>
      </c>
      <c r="I86" s="48">
        <f>IFERROR(INDEX(tbl_Finance[Defer End],$A86),"")</f>
        <v/>
      </c>
      <c r="J86" s="47">
        <f>IF(OR($H86="",$I86="",$G86=""),"",MAX(1,(YEAR($I86)-YEAR($H86))*12+MONTH($I86)-MONTH($H86)+1))</f>
        <v/>
      </c>
      <c r="K86" s="50">
        <f>IF($J86="","",$G86/$J86)</f>
        <v/>
      </c>
      <c r="L86" s="50">
        <f>IF($J86="",0,$K86*MAX(0,MIN(YEAR($C$3)*12+MONTH($C$3),YEAR($I86)*12+MONTH($I86))-(YEAR($H86)*12+MONTH($H86))+1))</f>
        <v/>
      </c>
      <c r="M86" s="50">
        <f>IF($J86="",0,$K86*MAX(0,MIN(YEAR($C$3)*12+MONTH($C$3)-1,YEAR($I86)*12+MONTH($I86))-(YEAR($H86)*12+MONTH($H86))+1))</f>
        <v/>
      </c>
      <c r="N86" s="50">
        <f>IF(OR($J86="",$B86=""),0,IF(YEAR($B86)*12+MONTH($B86)&lt;=YEAR($C$3)*12+MONTH($C$3),$G86,0))</f>
        <v/>
      </c>
      <c r="O86" s="50">
        <f>IF(OR($J86="",$B86=""),0,IF(YEAR($B86)*12+MONTH($B86)&lt;=YEAR($C$3)*12+MONTH($C$3)-1,$G86,0))</f>
        <v/>
      </c>
      <c r="P86" s="50">
        <f>$M86-$O86</f>
        <v/>
      </c>
      <c r="Q86" s="50">
        <f>($L86-$M86)-($N86-$O86)</f>
        <v/>
      </c>
      <c r="R86" s="50">
        <f>$L86-$N86</f>
        <v/>
      </c>
    </row>
    <row r="87">
      <c r="A87" s="47">
        <f>ROW()-5</f>
        <v/>
      </c>
      <c r="B87" s="48">
        <f>IFERROR(INDEX(tbl_Finance[Date],$A87),"")</f>
        <v/>
      </c>
      <c r="C87" s="49">
        <f>IFERROR(INDEX(tbl_Finance[Xero Invoice No],$A87),"")</f>
        <v/>
      </c>
      <c r="D87" s="49">
        <f>IFERROR(INDEX(tbl_Finance[Client],$A87),"")</f>
        <v/>
      </c>
      <c r="E87" s="49">
        <f>IFERROR(INDEX(tbl_Finance[Job Number],$A87),"")</f>
        <v/>
      </c>
      <c r="F87" s="49">
        <f>IFERROR(INDEX(tbl_Finance[Cost Centre],$A87),"")</f>
        <v/>
      </c>
      <c r="G87" s="50">
        <f>IFERROR(INDEX(tbl_Finance[Ex GST],$A87),"")</f>
        <v/>
      </c>
      <c r="H87" s="48">
        <f>IFERROR(INDEX(tbl_Finance[Defer Start],$A87),"")</f>
        <v/>
      </c>
      <c r="I87" s="48">
        <f>IFERROR(INDEX(tbl_Finance[Defer End],$A87),"")</f>
        <v/>
      </c>
      <c r="J87" s="47">
        <f>IF(OR($H87="",$I87="",$G87=""),"",MAX(1,(YEAR($I87)-YEAR($H87))*12+MONTH($I87)-MONTH($H87)+1))</f>
        <v/>
      </c>
      <c r="K87" s="50">
        <f>IF($J87="","",$G87/$J87)</f>
        <v/>
      </c>
      <c r="L87" s="50">
        <f>IF($J87="",0,$K87*MAX(0,MIN(YEAR($C$3)*12+MONTH($C$3),YEAR($I87)*12+MONTH($I87))-(YEAR($H87)*12+MONTH($H87))+1))</f>
        <v/>
      </c>
      <c r="M87" s="50">
        <f>IF($J87="",0,$K87*MAX(0,MIN(YEAR($C$3)*12+MONTH($C$3)-1,YEAR($I87)*12+MONTH($I87))-(YEAR($H87)*12+MONTH($H87))+1))</f>
        <v/>
      </c>
      <c r="N87" s="50">
        <f>IF(OR($J87="",$B87=""),0,IF(YEAR($B87)*12+MONTH($B87)&lt;=YEAR($C$3)*12+MONTH($C$3),$G87,0))</f>
        <v/>
      </c>
      <c r="O87" s="50">
        <f>IF(OR($J87="",$B87=""),0,IF(YEAR($B87)*12+MONTH($B87)&lt;=YEAR($C$3)*12+MONTH($C$3)-1,$G87,0))</f>
        <v/>
      </c>
      <c r="P87" s="50">
        <f>$M87-$O87</f>
        <v/>
      </c>
      <c r="Q87" s="50">
        <f>($L87-$M87)-($N87-$O87)</f>
        <v/>
      </c>
      <c r="R87" s="50">
        <f>$L87-$N87</f>
        <v/>
      </c>
    </row>
    <row r="88">
      <c r="A88" s="47">
        <f>ROW()-5</f>
        <v/>
      </c>
      <c r="B88" s="48">
        <f>IFERROR(INDEX(tbl_Finance[Date],$A88),"")</f>
        <v/>
      </c>
      <c r="C88" s="49">
        <f>IFERROR(INDEX(tbl_Finance[Xero Invoice No],$A88),"")</f>
        <v/>
      </c>
      <c r="D88" s="49">
        <f>IFERROR(INDEX(tbl_Finance[Client],$A88),"")</f>
        <v/>
      </c>
      <c r="E88" s="49">
        <f>IFERROR(INDEX(tbl_Finance[Job Number],$A88),"")</f>
        <v/>
      </c>
      <c r="F88" s="49">
        <f>IFERROR(INDEX(tbl_Finance[Cost Centre],$A88),"")</f>
        <v/>
      </c>
      <c r="G88" s="50">
        <f>IFERROR(INDEX(tbl_Finance[Ex GST],$A88),"")</f>
        <v/>
      </c>
      <c r="H88" s="48">
        <f>IFERROR(INDEX(tbl_Finance[Defer Start],$A88),"")</f>
        <v/>
      </c>
      <c r="I88" s="48">
        <f>IFERROR(INDEX(tbl_Finance[Defer End],$A88),"")</f>
        <v/>
      </c>
      <c r="J88" s="47">
        <f>IF(OR($H88="",$I88="",$G88=""),"",MAX(1,(YEAR($I88)-YEAR($H88))*12+MONTH($I88)-MONTH($H88)+1))</f>
        <v/>
      </c>
      <c r="K88" s="50">
        <f>IF($J88="","",$G88/$J88)</f>
        <v/>
      </c>
      <c r="L88" s="50">
        <f>IF($J88="",0,$K88*MAX(0,MIN(YEAR($C$3)*12+MONTH($C$3),YEAR($I88)*12+MONTH($I88))-(YEAR($H88)*12+MONTH($H88))+1))</f>
        <v/>
      </c>
      <c r="M88" s="50">
        <f>IF($J88="",0,$K88*MAX(0,MIN(YEAR($C$3)*12+MONTH($C$3)-1,YEAR($I88)*12+MONTH($I88))-(YEAR($H88)*12+MONTH($H88))+1))</f>
        <v/>
      </c>
      <c r="N88" s="50">
        <f>IF(OR($J88="",$B88=""),0,IF(YEAR($B88)*12+MONTH($B88)&lt;=YEAR($C$3)*12+MONTH($C$3),$G88,0))</f>
        <v/>
      </c>
      <c r="O88" s="50">
        <f>IF(OR($J88="",$B88=""),0,IF(YEAR($B88)*12+MONTH($B88)&lt;=YEAR($C$3)*12+MONTH($C$3)-1,$G88,0))</f>
        <v/>
      </c>
      <c r="P88" s="50">
        <f>$M88-$O88</f>
        <v/>
      </c>
      <c r="Q88" s="50">
        <f>($L88-$M88)-($N88-$O88)</f>
        <v/>
      </c>
      <c r="R88" s="50">
        <f>$L88-$N88</f>
        <v/>
      </c>
    </row>
    <row r="89">
      <c r="A89" s="47">
        <f>ROW()-5</f>
        <v/>
      </c>
      <c r="B89" s="48">
        <f>IFERROR(INDEX(tbl_Finance[Date],$A89),"")</f>
        <v/>
      </c>
      <c r="C89" s="49">
        <f>IFERROR(INDEX(tbl_Finance[Xero Invoice No],$A89),"")</f>
        <v/>
      </c>
      <c r="D89" s="49">
        <f>IFERROR(INDEX(tbl_Finance[Client],$A89),"")</f>
        <v/>
      </c>
      <c r="E89" s="49">
        <f>IFERROR(INDEX(tbl_Finance[Job Number],$A89),"")</f>
        <v/>
      </c>
      <c r="F89" s="49">
        <f>IFERROR(INDEX(tbl_Finance[Cost Centre],$A89),"")</f>
        <v/>
      </c>
      <c r="G89" s="50">
        <f>IFERROR(INDEX(tbl_Finance[Ex GST],$A89),"")</f>
        <v/>
      </c>
      <c r="H89" s="48">
        <f>IFERROR(INDEX(tbl_Finance[Defer Start],$A89),"")</f>
        <v/>
      </c>
      <c r="I89" s="48">
        <f>IFERROR(INDEX(tbl_Finance[Defer End],$A89),"")</f>
        <v/>
      </c>
      <c r="J89" s="47">
        <f>IF(OR($H89="",$I89="",$G89=""),"",MAX(1,(YEAR($I89)-YEAR($H89))*12+MONTH($I89)-MONTH($H89)+1))</f>
        <v/>
      </c>
      <c r="K89" s="50">
        <f>IF($J89="","",$G89/$J89)</f>
        <v/>
      </c>
      <c r="L89" s="50">
        <f>IF($J89="",0,$K89*MAX(0,MIN(YEAR($C$3)*12+MONTH($C$3),YEAR($I89)*12+MONTH($I89))-(YEAR($H89)*12+MONTH($H89))+1))</f>
        <v/>
      </c>
      <c r="M89" s="50">
        <f>IF($J89="",0,$K89*MAX(0,MIN(YEAR($C$3)*12+MONTH($C$3)-1,YEAR($I89)*12+MONTH($I89))-(YEAR($H89)*12+MONTH($H89))+1))</f>
        <v/>
      </c>
      <c r="N89" s="50">
        <f>IF(OR($J89="",$B89=""),0,IF(YEAR($B89)*12+MONTH($B89)&lt;=YEAR($C$3)*12+MONTH($C$3),$G89,0))</f>
        <v/>
      </c>
      <c r="O89" s="50">
        <f>IF(OR($J89="",$B89=""),0,IF(YEAR($B89)*12+MONTH($B89)&lt;=YEAR($C$3)*12+MONTH($C$3)-1,$G89,0))</f>
        <v/>
      </c>
      <c r="P89" s="50">
        <f>$M89-$O89</f>
        <v/>
      </c>
      <c r="Q89" s="50">
        <f>($L89-$M89)-($N89-$O89)</f>
        <v/>
      </c>
      <c r="R89" s="50">
        <f>$L89-$N89</f>
        <v/>
      </c>
    </row>
    <row r="90">
      <c r="A90" s="47">
        <f>ROW()-5</f>
        <v/>
      </c>
      <c r="B90" s="48">
        <f>IFERROR(INDEX(tbl_Finance[Date],$A90),"")</f>
        <v/>
      </c>
      <c r="C90" s="49">
        <f>IFERROR(INDEX(tbl_Finance[Xero Invoice No],$A90),"")</f>
        <v/>
      </c>
      <c r="D90" s="49">
        <f>IFERROR(INDEX(tbl_Finance[Client],$A90),"")</f>
        <v/>
      </c>
      <c r="E90" s="49">
        <f>IFERROR(INDEX(tbl_Finance[Job Number],$A90),"")</f>
        <v/>
      </c>
      <c r="F90" s="49">
        <f>IFERROR(INDEX(tbl_Finance[Cost Centre],$A90),"")</f>
        <v/>
      </c>
      <c r="G90" s="50">
        <f>IFERROR(INDEX(tbl_Finance[Ex GST],$A90),"")</f>
        <v/>
      </c>
      <c r="H90" s="48">
        <f>IFERROR(INDEX(tbl_Finance[Defer Start],$A90),"")</f>
        <v/>
      </c>
      <c r="I90" s="48">
        <f>IFERROR(INDEX(tbl_Finance[Defer End],$A90),"")</f>
        <v/>
      </c>
      <c r="J90" s="47">
        <f>IF(OR($H90="",$I90="",$G90=""),"",MAX(1,(YEAR($I90)-YEAR($H90))*12+MONTH($I90)-MONTH($H90)+1))</f>
        <v/>
      </c>
      <c r="K90" s="50">
        <f>IF($J90="","",$G90/$J90)</f>
        <v/>
      </c>
      <c r="L90" s="50">
        <f>IF($J90="",0,$K90*MAX(0,MIN(YEAR($C$3)*12+MONTH($C$3),YEAR($I90)*12+MONTH($I90))-(YEAR($H90)*12+MONTH($H90))+1))</f>
        <v/>
      </c>
      <c r="M90" s="50">
        <f>IF($J90="",0,$K90*MAX(0,MIN(YEAR($C$3)*12+MONTH($C$3)-1,YEAR($I90)*12+MONTH($I90))-(YEAR($H90)*12+MONTH($H90))+1))</f>
        <v/>
      </c>
      <c r="N90" s="50">
        <f>IF(OR($J90="",$B90=""),0,IF(YEAR($B90)*12+MONTH($B90)&lt;=YEAR($C$3)*12+MONTH($C$3),$G90,0))</f>
        <v/>
      </c>
      <c r="O90" s="50">
        <f>IF(OR($J90="",$B90=""),0,IF(YEAR($B90)*12+MONTH($B90)&lt;=YEAR($C$3)*12+MONTH($C$3)-1,$G90,0))</f>
        <v/>
      </c>
      <c r="P90" s="50">
        <f>$M90-$O90</f>
        <v/>
      </c>
      <c r="Q90" s="50">
        <f>($L90-$M90)-($N90-$O90)</f>
        <v/>
      </c>
      <c r="R90" s="50">
        <f>$L90-$N90</f>
        <v/>
      </c>
    </row>
    <row r="91">
      <c r="A91" s="47">
        <f>ROW()-5</f>
        <v/>
      </c>
      <c r="B91" s="48">
        <f>IFERROR(INDEX(tbl_Finance[Date],$A91),"")</f>
        <v/>
      </c>
      <c r="C91" s="49">
        <f>IFERROR(INDEX(tbl_Finance[Xero Invoice No],$A91),"")</f>
        <v/>
      </c>
      <c r="D91" s="49">
        <f>IFERROR(INDEX(tbl_Finance[Client],$A91),"")</f>
        <v/>
      </c>
      <c r="E91" s="49">
        <f>IFERROR(INDEX(tbl_Finance[Job Number],$A91),"")</f>
        <v/>
      </c>
      <c r="F91" s="49">
        <f>IFERROR(INDEX(tbl_Finance[Cost Centre],$A91),"")</f>
        <v/>
      </c>
      <c r="G91" s="50">
        <f>IFERROR(INDEX(tbl_Finance[Ex GST],$A91),"")</f>
        <v/>
      </c>
      <c r="H91" s="48">
        <f>IFERROR(INDEX(tbl_Finance[Defer Start],$A91),"")</f>
        <v/>
      </c>
      <c r="I91" s="48">
        <f>IFERROR(INDEX(tbl_Finance[Defer End],$A91),"")</f>
        <v/>
      </c>
      <c r="J91" s="47">
        <f>IF(OR($H91="",$I91="",$G91=""),"",MAX(1,(YEAR($I91)-YEAR($H91))*12+MONTH($I91)-MONTH($H91)+1))</f>
        <v/>
      </c>
      <c r="K91" s="50">
        <f>IF($J91="","",$G91/$J91)</f>
        <v/>
      </c>
      <c r="L91" s="50">
        <f>IF($J91="",0,$K91*MAX(0,MIN(YEAR($C$3)*12+MONTH($C$3),YEAR($I91)*12+MONTH($I91))-(YEAR($H91)*12+MONTH($H91))+1))</f>
        <v/>
      </c>
      <c r="M91" s="50">
        <f>IF($J91="",0,$K91*MAX(0,MIN(YEAR($C$3)*12+MONTH($C$3)-1,YEAR($I91)*12+MONTH($I91))-(YEAR($H91)*12+MONTH($H91))+1))</f>
        <v/>
      </c>
      <c r="N91" s="50">
        <f>IF(OR($J91="",$B91=""),0,IF(YEAR($B91)*12+MONTH($B91)&lt;=YEAR($C$3)*12+MONTH($C$3),$G91,0))</f>
        <v/>
      </c>
      <c r="O91" s="50">
        <f>IF(OR($J91="",$B91=""),0,IF(YEAR($B91)*12+MONTH($B91)&lt;=YEAR($C$3)*12+MONTH($C$3)-1,$G91,0))</f>
        <v/>
      </c>
      <c r="P91" s="50">
        <f>$M91-$O91</f>
        <v/>
      </c>
      <c r="Q91" s="50">
        <f>($L91-$M91)-($N91-$O91)</f>
        <v/>
      </c>
      <c r="R91" s="50">
        <f>$L91-$N91</f>
        <v/>
      </c>
    </row>
    <row r="92">
      <c r="A92" s="47">
        <f>ROW()-5</f>
        <v/>
      </c>
      <c r="B92" s="48">
        <f>IFERROR(INDEX(tbl_Finance[Date],$A92),"")</f>
        <v/>
      </c>
      <c r="C92" s="49">
        <f>IFERROR(INDEX(tbl_Finance[Xero Invoice No],$A92),"")</f>
        <v/>
      </c>
      <c r="D92" s="49">
        <f>IFERROR(INDEX(tbl_Finance[Client],$A92),"")</f>
        <v/>
      </c>
      <c r="E92" s="49">
        <f>IFERROR(INDEX(tbl_Finance[Job Number],$A92),"")</f>
        <v/>
      </c>
      <c r="F92" s="49">
        <f>IFERROR(INDEX(tbl_Finance[Cost Centre],$A92),"")</f>
        <v/>
      </c>
      <c r="G92" s="50">
        <f>IFERROR(INDEX(tbl_Finance[Ex GST],$A92),"")</f>
        <v/>
      </c>
      <c r="H92" s="48">
        <f>IFERROR(INDEX(tbl_Finance[Defer Start],$A92),"")</f>
        <v/>
      </c>
      <c r="I92" s="48">
        <f>IFERROR(INDEX(tbl_Finance[Defer End],$A92),"")</f>
        <v/>
      </c>
      <c r="J92" s="47">
        <f>IF(OR($H92="",$I92="",$G92=""),"",MAX(1,(YEAR($I92)-YEAR($H92))*12+MONTH($I92)-MONTH($H92)+1))</f>
        <v/>
      </c>
      <c r="K92" s="50">
        <f>IF($J92="","",$G92/$J92)</f>
        <v/>
      </c>
      <c r="L92" s="50">
        <f>IF($J92="",0,$K92*MAX(0,MIN(YEAR($C$3)*12+MONTH($C$3),YEAR($I92)*12+MONTH($I92))-(YEAR($H92)*12+MONTH($H92))+1))</f>
        <v/>
      </c>
      <c r="M92" s="50">
        <f>IF($J92="",0,$K92*MAX(0,MIN(YEAR($C$3)*12+MONTH($C$3)-1,YEAR($I92)*12+MONTH($I92))-(YEAR($H92)*12+MONTH($H92))+1))</f>
        <v/>
      </c>
      <c r="N92" s="50">
        <f>IF(OR($J92="",$B92=""),0,IF(YEAR($B92)*12+MONTH($B92)&lt;=YEAR($C$3)*12+MONTH($C$3),$G92,0))</f>
        <v/>
      </c>
      <c r="O92" s="50">
        <f>IF(OR($J92="",$B92=""),0,IF(YEAR($B92)*12+MONTH($B92)&lt;=YEAR($C$3)*12+MONTH($C$3)-1,$G92,0))</f>
        <v/>
      </c>
      <c r="P92" s="50">
        <f>$M92-$O92</f>
        <v/>
      </c>
      <c r="Q92" s="50">
        <f>($L92-$M92)-($N92-$O92)</f>
        <v/>
      </c>
      <c r="R92" s="50">
        <f>$L92-$N92</f>
        <v/>
      </c>
    </row>
    <row r="93">
      <c r="A93" s="47">
        <f>ROW()-5</f>
        <v/>
      </c>
      <c r="B93" s="48">
        <f>IFERROR(INDEX(tbl_Finance[Date],$A93),"")</f>
        <v/>
      </c>
      <c r="C93" s="49">
        <f>IFERROR(INDEX(tbl_Finance[Xero Invoice No],$A93),"")</f>
        <v/>
      </c>
      <c r="D93" s="49">
        <f>IFERROR(INDEX(tbl_Finance[Client],$A93),"")</f>
        <v/>
      </c>
      <c r="E93" s="49">
        <f>IFERROR(INDEX(tbl_Finance[Job Number],$A93),"")</f>
        <v/>
      </c>
      <c r="F93" s="49">
        <f>IFERROR(INDEX(tbl_Finance[Cost Centre],$A93),"")</f>
        <v/>
      </c>
      <c r="G93" s="50">
        <f>IFERROR(INDEX(tbl_Finance[Ex GST],$A93),"")</f>
        <v/>
      </c>
      <c r="H93" s="48">
        <f>IFERROR(INDEX(tbl_Finance[Defer Start],$A93),"")</f>
        <v/>
      </c>
      <c r="I93" s="48">
        <f>IFERROR(INDEX(tbl_Finance[Defer End],$A93),"")</f>
        <v/>
      </c>
      <c r="J93" s="47">
        <f>IF(OR($H93="",$I93="",$G93=""),"",MAX(1,(YEAR($I93)-YEAR($H93))*12+MONTH($I93)-MONTH($H93)+1))</f>
        <v/>
      </c>
      <c r="K93" s="50">
        <f>IF($J93="","",$G93/$J93)</f>
        <v/>
      </c>
      <c r="L93" s="50">
        <f>IF($J93="",0,$K93*MAX(0,MIN(YEAR($C$3)*12+MONTH($C$3),YEAR($I93)*12+MONTH($I93))-(YEAR($H93)*12+MONTH($H93))+1))</f>
        <v/>
      </c>
      <c r="M93" s="50">
        <f>IF($J93="",0,$K93*MAX(0,MIN(YEAR($C$3)*12+MONTH($C$3)-1,YEAR($I93)*12+MONTH($I93))-(YEAR($H93)*12+MONTH($H93))+1))</f>
        <v/>
      </c>
      <c r="N93" s="50">
        <f>IF(OR($J93="",$B93=""),0,IF(YEAR($B93)*12+MONTH($B93)&lt;=YEAR($C$3)*12+MONTH($C$3),$G93,0))</f>
        <v/>
      </c>
      <c r="O93" s="50">
        <f>IF(OR($J93="",$B93=""),0,IF(YEAR($B93)*12+MONTH($B93)&lt;=YEAR($C$3)*12+MONTH($C$3)-1,$G93,0))</f>
        <v/>
      </c>
      <c r="P93" s="50">
        <f>$M93-$O93</f>
        <v/>
      </c>
      <c r="Q93" s="50">
        <f>($L93-$M93)-($N93-$O93)</f>
        <v/>
      </c>
      <c r="R93" s="50">
        <f>$L93-$N93</f>
        <v/>
      </c>
    </row>
    <row r="94">
      <c r="A94" s="47">
        <f>ROW()-5</f>
        <v/>
      </c>
      <c r="B94" s="48">
        <f>IFERROR(INDEX(tbl_Finance[Date],$A94),"")</f>
        <v/>
      </c>
      <c r="C94" s="49">
        <f>IFERROR(INDEX(tbl_Finance[Xero Invoice No],$A94),"")</f>
        <v/>
      </c>
      <c r="D94" s="49">
        <f>IFERROR(INDEX(tbl_Finance[Client],$A94),"")</f>
        <v/>
      </c>
      <c r="E94" s="49">
        <f>IFERROR(INDEX(tbl_Finance[Job Number],$A94),"")</f>
        <v/>
      </c>
      <c r="F94" s="49">
        <f>IFERROR(INDEX(tbl_Finance[Cost Centre],$A94),"")</f>
        <v/>
      </c>
      <c r="G94" s="50">
        <f>IFERROR(INDEX(tbl_Finance[Ex GST],$A94),"")</f>
        <v/>
      </c>
      <c r="H94" s="48">
        <f>IFERROR(INDEX(tbl_Finance[Defer Start],$A94),"")</f>
        <v/>
      </c>
      <c r="I94" s="48">
        <f>IFERROR(INDEX(tbl_Finance[Defer End],$A94),"")</f>
        <v/>
      </c>
      <c r="J94" s="47">
        <f>IF(OR($H94="",$I94="",$G94=""),"",MAX(1,(YEAR($I94)-YEAR($H94))*12+MONTH($I94)-MONTH($H94)+1))</f>
        <v/>
      </c>
      <c r="K94" s="50">
        <f>IF($J94="","",$G94/$J94)</f>
        <v/>
      </c>
      <c r="L94" s="50">
        <f>IF($J94="",0,$K94*MAX(0,MIN(YEAR($C$3)*12+MONTH($C$3),YEAR($I94)*12+MONTH($I94))-(YEAR($H94)*12+MONTH($H94))+1))</f>
        <v/>
      </c>
      <c r="M94" s="50">
        <f>IF($J94="",0,$K94*MAX(0,MIN(YEAR($C$3)*12+MONTH($C$3)-1,YEAR($I94)*12+MONTH($I94))-(YEAR($H94)*12+MONTH($H94))+1))</f>
        <v/>
      </c>
      <c r="N94" s="50">
        <f>IF(OR($J94="",$B94=""),0,IF(YEAR($B94)*12+MONTH($B94)&lt;=YEAR($C$3)*12+MONTH($C$3),$G94,0))</f>
        <v/>
      </c>
      <c r="O94" s="50">
        <f>IF(OR($J94="",$B94=""),0,IF(YEAR($B94)*12+MONTH($B94)&lt;=YEAR($C$3)*12+MONTH($C$3)-1,$G94,0))</f>
        <v/>
      </c>
      <c r="P94" s="50">
        <f>$M94-$O94</f>
        <v/>
      </c>
      <c r="Q94" s="50">
        <f>($L94-$M94)-($N94-$O94)</f>
        <v/>
      </c>
      <c r="R94" s="50">
        <f>$L94-$N94</f>
        <v/>
      </c>
    </row>
    <row r="95">
      <c r="A95" s="47">
        <f>ROW()-5</f>
        <v/>
      </c>
      <c r="B95" s="48">
        <f>IFERROR(INDEX(tbl_Finance[Date],$A95),"")</f>
        <v/>
      </c>
      <c r="C95" s="49">
        <f>IFERROR(INDEX(tbl_Finance[Xero Invoice No],$A95),"")</f>
        <v/>
      </c>
      <c r="D95" s="49">
        <f>IFERROR(INDEX(tbl_Finance[Client],$A95),"")</f>
        <v/>
      </c>
      <c r="E95" s="49">
        <f>IFERROR(INDEX(tbl_Finance[Job Number],$A95),"")</f>
        <v/>
      </c>
      <c r="F95" s="49">
        <f>IFERROR(INDEX(tbl_Finance[Cost Centre],$A95),"")</f>
        <v/>
      </c>
      <c r="G95" s="50">
        <f>IFERROR(INDEX(tbl_Finance[Ex GST],$A95),"")</f>
        <v/>
      </c>
      <c r="H95" s="48">
        <f>IFERROR(INDEX(tbl_Finance[Defer Start],$A95),"")</f>
        <v/>
      </c>
      <c r="I95" s="48">
        <f>IFERROR(INDEX(tbl_Finance[Defer End],$A95),"")</f>
        <v/>
      </c>
      <c r="J95" s="47">
        <f>IF(OR($H95="",$I95="",$G95=""),"",MAX(1,(YEAR($I95)-YEAR($H95))*12+MONTH($I95)-MONTH($H95)+1))</f>
        <v/>
      </c>
      <c r="K95" s="50">
        <f>IF($J95="","",$G95/$J95)</f>
        <v/>
      </c>
      <c r="L95" s="50">
        <f>IF($J95="",0,$K95*MAX(0,MIN(YEAR($C$3)*12+MONTH($C$3),YEAR($I95)*12+MONTH($I95))-(YEAR($H95)*12+MONTH($H95))+1))</f>
        <v/>
      </c>
      <c r="M95" s="50">
        <f>IF($J95="",0,$K95*MAX(0,MIN(YEAR($C$3)*12+MONTH($C$3)-1,YEAR($I95)*12+MONTH($I95))-(YEAR($H95)*12+MONTH($H95))+1))</f>
        <v/>
      </c>
      <c r="N95" s="50">
        <f>IF(OR($J95="",$B95=""),0,IF(YEAR($B95)*12+MONTH($B95)&lt;=YEAR($C$3)*12+MONTH($C$3),$G95,0))</f>
        <v/>
      </c>
      <c r="O95" s="50">
        <f>IF(OR($J95="",$B95=""),0,IF(YEAR($B95)*12+MONTH($B95)&lt;=YEAR($C$3)*12+MONTH($C$3)-1,$G95,0))</f>
        <v/>
      </c>
      <c r="P95" s="50">
        <f>$M95-$O95</f>
        <v/>
      </c>
      <c r="Q95" s="50">
        <f>($L95-$M95)-($N95-$O95)</f>
        <v/>
      </c>
      <c r="R95" s="50">
        <f>$L95-$N95</f>
        <v/>
      </c>
    </row>
    <row r="96">
      <c r="A96" s="47">
        <f>ROW()-5</f>
        <v/>
      </c>
      <c r="B96" s="48">
        <f>IFERROR(INDEX(tbl_Finance[Date],$A96),"")</f>
        <v/>
      </c>
      <c r="C96" s="49">
        <f>IFERROR(INDEX(tbl_Finance[Xero Invoice No],$A96),"")</f>
        <v/>
      </c>
      <c r="D96" s="49">
        <f>IFERROR(INDEX(tbl_Finance[Client],$A96),"")</f>
        <v/>
      </c>
      <c r="E96" s="49">
        <f>IFERROR(INDEX(tbl_Finance[Job Number],$A96),"")</f>
        <v/>
      </c>
      <c r="F96" s="49">
        <f>IFERROR(INDEX(tbl_Finance[Cost Centre],$A96),"")</f>
        <v/>
      </c>
      <c r="G96" s="50">
        <f>IFERROR(INDEX(tbl_Finance[Ex GST],$A96),"")</f>
        <v/>
      </c>
      <c r="H96" s="48">
        <f>IFERROR(INDEX(tbl_Finance[Defer Start],$A96),"")</f>
        <v/>
      </c>
      <c r="I96" s="48">
        <f>IFERROR(INDEX(tbl_Finance[Defer End],$A96),"")</f>
        <v/>
      </c>
      <c r="J96" s="47">
        <f>IF(OR($H96="",$I96="",$G96=""),"",MAX(1,(YEAR($I96)-YEAR($H96))*12+MONTH($I96)-MONTH($H96)+1))</f>
        <v/>
      </c>
      <c r="K96" s="50">
        <f>IF($J96="","",$G96/$J96)</f>
        <v/>
      </c>
      <c r="L96" s="50">
        <f>IF($J96="",0,$K96*MAX(0,MIN(YEAR($C$3)*12+MONTH($C$3),YEAR($I96)*12+MONTH($I96))-(YEAR($H96)*12+MONTH($H96))+1))</f>
        <v/>
      </c>
      <c r="M96" s="50">
        <f>IF($J96="",0,$K96*MAX(0,MIN(YEAR($C$3)*12+MONTH($C$3)-1,YEAR($I96)*12+MONTH($I96))-(YEAR($H96)*12+MONTH($H96))+1))</f>
        <v/>
      </c>
      <c r="N96" s="50">
        <f>IF(OR($J96="",$B96=""),0,IF(YEAR($B96)*12+MONTH($B96)&lt;=YEAR($C$3)*12+MONTH($C$3),$G96,0))</f>
        <v/>
      </c>
      <c r="O96" s="50">
        <f>IF(OR($J96="",$B96=""),0,IF(YEAR($B96)*12+MONTH($B96)&lt;=YEAR($C$3)*12+MONTH($C$3)-1,$G96,0))</f>
        <v/>
      </c>
      <c r="P96" s="50">
        <f>$M96-$O96</f>
        <v/>
      </c>
      <c r="Q96" s="50">
        <f>($L96-$M96)-($N96-$O96)</f>
        <v/>
      </c>
      <c r="R96" s="50">
        <f>$L96-$N96</f>
        <v/>
      </c>
    </row>
    <row r="97">
      <c r="A97" s="47">
        <f>ROW()-5</f>
        <v/>
      </c>
      <c r="B97" s="48">
        <f>IFERROR(INDEX(tbl_Finance[Date],$A97),"")</f>
        <v/>
      </c>
      <c r="C97" s="49">
        <f>IFERROR(INDEX(tbl_Finance[Xero Invoice No],$A97),"")</f>
        <v/>
      </c>
      <c r="D97" s="49">
        <f>IFERROR(INDEX(tbl_Finance[Client],$A97),"")</f>
        <v/>
      </c>
      <c r="E97" s="49">
        <f>IFERROR(INDEX(tbl_Finance[Job Number],$A97),"")</f>
        <v/>
      </c>
      <c r="F97" s="49">
        <f>IFERROR(INDEX(tbl_Finance[Cost Centre],$A97),"")</f>
        <v/>
      </c>
      <c r="G97" s="50">
        <f>IFERROR(INDEX(tbl_Finance[Ex GST],$A97),"")</f>
        <v/>
      </c>
      <c r="H97" s="48">
        <f>IFERROR(INDEX(tbl_Finance[Defer Start],$A97),"")</f>
        <v/>
      </c>
      <c r="I97" s="48">
        <f>IFERROR(INDEX(tbl_Finance[Defer End],$A97),"")</f>
        <v/>
      </c>
      <c r="J97" s="47">
        <f>IF(OR($H97="",$I97="",$G97=""),"",MAX(1,(YEAR($I97)-YEAR($H97))*12+MONTH($I97)-MONTH($H97)+1))</f>
        <v/>
      </c>
      <c r="K97" s="50">
        <f>IF($J97="","",$G97/$J97)</f>
        <v/>
      </c>
      <c r="L97" s="50">
        <f>IF($J97="",0,$K97*MAX(0,MIN(YEAR($C$3)*12+MONTH($C$3),YEAR($I97)*12+MONTH($I97))-(YEAR($H97)*12+MONTH($H97))+1))</f>
        <v/>
      </c>
      <c r="M97" s="50">
        <f>IF($J97="",0,$K97*MAX(0,MIN(YEAR($C$3)*12+MONTH($C$3)-1,YEAR($I97)*12+MONTH($I97))-(YEAR($H97)*12+MONTH($H97))+1))</f>
        <v/>
      </c>
      <c r="N97" s="50">
        <f>IF(OR($J97="",$B97=""),0,IF(YEAR($B97)*12+MONTH($B97)&lt;=YEAR($C$3)*12+MONTH($C$3),$G97,0))</f>
        <v/>
      </c>
      <c r="O97" s="50">
        <f>IF(OR($J97="",$B97=""),0,IF(YEAR($B97)*12+MONTH($B97)&lt;=YEAR($C$3)*12+MONTH($C$3)-1,$G97,0))</f>
        <v/>
      </c>
      <c r="P97" s="50">
        <f>$M97-$O97</f>
        <v/>
      </c>
      <c r="Q97" s="50">
        <f>($L97-$M97)-($N97-$O97)</f>
        <v/>
      </c>
      <c r="R97" s="50">
        <f>$L97-$N97</f>
        <v/>
      </c>
    </row>
    <row r="98">
      <c r="A98" s="47">
        <f>ROW()-5</f>
        <v/>
      </c>
      <c r="B98" s="48">
        <f>IFERROR(INDEX(tbl_Finance[Date],$A98),"")</f>
        <v/>
      </c>
      <c r="C98" s="49">
        <f>IFERROR(INDEX(tbl_Finance[Xero Invoice No],$A98),"")</f>
        <v/>
      </c>
      <c r="D98" s="49">
        <f>IFERROR(INDEX(tbl_Finance[Client],$A98),"")</f>
        <v/>
      </c>
      <c r="E98" s="49">
        <f>IFERROR(INDEX(tbl_Finance[Job Number],$A98),"")</f>
        <v/>
      </c>
      <c r="F98" s="49">
        <f>IFERROR(INDEX(tbl_Finance[Cost Centre],$A98),"")</f>
        <v/>
      </c>
      <c r="G98" s="50">
        <f>IFERROR(INDEX(tbl_Finance[Ex GST],$A98),"")</f>
        <v/>
      </c>
      <c r="H98" s="48">
        <f>IFERROR(INDEX(tbl_Finance[Defer Start],$A98),"")</f>
        <v/>
      </c>
      <c r="I98" s="48">
        <f>IFERROR(INDEX(tbl_Finance[Defer End],$A98),"")</f>
        <v/>
      </c>
      <c r="J98" s="47">
        <f>IF(OR($H98="",$I98="",$G98=""),"",MAX(1,(YEAR($I98)-YEAR($H98))*12+MONTH($I98)-MONTH($H98)+1))</f>
        <v/>
      </c>
      <c r="K98" s="50">
        <f>IF($J98="","",$G98/$J98)</f>
        <v/>
      </c>
      <c r="L98" s="50">
        <f>IF($J98="",0,$K98*MAX(0,MIN(YEAR($C$3)*12+MONTH($C$3),YEAR($I98)*12+MONTH($I98))-(YEAR($H98)*12+MONTH($H98))+1))</f>
        <v/>
      </c>
      <c r="M98" s="50">
        <f>IF($J98="",0,$K98*MAX(0,MIN(YEAR($C$3)*12+MONTH($C$3)-1,YEAR($I98)*12+MONTH($I98))-(YEAR($H98)*12+MONTH($H98))+1))</f>
        <v/>
      </c>
      <c r="N98" s="50">
        <f>IF(OR($J98="",$B98=""),0,IF(YEAR($B98)*12+MONTH($B98)&lt;=YEAR($C$3)*12+MONTH($C$3),$G98,0))</f>
        <v/>
      </c>
      <c r="O98" s="50">
        <f>IF(OR($J98="",$B98=""),0,IF(YEAR($B98)*12+MONTH($B98)&lt;=YEAR($C$3)*12+MONTH($C$3)-1,$G98,0))</f>
        <v/>
      </c>
      <c r="P98" s="50">
        <f>$M98-$O98</f>
        <v/>
      </c>
      <c r="Q98" s="50">
        <f>($L98-$M98)-($N98-$O98)</f>
        <v/>
      </c>
      <c r="R98" s="50">
        <f>$L98-$N98</f>
        <v/>
      </c>
    </row>
    <row r="99">
      <c r="A99" s="47">
        <f>ROW()-5</f>
        <v/>
      </c>
      <c r="B99" s="48">
        <f>IFERROR(INDEX(tbl_Finance[Date],$A99),"")</f>
        <v/>
      </c>
      <c r="C99" s="49">
        <f>IFERROR(INDEX(tbl_Finance[Xero Invoice No],$A99),"")</f>
        <v/>
      </c>
      <c r="D99" s="49">
        <f>IFERROR(INDEX(tbl_Finance[Client],$A99),"")</f>
        <v/>
      </c>
      <c r="E99" s="49">
        <f>IFERROR(INDEX(tbl_Finance[Job Number],$A99),"")</f>
        <v/>
      </c>
      <c r="F99" s="49">
        <f>IFERROR(INDEX(tbl_Finance[Cost Centre],$A99),"")</f>
        <v/>
      </c>
      <c r="G99" s="50">
        <f>IFERROR(INDEX(tbl_Finance[Ex GST],$A99),"")</f>
        <v/>
      </c>
      <c r="H99" s="48">
        <f>IFERROR(INDEX(tbl_Finance[Defer Start],$A99),"")</f>
        <v/>
      </c>
      <c r="I99" s="48">
        <f>IFERROR(INDEX(tbl_Finance[Defer End],$A99),"")</f>
        <v/>
      </c>
      <c r="J99" s="47">
        <f>IF(OR($H99="",$I99="",$G99=""),"",MAX(1,(YEAR($I99)-YEAR($H99))*12+MONTH($I99)-MONTH($H99)+1))</f>
        <v/>
      </c>
      <c r="K99" s="50">
        <f>IF($J99="","",$G99/$J99)</f>
        <v/>
      </c>
      <c r="L99" s="50">
        <f>IF($J99="",0,$K99*MAX(0,MIN(YEAR($C$3)*12+MONTH($C$3),YEAR($I99)*12+MONTH($I99))-(YEAR($H99)*12+MONTH($H99))+1))</f>
        <v/>
      </c>
      <c r="M99" s="50">
        <f>IF($J99="",0,$K99*MAX(0,MIN(YEAR($C$3)*12+MONTH($C$3)-1,YEAR($I99)*12+MONTH($I99))-(YEAR($H99)*12+MONTH($H99))+1))</f>
        <v/>
      </c>
      <c r="N99" s="50">
        <f>IF(OR($J99="",$B99=""),0,IF(YEAR($B99)*12+MONTH($B99)&lt;=YEAR($C$3)*12+MONTH($C$3),$G99,0))</f>
        <v/>
      </c>
      <c r="O99" s="50">
        <f>IF(OR($J99="",$B99=""),0,IF(YEAR($B99)*12+MONTH($B99)&lt;=YEAR($C$3)*12+MONTH($C$3)-1,$G99,0))</f>
        <v/>
      </c>
      <c r="P99" s="50">
        <f>$M99-$O99</f>
        <v/>
      </c>
      <c r="Q99" s="50">
        <f>($L99-$M99)-($N99-$O99)</f>
        <v/>
      </c>
      <c r="R99" s="50">
        <f>$L99-$N99</f>
        <v/>
      </c>
    </row>
    <row r="100">
      <c r="A100" s="47">
        <f>ROW()-5</f>
        <v/>
      </c>
      <c r="B100" s="48">
        <f>IFERROR(INDEX(tbl_Finance[Date],$A100),"")</f>
        <v/>
      </c>
      <c r="C100" s="49">
        <f>IFERROR(INDEX(tbl_Finance[Xero Invoice No],$A100),"")</f>
        <v/>
      </c>
      <c r="D100" s="49">
        <f>IFERROR(INDEX(tbl_Finance[Client],$A100),"")</f>
        <v/>
      </c>
      <c r="E100" s="49">
        <f>IFERROR(INDEX(tbl_Finance[Job Number],$A100),"")</f>
        <v/>
      </c>
      <c r="F100" s="49">
        <f>IFERROR(INDEX(tbl_Finance[Cost Centre],$A100),"")</f>
        <v/>
      </c>
      <c r="G100" s="50">
        <f>IFERROR(INDEX(tbl_Finance[Ex GST],$A100),"")</f>
        <v/>
      </c>
      <c r="H100" s="48">
        <f>IFERROR(INDEX(tbl_Finance[Defer Start],$A100),"")</f>
        <v/>
      </c>
      <c r="I100" s="48">
        <f>IFERROR(INDEX(tbl_Finance[Defer End],$A100),"")</f>
        <v/>
      </c>
      <c r="J100" s="47">
        <f>IF(OR($H100="",$I100="",$G100=""),"",MAX(1,(YEAR($I100)-YEAR($H100))*12+MONTH($I100)-MONTH($H100)+1))</f>
        <v/>
      </c>
      <c r="K100" s="50">
        <f>IF($J100="","",$G100/$J100)</f>
        <v/>
      </c>
      <c r="L100" s="50">
        <f>IF($J100="",0,$K100*MAX(0,MIN(YEAR($C$3)*12+MONTH($C$3),YEAR($I100)*12+MONTH($I100))-(YEAR($H100)*12+MONTH($H100))+1))</f>
        <v/>
      </c>
      <c r="M100" s="50">
        <f>IF($J100="",0,$K100*MAX(0,MIN(YEAR($C$3)*12+MONTH($C$3)-1,YEAR($I100)*12+MONTH($I100))-(YEAR($H100)*12+MONTH($H100))+1))</f>
        <v/>
      </c>
      <c r="N100" s="50">
        <f>IF(OR($J100="",$B100=""),0,IF(YEAR($B100)*12+MONTH($B100)&lt;=YEAR($C$3)*12+MONTH($C$3),$G100,0))</f>
        <v/>
      </c>
      <c r="O100" s="50">
        <f>IF(OR($J100="",$B100=""),0,IF(YEAR($B100)*12+MONTH($B100)&lt;=YEAR($C$3)*12+MONTH($C$3)-1,$G100,0))</f>
        <v/>
      </c>
      <c r="P100" s="50">
        <f>$M100-$O100</f>
        <v/>
      </c>
      <c r="Q100" s="50">
        <f>($L100-$M100)-($N100-$O100)</f>
        <v/>
      </c>
      <c r="R100" s="50">
        <f>$L100-$N100</f>
        <v/>
      </c>
    </row>
    <row r="101">
      <c r="A101" s="47">
        <f>ROW()-5</f>
        <v/>
      </c>
      <c r="B101" s="48">
        <f>IFERROR(INDEX(tbl_Finance[Date],$A101),"")</f>
        <v/>
      </c>
      <c r="C101" s="49">
        <f>IFERROR(INDEX(tbl_Finance[Xero Invoice No],$A101),"")</f>
        <v/>
      </c>
      <c r="D101" s="49">
        <f>IFERROR(INDEX(tbl_Finance[Client],$A101),"")</f>
        <v/>
      </c>
      <c r="E101" s="49">
        <f>IFERROR(INDEX(tbl_Finance[Job Number],$A101),"")</f>
        <v/>
      </c>
      <c r="F101" s="49">
        <f>IFERROR(INDEX(tbl_Finance[Cost Centre],$A101),"")</f>
        <v/>
      </c>
      <c r="G101" s="50">
        <f>IFERROR(INDEX(tbl_Finance[Ex GST],$A101),"")</f>
        <v/>
      </c>
      <c r="H101" s="48">
        <f>IFERROR(INDEX(tbl_Finance[Defer Start],$A101),"")</f>
        <v/>
      </c>
      <c r="I101" s="48">
        <f>IFERROR(INDEX(tbl_Finance[Defer End],$A101),"")</f>
        <v/>
      </c>
      <c r="J101" s="47">
        <f>IF(OR($H101="",$I101="",$G101=""),"",MAX(1,(YEAR($I101)-YEAR($H101))*12+MONTH($I101)-MONTH($H101)+1))</f>
        <v/>
      </c>
      <c r="K101" s="50">
        <f>IF($J101="","",$G101/$J101)</f>
        <v/>
      </c>
      <c r="L101" s="50">
        <f>IF($J101="",0,$K101*MAX(0,MIN(YEAR($C$3)*12+MONTH($C$3),YEAR($I101)*12+MONTH($I101))-(YEAR($H101)*12+MONTH($H101))+1))</f>
        <v/>
      </c>
      <c r="M101" s="50">
        <f>IF($J101="",0,$K101*MAX(0,MIN(YEAR($C$3)*12+MONTH($C$3)-1,YEAR($I101)*12+MONTH($I101))-(YEAR($H101)*12+MONTH($H101))+1))</f>
        <v/>
      </c>
      <c r="N101" s="50">
        <f>IF(OR($J101="",$B101=""),0,IF(YEAR($B101)*12+MONTH($B101)&lt;=YEAR($C$3)*12+MONTH($C$3),$G101,0))</f>
        <v/>
      </c>
      <c r="O101" s="50">
        <f>IF(OR($J101="",$B101=""),0,IF(YEAR($B101)*12+MONTH($B101)&lt;=YEAR($C$3)*12+MONTH($C$3)-1,$G101,0))</f>
        <v/>
      </c>
      <c r="P101" s="50">
        <f>$M101-$O101</f>
        <v/>
      </c>
      <c r="Q101" s="50">
        <f>($L101-$M101)-($N101-$O101)</f>
        <v/>
      </c>
      <c r="R101" s="50">
        <f>$L101-$N101</f>
        <v/>
      </c>
    </row>
    <row r="102">
      <c r="A102" s="47">
        <f>ROW()-5</f>
        <v/>
      </c>
      <c r="B102" s="48">
        <f>IFERROR(INDEX(tbl_Finance[Date],$A102),"")</f>
        <v/>
      </c>
      <c r="C102" s="49">
        <f>IFERROR(INDEX(tbl_Finance[Xero Invoice No],$A102),"")</f>
        <v/>
      </c>
      <c r="D102" s="49">
        <f>IFERROR(INDEX(tbl_Finance[Client],$A102),"")</f>
        <v/>
      </c>
      <c r="E102" s="49">
        <f>IFERROR(INDEX(tbl_Finance[Job Number],$A102),"")</f>
        <v/>
      </c>
      <c r="F102" s="49">
        <f>IFERROR(INDEX(tbl_Finance[Cost Centre],$A102),"")</f>
        <v/>
      </c>
      <c r="G102" s="50">
        <f>IFERROR(INDEX(tbl_Finance[Ex GST],$A102),"")</f>
        <v/>
      </c>
      <c r="H102" s="48">
        <f>IFERROR(INDEX(tbl_Finance[Defer Start],$A102),"")</f>
        <v/>
      </c>
      <c r="I102" s="48">
        <f>IFERROR(INDEX(tbl_Finance[Defer End],$A102),"")</f>
        <v/>
      </c>
      <c r="J102" s="47">
        <f>IF(OR($H102="",$I102="",$G102=""),"",MAX(1,(YEAR($I102)-YEAR($H102))*12+MONTH($I102)-MONTH($H102)+1))</f>
        <v/>
      </c>
      <c r="K102" s="50">
        <f>IF($J102="","",$G102/$J102)</f>
        <v/>
      </c>
      <c r="L102" s="50">
        <f>IF($J102="",0,$K102*MAX(0,MIN(YEAR($C$3)*12+MONTH($C$3),YEAR($I102)*12+MONTH($I102))-(YEAR($H102)*12+MONTH($H102))+1))</f>
        <v/>
      </c>
      <c r="M102" s="50">
        <f>IF($J102="",0,$K102*MAX(0,MIN(YEAR($C$3)*12+MONTH($C$3)-1,YEAR($I102)*12+MONTH($I102))-(YEAR($H102)*12+MONTH($H102))+1))</f>
        <v/>
      </c>
      <c r="N102" s="50">
        <f>IF(OR($J102="",$B102=""),0,IF(YEAR($B102)*12+MONTH($B102)&lt;=YEAR($C$3)*12+MONTH($C$3),$G102,0))</f>
        <v/>
      </c>
      <c r="O102" s="50">
        <f>IF(OR($J102="",$B102=""),0,IF(YEAR($B102)*12+MONTH($B102)&lt;=YEAR($C$3)*12+MONTH($C$3)-1,$G102,0))</f>
        <v/>
      </c>
      <c r="P102" s="50">
        <f>$M102-$O102</f>
        <v/>
      </c>
      <c r="Q102" s="50">
        <f>($L102-$M102)-($N102-$O102)</f>
        <v/>
      </c>
      <c r="R102" s="50">
        <f>$L102-$N102</f>
        <v/>
      </c>
    </row>
    <row r="103">
      <c r="A103" s="47">
        <f>ROW()-5</f>
        <v/>
      </c>
      <c r="B103" s="48">
        <f>IFERROR(INDEX(tbl_Finance[Date],$A103),"")</f>
        <v/>
      </c>
      <c r="C103" s="49">
        <f>IFERROR(INDEX(tbl_Finance[Xero Invoice No],$A103),"")</f>
        <v/>
      </c>
      <c r="D103" s="49">
        <f>IFERROR(INDEX(tbl_Finance[Client],$A103),"")</f>
        <v/>
      </c>
      <c r="E103" s="49">
        <f>IFERROR(INDEX(tbl_Finance[Job Number],$A103),"")</f>
        <v/>
      </c>
      <c r="F103" s="49">
        <f>IFERROR(INDEX(tbl_Finance[Cost Centre],$A103),"")</f>
        <v/>
      </c>
      <c r="G103" s="50">
        <f>IFERROR(INDEX(tbl_Finance[Ex GST],$A103),"")</f>
        <v/>
      </c>
      <c r="H103" s="48">
        <f>IFERROR(INDEX(tbl_Finance[Defer Start],$A103),"")</f>
        <v/>
      </c>
      <c r="I103" s="48">
        <f>IFERROR(INDEX(tbl_Finance[Defer End],$A103),"")</f>
        <v/>
      </c>
      <c r="J103" s="47">
        <f>IF(OR($H103="",$I103="",$G103=""),"",MAX(1,(YEAR($I103)-YEAR($H103))*12+MONTH($I103)-MONTH($H103)+1))</f>
        <v/>
      </c>
      <c r="K103" s="50">
        <f>IF($J103="","",$G103/$J103)</f>
        <v/>
      </c>
      <c r="L103" s="50">
        <f>IF($J103="",0,$K103*MAX(0,MIN(YEAR($C$3)*12+MONTH($C$3),YEAR($I103)*12+MONTH($I103))-(YEAR($H103)*12+MONTH($H103))+1))</f>
        <v/>
      </c>
      <c r="M103" s="50">
        <f>IF($J103="",0,$K103*MAX(0,MIN(YEAR($C$3)*12+MONTH($C$3)-1,YEAR($I103)*12+MONTH($I103))-(YEAR($H103)*12+MONTH($H103))+1))</f>
        <v/>
      </c>
      <c r="N103" s="50">
        <f>IF(OR($J103="",$B103=""),0,IF(YEAR($B103)*12+MONTH($B103)&lt;=YEAR($C$3)*12+MONTH($C$3),$G103,0))</f>
        <v/>
      </c>
      <c r="O103" s="50">
        <f>IF(OR($J103="",$B103=""),0,IF(YEAR($B103)*12+MONTH($B103)&lt;=YEAR($C$3)*12+MONTH($C$3)-1,$G103,0))</f>
        <v/>
      </c>
      <c r="P103" s="50">
        <f>$M103-$O103</f>
        <v/>
      </c>
      <c r="Q103" s="50">
        <f>($L103-$M103)-($N103-$O103)</f>
        <v/>
      </c>
      <c r="R103" s="50">
        <f>$L103-$N103</f>
        <v/>
      </c>
    </row>
    <row r="104">
      <c r="A104" s="47">
        <f>ROW()-5</f>
        <v/>
      </c>
      <c r="B104" s="48">
        <f>IFERROR(INDEX(tbl_Finance[Date],$A104),"")</f>
        <v/>
      </c>
      <c r="C104" s="49">
        <f>IFERROR(INDEX(tbl_Finance[Xero Invoice No],$A104),"")</f>
        <v/>
      </c>
      <c r="D104" s="49">
        <f>IFERROR(INDEX(tbl_Finance[Client],$A104),"")</f>
        <v/>
      </c>
      <c r="E104" s="49">
        <f>IFERROR(INDEX(tbl_Finance[Job Number],$A104),"")</f>
        <v/>
      </c>
      <c r="F104" s="49">
        <f>IFERROR(INDEX(tbl_Finance[Cost Centre],$A104),"")</f>
        <v/>
      </c>
      <c r="G104" s="50">
        <f>IFERROR(INDEX(tbl_Finance[Ex GST],$A104),"")</f>
        <v/>
      </c>
      <c r="H104" s="48">
        <f>IFERROR(INDEX(tbl_Finance[Defer Start],$A104),"")</f>
        <v/>
      </c>
      <c r="I104" s="48">
        <f>IFERROR(INDEX(tbl_Finance[Defer End],$A104),"")</f>
        <v/>
      </c>
      <c r="J104" s="47">
        <f>IF(OR($H104="",$I104="",$G104=""),"",MAX(1,(YEAR($I104)-YEAR($H104))*12+MONTH($I104)-MONTH($H104)+1))</f>
        <v/>
      </c>
      <c r="K104" s="50">
        <f>IF($J104="","",$G104/$J104)</f>
        <v/>
      </c>
      <c r="L104" s="50">
        <f>IF($J104="",0,$K104*MAX(0,MIN(YEAR($C$3)*12+MONTH($C$3),YEAR($I104)*12+MONTH($I104))-(YEAR($H104)*12+MONTH($H104))+1))</f>
        <v/>
      </c>
      <c r="M104" s="50">
        <f>IF($J104="",0,$K104*MAX(0,MIN(YEAR($C$3)*12+MONTH($C$3)-1,YEAR($I104)*12+MONTH($I104))-(YEAR($H104)*12+MONTH($H104))+1))</f>
        <v/>
      </c>
      <c r="N104" s="50">
        <f>IF(OR($J104="",$B104=""),0,IF(YEAR($B104)*12+MONTH($B104)&lt;=YEAR($C$3)*12+MONTH($C$3),$G104,0))</f>
        <v/>
      </c>
      <c r="O104" s="50">
        <f>IF(OR($J104="",$B104=""),0,IF(YEAR($B104)*12+MONTH($B104)&lt;=YEAR($C$3)*12+MONTH($C$3)-1,$G104,0))</f>
        <v/>
      </c>
      <c r="P104" s="50">
        <f>$M104-$O104</f>
        <v/>
      </c>
      <c r="Q104" s="50">
        <f>($L104-$M104)-($N104-$O104)</f>
        <v/>
      </c>
      <c r="R104" s="50">
        <f>$L104-$N104</f>
        <v/>
      </c>
    </row>
    <row r="105">
      <c r="A105" s="47">
        <f>ROW()-5</f>
        <v/>
      </c>
      <c r="B105" s="48">
        <f>IFERROR(INDEX(tbl_Finance[Date],$A105),"")</f>
        <v/>
      </c>
      <c r="C105" s="49">
        <f>IFERROR(INDEX(tbl_Finance[Xero Invoice No],$A105),"")</f>
        <v/>
      </c>
      <c r="D105" s="49">
        <f>IFERROR(INDEX(tbl_Finance[Client],$A105),"")</f>
        <v/>
      </c>
      <c r="E105" s="49">
        <f>IFERROR(INDEX(tbl_Finance[Job Number],$A105),"")</f>
        <v/>
      </c>
      <c r="F105" s="49">
        <f>IFERROR(INDEX(tbl_Finance[Cost Centre],$A105),"")</f>
        <v/>
      </c>
      <c r="G105" s="50">
        <f>IFERROR(INDEX(tbl_Finance[Ex GST],$A105),"")</f>
        <v/>
      </c>
      <c r="H105" s="48">
        <f>IFERROR(INDEX(tbl_Finance[Defer Start],$A105),"")</f>
        <v/>
      </c>
      <c r="I105" s="48">
        <f>IFERROR(INDEX(tbl_Finance[Defer End],$A105),"")</f>
        <v/>
      </c>
      <c r="J105" s="47">
        <f>IF(OR($H105="",$I105="",$G105=""),"",MAX(1,(YEAR($I105)-YEAR($H105))*12+MONTH($I105)-MONTH($H105)+1))</f>
        <v/>
      </c>
      <c r="K105" s="50">
        <f>IF($J105="","",$G105/$J105)</f>
        <v/>
      </c>
      <c r="L105" s="50">
        <f>IF($J105="",0,$K105*MAX(0,MIN(YEAR($C$3)*12+MONTH($C$3),YEAR($I105)*12+MONTH($I105))-(YEAR($H105)*12+MONTH($H105))+1))</f>
        <v/>
      </c>
      <c r="M105" s="50">
        <f>IF($J105="",0,$K105*MAX(0,MIN(YEAR($C$3)*12+MONTH($C$3)-1,YEAR($I105)*12+MONTH($I105))-(YEAR($H105)*12+MONTH($H105))+1))</f>
        <v/>
      </c>
      <c r="N105" s="50">
        <f>IF(OR($J105="",$B105=""),0,IF(YEAR($B105)*12+MONTH($B105)&lt;=YEAR($C$3)*12+MONTH($C$3),$G105,0))</f>
        <v/>
      </c>
      <c r="O105" s="50">
        <f>IF(OR($J105="",$B105=""),0,IF(YEAR($B105)*12+MONTH($B105)&lt;=YEAR($C$3)*12+MONTH($C$3)-1,$G105,0))</f>
        <v/>
      </c>
      <c r="P105" s="50">
        <f>$M105-$O105</f>
        <v/>
      </c>
      <c r="Q105" s="50">
        <f>($L105-$M105)-($N105-$O105)</f>
        <v/>
      </c>
      <c r="R105" s="50">
        <f>$L105-$N105</f>
        <v/>
      </c>
    </row>
    <row r="106">
      <c r="A106" s="47">
        <f>ROW()-5</f>
        <v/>
      </c>
      <c r="B106" s="48">
        <f>IFERROR(INDEX(tbl_Finance[Date],$A106),"")</f>
        <v/>
      </c>
      <c r="C106" s="49">
        <f>IFERROR(INDEX(tbl_Finance[Xero Invoice No],$A106),"")</f>
        <v/>
      </c>
      <c r="D106" s="49">
        <f>IFERROR(INDEX(tbl_Finance[Client],$A106),"")</f>
        <v/>
      </c>
      <c r="E106" s="49">
        <f>IFERROR(INDEX(tbl_Finance[Job Number],$A106),"")</f>
        <v/>
      </c>
      <c r="F106" s="49">
        <f>IFERROR(INDEX(tbl_Finance[Cost Centre],$A106),"")</f>
        <v/>
      </c>
      <c r="G106" s="50">
        <f>IFERROR(INDEX(tbl_Finance[Ex GST],$A106),"")</f>
        <v/>
      </c>
      <c r="H106" s="48">
        <f>IFERROR(INDEX(tbl_Finance[Defer Start],$A106),"")</f>
        <v/>
      </c>
      <c r="I106" s="48">
        <f>IFERROR(INDEX(tbl_Finance[Defer End],$A106),"")</f>
        <v/>
      </c>
      <c r="J106" s="47">
        <f>IF(OR($H106="",$I106="",$G106=""),"",MAX(1,(YEAR($I106)-YEAR($H106))*12+MONTH($I106)-MONTH($H106)+1))</f>
        <v/>
      </c>
      <c r="K106" s="50">
        <f>IF($J106="","",$G106/$J106)</f>
        <v/>
      </c>
      <c r="L106" s="50">
        <f>IF($J106="",0,$K106*MAX(0,MIN(YEAR($C$3)*12+MONTH($C$3),YEAR($I106)*12+MONTH($I106))-(YEAR($H106)*12+MONTH($H106))+1))</f>
        <v/>
      </c>
      <c r="M106" s="50">
        <f>IF($J106="",0,$K106*MAX(0,MIN(YEAR($C$3)*12+MONTH($C$3)-1,YEAR($I106)*12+MONTH($I106))-(YEAR($H106)*12+MONTH($H106))+1))</f>
        <v/>
      </c>
      <c r="N106" s="50">
        <f>IF(OR($J106="",$B106=""),0,IF(YEAR($B106)*12+MONTH($B106)&lt;=YEAR($C$3)*12+MONTH($C$3),$G106,0))</f>
        <v/>
      </c>
      <c r="O106" s="50">
        <f>IF(OR($J106="",$B106=""),0,IF(YEAR($B106)*12+MONTH($B106)&lt;=YEAR($C$3)*12+MONTH($C$3)-1,$G106,0))</f>
        <v/>
      </c>
      <c r="P106" s="50">
        <f>$M106-$O106</f>
        <v/>
      </c>
      <c r="Q106" s="50">
        <f>($L106-$M106)-($N106-$O106)</f>
        <v/>
      </c>
      <c r="R106" s="50">
        <f>$L106-$N106</f>
        <v/>
      </c>
    </row>
    <row r="107">
      <c r="A107" s="47">
        <f>ROW()-5</f>
        <v/>
      </c>
      <c r="B107" s="48">
        <f>IFERROR(INDEX(tbl_Finance[Date],$A107),"")</f>
        <v/>
      </c>
      <c r="C107" s="49">
        <f>IFERROR(INDEX(tbl_Finance[Xero Invoice No],$A107),"")</f>
        <v/>
      </c>
      <c r="D107" s="49">
        <f>IFERROR(INDEX(tbl_Finance[Client],$A107),"")</f>
        <v/>
      </c>
      <c r="E107" s="49">
        <f>IFERROR(INDEX(tbl_Finance[Job Number],$A107),"")</f>
        <v/>
      </c>
      <c r="F107" s="49">
        <f>IFERROR(INDEX(tbl_Finance[Cost Centre],$A107),"")</f>
        <v/>
      </c>
      <c r="G107" s="50">
        <f>IFERROR(INDEX(tbl_Finance[Ex GST],$A107),"")</f>
        <v/>
      </c>
      <c r="H107" s="48">
        <f>IFERROR(INDEX(tbl_Finance[Defer Start],$A107),"")</f>
        <v/>
      </c>
      <c r="I107" s="48">
        <f>IFERROR(INDEX(tbl_Finance[Defer End],$A107),"")</f>
        <v/>
      </c>
      <c r="J107" s="47">
        <f>IF(OR($H107="",$I107="",$G107=""),"",MAX(1,(YEAR($I107)-YEAR($H107))*12+MONTH($I107)-MONTH($H107)+1))</f>
        <v/>
      </c>
      <c r="K107" s="50">
        <f>IF($J107="","",$G107/$J107)</f>
        <v/>
      </c>
      <c r="L107" s="50">
        <f>IF($J107="",0,$K107*MAX(0,MIN(YEAR($C$3)*12+MONTH($C$3),YEAR($I107)*12+MONTH($I107))-(YEAR($H107)*12+MONTH($H107))+1))</f>
        <v/>
      </c>
      <c r="M107" s="50">
        <f>IF($J107="",0,$K107*MAX(0,MIN(YEAR($C$3)*12+MONTH($C$3)-1,YEAR($I107)*12+MONTH($I107))-(YEAR($H107)*12+MONTH($H107))+1))</f>
        <v/>
      </c>
      <c r="N107" s="50">
        <f>IF(OR($J107="",$B107=""),0,IF(YEAR($B107)*12+MONTH($B107)&lt;=YEAR($C$3)*12+MONTH($C$3),$G107,0))</f>
        <v/>
      </c>
      <c r="O107" s="50">
        <f>IF(OR($J107="",$B107=""),0,IF(YEAR($B107)*12+MONTH($B107)&lt;=YEAR($C$3)*12+MONTH($C$3)-1,$G107,0))</f>
        <v/>
      </c>
      <c r="P107" s="50">
        <f>$M107-$O107</f>
        <v/>
      </c>
      <c r="Q107" s="50">
        <f>($L107-$M107)-($N107-$O107)</f>
        <v/>
      </c>
      <c r="R107" s="50">
        <f>$L107-$N107</f>
        <v/>
      </c>
    </row>
    <row r="108">
      <c r="A108" s="47">
        <f>ROW()-5</f>
        <v/>
      </c>
      <c r="B108" s="48">
        <f>IFERROR(INDEX(tbl_Finance[Date],$A108),"")</f>
        <v/>
      </c>
      <c r="C108" s="49">
        <f>IFERROR(INDEX(tbl_Finance[Xero Invoice No],$A108),"")</f>
        <v/>
      </c>
      <c r="D108" s="49">
        <f>IFERROR(INDEX(tbl_Finance[Client],$A108),"")</f>
        <v/>
      </c>
      <c r="E108" s="49">
        <f>IFERROR(INDEX(tbl_Finance[Job Number],$A108),"")</f>
        <v/>
      </c>
      <c r="F108" s="49">
        <f>IFERROR(INDEX(tbl_Finance[Cost Centre],$A108),"")</f>
        <v/>
      </c>
      <c r="G108" s="50">
        <f>IFERROR(INDEX(tbl_Finance[Ex GST],$A108),"")</f>
        <v/>
      </c>
      <c r="H108" s="48">
        <f>IFERROR(INDEX(tbl_Finance[Defer Start],$A108),"")</f>
        <v/>
      </c>
      <c r="I108" s="48">
        <f>IFERROR(INDEX(tbl_Finance[Defer End],$A108),"")</f>
        <v/>
      </c>
      <c r="J108" s="47">
        <f>IF(OR($H108="",$I108="",$G108=""),"",MAX(1,(YEAR($I108)-YEAR($H108))*12+MONTH($I108)-MONTH($H108)+1))</f>
        <v/>
      </c>
      <c r="K108" s="50">
        <f>IF($J108="","",$G108/$J108)</f>
        <v/>
      </c>
      <c r="L108" s="50">
        <f>IF($J108="",0,$K108*MAX(0,MIN(YEAR($C$3)*12+MONTH($C$3),YEAR($I108)*12+MONTH($I108))-(YEAR($H108)*12+MONTH($H108))+1))</f>
        <v/>
      </c>
      <c r="M108" s="50">
        <f>IF($J108="",0,$K108*MAX(0,MIN(YEAR($C$3)*12+MONTH($C$3)-1,YEAR($I108)*12+MONTH($I108))-(YEAR($H108)*12+MONTH($H108))+1))</f>
        <v/>
      </c>
      <c r="N108" s="50">
        <f>IF(OR($J108="",$B108=""),0,IF(YEAR($B108)*12+MONTH($B108)&lt;=YEAR($C$3)*12+MONTH($C$3),$G108,0))</f>
        <v/>
      </c>
      <c r="O108" s="50">
        <f>IF(OR($J108="",$B108=""),0,IF(YEAR($B108)*12+MONTH($B108)&lt;=YEAR($C$3)*12+MONTH($C$3)-1,$G108,0))</f>
        <v/>
      </c>
      <c r="P108" s="50">
        <f>$M108-$O108</f>
        <v/>
      </c>
      <c r="Q108" s="50">
        <f>($L108-$M108)-($N108-$O108)</f>
        <v/>
      </c>
      <c r="R108" s="50">
        <f>$L108-$N108</f>
        <v/>
      </c>
    </row>
    <row r="109">
      <c r="A109" s="47">
        <f>ROW()-5</f>
        <v/>
      </c>
      <c r="B109" s="48">
        <f>IFERROR(INDEX(tbl_Finance[Date],$A109),"")</f>
        <v/>
      </c>
      <c r="C109" s="49">
        <f>IFERROR(INDEX(tbl_Finance[Xero Invoice No],$A109),"")</f>
        <v/>
      </c>
      <c r="D109" s="49">
        <f>IFERROR(INDEX(tbl_Finance[Client],$A109),"")</f>
        <v/>
      </c>
      <c r="E109" s="49">
        <f>IFERROR(INDEX(tbl_Finance[Job Number],$A109),"")</f>
        <v/>
      </c>
      <c r="F109" s="49">
        <f>IFERROR(INDEX(tbl_Finance[Cost Centre],$A109),"")</f>
        <v/>
      </c>
      <c r="G109" s="50">
        <f>IFERROR(INDEX(tbl_Finance[Ex GST],$A109),"")</f>
        <v/>
      </c>
      <c r="H109" s="48">
        <f>IFERROR(INDEX(tbl_Finance[Defer Start],$A109),"")</f>
        <v/>
      </c>
      <c r="I109" s="48">
        <f>IFERROR(INDEX(tbl_Finance[Defer End],$A109),"")</f>
        <v/>
      </c>
      <c r="J109" s="47">
        <f>IF(OR($H109="",$I109="",$G109=""),"",MAX(1,(YEAR($I109)-YEAR($H109))*12+MONTH($I109)-MONTH($H109)+1))</f>
        <v/>
      </c>
      <c r="K109" s="50">
        <f>IF($J109="","",$G109/$J109)</f>
        <v/>
      </c>
      <c r="L109" s="50">
        <f>IF($J109="",0,$K109*MAX(0,MIN(YEAR($C$3)*12+MONTH($C$3),YEAR($I109)*12+MONTH($I109))-(YEAR($H109)*12+MONTH($H109))+1))</f>
        <v/>
      </c>
      <c r="M109" s="50">
        <f>IF($J109="",0,$K109*MAX(0,MIN(YEAR($C$3)*12+MONTH($C$3)-1,YEAR($I109)*12+MONTH($I109))-(YEAR($H109)*12+MONTH($H109))+1))</f>
        <v/>
      </c>
      <c r="N109" s="50">
        <f>IF(OR($J109="",$B109=""),0,IF(YEAR($B109)*12+MONTH($B109)&lt;=YEAR($C$3)*12+MONTH($C$3),$G109,0))</f>
        <v/>
      </c>
      <c r="O109" s="50">
        <f>IF(OR($J109="",$B109=""),0,IF(YEAR($B109)*12+MONTH($B109)&lt;=YEAR($C$3)*12+MONTH($C$3)-1,$G109,0))</f>
        <v/>
      </c>
      <c r="P109" s="50">
        <f>$M109-$O109</f>
        <v/>
      </c>
      <c r="Q109" s="50">
        <f>($L109-$M109)-($N109-$O109)</f>
        <v/>
      </c>
      <c r="R109" s="50">
        <f>$L109-$N109</f>
        <v/>
      </c>
    </row>
    <row r="110">
      <c r="A110" s="47">
        <f>ROW()-5</f>
        <v/>
      </c>
      <c r="B110" s="48">
        <f>IFERROR(INDEX(tbl_Finance[Date],$A110),"")</f>
        <v/>
      </c>
      <c r="C110" s="49">
        <f>IFERROR(INDEX(tbl_Finance[Xero Invoice No],$A110),"")</f>
        <v/>
      </c>
      <c r="D110" s="49">
        <f>IFERROR(INDEX(tbl_Finance[Client],$A110),"")</f>
        <v/>
      </c>
      <c r="E110" s="49">
        <f>IFERROR(INDEX(tbl_Finance[Job Number],$A110),"")</f>
        <v/>
      </c>
      <c r="F110" s="49">
        <f>IFERROR(INDEX(tbl_Finance[Cost Centre],$A110),"")</f>
        <v/>
      </c>
      <c r="G110" s="50">
        <f>IFERROR(INDEX(tbl_Finance[Ex GST],$A110),"")</f>
        <v/>
      </c>
      <c r="H110" s="48">
        <f>IFERROR(INDEX(tbl_Finance[Defer Start],$A110),"")</f>
        <v/>
      </c>
      <c r="I110" s="48">
        <f>IFERROR(INDEX(tbl_Finance[Defer End],$A110),"")</f>
        <v/>
      </c>
      <c r="J110" s="47">
        <f>IF(OR($H110="",$I110="",$G110=""),"",MAX(1,(YEAR($I110)-YEAR($H110))*12+MONTH($I110)-MONTH($H110)+1))</f>
        <v/>
      </c>
      <c r="K110" s="50">
        <f>IF($J110="","",$G110/$J110)</f>
        <v/>
      </c>
      <c r="L110" s="50">
        <f>IF($J110="",0,$K110*MAX(0,MIN(YEAR($C$3)*12+MONTH($C$3),YEAR($I110)*12+MONTH($I110))-(YEAR($H110)*12+MONTH($H110))+1))</f>
        <v/>
      </c>
      <c r="M110" s="50">
        <f>IF($J110="",0,$K110*MAX(0,MIN(YEAR($C$3)*12+MONTH($C$3)-1,YEAR($I110)*12+MONTH($I110))-(YEAR($H110)*12+MONTH($H110))+1))</f>
        <v/>
      </c>
      <c r="N110" s="50">
        <f>IF(OR($J110="",$B110=""),0,IF(YEAR($B110)*12+MONTH($B110)&lt;=YEAR($C$3)*12+MONTH($C$3),$G110,0))</f>
        <v/>
      </c>
      <c r="O110" s="50">
        <f>IF(OR($J110="",$B110=""),0,IF(YEAR($B110)*12+MONTH($B110)&lt;=YEAR($C$3)*12+MONTH($C$3)-1,$G110,0))</f>
        <v/>
      </c>
      <c r="P110" s="50">
        <f>$M110-$O110</f>
        <v/>
      </c>
      <c r="Q110" s="50">
        <f>($L110-$M110)-($N110-$O110)</f>
        <v/>
      </c>
      <c r="R110" s="50">
        <f>$L110-$N110</f>
        <v/>
      </c>
    </row>
    <row r="111">
      <c r="A111" s="47">
        <f>ROW()-5</f>
        <v/>
      </c>
      <c r="B111" s="48">
        <f>IFERROR(INDEX(tbl_Finance[Date],$A111),"")</f>
        <v/>
      </c>
      <c r="C111" s="49">
        <f>IFERROR(INDEX(tbl_Finance[Xero Invoice No],$A111),"")</f>
        <v/>
      </c>
      <c r="D111" s="49">
        <f>IFERROR(INDEX(tbl_Finance[Client],$A111),"")</f>
        <v/>
      </c>
      <c r="E111" s="49">
        <f>IFERROR(INDEX(tbl_Finance[Job Number],$A111),"")</f>
        <v/>
      </c>
      <c r="F111" s="49">
        <f>IFERROR(INDEX(tbl_Finance[Cost Centre],$A111),"")</f>
        <v/>
      </c>
      <c r="G111" s="50">
        <f>IFERROR(INDEX(tbl_Finance[Ex GST],$A111),"")</f>
        <v/>
      </c>
      <c r="H111" s="48">
        <f>IFERROR(INDEX(tbl_Finance[Defer Start],$A111),"")</f>
        <v/>
      </c>
      <c r="I111" s="48">
        <f>IFERROR(INDEX(tbl_Finance[Defer End],$A111),"")</f>
        <v/>
      </c>
      <c r="J111" s="47">
        <f>IF(OR($H111="",$I111="",$G111=""),"",MAX(1,(YEAR($I111)-YEAR($H111))*12+MONTH($I111)-MONTH($H111)+1))</f>
        <v/>
      </c>
      <c r="K111" s="50">
        <f>IF($J111="","",$G111/$J111)</f>
        <v/>
      </c>
      <c r="L111" s="50">
        <f>IF($J111="",0,$K111*MAX(0,MIN(YEAR($C$3)*12+MONTH($C$3),YEAR($I111)*12+MONTH($I111))-(YEAR($H111)*12+MONTH($H111))+1))</f>
        <v/>
      </c>
      <c r="M111" s="50">
        <f>IF($J111="",0,$K111*MAX(0,MIN(YEAR($C$3)*12+MONTH($C$3)-1,YEAR($I111)*12+MONTH($I111))-(YEAR($H111)*12+MONTH($H111))+1))</f>
        <v/>
      </c>
      <c r="N111" s="50">
        <f>IF(OR($J111="",$B111=""),0,IF(YEAR($B111)*12+MONTH($B111)&lt;=YEAR($C$3)*12+MONTH($C$3),$G111,0))</f>
        <v/>
      </c>
      <c r="O111" s="50">
        <f>IF(OR($J111="",$B111=""),0,IF(YEAR($B111)*12+MONTH($B111)&lt;=YEAR($C$3)*12+MONTH($C$3)-1,$G111,0))</f>
        <v/>
      </c>
      <c r="P111" s="50">
        <f>$M111-$O111</f>
        <v/>
      </c>
      <c r="Q111" s="50">
        <f>($L111-$M111)-($N111-$O111)</f>
        <v/>
      </c>
      <c r="R111" s="50">
        <f>$L111-$N111</f>
        <v/>
      </c>
    </row>
    <row r="112">
      <c r="A112" s="47">
        <f>ROW()-5</f>
        <v/>
      </c>
      <c r="B112" s="48">
        <f>IFERROR(INDEX(tbl_Finance[Date],$A112),"")</f>
        <v/>
      </c>
      <c r="C112" s="49">
        <f>IFERROR(INDEX(tbl_Finance[Xero Invoice No],$A112),"")</f>
        <v/>
      </c>
      <c r="D112" s="49">
        <f>IFERROR(INDEX(tbl_Finance[Client],$A112),"")</f>
        <v/>
      </c>
      <c r="E112" s="49">
        <f>IFERROR(INDEX(tbl_Finance[Job Number],$A112),"")</f>
        <v/>
      </c>
      <c r="F112" s="49">
        <f>IFERROR(INDEX(tbl_Finance[Cost Centre],$A112),"")</f>
        <v/>
      </c>
      <c r="G112" s="50">
        <f>IFERROR(INDEX(tbl_Finance[Ex GST],$A112),"")</f>
        <v/>
      </c>
      <c r="H112" s="48">
        <f>IFERROR(INDEX(tbl_Finance[Defer Start],$A112),"")</f>
        <v/>
      </c>
      <c r="I112" s="48">
        <f>IFERROR(INDEX(tbl_Finance[Defer End],$A112),"")</f>
        <v/>
      </c>
      <c r="J112" s="47">
        <f>IF(OR($H112="",$I112="",$G112=""),"",MAX(1,(YEAR($I112)-YEAR($H112))*12+MONTH($I112)-MONTH($H112)+1))</f>
        <v/>
      </c>
      <c r="K112" s="50">
        <f>IF($J112="","",$G112/$J112)</f>
        <v/>
      </c>
      <c r="L112" s="50">
        <f>IF($J112="",0,$K112*MAX(0,MIN(YEAR($C$3)*12+MONTH($C$3),YEAR($I112)*12+MONTH($I112))-(YEAR($H112)*12+MONTH($H112))+1))</f>
        <v/>
      </c>
      <c r="M112" s="50">
        <f>IF($J112="",0,$K112*MAX(0,MIN(YEAR($C$3)*12+MONTH($C$3)-1,YEAR($I112)*12+MONTH($I112))-(YEAR($H112)*12+MONTH($H112))+1))</f>
        <v/>
      </c>
      <c r="N112" s="50">
        <f>IF(OR($J112="",$B112=""),0,IF(YEAR($B112)*12+MONTH($B112)&lt;=YEAR($C$3)*12+MONTH($C$3),$G112,0))</f>
        <v/>
      </c>
      <c r="O112" s="50">
        <f>IF(OR($J112="",$B112=""),0,IF(YEAR($B112)*12+MONTH($B112)&lt;=YEAR($C$3)*12+MONTH($C$3)-1,$G112,0))</f>
        <v/>
      </c>
      <c r="P112" s="50">
        <f>$M112-$O112</f>
        <v/>
      </c>
      <c r="Q112" s="50">
        <f>($L112-$M112)-($N112-$O112)</f>
        <v/>
      </c>
      <c r="R112" s="50">
        <f>$L112-$N112</f>
        <v/>
      </c>
    </row>
    <row r="113">
      <c r="A113" s="47">
        <f>ROW()-5</f>
        <v/>
      </c>
      <c r="B113" s="48">
        <f>IFERROR(INDEX(tbl_Finance[Date],$A113),"")</f>
        <v/>
      </c>
      <c r="C113" s="49">
        <f>IFERROR(INDEX(tbl_Finance[Xero Invoice No],$A113),"")</f>
        <v/>
      </c>
      <c r="D113" s="49">
        <f>IFERROR(INDEX(tbl_Finance[Client],$A113),"")</f>
        <v/>
      </c>
      <c r="E113" s="49">
        <f>IFERROR(INDEX(tbl_Finance[Job Number],$A113),"")</f>
        <v/>
      </c>
      <c r="F113" s="49">
        <f>IFERROR(INDEX(tbl_Finance[Cost Centre],$A113),"")</f>
        <v/>
      </c>
      <c r="G113" s="50">
        <f>IFERROR(INDEX(tbl_Finance[Ex GST],$A113),"")</f>
        <v/>
      </c>
      <c r="H113" s="48">
        <f>IFERROR(INDEX(tbl_Finance[Defer Start],$A113),"")</f>
        <v/>
      </c>
      <c r="I113" s="48">
        <f>IFERROR(INDEX(tbl_Finance[Defer End],$A113),"")</f>
        <v/>
      </c>
      <c r="J113" s="47">
        <f>IF(OR($H113="",$I113="",$G113=""),"",MAX(1,(YEAR($I113)-YEAR($H113))*12+MONTH($I113)-MONTH($H113)+1))</f>
        <v/>
      </c>
      <c r="K113" s="50">
        <f>IF($J113="","",$G113/$J113)</f>
        <v/>
      </c>
      <c r="L113" s="50">
        <f>IF($J113="",0,$K113*MAX(0,MIN(YEAR($C$3)*12+MONTH($C$3),YEAR($I113)*12+MONTH($I113))-(YEAR($H113)*12+MONTH($H113))+1))</f>
        <v/>
      </c>
      <c r="M113" s="50">
        <f>IF($J113="",0,$K113*MAX(0,MIN(YEAR($C$3)*12+MONTH($C$3)-1,YEAR($I113)*12+MONTH($I113))-(YEAR($H113)*12+MONTH($H113))+1))</f>
        <v/>
      </c>
      <c r="N113" s="50">
        <f>IF(OR($J113="",$B113=""),0,IF(YEAR($B113)*12+MONTH($B113)&lt;=YEAR($C$3)*12+MONTH($C$3),$G113,0))</f>
        <v/>
      </c>
      <c r="O113" s="50">
        <f>IF(OR($J113="",$B113=""),0,IF(YEAR($B113)*12+MONTH($B113)&lt;=YEAR($C$3)*12+MONTH($C$3)-1,$G113,0))</f>
        <v/>
      </c>
      <c r="P113" s="50">
        <f>$M113-$O113</f>
        <v/>
      </c>
      <c r="Q113" s="50">
        <f>($L113-$M113)-($N113-$O113)</f>
        <v/>
      </c>
      <c r="R113" s="50">
        <f>$L113-$N113</f>
        <v/>
      </c>
    </row>
    <row r="114">
      <c r="A114" s="47">
        <f>ROW()-5</f>
        <v/>
      </c>
      <c r="B114" s="48">
        <f>IFERROR(INDEX(tbl_Finance[Date],$A114),"")</f>
        <v/>
      </c>
      <c r="C114" s="49">
        <f>IFERROR(INDEX(tbl_Finance[Xero Invoice No],$A114),"")</f>
        <v/>
      </c>
      <c r="D114" s="49">
        <f>IFERROR(INDEX(tbl_Finance[Client],$A114),"")</f>
        <v/>
      </c>
      <c r="E114" s="49">
        <f>IFERROR(INDEX(tbl_Finance[Job Number],$A114),"")</f>
        <v/>
      </c>
      <c r="F114" s="49">
        <f>IFERROR(INDEX(tbl_Finance[Cost Centre],$A114),"")</f>
        <v/>
      </c>
      <c r="G114" s="50">
        <f>IFERROR(INDEX(tbl_Finance[Ex GST],$A114),"")</f>
        <v/>
      </c>
      <c r="H114" s="48">
        <f>IFERROR(INDEX(tbl_Finance[Defer Start],$A114),"")</f>
        <v/>
      </c>
      <c r="I114" s="48">
        <f>IFERROR(INDEX(tbl_Finance[Defer End],$A114),"")</f>
        <v/>
      </c>
      <c r="J114" s="47">
        <f>IF(OR($H114="",$I114="",$G114=""),"",MAX(1,(YEAR($I114)-YEAR($H114))*12+MONTH($I114)-MONTH($H114)+1))</f>
        <v/>
      </c>
      <c r="K114" s="50">
        <f>IF($J114="","",$G114/$J114)</f>
        <v/>
      </c>
      <c r="L114" s="50">
        <f>IF($J114="",0,$K114*MAX(0,MIN(YEAR($C$3)*12+MONTH($C$3),YEAR($I114)*12+MONTH($I114))-(YEAR($H114)*12+MONTH($H114))+1))</f>
        <v/>
      </c>
      <c r="M114" s="50">
        <f>IF($J114="",0,$K114*MAX(0,MIN(YEAR($C$3)*12+MONTH($C$3)-1,YEAR($I114)*12+MONTH($I114))-(YEAR($H114)*12+MONTH($H114))+1))</f>
        <v/>
      </c>
      <c r="N114" s="50">
        <f>IF(OR($J114="",$B114=""),0,IF(YEAR($B114)*12+MONTH($B114)&lt;=YEAR($C$3)*12+MONTH($C$3),$G114,0))</f>
        <v/>
      </c>
      <c r="O114" s="50">
        <f>IF(OR($J114="",$B114=""),0,IF(YEAR($B114)*12+MONTH($B114)&lt;=YEAR($C$3)*12+MONTH($C$3)-1,$G114,0))</f>
        <v/>
      </c>
      <c r="P114" s="50">
        <f>$M114-$O114</f>
        <v/>
      </c>
      <c r="Q114" s="50">
        <f>($L114-$M114)-($N114-$O114)</f>
        <v/>
      </c>
      <c r="R114" s="50">
        <f>$L114-$N114</f>
        <v/>
      </c>
    </row>
    <row r="115">
      <c r="A115" s="47">
        <f>ROW()-5</f>
        <v/>
      </c>
      <c r="B115" s="48">
        <f>IFERROR(INDEX(tbl_Finance[Date],$A115),"")</f>
        <v/>
      </c>
      <c r="C115" s="49">
        <f>IFERROR(INDEX(tbl_Finance[Xero Invoice No],$A115),"")</f>
        <v/>
      </c>
      <c r="D115" s="49">
        <f>IFERROR(INDEX(tbl_Finance[Client],$A115),"")</f>
        <v/>
      </c>
      <c r="E115" s="49">
        <f>IFERROR(INDEX(tbl_Finance[Job Number],$A115),"")</f>
        <v/>
      </c>
      <c r="F115" s="49">
        <f>IFERROR(INDEX(tbl_Finance[Cost Centre],$A115),"")</f>
        <v/>
      </c>
      <c r="G115" s="50">
        <f>IFERROR(INDEX(tbl_Finance[Ex GST],$A115),"")</f>
        <v/>
      </c>
      <c r="H115" s="48">
        <f>IFERROR(INDEX(tbl_Finance[Defer Start],$A115),"")</f>
        <v/>
      </c>
      <c r="I115" s="48">
        <f>IFERROR(INDEX(tbl_Finance[Defer End],$A115),"")</f>
        <v/>
      </c>
      <c r="J115" s="47">
        <f>IF(OR($H115="",$I115="",$G115=""),"",MAX(1,(YEAR($I115)-YEAR($H115))*12+MONTH($I115)-MONTH($H115)+1))</f>
        <v/>
      </c>
      <c r="K115" s="50">
        <f>IF($J115="","",$G115/$J115)</f>
        <v/>
      </c>
      <c r="L115" s="50">
        <f>IF($J115="",0,$K115*MAX(0,MIN(YEAR($C$3)*12+MONTH($C$3),YEAR($I115)*12+MONTH($I115))-(YEAR($H115)*12+MONTH($H115))+1))</f>
        <v/>
      </c>
      <c r="M115" s="50">
        <f>IF($J115="",0,$K115*MAX(0,MIN(YEAR($C$3)*12+MONTH($C$3)-1,YEAR($I115)*12+MONTH($I115))-(YEAR($H115)*12+MONTH($H115))+1))</f>
        <v/>
      </c>
      <c r="N115" s="50">
        <f>IF(OR($J115="",$B115=""),0,IF(YEAR($B115)*12+MONTH($B115)&lt;=YEAR($C$3)*12+MONTH($C$3),$G115,0))</f>
        <v/>
      </c>
      <c r="O115" s="50">
        <f>IF(OR($J115="",$B115=""),0,IF(YEAR($B115)*12+MONTH($B115)&lt;=YEAR($C$3)*12+MONTH($C$3)-1,$G115,0))</f>
        <v/>
      </c>
      <c r="P115" s="50">
        <f>$M115-$O115</f>
        <v/>
      </c>
      <c r="Q115" s="50">
        <f>($L115-$M115)-($N115-$O115)</f>
        <v/>
      </c>
      <c r="R115" s="50">
        <f>$L115-$N115</f>
        <v/>
      </c>
    </row>
    <row r="116">
      <c r="A116" s="47">
        <f>ROW()-5</f>
        <v/>
      </c>
      <c r="B116" s="48">
        <f>IFERROR(INDEX(tbl_Finance[Date],$A116),"")</f>
        <v/>
      </c>
      <c r="C116" s="49">
        <f>IFERROR(INDEX(tbl_Finance[Xero Invoice No],$A116),"")</f>
        <v/>
      </c>
      <c r="D116" s="49">
        <f>IFERROR(INDEX(tbl_Finance[Client],$A116),"")</f>
        <v/>
      </c>
      <c r="E116" s="49">
        <f>IFERROR(INDEX(tbl_Finance[Job Number],$A116),"")</f>
        <v/>
      </c>
      <c r="F116" s="49">
        <f>IFERROR(INDEX(tbl_Finance[Cost Centre],$A116),"")</f>
        <v/>
      </c>
      <c r="G116" s="50">
        <f>IFERROR(INDEX(tbl_Finance[Ex GST],$A116),"")</f>
        <v/>
      </c>
      <c r="H116" s="48">
        <f>IFERROR(INDEX(tbl_Finance[Defer Start],$A116),"")</f>
        <v/>
      </c>
      <c r="I116" s="48">
        <f>IFERROR(INDEX(tbl_Finance[Defer End],$A116),"")</f>
        <v/>
      </c>
      <c r="J116" s="47">
        <f>IF(OR($H116="",$I116="",$G116=""),"",MAX(1,(YEAR($I116)-YEAR($H116))*12+MONTH($I116)-MONTH($H116)+1))</f>
        <v/>
      </c>
      <c r="K116" s="50">
        <f>IF($J116="","",$G116/$J116)</f>
        <v/>
      </c>
      <c r="L116" s="50">
        <f>IF($J116="",0,$K116*MAX(0,MIN(YEAR($C$3)*12+MONTH($C$3),YEAR($I116)*12+MONTH($I116))-(YEAR($H116)*12+MONTH($H116))+1))</f>
        <v/>
      </c>
      <c r="M116" s="50">
        <f>IF($J116="",0,$K116*MAX(0,MIN(YEAR($C$3)*12+MONTH($C$3)-1,YEAR($I116)*12+MONTH($I116))-(YEAR($H116)*12+MONTH($H116))+1))</f>
        <v/>
      </c>
      <c r="N116" s="50">
        <f>IF(OR($J116="",$B116=""),0,IF(YEAR($B116)*12+MONTH($B116)&lt;=YEAR($C$3)*12+MONTH($C$3),$G116,0))</f>
        <v/>
      </c>
      <c r="O116" s="50">
        <f>IF(OR($J116="",$B116=""),0,IF(YEAR($B116)*12+MONTH($B116)&lt;=YEAR($C$3)*12+MONTH($C$3)-1,$G116,0))</f>
        <v/>
      </c>
      <c r="P116" s="50">
        <f>$M116-$O116</f>
        <v/>
      </c>
      <c r="Q116" s="50">
        <f>($L116-$M116)-($N116-$O116)</f>
        <v/>
      </c>
      <c r="R116" s="50">
        <f>$L116-$N116</f>
        <v/>
      </c>
    </row>
    <row r="117">
      <c r="A117" s="47">
        <f>ROW()-5</f>
        <v/>
      </c>
      <c r="B117" s="48">
        <f>IFERROR(INDEX(tbl_Finance[Date],$A117),"")</f>
        <v/>
      </c>
      <c r="C117" s="49">
        <f>IFERROR(INDEX(tbl_Finance[Xero Invoice No],$A117),"")</f>
        <v/>
      </c>
      <c r="D117" s="49">
        <f>IFERROR(INDEX(tbl_Finance[Client],$A117),"")</f>
        <v/>
      </c>
      <c r="E117" s="49">
        <f>IFERROR(INDEX(tbl_Finance[Job Number],$A117),"")</f>
        <v/>
      </c>
      <c r="F117" s="49">
        <f>IFERROR(INDEX(tbl_Finance[Cost Centre],$A117),"")</f>
        <v/>
      </c>
      <c r="G117" s="50">
        <f>IFERROR(INDEX(tbl_Finance[Ex GST],$A117),"")</f>
        <v/>
      </c>
      <c r="H117" s="48">
        <f>IFERROR(INDEX(tbl_Finance[Defer Start],$A117),"")</f>
        <v/>
      </c>
      <c r="I117" s="48">
        <f>IFERROR(INDEX(tbl_Finance[Defer End],$A117),"")</f>
        <v/>
      </c>
      <c r="J117" s="47">
        <f>IF(OR($H117="",$I117="",$G117=""),"",MAX(1,(YEAR($I117)-YEAR($H117))*12+MONTH($I117)-MONTH($H117)+1))</f>
        <v/>
      </c>
      <c r="K117" s="50">
        <f>IF($J117="","",$G117/$J117)</f>
        <v/>
      </c>
      <c r="L117" s="50">
        <f>IF($J117="",0,$K117*MAX(0,MIN(YEAR($C$3)*12+MONTH($C$3),YEAR($I117)*12+MONTH($I117))-(YEAR($H117)*12+MONTH($H117))+1))</f>
        <v/>
      </c>
      <c r="M117" s="50">
        <f>IF($J117="",0,$K117*MAX(0,MIN(YEAR($C$3)*12+MONTH($C$3)-1,YEAR($I117)*12+MONTH($I117))-(YEAR($H117)*12+MONTH($H117))+1))</f>
        <v/>
      </c>
      <c r="N117" s="50">
        <f>IF(OR($J117="",$B117=""),0,IF(YEAR($B117)*12+MONTH($B117)&lt;=YEAR($C$3)*12+MONTH($C$3),$G117,0))</f>
        <v/>
      </c>
      <c r="O117" s="50">
        <f>IF(OR($J117="",$B117=""),0,IF(YEAR($B117)*12+MONTH($B117)&lt;=YEAR($C$3)*12+MONTH($C$3)-1,$G117,0))</f>
        <v/>
      </c>
      <c r="P117" s="50">
        <f>$M117-$O117</f>
        <v/>
      </c>
      <c r="Q117" s="50">
        <f>($L117-$M117)-($N117-$O117)</f>
        <v/>
      </c>
      <c r="R117" s="50">
        <f>$L117-$N117</f>
        <v/>
      </c>
    </row>
    <row r="118">
      <c r="A118" s="47">
        <f>ROW()-5</f>
        <v/>
      </c>
      <c r="B118" s="48">
        <f>IFERROR(INDEX(tbl_Finance[Date],$A118),"")</f>
        <v/>
      </c>
      <c r="C118" s="49">
        <f>IFERROR(INDEX(tbl_Finance[Xero Invoice No],$A118),"")</f>
        <v/>
      </c>
      <c r="D118" s="49">
        <f>IFERROR(INDEX(tbl_Finance[Client],$A118),"")</f>
        <v/>
      </c>
      <c r="E118" s="49">
        <f>IFERROR(INDEX(tbl_Finance[Job Number],$A118),"")</f>
        <v/>
      </c>
      <c r="F118" s="49">
        <f>IFERROR(INDEX(tbl_Finance[Cost Centre],$A118),"")</f>
        <v/>
      </c>
      <c r="G118" s="50">
        <f>IFERROR(INDEX(tbl_Finance[Ex GST],$A118),"")</f>
        <v/>
      </c>
      <c r="H118" s="48">
        <f>IFERROR(INDEX(tbl_Finance[Defer Start],$A118),"")</f>
        <v/>
      </c>
      <c r="I118" s="48">
        <f>IFERROR(INDEX(tbl_Finance[Defer End],$A118),"")</f>
        <v/>
      </c>
      <c r="J118" s="47">
        <f>IF(OR($H118="",$I118="",$G118=""),"",MAX(1,(YEAR($I118)-YEAR($H118))*12+MONTH($I118)-MONTH($H118)+1))</f>
        <v/>
      </c>
      <c r="K118" s="50">
        <f>IF($J118="","",$G118/$J118)</f>
        <v/>
      </c>
      <c r="L118" s="50">
        <f>IF($J118="",0,$K118*MAX(0,MIN(YEAR($C$3)*12+MONTH($C$3),YEAR($I118)*12+MONTH($I118))-(YEAR($H118)*12+MONTH($H118))+1))</f>
        <v/>
      </c>
      <c r="M118" s="50">
        <f>IF($J118="",0,$K118*MAX(0,MIN(YEAR($C$3)*12+MONTH($C$3)-1,YEAR($I118)*12+MONTH($I118))-(YEAR($H118)*12+MONTH($H118))+1))</f>
        <v/>
      </c>
      <c r="N118" s="50">
        <f>IF(OR($J118="",$B118=""),0,IF(YEAR($B118)*12+MONTH($B118)&lt;=YEAR($C$3)*12+MONTH($C$3),$G118,0))</f>
        <v/>
      </c>
      <c r="O118" s="50">
        <f>IF(OR($J118="",$B118=""),0,IF(YEAR($B118)*12+MONTH($B118)&lt;=YEAR($C$3)*12+MONTH($C$3)-1,$G118,0))</f>
        <v/>
      </c>
      <c r="P118" s="50">
        <f>$M118-$O118</f>
        <v/>
      </c>
      <c r="Q118" s="50">
        <f>($L118-$M118)-($N118-$O118)</f>
        <v/>
      </c>
      <c r="R118" s="50">
        <f>$L118-$N118</f>
        <v/>
      </c>
    </row>
    <row r="119">
      <c r="A119" s="47">
        <f>ROW()-5</f>
        <v/>
      </c>
      <c r="B119" s="48">
        <f>IFERROR(INDEX(tbl_Finance[Date],$A119),"")</f>
        <v/>
      </c>
      <c r="C119" s="49">
        <f>IFERROR(INDEX(tbl_Finance[Xero Invoice No],$A119),"")</f>
        <v/>
      </c>
      <c r="D119" s="49">
        <f>IFERROR(INDEX(tbl_Finance[Client],$A119),"")</f>
        <v/>
      </c>
      <c r="E119" s="49">
        <f>IFERROR(INDEX(tbl_Finance[Job Number],$A119),"")</f>
        <v/>
      </c>
      <c r="F119" s="49">
        <f>IFERROR(INDEX(tbl_Finance[Cost Centre],$A119),"")</f>
        <v/>
      </c>
      <c r="G119" s="50">
        <f>IFERROR(INDEX(tbl_Finance[Ex GST],$A119),"")</f>
        <v/>
      </c>
      <c r="H119" s="48">
        <f>IFERROR(INDEX(tbl_Finance[Defer Start],$A119),"")</f>
        <v/>
      </c>
      <c r="I119" s="48">
        <f>IFERROR(INDEX(tbl_Finance[Defer End],$A119),"")</f>
        <v/>
      </c>
      <c r="J119" s="47">
        <f>IF(OR($H119="",$I119="",$G119=""),"",MAX(1,(YEAR($I119)-YEAR($H119))*12+MONTH($I119)-MONTH($H119)+1))</f>
        <v/>
      </c>
      <c r="K119" s="50">
        <f>IF($J119="","",$G119/$J119)</f>
        <v/>
      </c>
      <c r="L119" s="50">
        <f>IF($J119="",0,$K119*MAX(0,MIN(YEAR($C$3)*12+MONTH($C$3),YEAR($I119)*12+MONTH($I119))-(YEAR($H119)*12+MONTH($H119))+1))</f>
        <v/>
      </c>
      <c r="M119" s="50">
        <f>IF($J119="",0,$K119*MAX(0,MIN(YEAR($C$3)*12+MONTH($C$3)-1,YEAR($I119)*12+MONTH($I119))-(YEAR($H119)*12+MONTH($H119))+1))</f>
        <v/>
      </c>
      <c r="N119" s="50">
        <f>IF(OR($J119="",$B119=""),0,IF(YEAR($B119)*12+MONTH($B119)&lt;=YEAR($C$3)*12+MONTH($C$3),$G119,0))</f>
        <v/>
      </c>
      <c r="O119" s="50">
        <f>IF(OR($J119="",$B119=""),0,IF(YEAR($B119)*12+MONTH($B119)&lt;=YEAR($C$3)*12+MONTH($C$3)-1,$G119,0))</f>
        <v/>
      </c>
      <c r="P119" s="50">
        <f>$M119-$O119</f>
        <v/>
      </c>
      <c r="Q119" s="50">
        <f>($L119-$M119)-($N119-$O119)</f>
        <v/>
      </c>
      <c r="R119" s="50">
        <f>$L119-$N119</f>
        <v/>
      </c>
    </row>
    <row r="120">
      <c r="A120" s="47">
        <f>ROW()-5</f>
        <v/>
      </c>
      <c r="B120" s="48">
        <f>IFERROR(INDEX(tbl_Finance[Date],$A120),"")</f>
        <v/>
      </c>
      <c r="C120" s="49">
        <f>IFERROR(INDEX(tbl_Finance[Xero Invoice No],$A120),"")</f>
        <v/>
      </c>
      <c r="D120" s="49">
        <f>IFERROR(INDEX(tbl_Finance[Client],$A120),"")</f>
        <v/>
      </c>
      <c r="E120" s="49">
        <f>IFERROR(INDEX(tbl_Finance[Job Number],$A120),"")</f>
        <v/>
      </c>
      <c r="F120" s="49">
        <f>IFERROR(INDEX(tbl_Finance[Cost Centre],$A120),"")</f>
        <v/>
      </c>
      <c r="G120" s="50">
        <f>IFERROR(INDEX(tbl_Finance[Ex GST],$A120),"")</f>
        <v/>
      </c>
      <c r="H120" s="48">
        <f>IFERROR(INDEX(tbl_Finance[Defer Start],$A120),"")</f>
        <v/>
      </c>
      <c r="I120" s="48">
        <f>IFERROR(INDEX(tbl_Finance[Defer End],$A120),"")</f>
        <v/>
      </c>
      <c r="J120" s="47">
        <f>IF(OR($H120="",$I120="",$G120=""),"",MAX(1,(YEAR($I120)-YEAR($H120))*12+MONTH($I120)-MONTH($H120)+1))</f>
        <v/>
      </c>
      <c r="K120" s="50">
        <f>IF($J120="","",$G120/$J120)</f>
        <v/>
      </c>
      <c r="L120" s="50">
        <f>IF($J120="",0,$K120*MAX(0,MIN(YEAR($C$3)*12+MONTH($C$3),YEAR($I120)*12+MONTH($I120))-(YEAR($H120)*12+MONTH($H120))+1))</f>
        <v/>
      </c>
      <c r="M120" s="50">
        <f>IF($J120="",0,$K120*MAX(0,MIN(YEAR($C$3)*12+MONTH($C$3)-1,YEAR($I120)*12+MONTH($I120))-(YEAR($H120)*12+MONTH($H120))+1))</f>
        <v/>
      </c>
      <c r="N120" s="50">
        <f>IF(OR($J120="",$B120=""),0,IF(YEAR($B120)*12+MONTH($B120)&lt;=YEAR($C$3)*12+MONTH($C$3),$G120,0))</f>
        <v/>
      </c>
      <c r="O120" s="50">
        <f>IF(OR($J120="",$B120=""),0,IF(YEAR($B120)*12+MONTH($B120)&lt;=YEAR($C$3)*12+MONTH($C$3)-1,$G120,0))</f>
        <v/>
      </c>
      <c r="P120" s="50">
        <f>$M120-$O120</f>
        <v/>
      </c>
      <c r="Q120" s="50">
        <f>($L120-$M120)-($N120-$O120)</f>
        <v/>
      </c>
      <c r="R120" s="50">
        <f>$L120-$N120</f>
        <v/>
      </c>
    </row>
    <row r="121">
      <c r="A121" s="47">
        <f>ROW()-5</f>
        <v/>
      </c>
      <c r="B121" s="48">
        <f>IFERROR(INDEX(tbl_Finance[Date],$A121),"")</f>
        <v/>
      </c>
      <c r="C121" s="49">
        <f>IFERROR(INDEX(tbl_Finance[Xero Invoice No],$A121),"")</f>
        <v/>
      </c>
      <c r="D121" s="49">
        <f>IFERROR(INDEX(tbl_Finance[Client],$A121),"")</f>
        <v/>
      </c>
      <c r="E121" s="49">
        <f>IFERROR(INDEX(tbl_Finance[Job Number],$A121),"")</f>
        <v/>
      </c>
      <c r="F121" s="49">
        <f>IFERROR(INDEX(tbl_Finance[Cost Centre],$A121),"")</f>
        <v/>
      </c>
      <c r="G121" s="50">
        <f>IFERROR(INDEX(tbl_Finance[Ex GST],$A121),"")</f>
        <v/>
      </c>
      <c r="H121" s="48">
        <f>IFERROR(INDEX(tbl_Finance[Defer Start],$A121),"")</f>
        <v/>
      </c>
      <c r="I121" s="48">
        <f>IFERROR(INDEX(tbl_Finance[Defer End],$A121),"")</f>
        <v/>
      </c>
      <c r="J121" s="47">
        <f>IF(OR($H121="",$I121="",$G121=""),"",MAX(1,(YEAR($I121)-YEAR($H121))*12+MONTH($I121)-MONTH($H121)+1))</f>
        <v/>
      </c>
      <c r="K121" s="50">
        <f>IF($J121="","",$G121/$J121)</f>
        <v/>
      </c>
      <c r="L121" s="50">
        <f>IF($J121="",0,$K121*MAX(0,MIN(YEAR($C$3)*12+MONTH($C$3),YEAR($I121)*12+MONTH($I121))-(YEAR($H121)*12+MONTH($H121))+1))</f>
        <v/>
      </c>
      <c r="M121" s="50">
        <f>IF($J121="",0,$K121*MAX(0,MIN(YEAR($C$3)*12+MONTH($C$3)-1,YEAR($I121)*12+MONTH($I121))-(YEAR($H121)*12+MONTH($H121))+1))</f>
        <v/>
      </c>
      <c r="N121" s="50">
        <f>IF(OR($J121="",$B121=""),0,IF(YEAR($B121)*12+MONTH($B121)&lt;=YEAR($C$3)*12+MONTH($C$3),$G121,0))</f>
        <v/>
      </c>
      <c r="O121" s="50">
        <f>IF(OR($J121="",$B121=""),0,IF(YEAR($B121)*12+MONTH($B121)&lt;=YEAR($C$3)*12+MONTH($C$3)-1,$G121,0))</f>
        <v/>
      </c>
      <c r="P121" s="50">
        <f>$M121-$O121</f>
        <v/>
      </c>
      <c r="Q121" s="50">
        <f>($L121-$M121)-($N121-$O121)</f>
        <v/>
      </c>
      <c r="R121" s="50">
        <f>$L121-$N121</f>
        <v/>
      </c>
    </row>
    <row r="122">
      <c r="A122" s="47">
        <f>ROW()-5</f>
        <v/>
      </c>
      <c r="B122" s="48">
        <f>IFERROR(INDEX(tbl_Finance[Date],$A122),"")</f>
        <v/>
      </c>
      <c r="C122" s="49">
        <f>IFERROR(INDEX(tbl_Finance[Xero Invoice No],$A122),"")</f>
        <v/>
      </c>
      <c r="D122" s="49">
        <f>IFERROR(INDEX(tbl_Finance[Client],$A122),"")</f>
        <v/>
      </c>
      <c r="E122" s="49">
        <f>IFERROR(INDEX(tbl_Finance[Job Number],$A122),"")</f>
        <v/>
      </c>
      <c r="F122" s="49">
        <f>IFERROR(INDEX(tbl_Finance[Cost Centre],$A122),"")</f>
        <v/>
      </c>
      <c r="G122" s="50">
        <f>IFERROR(INDEX(tbl_Finance[Ex GST],$A122),"")</f>
        <v/>
      </c>
      <c r="H122" s="48">
        <f>IFERROR(INDEX(tbl_Finance[Defer Start],$A122),"")</f>
        <v/>
      </c>
      <c r="I122" s="48">
        <f>IFERROR(INDEX(tbl_Finance[Defer End],$A122),"")</f>
        <v/>
      </c>
      <c r="J122" s="47">
        <f>IF(OR($H122="",$I122="",$G122=""),"",MAX(1,(YEAR($I122)-YEAR($H122))*12+MONTH($I122)-MONTH($H122)+1))</f>
        <v/>
      </c>
      <c r="K122" s="50">
        <f>IF($J122="","",$G122/$J122)</f>
        <v/>
      </c>
      <c r="L122" s="50">
        <f>IF($J122="",0,$K122*MAX(0,MIN(YEAR($C$3)*12+MONTH($C$3),YEAR($I122)*12+MONTH($I122))-(YEAR($H122)*12+MONTH($H122))+1))</f>
        <v/>
      </c>
      <c r="M122" s="50">
        <f>IF($J122="",0,$K122*MAX(0,MIN(YEAR($C$3)*12+MONTH($C$3)-1,YEAR($I122)*12+MONTH($I122))-(YEAR($H122)*12+MONTH($H122))+1))</f>
        <v/>
      </c>
      <c r="N122" s="50">
        <f>IF(OR($J122="",$B122=""),0,IF(YEAR($B122)*12+MONTH($B122)&lt;=YEAR($C$3)*12+MONTH($C$3),$G122,0))</f>
        <v/>
      </c>
      <c r="O122" s="50">
        <f>IF(OR($J122="",$B122=""),0,IF(YEAR($B122)*12+MONTH($B122)&lt;=YEAR($C$3)*12+MONTH($C$3)-1,$G122,0))</f>
        <v/>
      </c>
      <c r="P122" s="50">
        <f>$M122-$O122</f>
        <v/>
      </c>
      <c r="Q122" s="50">
        <f>($L122-$M122)-($N122-$O122)</f>
        <v/>
      </c>
      <c r="R122" s="50">
        <f>$L122-$N122</f>
        <v/>
      </c>
    </row>
    <row r="123">
      <c r="A123" s="47">
        <f>ROW()-5</f>
        <v/>
      </c>
      <c r="B123" s="48">
        <f>IFERROR(INDEX(tbl_Finance[Date],$A123),"")</f>
        <v/>
      </c>
      <c r="C123" s="49">
        <f>IFERROR(INDEX(tbl_Finance[Xero Invoice No],$A123),"")</f>
        <v/>
      </c>
      <c r="D123" s="49">
        <f>IFERROR(INDEX(tbl_Finance[Client],$A123),"")</f>
        <v/>
      </c>
      <c r="E123" s="49">
        <f>IFERROR(INDEX(tbl_Finance[Job Number],$A123),"")</f>
        <v/>
      </c>
      <c r="F123" s="49">
        <f>IFERROR(INDEX(tbl_Finance[Cost Centre],$A123),"")</f>
        <v/>
      </c>
      <c r="G123" s="50">
        <f>IFERROR(INDEX(tbl_Finance[Ex GST],$A123),"")</f>
        <v/>
      </c>
      <c r="H123" s="48">
        <f>IFERROR(INDEX(tbl_Finance[Defer Start],$A123),"")</f>
        <v/>
      </c>
      <c r="I123" s="48">
        <f>IFERROR(INDEX(tbl_Finance[Defer End],$A123),"")</f>
        <v/>
      </c>
      <c r="J123" s="47">
        <f>IF(OR($H123="",$I123="",$G123=""),"",MAX(1,(YEAR($I123)-YEAR($H123))*12+MONTH($I123)-MONTH($H123)+1))</f>
        <v/>
      </c>
      <c r="K123" s="50">
        <f>IF($J123="","",$G123/$J123)</f>
        <v/>
      </c>
      <c r="L123" s="50">
        <f>IF($J123="",0,$K123*MAX(0,MIN(YEAR($C$3)*12+MONTH($C$3),YEAR($I123)*12+MONTH($I123))-(YEAR($H123)*12+MONTH($H123))+1))</f>
        <v/>
      </c>
      <c r="M123" s="50">
        <f>IF($J123="",0,$K123*MAX(0,MIN(YEAR($C$3)*12+MONTH($C$3)-1,YEAR($I123)*12+MONTH($I123))-(YEAR($H123)*12+MONTH($H123))+1))</f>
        <v/>
      </c>
      <c r="N123" s="50">
        <f>IF(OR($J123="",$B123=""),0,IF(YEAR($B123)*12+MONTH($B123)&lt;=YEAR($C$3)*12+MONTH($C$3),$G123,0))</f>
        <v/>
      </c>
      <c r="O123" s="50">
        <f>IF(OR($J123="",$B123=""),0,IF(YEAR($B123)*12+MONTH($B123)&lt;=YEAR($C$3)*12+MONTH($C$3)-1,$G123,0))</f>
        <v/>
      </c>
      <c r="P123" s="50">
        <f>$M123-$O123</f>
        <v/>
      </c>
      <c r="Q123" s="50">
        <f>($L123-$M123)-($N123-$O123)</f>
        <v/>
      </c>
      <c r="R123" s="50">
        <f>$L123-$N123</f>
        <v/>
      </c>
    </row>
    <row r="124">
      <c r="A124" s="47">
        <f>ROW()-5</f>
        <v/>
      </c>
      <c r="B124" s="48">
        <f>IFERROR(INDEX(tbl_Finance[Date],$A124),"")</f>
        <v/>
      </c>
      <c r="C124" s="49">
        <f>IFERROR(INDEX(tbl_Finance[Xero Invoice No],$A124),"")</f>
        <v/>
      </c>
      <c r="D124" s="49">
        <f>IFERROR(INDEX(tbl_Finance[Client],$A124),"")</f>
        <v/>
      </c>
      <c r="E124" s="49">
        <f>IFERROR(INDEX(tbl_Finance[Job Number],$A124),"")</f>
        <v/>
      </c>
      <c r="F124" s="49">
        <f>IFERROR(INDEX(tbl_Finance[Cost Centre],$A124),"")</f>
        <v/>
      </c>
      <c r="G124" s="50">
        <f>IFERROR(INDEX(tbl_Finance[Ex GST],$A124),"")</f>
        <v/>
      </c>
      <c r="H124" s="48">
        <f>IFERROR(INDEX(tbl_Finance[Defer Start],$A124),"")</f>
        <v/>
      </c>
      <c r="I124" s="48">
        <f>IFERROR(INDEX(tbl_Finance[Defer End],$A124),"")</f>
        <v/>
      </c>
      <c r="J124" s="47">
        <f>IF(OR($H124="",$I124="",$G124=""),"",MAX(1,(YEAR($I124)-YEAR($H124))*12+MONTH($I124)-MONTH($H124)+1))</f>
        <v/>
      </c>
      <c r="K124" s="50">
        <f>IF($J124="","",$G124/$J124)</f>
        <v/>
      </c>
      <c r="L124" s="50">
        <f>IF($J124="",0,$K124*MAX(0,MIN(YEAR($C$3)*12+MONTH($C$3),YEAR($I124)*12+MONTH($I124))-(YEAR($H124)*12+MONTH($H124))+1))</f>
        <v/>
      </c>
      <c r="M124" s="50">
        <f>IF($J124="",0,$K124*MAX(0,MIN(YEAR($C$3)*12+MONTH($C$3)-1,YEAR($I124)*12+MONTH($I124))-(YEAR($H124)*12+MONTH($H124))+1))</f>
        <v/>
      </c>
      <c r="N124" s="50">
        <f>IF(OR($J124="",$B124=""),0,IF(YEAR($B124)*12+MONTH($B124)&lt;=YEAR($C$3)*12+MONTH($C$3),$G124,0))</f>
        <v/>
      </c>
      <c r="O124" s="50">
        <f>IF(OR($J124="",$B124=""),0,IF(YEAR($B124)*12+MONTH($B124)&lt;=YEAR($C$3)*12+MONTH($C$3)-1,$G124,0))</f>
        <v/>
      </c>
      <c r="P124" s="50">
        <f>$M124-$O124</f>
        <v/>
      </c>
      <c r="Q124" s="50">
        <f>($L124-$M124)-($N124-$O124)</f>
        <v/>
      </c>
      <c r="R124" s="50">
        <f>$L124-$N124</f>
        <v/>
      </c>
    </row>
    <row r="125">
      <c r="A125" s="47">
        <f>ROW()-5</f>
        <v/>
      </c>
      <c r="B125" s="48">
        <f>IFERROR(INDEX(tbl_Finance[Date],$A125),"")</f>
        <v/>
      </c>
      <c r="C125" s="49">
        <f>IFERROR(INDEX(tbl_Finance[Xero Invoice No],$A125),"")</f>
        <v/>
      </c>
      <c r="D125" s="49">
        <f>IFERROR(INDEX(tbl_Finance[Client],$A125),"")</f>
        <v/>
      </c>
      <c r="E125" s="49">
        <f>IFERROR(INDEX(tbl_Finance[Job Number],$A125),"")</f>
        <v/>
      </c>
      <c r="F125" s="49">
        <f>IFERROR(INDEX(tbl_Finance[Cost Centre],$A125),"")</f>
        <v/>
      </c>
      <c r="G125" s="50">
        <f>IFERROR(INDEX(tbl_Finance[Ex GST],$A125),"")</f>
        <v/>
      </c>
      <c r="H125" s="48">
        <f>IFERROR(INDEX(tbl_Finance[Defer Start],$A125),"")</f>
        <v/>
      </c>
      <c r="I125" s="48">
        <f>IFERROR(INDEX(tbl_Finance[Defer End],$A125),"")</f>
        <v/>
      </c>
      <c r="J125" s="47">
        <f>IF(OR($H125="",$I125="",$G125=""),"",MAX(1,(YEAR($I125)-YEAR($H125))*12+MONTH($I125)-MONTH($H125)+1))</f>
        <v/>
      </c>
      <c r="K125" s="50">
        <f>IF($J125="","",$G125/$J125)</f>
        <v/>
      </c>
      <c r="L125" s="50">
        <f>IF($J125="",0,$K125*MAX(0,MIN(YEAR($C$3)*12+MONTH($C$3),YEAR($I125)*12+MONTH($I125))-(YEAR($H125)*12+MONTH($H125))+1))</f>
        <v/>
      </c>
      <c r="M125" s="50">
        <f>IF($J125="",0,$K125*MAX(0,MIN(YEAR($C$3)*12+MONTH($C$3)-1,YEAR($I125)*12+MONTH($I125))-(YEAR($H125)*12+MONTH($H125))+1))</f>
        <v/>
      </c>
      <c r="N125" s="50">
        <f>IF(OR($J125="",$B125=""),0,IF(YEAR($B125)*12+MONTH($B125)&lt;=YEAR($C$3)*12+MONTH($C$3),$G125,0))</f>
        <v/>
      </c>
      <c r="O125" s="50">
        <f>IF(OR($J125="",$B125=""),0,IF(YEAR($B125)*12+MONTH($B125)&lt;=YEAR($C$3)*12+MONTH($C$3)-1,$G125,0))</f>
        <v/>
      </c>
      <c r="P125" s="50">
        <f>$M125-$O125</f>
        <v/>
      </c>
      <c r="Q125" s="50">
        <f>($L125-$M125)-($N125-$O125)</f>
        <v/>
      </c>
      <c r="R125" s="50">
        <f>$L125-$N125</f>
        <v/>
      </c>
    </row>
    <row r="126">
      <c r="A126" s="47">
        <f>ROW()-5</f>
        <v/>
      </c>
      <c r="B126" s="48">
        <f>IFERROR(INDEX(tbl_Finance[Date],$A126),"")</f>
        <v/>
      </c>
      <c r="C126" s="49">
        <f>IFERROR(INDEX(tbl_Finance[Xero Invoice No],$A126),"")</f>
        <v/>
      </c>
      <c r="D126" s="49">
        <f>IFERROR(INDEX(tbl_Finance[Client],$A126),"")</f>
        <v/>
      </c>
      <c r="E126" s="49">
        <f>IFERROR(INDEX(tbl_Finance[Job Number],$A126),"")</f>
        <v/>
      </c>
      <c r="F126" s="49">
        <f>IFERROR(INDEX(tbl_Finance[Cost Centre],$A126),"")</f>
        <v/>
      </c>
      <c r="G126" s="50">
        <f>IFERROR(INDEX(tbl_Finance[Ex GST],$A126),"")</f>
        <v/>
      </c>
      <c r="H126" s="48">
        <f>IFERROR(INDEX(tbl_Finance[Defer Start],$A126),"")</f>
        <v/>
      </c>
      <c r="I126" s="48">
        <f>IFERROR(INDEX(tbl_Finance[Defer End],$A126),"")</f>
        <v/>
      </c>
      <c r="J126" s="47">
        <f>IF(OR($H126="",$I126="",$G126=""),"",MAX(1,(YEAR($I126)-YEAR($H126))*12+MONTH($I126)-MONTH($H126)+1))</f>
        <v/>
      </c>
      <c r="K126" s="50">
        <f>IF($J126="","",$G126/$J126)</f>
        <v/>
      </c>
      <c r="L126" s="50">
        <f>IF($J126="",0,$K126*MAX(0,MIN(YEAR($C$3)*12+MONTH($C$3),YEAR($I126)*12+MONTH($I126))-(YEAR($H126)*12+MONTH($H126))+1))</f>
        <v/>
      </c>
      <c r="M126" s="50">
        <f>IF($J126="",0,$K126*MAX(0,MIN(YEAR($C$3)*12+MONTH($C$3)-1,YEAR($I126)*12+MONTH($I126))-(YEAR($H126)*12+MONTH($H126))+1))</f>
        <v/>
      </c>
      <c r="N126" s="50">
        <f>IF(OR($J126="",$B126=""),0,IF(YEAR($B126)*12+MONTH($B126)&lt;=YEAR($C$3)*12+MONTH($C$3),$G126,0))</f>
        <v/>
      </c>
      <c r="O126" s="50">
        <f>IF(OR($J126="",$B126=""),0,IF(YEAR($B126)*12+MONTH($B126)&lt;=YEAR($C$3)*12+MONTH($C$3)-1,$G126,0))</f>
        <v/>
      </c>
      <c r="P126" s="50">
        <f>$M126-$O126</f>
        <v/>
      </c>
      <c r="Q126" s="50">
        <f>($L126-$M126)-($N126-$O126)</f>
        <v/>
      </c>
      <c r="R126" s="50">
        <f>$L126-$N126</f>
        <v/>
      </c>
    </row>
    <row r="127">
      <c r="A127" s="47">
        <f>ROW()-5</f>
        <v/>
      </c>
      <c r="B127" s="48">
        <f>IFERROR(INDEX(tbl_Finance[Date],$A127),"")</f>
        <v/>
      </c>
      <c r="C127" s="49">
        <f>IFERROR(INDEX(tbl_Finance[Xero Invoice No],$A127),"")</f>
        <v/>
      </c>
      <c r="D127" s="49">
        <f>IFERROR(INDEX(tbl_Finance[Client],$A127),"")</f>
        <v/>
      </c>
      <c r="E127" s="49">
        <f>IFERROR(INDEX(tbl_Finance[Job Number],$A127),"")</f>
        <v/>
      </c>
      <c r="F127" s="49">
        <f>IFERROR(INDEX(tbl_Finance[Cost Centre],$A127),"")</f>
        <v/>
      </c>
      <c r="G127" s="50">
        <f>IFERROR(INDEX(tbl_Finance[Ex GST],$A127),"")</f>
        <v/>
      </c>
      <c r="H127" s="48">
        <f>IFERROR(INDEX(tbl_Finance[Defer Start],$A127),"")</f>
        <v/>
      </c>
      <c r="I127" s="48">
        <f>IFERROR(INDEX(tbl_Finance[Defer End],$A127),"")</f>
        <v/>
      </c>
      <c r="J127" s="47">
        <f>IF(OR($H127="",$I127="",$G127=""),"",MAX(1,(YEAR($I127)-YEAR($H127))*12+MONTH($I127)-MONTH($H127)+1))</f>
        <v/>
      </c>
      <c r="K127" s="50">
        <f>IF($J127="","",$G127/$J127)</f>
        <v/>
      </c>
      <c r="L127" s="50">
        <f>IF($J127="",0,$K127*MAX(0,MIN(YEAR($C$3)*12+MONTH($C$3),YEAR($I127)*12+MONTH($I127))-(YEAR($H127)*12+MONTH($H127))+1))</f>
        <v/>
      </c>
      <c r="M127" s="50">
        <f>IF($J127="",0,$K127*MAX(0,MIN(YEAR($C$3)*12+MONTH($C$3)-1,YEAR($I127)*12+MONTH($I127))-(YEAR($H127)*12+MONTH($H127))+1))</f>
        <v/>
      </c>
      <c r="N127" s="50">
        <f>IF(OR($J127="",$B127=""),0,IF(YEAR($B127)*12+MONTH($B127)&lt;=YEAR($C$3)*12+MONTH($C$3),$G127,0))</f>
        <v/>
      </c>
      <c r="O127" s="50">
        <f>IF(OR($J127="",$B127=""),0,IF(YEAR($B127)*12+MONTH($B127)&lt;=YEAR($C$3)*12+MONTH($C$3)-1,$G127,0))</f>
        <v/>
      </c>
      <c r="P127" s="50">
        <f>$M127-$O127</f>
        <v/>
      </c>
      <c r="Q127" s="50">
        <f>($L127-$M127)-($N127-$O127)</f>
        <v/>
      </c>
      <c r="R127" s="50">
        <f>$L127-$N127</f>
        <v/>
      </c>
    </row>
    <row r="128">
      <c r="A128" s="47">
        <f>ROW()-5</f>
        <v/>
      </c>
      <c r="B128" s="48">
        <f>IFERROR(INDEX(tbl_Finance[Date],$A128),"")</f>
        <v/>
      </c>
      <c r="C128" s="49">
        <f>IFERROR(INDEX(tbl_Finance[Xero Invoice No],$A128),"")</f>
        <v/>
      </c>
      <c r="D128" s="49">
        <f>IFERROR(INDEX(tbl_Finance[Client],$A128),"")</f>
        <v/>
      </c>
      <c r="E128" s="49">
        <f>IFERROR(INDEX(tbl_Finance[Job Number],$A128),"")</f>
        <v/>
      </c>
      <c r="F128" s="49">
        <f>IFERROR(INDEX(tbl_Finance[Cost Centre],$A128),"")</f>
        <v/>
      </c>
      <c r="G128" s="50">
        <f>IFERROR(INDEX(tbl_Finance[Ex GST],$A128),"")</f>
        <v/>
      </c>
      <c r="H128" s="48">
        <f>IFERROR(INDEX(tbl_Finance[Defer Start],$A128),"")</f>
        <v/>
      </c>
      <c r="I128" s="48">
        <f>IFERROR(INDEX(tbl_Finance[Defer End],$A128),"")</f>
        <v/>
      </c>
      <c r="J128" s="47">
        <f>IF(OR($H128="",$I128="",$G128=""),"",MAX(1,(YEAR($I128)-YEAR($H128))*12+MONTH($I128)-MONTH($H128)+1))</f>
        <v/>
      </c>
      <c r="K128" s="50">
        <f>IF($J128="","",$G128/$J128)</f>
        <v/>
      </c>
      <c r="L128" s="50">
        <f>IF($J128="",0,$K128*MAX(0,MIN(YEAR($C$3)*12+MONTH($C$3),YEAR($I128)*12+MONTH($I128))-(YEAR($H128)*12+MONTH($H128))+1))</f>
        <v/>
      </c>
      <c r="M128" s="50">
        <f>IF($J128="",0,$K128*MAX(0,MIN(YEAR($C$3)*12+MONTH($C$3)-1,YEAR($I128)*12+MONTH($I128))-(YEAR($H128)*12+MONTH($H128))+1))</f>
        <v/>
      </c>
      <c r="N128" s="50">
        <f>IF(OR($J128="",$B128=""),0,IF(YEAR($B128)*12+MONTH($B128)&lt;=YEAR($C$3)*12+MONTH($C$3),$G128,0))</f>
        <v/>
      </c>
      <c r="O128" s="50">
        <f>IF(OR($J128="",$B128=""),0,IF(YEAR($B128)*12+MONTH($B128)&lt;=YEAR($C$3)*12+MONTH($C$3)-1,$G128,0))</f>
        <v/>
      </c>
      <c r="P128" s="50">
        <f>$M128-$O128</f>
        <v/>
      </c>
      <c r="Q128" s="50">
        <f>($L128-$M128)-($N128-$O128)</f>
        <v/>
      </c>
      <c r="R128" s="50">
        <f>$L128-$N128</f>
        <v/>
      </c>
    </row>
    <row r="129">
      <c r="A129" s="47">
        <f>ROW()-5</f>
        <v/>
      </c>
      <c r="B129" s="48">
        <f>IFERROR(INDEX(tbl_Finance[Date],$A129),"")</f>
        <v/>
      </c>
      <c r="C129" s="49">
        <f>IFERROR(INDEX(tbl_Finance[Xero Invoice No],$A129),"")</f>
        <v/>
      </c>
      <c r="D129" s="49">
        <f>IFERROR(INDEX(tbl_Finance[Client],$A129),"")</f>
        <v/>
      </c>
      <c r="E129" s="49">
        <f>IFERROR(INDEX(tbl_Finance[Job Number],$A129),"")</f>
        <v/>
      </c>
      <c r="F129" s="49">
        <f>IFERROR(INDEX(tbl_Finance[Cost Centre],$A129),"")</f>
        <v/>
      </c>
      <c r="G129" s="50">
        <f>IFERROR(INDEX(tbl_Finance[Ex GST],$A129),"")</f>
        <v/>
      </c>
      <c r="H129" s="48">
        <f>IFERROR(INDEX(tbl_Finance[Defer Start],$A129),"")</f>
        <v/>
      </c>
      <c r="I129" s="48">
        <f>IFERROR(INDEX(tbl_Finance[Defer End],$A129),"")</f>
        <v/>
      </c>
      <c r="J129" s="47">
        <f>IF(OR($H129="",$I129="",$G129=""),"",MAX(1,(YEAR($I129)-YEAR($H129))*12+MONTH($I129)-MONTH($H129)+1))</f>
        <v/>
      </c>
      <c r="K129" s="50">
        <f>IF($J129="","",$G129/$J129)</f>
        <v/>
      </c>
      <c r="L129" s="50">
        <f>IF($J129="",0,$K129*MAX(0,MIN(YEAR($C$3)*12+MONTH($C$3),YEAR($I129)*12+MONTH($I129))-(YEAR($H129)*12+MONTH($H129))+1))</f>
        <v/>
      </c>
      <c r="M129" s="50">
        <f>IF($J129="",0,$K129*MAX(0,MIN(YEAR($C$3)*12+MONTH($C$3)-1,YEAR($I129)*12+MONTH($I129))-(YEAR($H129)*12+MONTH($H129))+1))</f>
        <v/>
      </c>
      <c r="N129" s="50">
        <f>IF(OR($J129="",$B129=""),0,IF(YEAR($B129)*12+MONTH($B129)&lt;=YEAR($C$3)*12+MONTH($C$3),$G129,0))</f>
        <v/>
      </c>
      <c r="O129" s="50">
        <f>IF(OR($J129="",$B129=""),0,IF(YEAR($B129)*12+MONTH($B129)&lt;=YEAR($C$3)*12+MONTH($C$3)-1,$G129,0))</f>
        <v/>
      </c>
      <c r="P129" s="50">
        <f>$M129-$O129</f>
        <v/>
      </c>
      <c r="Q129" s="50">
        <f>($L129-$M129)-($N129-$O129)</f>
        <v/>
      </c>
      <c r="R129" s="50">
        <f>$L129-$N129</f>
        <v/>
      </c>
    </row>
    <row r="130">
      <c r="A130" s="47">
        <f>ROW()-5</f>
        <v/>
      </c>
      <c r="B130" s="48">
        <f>IFERROR(INDEX(tbl_Finance[Date],$A130),"")</f>
        <v/>
      </c>
      <c r="C130" s="49">
        <f>IFERROR(INDEX(tbl_Finance[Xero Invoice No],$A130),"")</f>
        <v/>
      </c>
      <c r="D130" s="49">
        <f>IFERROR(INDEX(tbl_Finance[Client],$A130),"")</f>
        <v/>
      </c>
      <c r="E130" s="49">
        <f>IFERROR(INDEX(tbl_Finance[Job Number],$A130),"")</f>
        <v/>
      </c>
      <c r="F130" s="49">
        <f>IFERROR(INDEX(tbl_Finance[Cost Centre],$A130),"")</f>
        <v/>
      </c>
      <c r="G130" s="50">
        <f>IFERROR(INDEX(tbl_Finance[Ex GST],$A130),"")</f>
        <v/>
      </c>
      <c r="H130" s="48">
        <f>IFERROR(INDEX(tbl_Finance[Defer Start],$A130),"")</f>
        <v/>
      </c>
      <c r="I130" s="48">
        <f>IFERROR(INDEX(tbl_Finance[Defer End],$A130),"")</f>
        <v/>
      </c>
      <c r="J130" s="47">
        <f>IF(OR($H130="",$I130="",$G130=""),"",MAX(1,(YEAR($I130)-YEAR($H130))*12+MONTH($I130)-MONTH($H130)+1))</f>
        <v/>
      </c>
      <c r="K130" s="50">
        <f>IF($J130="","",$G130/$J130)</f>
        <v/>
      </c>
      <c r="L130" s="50">
        <f>IF($J130="",0,$K130*MAX(0,MIN(YEAR($C$3)*12+MONTH($C$3),YEAR($I130)*12+MONTH($I130))-(YEAR($H130)*12+MONTH($H130))+1))</f>
        <v/>
      </c>
      <c r="M130" s="50">
        <f>IF($J130="",0,$K130*MAX(0,MIN(YEAR($C$3)*12+MONTH($C$3)-1,YEAR($I130)*12+MONTH($I130))-(YEAR($H130)*12+MONTH($H130))+1))</f>
        <v/>
      </c>
      <c r="N130" s="50">
        <f>IF(OR($J130="",$B130=""),0,IF(YEAR($B130)*12+MONTH($B130)&lt;=YEAR($C$3)*12+MONTH($C$3),$G130,0))</f>
        <v/>
      </c>
      <c r="O130" s="50">
        <f>IF(OR($J130="",$B130=""),0,IF(YEAR($B130)*12+MONTH($B130)&lt;=YEAR($C$3)*12+MONTH($C$3)-1,$G130,0))</f>
        <v/>
      </c>
      <c r="P130" s="50">
        <f>$M130-$O130</f>
        <v/>
      </c>
      <c r="Q130" s="50">
        <f>($L130-$M130)-($N130-$O130)</f>
        <v/>
      </c>
      <c r="R130" s="50">
        <f>$L130-$N130</f>
        <v/>
      </c>
    </row>
    <row r="131">
      <c r="A131" s="47">
        <f>ROW()-5</f>
        <v/>
      </c>
      <c r="B131" s="48">
        <f>IFERROR(INDEX(tbl_Finance[Date],$A131),"")</f>
        <v/>
      </c>
      <c r="C131" s="49">
        <f>IFERROR(INDEX(tbl_Finance[Xero Invoice No],$A131),"")</f>
        <v/>
      </c>
      <c r="D131" s="49">
        <f>IFERROR(INDEX(tbl_Finance[Client],$A131),"")</f>
        <v/>
      </c>
      <c r="E131" s="49">
        <f>IFERROR(INDEX(tbl_Finance[Job Number],$A131),"")</f>
        <v/>
      </c>
      <c r="F131" s="49">
        <f>IFERROR(INDEX(tbl_Finance[Cost Centre],$A131),"")</f>
        <v/>
      </c>
      <c r="G131" s="50">
        <f>IFERROR(INDEX(tbl_Finance[Ex GST],$A131),"")</f>
        <v/>
      </c>
      <c r="H131" s="48">
        <f>IFERROR(INDEX(tbl_Finance[Defer Start],$A131),"")</f>
        <v/>
      </c>
      <c r="I131" s="48">
        <f>IFERROR(INDEX(tbl_Finance[Defer End],$A131),"")</f>
        <v/>
      </c>
      <c r="J131" s="47">
        <f>IF(OR($H131="",$I131="",$G131=""),"",MAX(1,(YEAR($I131)-YEAR($H131))*12+MONTH($I131)-MONTH($H131)+1))</f>
        <v/>
      </c>
      <c r="K131" s="50">
        <f>IF($J131="","",$G131/$J131)</f>
        <v/>
      </c>
      <c r="L131" s="50">
        <f>IF($J131="",0,$K131*MAX(0,MIN(YEAR($C$3)*12+MONTH($C$3),YEAR($I131)*12+MONTH($I131))-(YEAR($H131)*12+MONTH($H131))+1))</f>
        <v/>
      </c>
      <c r="M131" s="50">
        <f>IF($J131="",0,$K131*MAX(0,MIN(YEAR($C$3)*12+MONTH($C$3)-1,YEAR($I131)*12+MONTH($I131))-(YEAR($H131)*12+MONTH($H131))+1))</f>
        <v/>
      </c>
      <c r="N131" s="50">
        <f>IF(OR($J131="",$B131=""),0,IF(YEAR($B131)*12+MONTH($B131)&lt;=YEAR($C$3)*12+MONTH($C$3),$G131,0))</f>
        <v/>
      </c>
      <c r="O131" s="50">
        <f>IF(OR($J131="",$B131=""),0,IF(YEAR($B131)*12+MONTH($B131)&lt;=YEAR($C$3)*12+MONTH($C$3)-1,$G131,0))</f>
        <v/>
      </c>
      <c r="P131" s="50">
        <f>$M131-$O131</f>
        <v/>
      </c>
      <c r="Q131" s="50">
        <f>($L131-$M131)-($N131-$O131)</f>
        <v/>
      </c>
      <c r="R131" s="50">
        <f>$L131-$N131</f>
        <v/>
      </c>
    </row>
    <row r="132">
      <c r="A132" s="47">
        <f>ROW()-5</f>
        <v/>
      </c>
      <c r="B132" s="48">
        <f>IFERROR(INDEX(tbl_Finance[Date],$A132),"")</f>
        <v/>
      </c>
      <c r="C132" s="49">
        <f>IFERROR(INDEX(tbl_Finance[Xero Invoice No],$A132),"")</f>
        <v/>
      </c>
      <c r="D132" s="49">
        <f>IFERROR(INDEX(tbl_Finance[Client],$A132),"")</f>
        <v/>
      </c>
      <c r="E132" s="49">
        <f>IFERROR(INDEX(tbl_Finance[Job Number],$A132),"")</f>
        <v/>
      </c>
      <c r="F132" s="49">
        <f>IFERROR(INDEX(tbl_Finance[Cost Centre],$A132),"")</f>
        <v/>
      </c>
      <c r="G132" s="50">
        <f>IFERROR(INDEX(tbl_Finance[Ex GST],$A132),"")</f>
        <v/>
      </c>
      <c r="H132" s="48">
        <f>IFERROR(INDEX(tbl_Finance[Defer Start],$A132),"")</f>
        <v/>
      </c>
      <c r="I132" s="48">
        <f>IFERROR(INDEX(tbl_Finance[Defer End],$A132),"")</f>
        <v/>
      </c>
      <c r="J132" s="47">
        <f>IF(OR($H132="",$I132="",$G132=""),"",MAX(1,(YEAR($I132)-YEAR($H132))*12+MONTH($I132)-MONTH($H132)+1))</f>
        <v/>
      </c>
      <c r="K132" s="50">
        <f>IF($J132="","",$G132/$J132)</f>
        <v/>
      </c>
      <c r="L132" s="50">
        <f>IF($J132="",0,$K132*MAX(0,MIN(YEAR($C$3)*12+MONTH($C$3),YEAR($I132)*12+MONTH($I132))-(YEAR($H132)*12+MONTH($H132))+1))</f>
        <v/>
      </c>
      <c r="M132" s="50">
        <f>IF($J132="",0,$K132*MAX(0,MIN(YEAR($C$3)*12+MONTH($C$3)-1,YEAR($I132)*12+MONTH($I132))-(YEAR($H132)*12+MONTH($H132))+1))</f>
        <v/>
      </c>
      <c r="N132" s="50">
        <f>IF(OR($J132="",$B132=""),0,IF(YEAR($B132)*12+MONTH($B132)&lt;=YEAR($C$3)*12+MONTH($C$3),$G132,0))</f>
        <v/>
      </c>
      <c r="O132" s="50">
        <f>IF(OR($J132="",$B132=""),0,IF(YEAR($B132)*12+MONTH($B132)&lt;=YEAR($C$3)*12+MONTH($C$3)-1,$G132,0))</f>
        <v/>
      </c>
      <c r="P132" s="50">
        <f>$M132-$O132</f>
        <v/>
      </c>
      <c r="Q132" s="50">
        <f>($L132-$M132)-($N132-$O132)</f>
        <v/>
      </c>
      <c r="R132" s="50">
        <f>$L132-$N132</f>
        <v/>
      </c>
    </row>
    <row r="133">
      <c r="A133" s="47">
        <f>ROW()-5</f>
        <v/>
      </c>
      <c r="B133" s="48">
        <f>IFERROR(INDEX(tbl_Finance[Date],$A133),"")</f>
        <v/>
      </c>
      <c r="C133" s="49">
        <f>IFERROR(INDEX(tbl_Finance[Xero Invoice No],$A133),"")</f>
        <v/>
      </c>
      <c r="D133" s="49">
        <f>IFERROR(INDEX(tbl_Finance[Client],$A133),"")</f>
        <v/>
      </c>
      <c r="E133" s="49">
        <f>IFERROR(INDEX(tbl_Finance[Job Number],$A133),"")</f>
        <v/>
      </c>
      <c r="F133" s="49">
        <f>IFERROR(INDEX(tbl_Finance[Cost Centre],$A133),"")</f>
        <v/>
      </c>
      <c r="G133" s="50">
        <f>IFERROR(INDEX(tbl_Finance[Ex GST],$A133),"")</f>
        <v/>
      </c>
      <c r="H133" s="48">
        <f>IFERROR(INDEX(tbl_Finance[Defer Start],$A133),"")</f>
        <v/>
      </c>
      <c r="I133" s="48">
        <f>IFERROR(INDEX(tbl_Finance[Defer End],$A133),"")</f>
        <v/>
      </c>
      <c r="J133" s="47">
        <f>IF(OR($H133="",$I133="",$G133=""),"",MAX(1,(YEAR($I133)-YEAR($H133))*12+MONTH($I133)-MONTH($H133)+1))</f>
        <v/>
      </c>
      <c r="K133" s="50">
        <f>IF($J133="","",$G133/$J133)</f>
        <v/>
      </c>
      <c r="L133" s="50">
        <f>IF($J133="",0,$K133*MAX(0,MIN(YEAR($C$3)*12+MONTH($C$3),YEAR($I133)*12+MONTH($I133))-(YEAR($H133)*12+MONTH($H133))+1))</f>
        <v/>
      </c>
      <c r="M133" s="50">
        <f>IF($J133="",0,$K133*MAX(0,MIN(YEAR($C$3)*12+MONTH($C$3)-1,YEAR($I133)*12+MONTH($I133))-(YEAR($H133)*12+MONTH($H133))+1))</f>
        <v/>
      </c>
      <c r="N133" s="50">
        <f>IF(OR($J133="",$B133=""),0,IF(YEAR($B133)*12+MONTH($B133)&lt;=YEAR($C$3)*12+MONTH($C$3),$G133,0))</f>
        <v/>
      </c>
      <c r="O133" s="50">
        <f>IF(OR($J133="",$B133=""),0,IF(YEAR($B133)*12+MONTH($B133)&lt;=YEAR($C$3)*12+MONTH($C$3)-1,$G133,0))</f>
        <v/>
      </c>
      <c r="P133" s="50">
        <f>$M133-$O133</f>
        <v/>
      </c>
      <c r="Q133" s="50">
        <f>($L133-$M133)-($N133-$O133)</f>
        <v/>
      </c>
      <c r="R133" s="50">
        <f>$L133-$N133</f>
        <v/>
      </c>
    </row>
    <row r="134">
      <c r="A134" s="47">
        <f>ROW()-5</f>
        <v/>
      </c>
      <c r="B134" s="48">
        <f>IFERROR(INDEX(tbl_Finance[Date],$A134),"")</f>
        <v/>
      </c>
      <c r="C134" s="49">
        <f>IFERROR(INDEX(tbl_Finance[Xero Invoice No],$A134),"")</f>
        <v/>
      </c>
      <c r="D134" s="49">
        <f>IFERROR(INDEX(tbl_Finance[Client],$A134),"")</f>
        <v/>
      </c>
      <c r="E134" s="49">
        <f>IFERROR(INDEX(tbl_Finance[Job Number],$A134),"")</f>
        <v/>
      </c>
      <c r="F134" s="49">
        <f>IFERROR(INDEX(tbl_Finance[Cost Centre],$A134),"")</f>
        <v/>
      </c>
      <c r="G134" s="50">
        <f>IFERROR(INDEX(tbl_Finance[Ex GST],$A134),"")</f>
        <v/>
      </c>
      <c r="H134" s="48">
        <f>IFERROR(INDEX(tbl_Finance[Defer Start],$A134),"")</f>
        <v/>
      </c>
      <c r="I134" s="48">
        <f>IFERROR(INDEX(tbl_Finance[Defer End],$A134),"")</f>
        <v/>
      </c>
      <c r="J134" s="47">
        <f>IF(OR($H134="",$I134="",$G134=""),"",MAX(1,(YEAR($I134)-YEAR($H134))*12+MONTH($I134)-MONTH($H134)+1))</f>
        <v/>
      </c>
      <c r="K134" s="50">
        <f>IF($J134="","",$G134/$J134)</f>
        <v/>
      </c>
      <c r="L134" s="50">
        <f>IF($J134="",0,$K134*MAX(0,MIN(YEAR($C$3)*12+MONTH($C$3),YEAR($I134)*12+MONTH($I134))-(YEAR($H134)*12+MONTH($H134))+1))</f>
        <v/>
      </c>
      <c r="M134" s="50">
        <f>IF($J134="",0,$K134*MAX(0,MIN(YEAR($C$3)*12+MONTH($C$3)-1,YEAR($I134)*12+MONTH($I134))-(YEAR($H134)*12+MONTH($H134))+1))</f>
        <v/>
      </c>
      <c r="N134" s="50">
        <f>IF(OR($J134="",$B134=""),0,IF(YEAR($B134)*12+MONTH($B134)&lt;=YEAR($C$3)*12+MONTH($C$3),$G134,0))</f>
        <v/>
      </c>
      <c r="O134" s="50">
        <f>IF(OR($J134="",$B134=""),0,IF(YEAR($B134)*12+MONTH($B134)&lt;=YEAR($C$3)*12+MONTH($C$3)-1,$G134,0))</f>
        <v/>
      </c>
      <c r="P134" s="50">
        <f>$M134-$O134</f>
        <v/>
      </c>
      <c r="Q134" s="50">
        <f>($L134-$M134)-($N134-$O134)</f>
        <v/>
      </c>
      <c r="R134" s="50">
        <f>$L134-$N134</f>
        <v/>
      </c>
    </row>
    <row r="135">
      <c r="A135" s="47">
        <f>ROW()-5</f>
        <v/>
      </c>
      <c r="B135" s="48">
        <f>IFERROR(INDEX(tbl_Finance[Date],$A135),"")</f>
        <v/>
      </c>
      <c r="C135" s="49">
        <f>IFERROR(INDEX(tbl_Finance[Xero Invoice No],$A135),"")</f>
        <v/>
      </c>
      <c r="D135" s="49">
        <f>IFERROR(INDEX(tbl_Finance[Client],$A135),"")</f>
        <v/>
      </c>
      <c r="E135" s="49">
        <f>IFERROR(INDEX(tbl_Finance[Job Number],$A135),"")</f>
        <v/>
      </c>
      <c r="F135" s="49">
        <f>IFERROR(INDEX(tbl_Finance[Cost Centre],$A135),"")</f>
        <v/>
      </c>
      <c r="G135" s="50">
        <f>IFERROR(INDEX(tbl_Finance[Ex GST],$A135),"")</f>
        <v/>
      </c>
      <c r="H135" s="48">
        <f>IFERROR(INDEX(tbl_Finance[Defer Start],$A135),"")</f>
        <v/>
      </c>
      <c r="I135" s="48">
        <f>IFERROR(INDEX(tbl_Finance[Defer End],$A135),"")</f>
        <v/>
      </c>
      <c r="J135" s="47">
        <f>IF(OR($H135="",$I135="",$G135=""),"",MAX(1,(YEAR($I135)-YEAR($H135))*12+MONTH($I135)-MONTH($H135)+1))</f>
        <v/>
      </c>
      <c r="K135" s="50">
        <f>IF($J135="","",$G135/$J135)</f>
        <v/>
      </c>
      <c r="L135" s="50">
        <f>IF($J135="",0,$K135*MAX(0,MIN(YEAR($C$3)*12+MONTH($C$3),YEAR($I135)*12+MONTH($I135))-(YEAR($H135)*12+MONTH($H135))+1))</f>
        <v/>
      </c>
      <c r="M135" s="50">
        <f>IF($J135="",0,$K135*MAX(0,MIN(YEAR($C$3)*12+MONTH($C$3)-1,YEAR($I135)*12+MONTH($I135))-(YEAR($H135)*12+MONTH($H135))+1))</f>
        <v/>
      </c>
      <c r="N135" s="50">
        <f>IF(OR($J135="",$B135=""),0,IF(YEAR($B135)*12+MONTH($B135)&lt;=YEAR($C$3)*12+MONTH($C$3),$G135,0))</f>
        <v/>
      </c>
      <c r="O135" s="50">
        <f>IF(OR($J135="",$B135=""),0,IF(YEAR($B135)*12+MONTH($B135)&lt;=YEAR($C$3)*12+MONTH($C$3)-1,$G135,0))</f>
        <v/>
      </c>
      <c r="P135" s="50">
        <f>$M135-$O135</f>
        <v/>
      </c>
      <c r="Q135" s="50">
        <f>($L135-$M135)-($N135-$O135)</f>
        <v/>
      </c>
      <c r="R135" s="50">
        <f>$L135-$N135</f>
        <v/>
      </c>
    </row>
    <row r="136">
      <c r="A136" s="47">
        <f>ROW()-5</f>
        <v/>
      </c>
      <c r="B136" s="48">
        <f>IFERROR(INDEX(tbl_Finance[Date],$A136),"")</f>
        <v/>
      </c>
      <c r="C136" s="49">
        <f>IFERROR(INDEX(tbl_Finance[Xero Invoice No],$A136),"")</f>
        <v/>
      </c>
      <c r="D136" s="49">
        <f>IFERROR(INDEX(tbl_Finance[Client],$A136),"")</f>
        <v/>
      </c>
      <c r="E136" s="49">
        <f>IFERROR(INDEX(tbl_Finance[Job Number],$A136),"")</f>
        <v/>
      </c>
      <c r="F136" s="49">
        <f>IFERROR(INDEX(tbl_Finance[Cost Centre],$A136),"")</f>
        <v/>
      </c>
      <c r="G136" s="50">
        <f>IFERROR(INDEX(tbl_Finance[Ex GST],$A136),"")</f>
        <v/>
      </c>
      <c r="H136" s="48">
        <f>IFERROR(INDEX(tbl_Finance[Defer Start],$A136),"")</f>
        <v/>
      </c>
      <c r="I136" s="48">
        <f>IFERROR(INDEX(tbl_Finance[Defer End],$A136),"")</f>
        <v/>
      </c>
      <c r="J136" s="47">
        <f>IF(OR($H136="",$I136="",$G136=""),"",MAX(1,(YEAR($I136)-YEAR($H136))*12+MONTH($I136)-MONTH($H136)+1))</f>
        <v/>
      </c>
      <c r="K136" s="50">
        <f>IF($J136="","",$G136/$J136)</f>
        <v/>
      </c>
      <c r="L136" s="50">
        <f>IF($J136="",0,$K136*MAX(0,MIN(YEAR($C$3)*12+MONTH($C$3),YEAR($I136)*12+MONTH($I136))-(YEAR($H136)*12+MONTH($H136))+1))</f>
        <v/>
      </c>
      <c r="M136" s="50">
        <f>IF($J136="",0,$K136*MAX(0,MIN(YEAR($C$3)*12+MONTH($C$3)-1,YEAR($I136)*12+MONTH($I136))-(YEAR($H136)*12+MONTH($H136))+1))</f>
        <v/>
      </c>
      <c r="N136" s="50">
        <f>IF(OR($J136="",$B136=""),0,IF(YEAR($B136)*12+MONTH($B136)&lt;=YEAR($C$3)*12+MONTH($C$3),$G136,0))</f>
        <v/>
      </c>
      <c r="O136" s="50">
        <f>IF(OR($J136="",$B136=""),0,IF(YEAR($B136)*12+MONTH($B136)&lt;=YEAR($C$3)*12+MONTH($C$3)-1,$G136,0))</f>
        <v/>
      </c>
      <c r="P136" s="50">
        <f>$M136-$O136</f>
        <v/>
      </c>
      <c r="Q136" s="50">
        <f>($L136-$M136)-($N136-$O136)</f>
        <v/>
      </c>
      <c r="R136" s="50">
        <f>$L136-$N136</f>
        <v/>
      </c>
    </row>
    <row r="137">
      <c r="A137" s="47">
        <f>ROW()-5</f>
        <v/>
      </c>
      <c r="B137" s="48">
        <f>IFERROR(INDEX(tbl_Finance[Date],$A137),"")</f>
        <v/>
      </c>
      <c r="C137" s="49">
        <f>IFERROR(INDEX(tbl_Finance[Xero Invoice No],$A137),"")</f>
        <v/>
      </c>
      <c r="D137" s="49">
        <f>IFERROR(INDEX(tbl_Finance[Client],$A137),"")</f>
        <v/>
      </c>
      <c r="E137" s="49">
        <f>IFERROR(INDEX(tbl_Finance[Job Number],$A137),"")</f>
        <v/>
      </c>
      <c r="F137" s="49">
        <f>IFERROR(INDEX(tbl_Finance[Cost Centre],$A137),"")</f>
        <v/>
      </c>
      <c r="G137" s="50">
        <f>IFERROR(INDEX(tbl_Finance[Ex GST],$A137),"")</f>
        <v/>
      </c>
      <c r="H137" s="48">
        <f>IFERROR(INDEX(tbl_Finance[Defer Start],$A137),"")</f>
        <v/>
      </c>
      <c r="I137" s="48">
        <f>IFERROR(INDEX(tbl_Finance[Defer End],$A137),"")</f>
        <v/>
      </c>
      <c r="J137" s="47">
        <f>IF(OR($H137="",$I137="",$G137=""),"",MAX(1,(YEAR($I137)-YEAR($H137))*12+MONTH($I137)-MONTH($H137)+1))</f>
        <v/>
      </c>
      <c r="K137" s="50">
        <f>IF($J137="","",$G137/$J137)</f>
        <v/>
      </c>
      <c r="L137" s="50">
        <f>IF($J137="",0,$K137*MAX(0,MIN(YEAR($C$3)*12+MONTH($C$3),YEAR($I137)*12+MONTH($I137))-(YEAR($H137)*12+MONTH($H137))+1))</f>
        <v/>
      </c>
      <c r="M137" s="50">
        <f>IF($J137="",0,$K137*MAX(0,MIN(YEAR($C$3)*12+MONTH($C$3)-1,YEAR($I137)*12+MONTH($I137))-(YEAR($H137)*12+MONTH($H137))+1))</f>
        <v/>
      </c>
      <c r="N137" s="50">
        <f>IF(OR($J137="",$B137=""),0,IF(YEAR($B137)*12+MONTH($B137)&lt;=YEAR($C$3)*12+MONTH($C$3),$G137,0))</f>
        <v/>
      </c>
      <c r="O137" s="50">
        <f>IF(OR($J137="",$B137=""),0,IF(YEAR($B137)*12+MONTH($B137)&lt;=YEAR($C$3)*12+MONTH($C$3)-1,$G137,0))</f>
        <v/>
      </c>
      <c r="P137" s="50">
        <f>$M137-$O137</f>
        <v/>
      </c>
      <c r="Q137" s="50">
        <f>($L137-$M137)-($N137-$O137)</f>
        <v/>
      </c>
      <c r="R137" s="50">
        <f>$L137-$N137</f>
        <v/>
      </c>
    </row>
    <row r="138">
      <c r="A138" s="47">
        <f>ROW()-5</f>
        <v/>
      </c>
      <c r="B138" s="48">
        <f>IFERROR(INDEX(tbl_Finance[Date],$A138),"")</f>
        <v/>
      </c>
      <c r="C138" s="49">
        <f>IFERROR(INDEX(tbl_Finance[Xero Invoice No],$A138),"")</f>
        <v/>
      </c>
      <c r="D138" s="49">
        <f>IFERROR(INDEX(tbl_Finance[Client],$A138),"")</f>
        <v/>
      </c>
      <c r="E138" s="49">
        <f>IFERROR(INDEX(tbl_Finance[Job Number],$A138),"")</f>
        <v/>
      </c>
      <c r="F138" s="49">
        <f>IFERROR(INDEX(tbl_Finance[Cost Centre],$A138),"")</f>
        <v/>
      </c>
      <c r="G138" s="50">
        <f>IFERROR(INDEX(tbl_Finance[Ex GST],$A138),"")</f>
        <v/>
      </c>
      <c r="H138" s="48">
        <f>IFERROR(INDEX(tbl_Finance[Defer Start],$A138),"")</f>
        <v/>
      </c>
      <c r="I138" s="48">
        <f>IFERROR(INDEX(tbl_Finance[Defer End],$A138),"")</f>
        <v/>
      </c>
      <c r="J138" s="47">
        <f>IF(OR($H138="",$I138="",$G138=""),"",MAX(1,(YEAR($I138)-YEAR($H138))*12+MONTH($I138)-MONTH($H138)+1))</f>
        <v/>
      </c>
      <c r="K138" s="50">
        <f>IF($J138="","",$G138/$J138)</f>
        <v/>
      </c>
      <c r="L138" s="50">
        <f>IF($J138="",0,$K138*MAX(0,MIN(YEAR($C$3)*12+MONTH($C$3),YEAR($I138)*12+MONTH($I138))-(YEAR($H138)*12+MONTH($H138))+1))</f>
        <v/>
      </c>
      <c r="M138" s="50">
        <f>IF($J138="",0,$K138*MAX(0,MIN(YEAR($C$3)*12+MONTH($C$3)-1,YEAR($I138)*12+MONTH($I138))-(YEAR($H138)*12+MONTH($H138))+1))</f>
        <v/>
      </c>
      <c r="N138" s="50">
        <f>IF(OR($J138="",$B138=""),0,IF(YEAR($B138)*12+MONTH($B138)&lt;=YEAR($C$3)*12+MONTH($C$3),$G138,0))</f>
        <v/>
      </c>
      <c r="O138" s="50">
        <f>IF(OR($J138="",$B138=""),0,IF(YEAR($B138)*12+MONTH($B138)&lt;=YEAR($C$3)*12+MONTH($C$3)-1,$G138,0))</f>
        <v/>
      </c>
      <c r="P138" s="50">
        <f>$M138-$O138</f>
        <v/>
      </c>
      <c r="Q138" s="50">
        <f>($L138-$M138)-($N138-$O138)</f>
        <v/>
      </c>
      <c r="R138" s="50">
        <f>$L138-$N138</f>
        <v/>
      </c>
    </row>
    <row r="139">
      <c r="A139" s="47">
        <f>ROW()-5</f>
        <v/>
      </c>
      <c r="B139" s="48">
        <f>IFERROR(INDEX(tbl_Finance[Date],$A139),"")</f>
        <v/>
      </c>
      <c r="C139" s="49">
        <f>IFERROR(INDEX(tbl_Finance[Xero Invoice No],$A139),"")</f>
        <v/>
      </c>
      <c r="D139" s="49">
        <f>IFERROR(INDEX(tbl_Finance[Client],$A139),"")</f>
        <v/>
      </c>
      <c r="E139" s="49">
        <f>IFERROR(INDEX(tbl_Finance[Job Number],$A139),"")</f>
        <v/>
      </c>
      <c r="F139" s="49">
        <f>IFERROR(INDEX(tbl_Finance[Cost Centre],$A139),"")</f>
        <v/>
      </c>
      <c r="G139" s="50">
        <f>IFERROR(INDEX(tbl_Finance[Ex GST],$A139),"")</f>
        <v/>
      </c>
      <c r="H139" s="48">
        <f>IFERROR(INDEX(tbl_Finance[Defer Start],$A139),"")</f>
        <v/>
      </c>
      <c r="I139" s="48">
        <f>IFERROR(INDEX(tbl_Finance[Defer End],$A139),"")</f>
        <v/>
      </c>
      <c r="J139" s="47">
        <f>IF(OR($H139="",$I139="",$G139=""),"",MAX(1,(YEAR($I139)-YEAR($H139))*12+MONTH($I139)-MONTH($H139)+1))</f>
        <v/>
      </c>
      <c r="K139" s="50">
        <f>IF($J139="","",$G139/$J139)</f>
        <v/>
      </c>
      <c r="L139" s="50">
        <f>IF($J139="",0,$K139*MAX(0,MIN(YEAR($C$3)*12+MONTH($C$3),YEAR($I139)*12+MONTH($I139))-(YEAR($H139)*12+MONTH($H139))+1))</f>
        <v/>
      </c>
      <c r="M139" s="50">
        <f>IF($J139="",0,$K139*MAX(0,MIN(YEAR($C$3)*12+MONTH($C$3)-1,YEAR($I139)*12+MONTH($I139))-(YEAR($H139)*12+MONTH($H139))+1))</f>
        <v/>
      </c>
      <c r="N139" s="50">
        <f>IF(OR($J139="",$B139=""),0,IF(YEAR($B139)*12+MONTH($B139)&lt;=YEAR($C$3)*12+MONTH($C$3),$G139,0))</f>
        <v/>
      </c>
      <c r="O139" s="50">
        <f>IF(OR($J139="",$B139=""),0,IF(YEAR($B139)*12+MONTH($B139)&lt;=YEAR($C$3)*12+MONTH($C$3)-1,$G139,0))</f>
        <v/>
      </c>
      <c r="P139" s="50">
        <f>$M139-$O139</f>
        <v/>
      </c>
      <c r="Q139" s="50">
        <f>($L139-$M139)-($N139-$O139)</f>
        <v/>
      </c>
      <c r="R139" s="50">
        <f>$L139-$N139</f>
        <v/>
      </c>
    </row>
    <row r="140">
      <c r="A140" s="47">
        <f>ROW()-5</f>
        <v/>
      </c>
      <c r="B140" s="48">
        <f>IFERROR(INDEX(tbl_Finance[Date],$A140),"")</f>
        <v/>
      </c>
      <c r="C140" s="49">
        <f>IFERROR(INDEX(tbl_Finance[Xero Invoice No],$A140),"")</f>
        <v/>
      </c>
      <c r="D140" s="49">
        <f>IFERROR(INDEX(tbl_Finance[Client],$A140),"")</f>
        <v/>
      </c>
      <c r="E140" s="49">
        <f>IFERROR(INDEX(tbl_Finance[Job Number],$A140),"")</f>
        <v/>
      </c>
      <c r="F140" s="49">
        <f>IFERROR(INDEX(tbl_Finance[Cost Centre],$A140),"")</f>
        <v/>
      </c>
      <c r="G140" s="50">
        <f>IFERROR(INDEX(tbl_Finance[Ex GST],$A140),"")</f>
        <v/>
      </c>
      <c r="H140" s="48">
        <f>IFERROR(INDEX(tbl_Finance[Defer Start],$A140),"")</f>
        <v/>
      </c>
      <c r="I140" s="48">
        <f>IFERROR(INDEX(tbl_Finance[Defer End],$A140),"")</f>
        <v/>
      </c>
      <c r="J140" s="47">
        <f>IF(OR($H140="",$I140="",$G140=""),"",MAX(1,(YEAR($I140)-YEAR($H140))*12+MONTH($I140)-MONTH($H140)+1))</f>
        <v/>
      </c>
      <c r="K140" s="50">
        <f>IF($J140="","",$G140/$J140)</f>
        <v/>
      </c>
      <c r="L140" s="50">
        <f>IF($J140="",0,$K140*MAX(0,MIN(YEAR($C$3)*12+MONTH($C$3),YEAR($I140)*12+MONTH($I140))-(YEAR($H140)*12+MONTH($H140))+1))</f>
        <v/>
      </c>
      <c r="M140" s="50">
        <f>IF($J140="",0,$K140*MAX(0,MIN(YEAR($C$3)*12+MONTH($C$3)-1,YEAR($I140)*12+MONTH($I140))-(YEAR($H140)*12+MONTH($H140))+1))</f>
        <v/>
      </c>
      <c r="N140" s="50">
        <f>IF(OR($J140="",$B140=""),0,IF(YEAR($B140)*12+MONTH($B140)&lt;=YEAR($C$3)*12+MONTH($C$3),$G140,0))</f>
        <v/>
      </c>
      <c r="O140" s="50">
        <f>IF(OR($J140="",$B140=""),0,IF(YEAR($B140)*12+MONTH($B140)&lt;=YEAR($C$3)*12+MONTH($C$3)-1,$G140,0))</f>
        <v/>
      </c>
      <c r="P140" s="50">
        <f>$M140-$O140</f>
        <v/>
      </c>
      <c r="Q140" s="50">
        <f>($L140-$M140)-($N140-$O140)</f>
        <v/>
      </c>
      <c r="R140" s="50">
        <f>$L140-$N140</f>
        <v/>
      </c>
    </row>
    <row r="141">
      <c r="A141" s="47">
        <f>ROW()-5</f>
        <v/>
      </c>
      <c r="B141" s="48">
        <f>IFERROR(INDEX(tbl_Finance[Date],$A141),"")</f>
        <v/>
      </c>
      <c r="C141" s="49">
        <f>IFERROR(INDEX(tbl_Finance[Xero Invoice No],$A141),"")</f>
        <v/>
      </c>
      <c r="D141" s="49">
        <f>IFERROR(INDEX(tbl_Finance[Client],$A141),"")</f>
        <v/>
      </c>
      <c r="E141" s="49">
        <f>IFERROR(INDEX(tbl_Finance[Job Number],$A141),"")</f>
        <v/>
      </c>
      <c r="F141" s="49">
        <f>IFERROR(INDEX(tbl_Finance[Cost Centre],$A141),"")</f>
        <v/>
      </c>
      <c r="G141" s="50">
        <f>IFERROR(INDEX(tbl_Finance[Ex GST],$A141),"")</f>
        <v/>
      </c>
      <c r="H141" s="48">
        <f>IFERROR(INDEX(tbl_Finance[Defer Start],$A141),"")</f>
        <v/>
      </c>
      <c r="I141" s="48">
        <f>IFERROR(INDEX(tbl_Finance[Defer End],$A141),"")</f>
        <v/>
      </c>
      <c r="J141" s="47">
        <f>IF(OR($H141="",$I141="",$G141=""),"",MAX(1,(YEAR($I141)-YEAR($H141))*12+MONTH($I141)-MONTH($H141)+1))</f>
        <v/>
      </c>
      <c r="K141" s="50">
        <f>IF($J141="","",$G141/$J141)</f>
        <v/>
      </c>
      <c r="L141" s="50">
        <f>IF($J141="",0,$K141*MAX(0,MIN(YEAR($C$3)*12+MONTH($C$3),YEAR($I141)*12+MONTH($I141))-(YEAR($H141)*12+MONTH($H141))+1))</f>
        <v/>
      </c>
      <c r="M141" s="50">
        <f>IF($J141="",0,$K141*MAX(0,MIN(YEAR($C$3)*12+MONTH($C$3)-1,YEAR($I141)*12+MONTH($I141))-(YEAR($H141)*12+MONTH($H141))+1))</f>
        <v/>
      </c>
      <c r="N141" s="50">
        <f>IF(OR($J141="",$B141=""),0,IF(YEAR($B141)*12+MONTH($B141)&lt;=YEAR($C$3)*12+MONTH($C$3),$G141,0))</f>
        <v/>
      </c>
      <c r="O141" s="50">
        <f>IF(OR($J141="",$B141=""),0,IF(YEAR($B141)*12+MONTH($B141)&lt;=YEAR($C$3)*12+MONTH($C$3)-1,$G141,0))</f>
        <v/>
      </c>
      <c r="P141" s="50">
        <f>$M141-$O141</f>
        <v/>
      </c>
      <c r="Q141" s="50">
        <f>($L141-$M141)-($N141-$O141)</f>
        <v/>
      </c>
      <c r="R141" s="50">
        <f>$L141-$N141</f>
        <v/>
      </c>
    </row>
    <row r="142">
      <c r="A142" s="47">
        <f>ROW()-5</f>
        <v/>
      </c>
      <c r="B142" s="48">
        <f>IFERROR(INDEX(tbl_Finance[Date],$A142),"")</f>
        <v/>
      </c>
      <c r="C142" s="49">
        <f>IFERROR(INDEX(tbl_Finance[Xero Invoice No],$A142),"")</f>
        <v/>
      </c>
      <c r="D142" s="49">
        <f>IFERROR(INDEX(tbl_Finance[Client],$A142),"")</f>
        <v/>
      </c>
      <c r="E142" s="49">
        <f>IFERROR(INDEX(tbl_Finance[Job Number],$A142),"")</f>
        <v/>
      </c>
      <c r="F142" s="49">
        <f>IFERROR(INDEX(tbl_Finance[Cost Centre],$A142),"")</f>
        <v/>
      </c>
      <c r="G142" s="50">
        <f>IFERROR(INDEX(tbl_Finance[Ex GST],$A142),"")</f>
        <v/>
      </c>
      <c r="H142" s="48">
        <f>IFERROR(INDEX(tbl_Finance[Defer Start],$A142),"")</f>
        <v/>
      </c>
      <c r="I142" s="48">
        <f>IFERROR(INDEX(tbl_Finance[Defer End],$A142),"")</f>
        <v/>
      </c>
      <c r="J142" s="47">
        <f>IF(OR($H142="",$I142="",$G142=""),"",MAX(1,(YEAR($I142)-YEAR($H142))*12+MONTH($I142)-MONTH($H142)+1))</f>
        <v/>
      </c>
      <c r="K142" s="50">
        <f>IF($J142="","",$G142/$J142)</f>
        <v/>
      </c>
      <c r="L142" s="50">
        <f>IF($J142="",0,$K142*MAX(0,MIN(YEAR($C$3)*12+MONTH($C$3),YEAR($I142)*12+MONTH($I142))-(YEAR($H142)*12+MONTH($H142))+1))</f>
        <v/>
      </c>
      <c r="M142" s="50">
        <f>IF($J142="",0,$K142*MAX(0,MIN(YEAR($C$3)*12+MONTH($C$3)-1,YEAR($I142)*12+MONTH($I142))-(YEAR($H142)*12+MONTH($H142))+1))</f>
        <v/>
      </c>
      <c r="N142" s="50">
        <f>IF(OR($J142="",$B142=""),0,IF(YEAR($B142)*12+MONTH($B142)&lt;=YEAR($C$3)*12+MONTH($C$3),$G142,0))</f>
        <v/>
      </c>
      <c r="O142" s="50">
        <f>IF(OR($J142="",$B142=""),0,IF(YEAR($B142)*12+MONTH($B142)&lt;=YEAR($C$3)*12+MONTH($C$3)-1,$G142,0))</f>
        <v/>
      </c>
      <c r="P142" s="50">
        <f>$M142-$O142</f>
        <v/>
      </c>
      <c r="Q142" s="50">
        <f>($L142-$M142)-($N142-$O142)</f>
        <v/>
      </c>
      <c r="R142" s="50">
        <f>$L142-$N142</f>
        <v/>
      </c>
    </row>
    <row r="143">
      <c r="A143" s="47">
        <f>ROW()-5</f>
        <v/>
      </c>
      <c r="B143" s="48">
        <f>IFERROR(INDEX(tbl_Finance[Date],$A143),"")</f>
        <v/>
      </c>
      <c r="C143" s="49">
        <f>IFERROR(INDEX(tbl_Finance[Xero Invoice No],$A143),"")</f>
        <v/>
      </c>
      <c r="D143" s="49">
        <f>IFERROR(INDEX(tbl_Finance[Client],$A143),"")</f>
        <v/>
      </c>
      <c r="E143" s="49">
        <f>IFERROR(INDEX(tbl_Finance[Job Number],$A143),"")</f>
        <v/>
      </c>
      <c r="F143" s="49">
        <f>IFERROR(INDEX(tbl_Finance[Cost Centre],$A143),"")</f>
        <v/>
      </c>
      <c r="G143" s="50">
        <f>IFERROR(INDEX(tbl_Finance[Ex GST],$A143),"")</f>
        <v/>
      </c>
      <c r="H143" s="48">
        <f>IFERROR(INDEX(tbl_Finance[Defer Start],$A143),"")</f>
        <v/>
      </c>
      <c r="I143" s="48">
        <f>IFERROR(INDEX(tbl_Finance[Defer End],$A143),"")</f>
        <v/>
      </c>
      <c r="J143" s="47">
        <f>IF(OR($H143="",$I143="",$G143=""),"",MAX(1,(YEAR($I143)-YEAR($H143))*12+MONTH($I143)-MONTH($H143)+1))</f>
        <v/>
      </c>
      <c r="K143" s="50">
        <f>IF($J143="","",$G143/$J143)</f>
        <v/>
      </c>
      <c r="L143" s="50">
        <f>IF($J143="",0,$K143*MAX(0,MIN(YEAR($C$3)*12+MONTH($C$3),YEAR($I143)*12+MONTH($I143))-(YEAR($H143)*12+MONTH($H143))+1))</f>
        <v/>
      </c>
      <c r="M143" s="50">
        <f>IF($J143="",0,$K143*MAX(0,MIN(YEAR($C$3)*12+MONTH($C$3)-1,YEAR($I143)*12+MONTH($I143))-(YEAR($H143)*12+MONTH($H143))+1))</f>
        <v/>
      </c>
      <c r="N143" s="50">
        <f>IF(OR($J143="",$B143=""),0,IF(YEAR($B143)*12+MONTH($B143)&lt;=YEAR($C$3)*12+MONTH($C$3),$G143,0))</f>
        <v/>
      </c>
      <c r="O143" s="50">
        <f>IF(OR($J143="",$B143=""),0,IF(YEAR($B143)*12+MONTH($B143)&lt;=YEAR($C$3)*12+MONTH($C$3)-1,$G143,0))</f>
        <v/>
      </c>
      <c r="P143" s="50">
        <f>$M143-$O143</f>
        <v/>
      </c>
      <c r="Q143" s="50">
        <f>($L143-$M143)-($N143-$O143)</f>
        <v/>
      </c>
      <c r="R143" s="50">
        <f>$L143-$N143</f>
        <v/>
      </c>
    </row>
    <row r="144">
      <c r="A144" s="47">
        <f>ROW()-5</f>
        <v/>
      </c>
      <c r="B144" s="48">
        <f>IFERROR(INDEX(tbl_Finance[Date],$A144),"")</f>
        <v/>
      </c>
      <c r="C144" s="49">
        <f>IFERROR(INDEX(tbl_Finance[Xero Invoice No],$A144),"")</f>
        <v/>
      </c>
      <c r="D144" s="49">
        <f>IFERROR(INDEX(tbl_Finance[Client],$A144),"")</f>
        <v/>
      </c>
      <c r="E144" s="49">
        <f>IFERROR(INDEX(tbl_Finance[Job Number],$A144),"")</f>
        <v/>
      </c>
      <c r="F144" s="49">
        <f>IFERROR(INDEX(tbl_Finance[Cost Centre],$A144),"")</f>
        <v/>
      </c>
      <c r="G144" s="50">
        <f>IFERROR(INDEX(tbl_Finance[Ex GST],$A144),"")</f>
        <v/>
      </c>
      <c r="H144" s="48">
        <f>IFERROR(INDEX(tbl_Finance[Defer Start],$A144),"")</f>
        <v/>
      </c>
      <c r="I144" s="48">
        <f>IFERROR(INDEX(tbl_Finance[Defer End],$A144),"")</f>
        <v/>
      </c>
      <c r="J144" s="47">
        <f>IF(OR($H144="",$I144="",$G144=""),"",MAX(1,(YEAR($I144)-YEAR($H144))*12+MONTH($I144)-MONTH($H144)+1))</f>
        <v/>
      </c>
      <c r="K144" s="50">
        <f>IF($J144="","",$G144/$J144)</f>
        <v/>
      </c>
      <c r="L144" s="50">
        <f>IF($J144="",0,$K144*MAX(0,MIN(YEAR($C$3)*12+MONTH($C$3),YEAR($I144)*12+MONTH($I144))-(YEAR($H144)*12+MONTH($H144))+1))</f>
        <v/>
      </c>
      <c r="M144" s="50">
        <f>IF($J144="",0,$K144*MAX(0,MIN(YEAR($C$3)*12+MONTH($C$3)-1,YEAR($I144)*12+MONTH($I144))-(YEAR($H144)*12+MONTH($H144))+1))</f>
        <v/>
      </c>
      <c r="N144" s="50">
        <f>IF(OR($J144="",$B144=""),0,IF(YEAR($B144)*12+MONTH($B144)&lt;=YEAR($C$3)*12+MONTH($C$3),$G144,0))</f>
        <v/>
      </c>
      <c r="O144" s="50">
        <f>IF(OR($J144="",$B144=""),0,IF(YEAR($B144)*12+MONTH($B144)&lt;=YEAR($C$3)*12+MONTH($C$3)-1,$G144,0))</f>
        <v/>
      </c>
      <c r="P144" s="50">
        <f>$M144-$O144</f>
        <v/>
      </c>
      <c r="Q144" s="50">
        <f>($L144-$M144)-($N144-$O144)</f>
        <v/>
      </c>
      <c r="R144" s="50">
        <f>$L144-$N144</f>
        <v/>
      </c>
    </row>
    <row r="145">
      <c r="A145" s="47">
        <f>ROW()-5</f>
        <v/>
      </c>
      <c r="B145" s="48">
        <f>IFERROR(INDEX(tbl_Finance[Date],$A145),"")</f>
        <v/>
      </c>
      <c r="C145" s="49">
        <f>IFERROR(INDEX(tbl_Finance[Xero Invoice No],$A145),"")</f>
        <v/>
      </c>
      <c r="D145" s="49">
        <f>IFERROR(INDEX(tbl_Finance[Client],$A145),"")</f>
        <v/>
      </c>
      <c r="E145" s="49">
        <f>IFERROR(INDEX(tbl_Finance[Job Number],$A145),"")</f>
        <v/>
      </c>
      <c r="F145" s="49">
        <f>IFERROR(INDEX(tbl_Finance[Cost Centre],$A145),"")</f>
        <v/>
      </c>
      <c r="G145" s="50">
        <f>IFERROR(INDEX(tbl_Finance[Ex GST],$A145),"")</f>
        <v/>
      </c>
      <c r="H145" s="48">
        <f>IFERROR(INDEX(tbl_Finance[Defer Start],$A145),"")</f>
        <v/>
      </c>
      <c r="I145" s="48">
        <f>IFERROR(INDEX(tbl_Finance[Defer End],$A145),"")</f>
        <v/>
      </c>
      <c r="J145" s="47">
        <f>IF(OR($H145="",$I145="",$G145=""),"",MAX(1,(YEAR($I145)-YEAR($H145))*12+MONTH($I145)-MONTH($H145)+1))</f>
        <v/>
      </c>
      <c r="K145" s="50">
        <f>IF($J145="","",$G145/$J145)</f>
        <v/>
      </c>
      <c r="L145" s="50">
        <f>IF($J145="",0,$K145*MAX(0,MIN(YEAR($C$3)*12+MONTH($C$3),YEAR($I145)*12+MONTH($I145))-(YEAR($H145)*12+MONTH($H145))+1))</f>
        <v/>
      </c>
      <c r="M145" s="50">
        <f>IF($J145="",0,$K145*MAX(0,MIN(YEAR($C$3)*12+MONTH($C$3)-1,YEAR($I145)*12+MONTH($I145))-(YEAR($H145)*12+MONTH($H145))+1))</f>
        <v/>
      </c>
      <c r="N145" s="50">
        <f>IF(OR($J145="",$B145=""),0,IF(YEAR($B145)*12+MONTH($B145)&lt;=YEAR($C$3)*12+MONTH($C$3),$G145,0))</f>
        <v/>
      </c>
      <c r="O145" s="50">
        <f>IF(OR($J145="",$B145=""),0,IF(YEAR($B145)*12+MONTH($B145)&lt;=YEAR($C$3)*12+MONTH($C$3)-1,$G145,0))</f>
        <v/>
      </c>
      <c r="P145" s="50">
        <f>$M145-$O145</f>
        <v/>
      </c>
      <c r="Q145" s="50">
        <f>($L145-$M145)-($N145-$O145)</f>
        <v/>
      </c>
      <c r="R145" s="50">
        <f>$L145-$N145</f>
        <v/>
      </c>
    </row>
    <row r="146">
      <c r="A146" s="47">
        <f>ROW()-5</f>
        <v/>
      </c>
      <c r="B146" s="48">
        <f>IFERROR(INDEX(tbl_Finance[Date],$A146),"")</f>
        <v/>
      </c>
      <c r="C146" s="49">
        <f>IFERROR(INDEX(tbl_Finance[Xero Invoice No],$A146),"")</f>
        <v/>
      </c>
      <c r="D146" s="49">
        <f>IFERROR(INDEX(tbl_Finance[Client],$A146),"")</f>
        <v/>
      </c>
      <c r="E146" s="49">
        <f>IFERROR(INDEX(tbl_Finance[Job Number],$A146),"")</f>
        <v/>
      </c>
      <c r="F146" s="49">
        <f>IFERROR(INDEX(tbl_Finance[Cost Centre],$A146),"")</f>
        <v/>
      </c>
      <c r="G146" s="50">
        <f>IFERROR(INDEX(tbl_Finance[Ex GST],$A146),"")</f>
        <v/>
      </c>
      <c r="H146" s="48">
        <f>IFERROR(INDEX(tbl_Finance[Defer Start],$A146),"")</f>
        <v/>
      </c>
      <c r="I146" s="48">
        <f>IFERROR(INDEX(tbl_Finance[Defer End],$A146),"")</f>
        <v/>
      </c>
      <c r="J146" s="47">
        <f>IF(OR($H146="",$I146="",$G146=""),"",MAX(1,(YEAR($I146)-YEAR($H146))*12+MONTH($I146)-MONTH($H146)+1))</f>
        <v/>
      </c>
      <c r="K146" s="50">
        <f>IF($J146="","",$G146/$J146)</f>
        <v/>
      </c>
      <c r="L146" s="50">
        <f>IF($J146="",0,$K146*MAX(0,MIN(YEAR($C$3)*12+MONTH($C$3),YEAR($I146)*12+MONTH($I146))-(YEAR($H146)*12+MONTH($H146))+1))</f>
        <v/>
      </c>
      <c r="M146" s="50">
        <f>IF($J146="",0,$K146*MAX(0,MIN(YEAR($C$3)*12+MONTH($C$3)-1,YEAR($I146)*12+MONTH($I146))-(YEAR($H146)*12+MONTH($H146))+1))</f>
        <v/>
      </c>
      <c r="N146" s="50">
        <f>IF(OR($J146="",$B146=""),0,IF(YEAR($B146)*12+MONTH($B146)&lt;=YEAR($C$3)*12+MONTH($C$3),$G146,0))</f>
        <v/>
      </c>
      <c r="O146" s="50">
        <f>IF(OR($J146="",$B146=""),0,IF(YEAR($B146)*12+MONTH($B146)&lt;=YEAR($C$3)*12+MONTH($C$3)-1,$G146,0))</f>
        <v/>
      </c>
      <c r="P146" s="50">
        <f>$M146-$O146</f>
        <v/>
      </c>
      <c r="Q146" s="50">
        <f>($L146-$M146)-($N146-$O146)</f>
        <v/>
      </c>
      <c r="R146" s="50">
        <f>$L146-$N146</f>
        <v/>
      </c>
    </row>
    <row r="147">
      <c r="A147" s="47">
        <f>ROW()-5</f>
        <v/>
      </c>
      <c r="B147" s="48">
        <f>IFERROR(INDEX(tbl_Finance[Date],$A147),"")</f>
        <v/>
      </c>
      <c r="C147" s="49">
        <f>IFERROR(INDEX(tbl_Finance[Xero Invoice No],$A147),"")</f>
        <v/>
      </c>
      <c r="D147" s="49">
        <f>IFERROR(INDEX(tbl_Finance[Client],$A147),"")</f>
        <v/>
      </c>
      <c r="E147" s="49">
        <f>IFERROR(INDEX(tbl_Finance[Job Number],$A147),"")</f>
        <v/>
      </c>
      <c r="F147" s="49">
        <f>IFERROR(INDEX(tbl_Finance[Cost Centre],$A147),"")</f>
        <v/>
      </c>
      <c r="G147" s="50">
        <f>IFERROR(INDEX(tbl_Finance[Ex GST],$A147),"")</f>
        <v/>
      </c>
      <c r="H147" s="48">
        <f>IFERROR(INDEX(tbl_Finance[Defer Start],$A147),"")</f>
        <v/>
      </c>
      <c r="I147" s="48">
        <f>IFERROR(INDEX(tbl_Finance[Defer End],$A147),"")</f>
        <v/>
      </c>
      <c r="J147" s="47">
        <f>IF(OR($H147="",$I147="",$G147=""),"",MAX(1,(YEAR($I147)-YEAR($H147))*12+MONTH($I147)-MONTH($H147)+1))</f>
        <v/>
      </c>
      <c r="K147" s="50">
        <f>IF($J147="","",$G147/$J147)</f>
        <v/>
      </c>
      <c r="L147" s="50">
        <f>IF($J147="",0,$K147*MAX(0,MIN(YEAR($C$3)*12+MONTH($C$3),YEAR($I147)*12+MONTH($I147))-(YEAR($H147)*12+MONTH($H147))+1))</f>
        <v/>
      </c>
      <c r="M147" s="50">
        <f>IF($J147="",0,$K147*MAX(0,MIN(YEAR($C$3)*12+MONTH($C$3)-1,YEAR($I147)*12+MONTH($I147))-(YEAR($H147)*12+MONTH($H147))+1))</f>
        <v/>
      </c>
      <c r="N147" s="50">
        <f>IF(OR($J147="",$B147=""),0,IF(YEAR($B147)*12+MONTH($B147)&lt;=YEAR($C$3)*12+MONTH($C$3),$G147,0))</f>
        <v/>
      </c>
      <c r="O147" s="50">
        <f>IF(OR($J147="",$B147=""),0,IF(YEAR($B147)*12+MONTH($B147)&lt;=YEAR($C$3)*12+MONTH($C$3)-1,$G147,0))</f>
        <v/>
      </c>
      <c r="P147" s="50">
        <f>$M147-$O147</f>
        <v/>
      </c>
      <c r="Q147" s="50">
        <f>($L147-$M147)-($N147-$O147)</f>
        <v/>
      </c>
      <c r="R147" s="50">
        <f>$L147-$N147</f>
        <v/>
      </c>
    </row>
    <row r="148">
      <c r="A148" s="47">
        <f>ROW()-5</f>
        <v/>
      </c>
      <c r="B148" s="48">
        <f>IFERROR(INDEX(tbl_Finance[Date],$A148),"")</f>
        <v/>
      </c>
      <c r="C148" s="49">
        <f>IFERROR(INDEX(tbl_Finance[Xero Invoice No],$A148),"")</f>
        <v/>
      </c>
      <c r="D148" s="49">
        <f>IFERROR(INDEX(tbl_Finance[Client],$A148),"")</f>
        <v/>
      </c>
      <c r="E148" s="49">
        <f>IFERROR(INDEX(tbl_Finance[Job Number],$A148),"")</f>
        <v/>
      </c>
      <c r="F148" s="49">
        <f>IFERROR(INDEX(tbl_Finance[Cost Centre],$A148),"")</f>
        <v/>
      </c>
      <c r="G148" s="50">
        <f>IFERROR(INDEX(tbl_Finance[Ex GST],$A148),"")</f>
        <v/>
      </c>
      <c r="H148" s="48">
        <f>IFERROR(INDEX(tbl_Finance[Defer Start],$A148),"")</f>
        <v/>
      </c>
      <c r="I148" s="48">
        <f>IFERROR(INDEX(tbl_Finance[Defer End],$A148),"")</f>
        <v/>
      </c>
      <c r="J148" s="47">
        <f>IF(OR($H148="",$I148="",$G148=""),"",MAX(1,(YEAR($I148)-YEAR($H148))*12+MONTH($I148)-MONTH($H148)+1))</f>
        <v/>
      </c>
      <c r="K148" s="50">
        <f>IF($J148="","",$G148/$J148)</f>
        <v/>
      </c>
      <c r="L148" s="50">
        <f>IF($J148="",0,$K148*MAX(0,MIN(YEAR($C$3)*12+MONTH($C$3),YEAR($I148)*12+MONTH($I148))-(YEAR($H148)*12+MONTH($H148))+1))</f>
        <v/>
      </c>
      <c r="M148" s="50">
        <f>IF($J148="",0,$K148*MAX(0,MIN(YEAR($C$3)*12+MONTH($C$3)-1,YEAR($I148)*12+MONTH($I148))-(YEAR($H148)*12+MONTH($H148))+1))</f>
        <v/>
      </c>
      <c r="N148" s="50">
        <f>IF(OR($J148="",$B148=""),0,IF(YEAR($B148)*12+MONTH($B148)&lt;=YEAR($C$3)*12+MONTH($C$3),$G148,0))</f>
        <v/>
      </c>
      <c r="O148" s="50">
        <f>IF(OR($J148="",$B148=""),0,IF(YEAR($B148)*12+MONTH($B148)&lt;=YEAR($C$3)*12+MONTH($C$3)-1,$G148,0))</f>
        <v/>
      </c>
      <c r="P148" s="50">
        <f>$M148-$O148</f>
        <v/>
      </c>
      <c r="Q148" s="50">
        <f>($L148-$M148)-($N148-$O148)</f>
        <v/>
      </c>
      <c r="R148" s="50">
        <f>$L148-$N148</f>
        <v/>
      </c>
    </row>
    <row r="149">
      <c r="A149" s="47">
        <f>ROW()-5</f>
        <v/>
      </c>
      <c r="B149" s="48">
        <f>IFERROR(INDEX(tbl_Finance[Date],$A149),"")</f>
        <v/>
      </c>
      <c r="C149" s="49">
        <f>IFERROR(INDEX(tbl_Finance[Xero Invoice No],$A149),"")</f>
        <v/>
      </c>
      <c r="D149" s="49">
        <f>IFERROR(INDEX(tbl_Finance[Client],$A149),"")</f>
        <v/>
      </c>
      <c r="E149" s="49">
        <f>IFERROR(INDEX(tbl_Finance[Job Number],$A149),"")</f>
        <v/>
      </c>
      <c r="F149" s="49">
        <f>IFERROR(INDEX(tbl_Finance[Cost Centre],$A149),"")</f>
        <v/>
      </c>
      <c r="G149" s="50">
        <f>IFERROR(INDEX(tbl_Finance[Ex GST],$A149),"")</f>
        <v/>
      </c>
      <c r="H149" s="48">
        <f>IFERROR(INDEX(tbl_Finance[Defer Start],$A149),"")</f>
        <v/>
      </c>
      <c r="I149" s="48">
        <f>IFERROR(INDEX(tbl_Finance[Defer End],$A149),"")</f>
        <v/>
      </c>
      <c r="J149" s="47">
        <f>IF(OR($H149="",$I149="",$G149=""),"",MAX(1,(YEAR($I149)-YEAR($H149))*12+MONTH($I149)-MONTH($H149)+1))</f>
        <v/>
      </c>
      <c r="K149" s="50">
        <f>IF($J149="","",$G149/$J149)</f>
        <v/>
      </c>
      <c r="L149" s="50">
        <f>IF($J149="",0,$K149*MAX(0,MIN(YEAR($C$3)*12+MONTH($C$3),YEAR($I149)*12+MONTH($I149))-(YEAR($H149)*12+MONTH($H149))+1))</f>
        <v/>
      </c>
      <c r="M149" s="50">
        <f>IF($J149="",0,$K149*MAX(0,MIN(YEAR($C$3)*12+MONTH($C$3)-1,YEAR($I149)*12+MONTH($I149))-(YEAR($H149)*12+MONTH($H149))+1))</f>
        <v/>
      </c>
      <c r="N149" s="50">
        <f>IF(OR($J149="",$B149=""),0,IF(YEAR($B149)*12+MONTH($B149)&lt;=YEAR($C$3)*12+MONTH($C$3),$G149,0))</f>
        <v/>
      </c>
      <c r="O149" s="50">
        <f>IF(OR($J149="",$B149=""),0,IF(YEAR($B149)*12+MONTH($B149)&lt;=YEAR($C$3)*12+MONTH($C$3)-1,$G149,0))</f>
        <v/>
      </c>
      <c r="P149" s="50">
        <f>$M149-$O149</f>
        <v/>
      </c>
      <c r="Q149" s="50">
        <f>($L149-$M149)-($N149-$O149)</f>
        <v/>
      </c>
      <c r="R149" s="50">
        <f>$L149-$N149</f>
        <v/>
      </c>
    </row>
    <row r="150">
      <c r="A150" s="47">
        <f>ROW()-5</f>
        <v/>
      </c>
      <c r="B150" s="48">
        <f>IFERROR(INDEX(tbl_Finance[Date],$A150),"")</f>
        <v/>
      </c>
      <c r="C150" s="49">
        <f>IFERROR(INDEX(tbl_Finance[Xero Invoice No],$A150),"")</f>
        <v/>
      </c>
      <c r="D150" s="49">
        <f>IFERROR(INDEX(tbl_Finance[Client],$A150),"")</f>
        <v/>
      </c>
      <c r="E150" s="49">
        <f>IFERROR(INDEX(tbl_Finance[Job Number],$A150),"")</f>
        <v/>
      </c>
      <c r="F150" s="49">
        <f>IFERROR(INDEX(tbl_Finance[Cost Centre],$A150),"")</f>
        <v/>
      </c>
      <c r="G150" s="50">
        <f>IFERROR(INDEX(tbl_Finance[Ex GST],$A150),"")</f>
        <v/>
      </c>
      <c r="H150" s="48">
        <f>IFERROR(INDEX(tbl_Finance[Defer Start],$A150),"")</f>
        <v/>
      </c>
      <c r="I150" s="48">
        <f>IFERROR(INDEX(tbl_Finance[Defer End],$A150),"")</f>
        <v/>
      </c>
      <c r="J150" s="47">
        <f>IF(OR($H150="",$I150="",$G150=""),"",MAX(1,(YEAR($I150)-YEAR($H150))*12+MONTH($I150)-MONTH($H150)+1))</f>
        <v/>
      </c>
      <c r="K150" s="50">
        <f>IF($J150="","",$G150/$J150)</f>
        <v/>
      </c>
      <c r="L150" s="50">
        <f>IF($J150="",0,$K150*MAX(0,MIN(YEAR($C$3)*12+MONTH($C$3),YEAR($I150)*12+MONTH($I150))-(YEAR($H150)*12+MONTH($H150))+1))</f>
        <v/>
      </c>
      <c r="M150" s="50">
        <f>IF($J150="",0,$K150*MAX(0,MIN(YEAR($C$3)*12+MONTH($C$3)-1,YEAR($I150)*12+MONTH($I150))-(YEAR($H150)*12+MONTH($H150))+1))</f>
        <v/>
      </c>
      <c r="N150" s="50">
        <f>IF(OR($J150="",$B150=""),0,IF(YEAR($B150)*12+MONTH($B150)&lt;=YEAR($C$3)*12+MONTH($C$3),$G150,0))</f>
        <v/>
      </c>
      <c r="O150" s="50">
        <f>IF(OR($J150="",$B150=""),0,IF(YEAR($B150)*12+MONTH($B150)&lt;=YEAR($C$3)*12+MONTH($C$3)-1,$G150,0))</f>
        <v/>
      </c>
      <c r="P150" s="50">
        <f>$M150-$O150</f>
        <v/>
      </c>
      <c r="Q150" s="50">
        <f>($L150-$M150)-($N150-$O150)</f>
        <v/>
      </c>
      <c r="R150" s="50">
        <f>$L150-$N150</f>
        <v/>
      </c>
    </row>
    <row r="151">
      <c r="A151" s="47">
        <f>ROW()-5</f>
        <v/>
      </c>
      <c r="B151" s="48">
        <f>IFERROR(INDEX(tbl_Finance[Date],$A151),"")</f>
        <v/>
      </c>
      <c r="C151" s="49">
        <f>IFERROR(INDEX(tbl_Finance[Xero Invoice No],$A151),"")</f>
        <v/>
      </c>
      <c r="D151" s="49">
        <f>IFERROR(INDEX(tbl_Finance[Client],$A151),"")</f>
        <v/>
      </c>
      <c r="E151" s="49">
        <f>IFERROR(INDEX(tbl_Finance[Job Number],$A151),"")</f>
        <v/>
      </c>
      <c r="F151" s="49">
        <f>IFERROR(INDEX(tbl_Finance[Cost Centre],$A151),"")</f>
        <v/>
      </c>
      <c r="G151" s="50">
        <f>IFERROR(INDEX(tbl_Finance[Ex GST],$A151),"")</f>
        <v/>
      </c>
      <c r="H151" s="48">
        <f>IFERROR(INDEX(tbl_Finance[Defer Start],$A151),"")</f>
        <v/>
      </c>
      <c r="I151" s="48">
        <f>IFERROR(INDEX(tbl_Finance[Defer End],$A151),"")</f>
        <v/>
      </c>
      <c r="J151" s="47">
        <f>IF(OR($H151="",$I151="",$G151=""),"",MAX(1,(YEAR($I151)-YEAR($H151))*12+MONTH($I151)-MONTH($H151)+1))</f>
        <v/>
      </c>
      <c r="K151" s="50">
        <f>IF($J151="","",$G151/$J151)</f>
        <v/>
      </c>
      <c r="L151" s="50">
        <f>IF($J151="",0,$K151*MAX(0,MIN(YEAR($C$3)*12+MONTH($C$3),YEAR($I151)*12+MONTH($I151))-(YEAR($H151)*12+MONTH($H151))+1))</f>
        <v/>
      </c>
      <c r="M151" s="50">
        <f>IF($J151="",0,$K151*MAX(0,MIN(YEAR($C$3)*12+MONTH($C$3)-1,YEAR($I151)*12+MONTH($I151))-(YEAR($H151)*12+MONTH($H151))+1))</f>
        <v/>
      </c>
      <c r="N151" s="50">
        <f>IF(OR($J151="",$B151=""),0,IF(YEAR($B151)*12+MONTH($B151)&lt;=YEAR($C$3)*12+MONTH($C$3),$G151,0))</f>
        <v/>
      </c>
      <c r="O151" s="50">
        <f>IF(OR($J151="",$B151=""),0,IF(YEAR($B151)*12+MONTH($B151)&lt;=YEAR($C$3)*12+MONTH($C$3)-1,$G151,0))</f>
        <v/>
      </c>
      <c r="P151" s="50">
        <f>$M151-$O151</f>
        <v/>
      </c>
      <c r="Q151" s="50">
        <f>($L151-$M151)-($N151-$O151)</f>
        <v/>
      </c>
      <c r="R151" s="50">
        <f>$L151-$N151</f>
        <v/>
      </c>
    </row>
    <row r="152">
      <c r="A152" s="47">
        <f>ROW()-5</f>
        <v/>
      </c>
      <c r="B152" s="48">
        <f>IFERROR(INDEX(tbl_Finance[Date],$A152),"")</f>
        <v/>
      </c>
      <c r="C152" s="49">
        <f>IFERROR(INDEX(tbl_Finance[Xero Invoice No],$A152),"")</f>
        <v/>
      </c>
      <c r="D152" s="49">
        <f>IFERROR(INDEX(tbl_Finance[Client],$A152),"")</f>
        <v/>
      </c>
      <c r="E152" s="49">
        <f>IFERROR(INDEX(tbl_Finance[Job Number],$A152),"")</f>
        <v/>
      </c>
      <c r="F152" s="49">
        <f>IFERROR(INDEX(tbl_Finance[Cost Centre],$A152),"")</f>
        <v/>
      </c>
      <c r="G152" s="50">
        <f>IFERROR(INDEX(tbl_Finance[Ex GST],$A152),"")</f>
        <v/>
      </c>
      <c r="H152" s="48">
        <f>IFERROR(INDEX(tbl_Finance[Defer Start],$A152),"")</f>
        <v/>
      </c>
      <c r="I152" s="48">
        <f>IFERROR(INDEX(tbl_Finance[Defer End],$A152),"")</f>
        <v/>
      </c>
      <c r="J152" s="47">
        <f>IF(OR($H152="",$I152="",$G152=""),"",MAX(1,(YEAR($I152)-YEAR($H152))*12+MONTH($I152)-MONTH($H152)+1))</f>
        <v/>
      </c>
      <c r="K152" s="50">
        <f>IF($J152="","",$G152/$J152)</f>
        <v/>
      </c>
      <c r="L152" s="50">
        <f>IF($J152="",0,$K152*MAX(0,MIN(YEAR($C$3)*12+MONTH($C$3),YEAR($I152)*12+MONTH($I152))-(YEAR($H152)*12+MONTH($H152))+1))</f>
        <v/>
      </c>
      <c r="M152" s="50">
        <f>IF($J152="",0,$K152*MAX(0,MIN(YEAR($C$3)*12+MONTH($C$3)-1,YEAR($I152)*12+MONTH($I152))-(YEAR($H152)*12+MONTH($H152))+1))</f>
        <v/>
      </c>
      <c r="N152" s="50">
        <f>IF(OR($J152="",$B152=""),0,IF(YEAR($B152)*12+MONTH($B152)&lt;=YEAR($C$3)*12+MONTH($C$3),$G152,0))</f>
        <v/>
      </c>
      <c r="O152" s="50">
        <f>IF(OR($J152="",$B152=""),0,IF(YEAR($B152)*12+MONTH($B152)&lt;=YEAR($C$3)*12+MONTH($C$3)-1,$G152,0))</f>
        <v/>
      </c>
      <c r="P152" s="50">
        <f>$M152-$O152</f>
        <v/>
      </c>
      <c r="Q152" s="50">
        <f>($L152-$M152)-($N152-$O152)</f>
        <v/>
      </c>
      <c r="R152" s="50">
        <f>$L152-$N152</f>
        <v/>
      </c>
    </row>
    <row r="153">
      <c r="A153" s="47">
        <f>ROW()-5</f>
        <v/>
      </c>
      <c r="B153" s="48">
        <f>IFERROR(INDEX(tbl_Finance[Date],$A153),"")</f>
        <v/>
      </c>
      <c r="C153" s="49">
        <f>IFERROR(INDEX(tbl_Finance[Xero Invoice No],$A153),"")</f>
        <v/>
      </c>
      <c r="D153" s="49">
        <f>IFERROR(INDEX(tbl_Finance[Client],$A153),"")</f>
        <v/>
      </c>
      <c r="E153" s="49">
        <f>IFERROR(INDEX(tbl_Finance[Job Number],$A153),"")</f>
        <v/>
      </c>
      <c r="F153" s="49">
        <f>IFERROR(INDEX(tbl_Finance[Cost Centre],$A153),"")</f>
        <v/>
      </c>
      <c r="G153" s="50">
        <f>IFERROR(INDEX(tbl_Finance[Ex GST],$A153),"")</f>
        <v/>
      </c>
      <c r="H153" s="48">
        <f>IFERROR(INDEX(tbl_Finance[Defer Start],$A153),"")</f>
        <v/>
      </c>
      <c r="I153" s="48">
        <f>IFERROR(INDEX(tbl_Finance[Defer End],$A153),"")</f>
        <v/>
      </c>
      <c r="J153" s="47">
        <f>IF(OR($H153="",$I153="",$G153=""),"",MAX(1,(YEAR($I153)-YEAR($H153))*12+MONTH($I153)-MONTH($H153)+1))</f>
        <v/>
      </c>
      <c r="K153" s="50">
        <f>IF($J153="","",$G153/$J153)</f>
        <v/>
      </c>
      <c r="L153" s="50">
        <f>IF($J153="",0,$K153*MAX(0,MIN(YEAR($C$3)*12+MONTH($C$3),YEAR($I153)*12+MONTH($I153))-(YEAR($H153)*12+MONTH($H153))+1))</f>
        <v/>
      </c>
      <c r="M153" s="50">
        <f>IF($J153="",0,$K153*MAX(0,MIN(YEAR($C$3)*12+MONTH($C$3)-1,YEAR($I153)*12+MONTH($I153))-(YEAR($H153)*12+MONTH($H153))+1))</f>
        <v/>
      </c>
      <c r="N153" s="50">
        <f>IF(OR($J153="",$B153=""),0,IF(YEAR($B153)*12+MONTH($B153)&lt;=YEAR($C$3)*12+MONTH($C$3),$G153,0))</f>
        <v/>
      </c>
      <c r="O153" s="50">
        <f>IF(OR($J153="",$B153=""),0,IF(YEAR($B153)*12+MONTH($B153)&lt;=YEAR($C$3)*12+MONTH($C$3)-1,$G153,0))</f>
        <v/>
      </c>
      <c r="P153" s="50">
        <f>$M153-$O153</f>
        <v/>
      </c>
      <c r="Q153" s="50">
        <f>($L153-$M153)-($N153-$O153)</f>
        <v/>
      </c>
      <c r="R153" s="50">
        <f>$L153-$N153</f>
        <v/>
      </c>
    </row>
    <row r="154">
      <c r="A154" s="47">
        <f>ROW()-5</f>
        <v/>
      </c>
      <c r="B154" s="48">
        <f>IFERROR(INDEX(tbl_Finance[Date],$A154),"")</f>
        <v/>
      </c>
      <c r="C154" s="49">
        <f>IFERROR(INDEX(tbl_Finance[Xero Invoice No],$A154),"")</f>
        <v/>
      </c>
      <c r="D154" s="49">
        <f>IFERROR(INDEX(tbl_Finance[Client],$A154),"")</f>
        <v/>
      </c>
      <c r="E154" s="49">
        <f>IFERROR(INDEX(tbl_Finance[Job Number],$A154),"")</f>
        <v/>
      </c>
      <c r="F154" s="49">
        <f>IFERROR(INDEX(tbl_Finance[Cost Centre],$A154),"")</f>
        <v/>
      </c>
      <c r="G154" s="50">
        <f>IFERROR(INDEX(tbl_Finance[Ex GST],$A154),"")</f>
        <v/>
      </c>
      <c r="H154" s="48">
        <f>IFERROR(INDEX(tbl_Finance[Defer Start],$A154),"")</f>
        <v/>
      </c>
      <c r="I154" s="48">
        <f>IFERROR(INDEX(tbl_Finance[Defer End],$A154),"")</f>
        <v/>
      </c>
      <c r="J154" s="47">
        <f>IF(OR($H154="",$I154="",$G154=""),"",MAX(1,(YEAR($I154)-YEAR($H154))*12+MONTH($I154)-MONTH($H154)+1))</f>
        <v/>
      </c>
      <c r="K154" s="50">
        <f>IF($J154="","",$G154/$J154)</f>
        <v/>
      </c>
      <c r="L154" s="50">
        <f>IF($J154="",0,$K154*MAX(0,MIN(YEAR($C$3)*12+MONTH($C$3),YEAR($I154)*12+MONTH($I154))-(YEAR($H154)*12+MONTH($H154))+1))</f>
        <v/>
      </c>
      <c r="M154" s="50">
        <f>IF($J154="",0,$K154*MAX(0,MIN(YEAR($C$3)*12+MONTH($C$3)-1,YEAR($I154)*12+MONTH($I154))-(YEAR($H154)*12+MONTH($H154))+1))</f>
        <v/>
      </c>
      <c r="N154" s="50">
        <f>IF(OR($J154="",$B154=""),0,IF(YEAR($B154)*12+MONTH($B154)&lt;=YEAR($C$3)*12+MONTH($C$3),$G154,0))</f>
        <v/>
      </c>
      <c r="O154" s="50">
        <f>IF(OR($J154="",$B154=""),0,IF(YEAR($B154)*12+MONTH($B154)&lt;=YEAR($C$3)*12+MONTH($C$3)-1,$G154,0))</f>
        <v/>
      </c>
      <c r="P154" s="50">
        <f>$M154-$O154</f>
        <v/>
      </c>
      <c r="Q154" s="50">
        <f>($L154-$M154)-($N154-$O154)</f>
        <v/>
      </c>
      <c r="R154" s="50">
        <f>$L154-$N154</f>
        <v/>
      </c>
    </row>
    <row r="155">
      <c r="A155" s="47">
        <f>ROW()-5</f>
        <v/>
      </c>
      <c r="B155" s="48">
        <f>IFERROR(INDEX(tbl_Finance[Date],$A155),"")</f>
        <v/>
      </c>
      <c r="C155" s="49">
        <f>IFERROR(INDEX(tbl_Finance[Xero Invoice No],$A155),"")</f>
        <v/>
      </c>
      <c r="D155" s="49">
        <f>IFERROR(INDEX(tbl_Finance[Client],$A155),"")</f>
        <v/>
      </c>
      <c r="E155" s="49">
        <f>IFERROR(INDEX(tbl_Finance[Job Number],$A155),"")</f>
        <v/>
      </c>
      <c r="F155" s="49">
        <f>IFERROR(INDEX(tbl_Finance[Cost Centre],$A155),"")</f>
        <v/>
      </c>
      <c r="G155" s="50">
        <f>IFERROR(INDEX(tbl_Finance[Ex GST],$A155),"")</f>
        <v/>
      </c>
      <c r="H155" s="48">
        <f>IFERROR(INDEX(tbl_Finance[Defer Start],$A155),"")</f>
        <v/>
      </c>
      <c r="I155" s="48">
        <f>IFERROR(INDEX(tbl_Finance[Defer End],$A155),"")</f>
        <v/>
      </c>
      <c r="J155" s="47">
        <f>IF(OR($H155="",$I155="",$G155=""),"",MAX(1,(YEAR($I155)-YEAR($H155))*12+MONTH($I155)-MONTH($H155)+1))</f>
        <v/>
      </c>
      <c r="K155" s="50">
        <f>IF($J155="","",$G155/$J155)</f>
        <v/>
      </c>
      <c r="L155" s="50">
        <f>IF($J155="",0,$K155*MAX(0,MIN(YEAR($C$3)*12+MONTH($C$3),YEAR($I155)*12+MONTH($I155))-(YEAR($H155)*12+MONTH($H155))+1))</f>
        <v/>
      </c>
      <c r="M155" s="50">
        <f>IF($J155="",0,$K155*MAX(0,MIN(YEAR($C$3)*12+MONTH($C$3)-1,YEAR($I155)*12+MONTH($I155))-(YEAR($H155)*12+MONTH($H155))+1))</f>
        <v/>
      </c>
      <c r="N155" s="50">
        <f>IF(OR($J155="",$B155=""),0,IF(YEAR($B155)*12+MONTH($B155)&lt;=YEAR($C$3)*12+MONTH($C$3),$G155,0))</f>
        <v/>
      </c>
      <c r="O155" s="50">
        <f>IF(OR($J155="",$B155=""),0,IF(YEAR($B155)*12+MONTH($B155)&lt;=YEAR($C$3)*12+MONTH($C$3)-1,$G155,0))</f>
        <v/>
      </c>
      <c r="P155" s="50">
        <f>$M155-$O155</f>
        <v/>
      </c>
      <c r="Q155" s="50">
        <f>($L155-$M155)-($N155-$O155)</f>
        <v/>
      </c>
      <c r="R155" s="50">
        <f>$L155-$N155</f>
        <v/>
      </c>
    </row>
    <row r="156">
      <c r="A156" s="47">
        <f>ROW()-5</f>
        <v/>
      </c>
      <c r="B156" s="48">
        <f>IFERROR(INDEX(tbl_Finance[Date],$A156),"")</f>
        <v/>
      </c>
      <c r="C156" s="49">
        <f>IFERROR(INDEX(tbl_Finance[Xero Invoice No],$A156),"")</f>
        <v/>
      </c>
      <c r="D156" s="49">
        <f>IFERROR(INDEX(tbl_Finance[Client],$A156),"")</f>
        <v/>
      </c>
      <c r="E156" s="49">
        <f>IFERROR(INDEX(tbl_Finance[Job Number],$A156),"")</f>
        <v/>
      </c>
      <c r="F156" s="49">
        <f>IFERROR(INDEX(tbl_Finance[Cost Centre],$A156),"")</f>
        <v/>
      </c>
      <c r="G156" s="50">
        <f>IFERROR(INDEX(tbl_Finance[Ex GST],$A156),"")</f>
        <v/>
      </c>
      <c r="H156" s="48">
        <f>IFERROR(INDEX(tbl_Finance[Defer Start],$A156),"")</f>
        <v/>
      </c>
      <c r="I156" s="48">
        <f>IFERROR(INDEX(tbl_Finance[Defer End],$A156),"")</f>
        <v/>
      </c>
      <c r="J156" s="47">
        <f>IF(OR($H156="",$I156="",$G156=""),"",MAX(1,(YEAR($I156)-YEAR($H156))*12+MONTH($I156)-MONTH($H156)+1))</f>
        <v/>
      </c>
      <c r="K156" s="50">
        <f>IF($J156="","",$G156/$J156)</f>
        <v/>
      </c>
      <c r="L156" s="50">
        <f>IF($J156="",0,$K156*MAX(0,MIN(YEAR($C$3)*12+MONTH($C$3),YEAR($I156)*12+MONTH($I156))-(YEAR($H156)*12+MONTH($H156))+1))</f>
        <v/>
      </c>
      <c r="M156" s="50">
        <f>IF($J156="",0,$K156*MAX(0,MIN(YEAR($C$3)*12+MONTH($C$3)-1,YEAR($I156)*12+MONTH($I156))-(YEAR($H156)*12+MONTH($H156))+1))</f>
        <v/>
      </c>
      <c r="N156" s="50">
        <f>IF(OR($J156="",$B156=""),0,IF(YEAR($B156)*12+MONTH($B156)&lt;=YEAR($C$3)*12+MONTH($C$3),$G156,0))</f>
        <v/>
      </c>
      <c r="O156" s="50">
        <f>IF(OR($J156="",$B156=""),0,IF(YEAR($B156)*12+MONTH($B156)&lt;=YEAR($C$3)*12+MONTH($C$3)-1,$G156,0))</f>
        <v/>
      </c>
      <c r="P156" s="50">
        <f>$M156-$O156</f>
        <v/>
      </c>
      <c r="Q156" s="50">
        <f>($L156-$M156)-($N156-$O156)</f>
        <v/>
      </c>
      <c r="R156" s="50">
        <f>$L156-$N156</f>
        <v/>
      </c>
    </row>
    <row r="157">
      <c r="A157" s="47">
        <f>ROW()-5</f>
        <v/>
      </c>
      <c r="B157" s="48">
        <f>IFERROR(INDEX(tbl_Finance[Date],$A157),"")</f>
        <v/>
      </c>
      <c r="C157" s="49">
        <f>IFERROR(INDEX(tbl_Finance[Xero Invoice No],$A157),"")</f>
        <v/>
      </c>
      <c r="D157" s="49">
        <f>IFERROR(INDEX(tbl_Finance[Client],$A157),"")</f>
        <v/>
      </c>
      <c r="E157" s="49">
        <f>IFERROR(INDEX(tbl_Finance[Job Number],$A157),"")</f>
        <v/>
      </c>
      <c r="F157" s="49">
        <f>IFERROR(INDEX(tbl_Finance[Cost Centre],$A157),"")</f>
        <v/>
      </c>
      <c r="G157" s="50">
        <f>IFERROR(INDEX(tbl_Finance[Ex GST],$A157),"")</f>
        <v/>
      </c>
      <c r="H157" s="48">
        <f>IFERROR(INDEX(tbl_Finance[Defer Start],$A157),"")</f>
        <v/>
      </c>
      <c r="I157" s="48">
        <f>IFERROR(INDEX(tbl_Finance[Defer End],$A157),"")</f>
        <v/>
      </c>
      <c r="J157" s="47">
        <f>IF(OR($H157="",$I157="",$G157=""),"",MAX(1,(YEAR($I157)-YEAR($H157))*12+MONTH($I157)-MONTH($H157)+1))</f>
        <v/>
      </c>
      <c r="K157" s="50">
        <f>IF($J157="","",$G157/$J157)</f>
        <v/>
      </c>
      <c r="L157" s="50">
        <f>IF($J157="",0,$K157*MAX(0,MIN(YEAR($C$3)*12+MONTH($C$3),YEAR($I157)*12+MONTH($I157))-(YEAR($H157)*12+MONTH($H157))+1))</f>
        <v/>
      </c>
      <c r="M157" s="50">
        <f>IF($J157="",0,$K157*MAX(0,MIN(YEAR($C$3)*12+MONTH($C$3)-1,YEAR($I157)*12+MONTH($I157))-(YEAR($H157)*12+MONTH($H157))+1))</f>
        <v/>
      </c>
      <c r="N157" s="50">
        <f>IF(OR($J157="",$B157=""),0,IF(YEAR($B157)*12+MONTH($B157)&lt;=YEAR($C$3)*12+MONTH($C$3),$G157,0))</f>
        <v/>
      </c>
      <c r="O157" s="50">
        <f>IF(OR($J157="",$B157=""),0,IF(YEAR($B157)*12+MONTH($B157)&lt;=YEAR($C$3)*12+MONTH($C$3)-1,$G157,0))</f>
        <v/>
      </c>
      <c r="P157" s="50">
        <f>$M157-$O157</f>
        <v/>
      </c>
      <c r="Q157" s="50">
        <f>($L157-$M157)-($N157-$O157)</f>
        <v/>
      </c>
      <c r="R157" s="50">
        <f>$L157-$N157</f>
        <v/>
      </c>
    </row>
    <row r="158">
      <c r="A158" s="47">
        <f>ROW()-5</f>
        <v/>
      </c>
      <c r="B158" s="48">
        <f>IFERROR(INDEX(tbl_Finance[Date],$A158),"")</f>
        <v/>
      </c>
      <c r="C158" s="49">
        <f>IFERROR(INDEX(tbl_Finance[Xero Invoice No],$A158),"")</f>
        <v/>
      </c>
      <c r="D158" s="49">
        <f>IFERROR(INDEX(tbl_Finance[Client],$A158),"")</f>
        <v/>
      </c>
      <c r="E158" s="49">
        <f>IFERROR(INDEX(tbl_Finance[Job Number],$A158),"")</f>
        <v/>
      </c>
      <c r="F158" s="49">
        <f>IFERROR(INDEX(tbl_Finance[Cost Centre],$A158),"")</f>
        <v/>
      </c>
      <c r="G158" s="50">
        <f>IFERROR(INDEX(tbl_Finance[Ex GST],$A158),"")</f>
        <v/>
      </c>
      <c r="H158" s="48">
        <f>IFERROR(INDEX(tbl_Finance[Defer Start],$A158),"")</f>
        <v/>
      </c>
      <c r="I158" s="48">
        <f>IFERROR(INDEX(tbl_Finance[Defer End],$A158),"")</f>
        <v/>
      </c>
      <c r="J158" s="47">
        <f>IF(OR($H158="",$I158="",$G158=""),"",MAX(1,(YEAR($I158)-YEAR($H158))*12+MONTH($I158)-MONTH($H158)+1))</f>
        <v/>
      </c>
      <c r="K158" s="50">
        <f>IF($J158="","",$G158/$J158)</f>
        <v/>
      </c>
      <c r="L158" s="50">
        <f>IF($J158="",0,$K158*MAX(0,MIN(YEAR($C$3)*12+MONTH($C$3),YEAR($I158)*12+MONTH($I158))-(YEAR($H158)*12+MONTH($H158))+1))</f>
        <v/>
      </c>
      <c r="M158" s="50">
        <f>IF($J158="",0,$K158*MAX(0,MIN(YEAR($C$3)*12+MONTH($C$3)-1,YEAR($I158)*12+MONTH($I158))-(YEAR($H158)*12+MONTH($H158))+1))</f>
        <v/>
      </c>
      <c r="N158" s="50">
        <f>IF(OR($J158="",$B158=""),0,IF(YEAR($B158)*12+MONTH($B158)&lt;=YEAR($C$3)*12+MONTH($C$3),$G158,0))</f>
        <v/>
      </c>
      <c r="O158" s="50">
        <f>IF(OR($J158="",$B158=""),0,IF(YEAR($B158)*12+MONTH($B158)&lt;=YEAR($C$3)*12+MONTH($C$3)-1,$G158,0))</f>
        <v/>
      </c>
      <c r="P158" s="50">
        <f>$M158-$O158</f>
        <v/>
      </c>
      <c r="Q158" s="50">
        <f>($L158-$M158)-($N158-$O158)</f>
        <v/>
      </c>
      <c r="R158" s="50">
        <f>$L158-$N158</f>
        <v/>
      </c>
    </row>
    <row r="159">
      <c r="A159" s="47">
        <f>ROW()-5</f>
        <v/>
      </c>
      <c r="B159" s="48">
        <f>IFERROR(INDEX(tbl_Finance[Date],$A159),"")</f>
        <v/>
      </c>
      <c r="C159" s="49">
        <f>IFERROR(INDEX(tbl_Finance[Xero Invoice No],$A159),"")</f>
        <v/>
      </c>
      <c r="D159" s="49">
        <f>IFERROR(INDEX(tbl_Finance[Client],$A159),"")</f>
        <v/>
      </c>
      <c r="E159" s="49">
        <f>IFERROR(INDEX(tbl_Finance[Job Number],$A159),"")</f>
        <v/>
      </c>
      <c r="F159" s="49">
        <f>IFERROR(INDEX(tbl_Finance[Cost Centre],$A159),"")</f>
        <v/>
      </c>
      <c r="G159" s="50">
        <f>IFERROR(INDEX(tbl_Finance[Ex GST],$A159),"")</f>
        <v/>
      </c>
      <c r="H159" s="48">
        <f>IFERROR(INDEX(tbl_Finance[Defer Start],$A159),"")</f>
        <v/>
      </c>
      <c r="I159" s="48">
        <f>IFERROR(INDEX(tbl_Finance[Defer End],$A159),"")</f>
        <v/>
      </c>
      <c r="J159" s="47">
        <f>IF(OR($H159="",$I159="",$G159=""),"",MAX(1,(YEAR($I159)-YEAR($H159))*12+MONTH($I159)-MONTH($H159)+1))</f>
        <v/>
      </c>
      <c r="K159" s="50">
        <f>IF($J159="","",$G159/$J159)</f>
        <v/>
      </c>
      <c r="L159" s="50">
        <f>IF($J159="",0,$K159*MAX(0,MIN(YEAR($C$3)*12+MONTH($C$3),YEAR($I159)*12+MONTH($I159))-(YEAR($H159)*12+MONTH($H159))+1))</f>
        <v/>
      </c>
      <c r="M159" s="50">
        <f>IF($J159="",0,$K159*MAX(0,MIN(YEAR($C$3)*12+MONTH($C$3)-1,YEAR($I159)*12+MONTH($I159))-(YEAR($H159)*12+MONTH($H159))+1))</f>
        <v/>
      </c>
      <c r="N159" s="50">
        <f>IF(OR($J159="",$B159=""),0,IF(YEAR($B159)*12+MONTH($B159)&lt;=YEAR($C$3)*12+MONTH($C$3),$G159,0))</f>
        <v/>
      </c>
      <c r="O159" s="50">
        <f>IF(OR($J159="",$B159=""),0,IF(YEAR($B159)*12+MONTH($B159)&lt;=YEAR($C$3)*12+MONTH($C$3)-1,$G159,0))</f>
        <v/>
      </c>
      <c r="P159" s="50">
        <f>$M159-$O159</f>
        <v/>
      </c>
      <c r="Q159" s="50">
        <f>($L159-$M159)-($N159-$O159)</f>
        <v/>
      </c>
      <c r="R159" s="50">
        <f>$L159-$N159</f>
        <v/>
      </c>
    </row>
    <row r="160">
      <c r="A160" s="47">
        <f>ROW()-5</f>
        <v/>
      </c>
      <c r="B160" s="48">
        <f>IFERROR(INDEX(tbl_Finance[Date],$A160),"")</f>
        <v/>
      </c>
      <c r="C160" s="49">
        <f>IFERROR(INDEX(tbl_Finance[Xero Invoice No],$A160),"")</f>
        <v/>
      </c>
      <c r="D160" s="49">
        <f>IFERROR(INDEX(tbl_Finance[Client],$A160),"")</f>
        <v/>
      </c>
      <c r="E160" s="49">
        <f>IFERROR(INDEX(tbl_Finance[Job Number],$A160),"")</f>
        <v/>
      </c>
      <c r="F160" s="49">
        <f>IFERROR(INDEX(tbl_Finance[Cost Centre],$A160),"")</f>
        <v/>
      </c>
      <c r="G160" s="50">
        <f>IFERROR(INDEX(tbl_Finance[Ex GST],$A160),"")</f>
        <v/>
      </c>
      <c r="H160" s="48">
        <f>IFERROR(INDEX(tbl_Finance[Defer Start],$A160),"")</f>
        <v/>
      </c>
      <c r="I160" s="48">
        <f>IFERROR(INDEX(tbl_Finance[Defer End],$A160),"")</f>
        <v/>
      </c>
      <c r="J160" s="47">
        <f>IF(OR($H160="",$I160="",$G160=""),"",MAX(1,(YEAR($I160)-YEAR($H160))*12+MONTH($I160)-MONTH($H160)+1))</f>
        <v/>
      </c>
      <c r="K160" s="50">
        <f>IF($J160="","",$G160/$J160)</f>
        <v/>
      </c>
      <c r="L160" s="50">
        <f>IF($J160="",0,$K160*MAX(0,MIN(YEAR($C$3)*12+MONTH($C$3),YEAR($I160)*12+MONTH($I160))-(YEAR($H160)*12+MONTH($H160))+1))</f>
        <v/>
      </c>
      <c r="M160" s="50">
        <f>IF($J160="",0,$K160*MAX(0,MIN(YEAR($C$3)*12+MONTH($C$3)-1,YEAR($I160)*12+MONTH($I160))-(YEAR($H160)*12+MONTH($H160))+1))</f>
        <v/>
      </c>
      <c r="N160" s="50">
        <f>IF(OR($J160="",$B160=""),0,IF(YEAR($B160)*12+MONTH($B160)&lt;=YEAR($C$3)*12+MONTH($C$3),$G160,0))</f>
        <v/>
      </c>
      <c r="O160" s="50">
        <f>IF(OR($J160="",$B160=""),0,IF(YEAR($B160)*12+MONTH($B160)&lt;=YEAR($C$3)*12+MONTH($C$3)-1,$G160,0))</f>
        <v/>
      </c>
      <c r="P160" s="50">
        <f>$M160-$O160</f>
        <v/>
      </c>
      <c r="Q160" s="50">
        <f>($L160-$M160)-($N160-$O160)</f>
        <v/>
      </c>
      <c r="R160" s="50">
        <f>$L160-$N160</f>
        <v/>
      </c>
    </row>
    <row r="161">
      <c r="A161" s="47">
        <f>ROW()-5</f>
        <v/>
      </c>
      <c r="B161" s="48">
        <f>IFERROR(INDEX(tbl_Finance[Date],$A161),"")</f>
        <v/>
      </c>
      <c r="C161" s="49">
        <f>IFERROR(INDEX(tbl_Finance[Xero Invoice No],$A161),"")</f>
        <v/>
      </c>
      <c r="D161" s="49">
        <f>IFERROR(INDEX(tbl_Finance[Client],$A161),"")</f>
        <v/>
      </c>
      <c r="E161" s="49">
        <f>IFERROR(INDEX(tbl_Finance[Job Number],$A161),"")</f>
        <v/>
      </c>
      <c r="F161" s="49">
        <f>IFERROR(INDEX(tbl_Finance[Cost Centre],$A161),"")</f>
        <v/>
      </c>
      <c r="G161" s="50">
        <f>IFERROR(INDEX(tbl_Finance[Ex GST],$A161),"")</f>
        <v/>
      </c>
      <c r="H161" s="48">
        <f>IFERROR(INDEX(tbl_Finance[Defer Start],$A161),"")</f>
        <v/>
      </c>
      <c r="I161" s="48">
        <f>IFERROR(INDEX(tbl_Finance[Defer End],$A161),"")</f>
        <v/>
      </c>
      <c r="J161" s="47">
        <f>IF(OR($H161="",$I161="",$G161=""),"",MAX(1,(YEAR($I161)-YEAR($H161))*12+MONTH($I161)-MONTH($H161)+1))</f>
        <v/>
      </c>
      <c r="K161" s="50">
        <f>IF($J161="","",$G161/$J161)</f>
        <v/>
      </c>
      <c r="L161" s="50">
        <f>IF($J161="",0,$K161*MAX(0,MIN(YEAR($C$3)*12+MONTH($C$3),YEAR($I161)*12+MONTH($I161))-(YEAR($H161)*12+MONTH($H161))+1))</f>
        <v/>
      </c>
      <c r="M161" s="50">
        <f>IF($J161="",0,$K161*MAX(0,MIN(YEAR($C$3)*12+MONTH($C$3)-1,YEAR($I161)*12+MONTH($I161))-(YEAR($H161)*12+MONTH($H161))+1))</f>
        <v/>
      </c>
      <c r="N161" s="50">
        <f>IF(OR($J161="",$B161=""),0,IF(YEAR($B161)*12+MONTH($B161)&lt;=YEAR($C$3)*12+MONTH($C$3),$G161,0))</f>
        <v/>
      </c>
      <c r="O161" s="50">
        <f>IF(OR($J161="",$B161=""),0,IF(YEAR($B161)*12+MONTH($B161)&lt;=YEAR($C$3)*12+MONTH($C$3)-1,$G161,0))</f>
        <v/>
      </c>
      <c r="P161" s="50">
        <f>$M161-$O161</f>
        <v/>
      </c>
      <c r="Q161" s="50">
        <f>($L161-$M161)-($N161-$O161)</f>
        <v/>
      </c>
      <c r="R161" s="50">
        <f>$L161-$N161</f>
        <v/>
      </c>
    </row>
    <row r="162">
      <c r="A162" s="47">
        <f>ROW()-5</f>
        <v/>
      </c>
      <c r="B162" s="48">
        <f>IFERROR(INDEX(tbl_Finance[Date],$A162),"")</f>
        <v/>
      </c>
      <c r="C162" s="49">
        <f>IFERROR(INDEX(tbl_Finance[Xero Invoice No],$A162),"")</f>
        <v/>
      </c>
      <c r="D162" s="49">
        <f>IFERROR(INDEX(tbl_Finance[Client],$A162),"")</f>
        <v/>
      </c>
      <c r="E162" s="49">
        <f>IFERROR(INDEX(tbl_Finance[Job Number],$A162),"")</f>
        <v/>
      </c>
      <c r="F162" s="49">
        <f>IFERROR(INDEX(tbl_Finance[Cost Centre],$A162),"")</f>
        <v/>
      </c>
      <c r="G162" s="50">
        <f>IFERROR(INDEX(tbl_Finance[Ex GST],$A162),"")</f>
        <v/>
      </c>
      <c r="H162" s="48">
        <f>IFERROR(INDEX(tbl_Finance[Defer Start],$A162),"")</f>
        <v/>
      </c>
      <c r="I162" s="48">
        <f>IFERROR(INDEX(tbl_Finance[Defer End],$A162),"")</f>
        <v/>
      </c>
      <c r="J162" s="47">
        <f>IF(OR($H162="",$I162="",$G162=""),"",MAX(1,(YEAR($I162)-YEAR($H162))*12+MONTH($I162)-MONTH($H162)+1))</f>
        <v/>
      </c>
      <c r="K162" s="50">
        <f>IF($J162="","",$G162/$J162)</f>
        <v/>
      </c>
      <c r="L162" s="50">
        <f>IF($J162="",0,$K162*MAX(0,MIN(YEAR($C$3)*12+MONTH($C$3),YEAR($I162)*12+MONTH($I162))-(YEAR($H162)*12+MONTH($H162))+1))</f>
        <v/>
      </c>
      <c r="M162" s="50">
        <f>IF($J162="",0,$K162*MAX(0,MIN(YEAR($C$3)*12+MONTH($C$3)-1,YEAR($I162)*12+MONTH($I162))-(YEAR($H162)*12+MONTH($H162))+1))</f>
        <v/>
      </c>
      <c r="N162" s="50">
        <f>IF(OR($J162="",$B162=""),0,IF(YEAR($B162)*12+MONTH($B162)&lt;=YEAR($C$3)*12+MONTH($C$3),$G162,0))</f>
        <v/>
      </c>
      <c r="O162" s="50">
        <f>IF(OR($J162="",$B162=""),0,IF(YEAR($B162)*12+MONTH($B162)&lt;=YEAR($C$3)*12+MONTH($C$3)-1,$G162,0))</f>
        <v/>
      </c>
      <c r="P162" s="50">
        <f>$M162-$O162</f>
        <v/>
      </c>
      <c r="Q162" s="50">
        <f>($L162-$M162)-($N162-$O162)</f>
        <v/>
      </c>
      <c r="R162" s="50">
        <f>$L162-$N162</f>
        <v/>
      </c>
    </row>
    <row r="163">
      <c r="A163" s="47">
        <f>ROW()-5</f>
        <v/>
      </c>
      <c r="B163" s="48">
        <f>IFERROR(INDEX(tbl_Finance[Date],$A163),"")</f>
        <v/>
      </c>
      <c r="C163" s="49">
        <f>IFERROR(INDEX(tbl_Finance[Xero Invoice No],$A163),"")</f>
        <v/>
      </c>
      <c r="D163" s="49">
        <f>IFERROR(INDEX(tbl_Finance[Client],$A163),"")</f>
        <v/>
      </c>
      <c r="E163" s="49">
        <f>IFERROR(INDEX(tbl_Finance[Job Number],$A163),"")</f>
        <v/>
      </c>
      <c r="F163" s="49">
        <f>IFERROR(INDEX(tbl_Finance[Cost Centre],$A163),"")</f>
        <v/>
      </c>
      <c r="G163" s="50">
        <f>IFERROR(INDEX(tbl_Finance[Ex GST],$A163),"")</f>
        <v/>
      </c>
      <c r="H163" s="48">
        <f>IFERROR(INDEX(tbl_Finance[Defer Start],$A163),"")</f>
        <v/>
      </c>
      <c r="I163" s="48">
        <f>IFERROR(INDEX(tbl_Finance[Defer End],$A163),"")</f>
        <v/>
      </c>
      <c r="J163" s="47">
        <f>IF(OR($H163="",$I163="",$G163=""),"",MAX(1,(YEAR($I163)-YEAR($H163))*12+MONTH($I163)-MONTH($H163)+1))</f>
        <v/>
      </c>
      <c r="K163" s="50">
        <f>IF($J163="","",$G163/$J163)</f>
        <v/>
      </c>
      <c r="L163" s="50">
        <f>IF($J163="",0,$K163*MAX(0,MIN(YEAR($C$3)*12+MONTH($C$3),YEAR($I163)*12+MONTH($I163))-(YEAR($H163)*12+MONTH($H163))+1))</f>
        <v/>
      </c>
      <c r="M163" s="50">
        <f>IF($J163="",0,$K163*MAX(0,MIN(YEAR($C$3)*12+MONTH($C$3)-1,YEAR($I163)*12+MONTH($I163))-(YEAR($H163)*12+MONTH($H163))+1))</f>
        <v/>
      </c>
      <c r="N163" s="50">
        <f>IF(OR($J163="",$B163=""),0,IF(YEAR($B163)*12+MONTH($B163)&lt;=YEAR($C$3)*12+MONTH($C$3),$G163,0))</f>
        <v/>
      </c>
      <c r="O163" s="50">
        <f>IF(OR($J163="",$B163=""),0,IF(YEAR($B163)*12+MONTH($B163)&lt;=YEAR($C$3)*12+MONTH($C$3)-1,$G163,0))</f>
        <v/>
      </c>
      <c r="P163" s="50">
        <f>$M163-$O163</f>
        <v/>
      </c>
      <c r="Q163" s="50">
        <f>($L163-$M163)-($N163-$O163)</f>
        <v/>
      </c>
      <c r="R163" s="50">
        <f>$L163-$N163</f>
        <v/>
      </c>
    </row>
    <row r="164">
      <c r="A164" s="47">
        <f>ROW()-5</f>
        <v/>
      </c>
      <c r="B164" s="48">
        <f>IFERROR(INDEX(tbl_Finance[Date],$A164),"")</f>
        <v/>
      </c>
      <c r="C164" s="49">
        <f>IFERROR(INDEX(tbl_Finance[Xero Invoice No],$A164),"")</f>
        <v/>
      </c>
      <c r="D164" s="49">
        <f>IFERROR(INDEX(tbl_Finance[Client],$A164),"")</f>
        <v/>
      </c>
      <c r="E164" s="49">
        <f>IFERROR(INDEX(tbl_Finance[Job Number],$A164),"")</f>
        <v/>
      </c>
      <c r="F164" s="49">
        <f>IFERROR(INDEX(tbl_Finance[Cost Centre],$A164),"")</f>
        <v/>
      </c>
      <c r="G164" s="50">
        <f>IFERROR(INDEX(tbl_Finance[Ex GST],$A164),"")</f>
        <v/>
      </c>
      <c r="H164" s="48">
        <f>IFERROR(INDEX(tbl_Finance[Defer Start],$A164),"")</f>
        <v/>
      </c>
      <c r="I164" s="48">
        <f>IFERROR(INDEX(tbl_Finance[Defer End],$A164),"")</f>
        <v/>
      </c>
      <c r="J164" s="47">
        <f>IF(OR($H164="",$I164="",$G164=""),"",MAX(1,(YEAR($I164)-YEAR($H164))*12+MONTH($I164)-MONTH($H164)+1))</f>
        <v/>
      </c>
      <c r="K164" s="50">
        <f>IF($J164="","",$G164/$J164)</f>
        <v/>
      </c>
      <c r="L164" s="50">
        <f>IF($J164="",0,$K164*MAX(0,MIN(YEAR($C$3)*12+MONTH($C$3),YEAR($I164)*12+MONTH($I164))-(YEAR($H164)*12+MONTH($H164))+1))</f>
        <v/>
      </c>
      <c r="M164" s="50">
        <f>IF($J164="",0,$K164*MAX(0,MIN(YEAR($C$3)*12+MONTH($C$3)-1,YEAR($I164)*12+MONTH($I164))-(YEAR($H164)*12+MONTH($H164))+1))</f>
        <v/>
      </c>
      <c r="N164" s="50">
        <f>IF(OR($J164="",$B164=""),0,IF(YEAR($B164)*12+MONTH($B164)&lt;=YEAR($C$3)*12+MONTH($C$3),$G164,0))</f>
        <v/>
      </c>
      <c r="O164" s="50">
        <f>IF(OR($J164="",$B164=""),0,IF(YEAR($B164)*12+MONTH($B164)&lt;=YEAR($C$3)*12+MONTH($C$3)-1,$G164,0))</f>
        <v/>
      </c>
      <c r="P164" s="50">
        <f>$M164-$O164</f>
        <v/>
      </c>
      <c r="Q164" s="50">
        <f>($L164-$M164)-($N164-$O164)</f>
        <v/>
      </c>
      <c r="R164" s="50">
        <f>$L164-$N164</f>
        <v/>
      </c>
    </row>
    <row r="165">
      <c r="A165" s="47">
        <f>ROW()-5</f>
        <v/>
      </c>
      <c r="B165" s="48">
        <f>IFERROR(INDEX(tbl_Finance[Date],$A165),"")</f>
        <v/>
      </c>
      <c r="C165" s="49">
        <f>IFERROR(INDEX(tbl_Finance[Xero Invoice No],$A165),"")</f>
        <v/>
      </c>
      <c r="D165" s="49">
        <f>IFERROR(INDEX(tbl_Finance[Client],$A165),"")</f>
        <v/>
      </c>
      <c r="E165" s="49">
        <f>IFERROR(INDEX(tbl_Finance[Job Number],$A165),"")</f>
        <v/>
      </c>
      <c r="F165" s="49">
        <f>IFERROR(INDEX(tbl_Finance[Cost Centre],$A165),"")</f>
        <v/>
      </c>
      <c r="G165" s="50">
        <f>IFERROR(INDEX(tbl_Finance[Ex GST],$A165),"")</f>
        <v/>
      </c>
      <c r="H165" s="48">
        <f>IFERROR(INDEX(tbl_Finance[Defer Start],$A165),"")</f>
        <v/>
      </c>
      <c r="I165" s="48">
        <f>IFERROR(INDEX(tbl_Finance[Defer End],$A165),"")</f>
        <v/>
      </c>
      <c r="J165" s="47">
        <f>IF(OR($H165="",$I165="",$G165=""),"",MAX(1,(YEAR($I165)-YEAR($H165))*12+MONTH($I165)-MONTH($H165)+1))</f>
        <v/>
      </c>
      <c r="K165" s="50">
        <f>IF($J165="","",$G165/$J165)</f>
        <v/>
      </c>
      <c r="L165" s="50">
        <f>IF($J165="",0,$K165*MAX(0,MIN(YEAR($C$3)*12+MONTH($C$3),YEAR($I165)*12+MONTH($I165))-(YEAR($H165)*12+MONTH($H165))+1))</f>
        <v/>
      </c>
      <c r="M165" s="50">
        <f>IF($J165="",0,$K165*MAX(0,MIN(YEAR($C$3)*12+MONTH($C$3)-1,YEAR($I165)*12+MONTH($I165))-(YEAR($H165)*12+MONTH($H165))+1))</f>
        <v/>
      </c>
      <c r="N165" s="50">
        <f>IF(OR($J165="",$B165=""),0,IF(YEAR($B165)*12+MONTH($B165)&lt;=YEAR($C$3)*12+MONTH($C$3),$G165,0))</f>
        <v/>
      </c>
      <c r="O165" s="50">
        <f>IF(OR($J165="",$B165=""),0,IF(YEAR($B165)*12+MONTH($B165)&lt;=YEAR($C$3)*12+MONTH($C$3)-1,$G165,0))</f>
        <v/>
      </c>
      <c r="P165" s="50">
        <f>$M165-$O165</f>
        <v/>
      </c>
      <c r="Q165" s="50">
        <f>($L165-$M165)-($N165-$O165)</f>
        <v/>
      </c>
      <c r="R165" s="50">
        <f>$L165-$N165</f>
        <v/>
      </c>
    </row>
    <row r="166">
      <c r="A166" s="47">
        <f>ROW()-5</f>
        <v/>
      </c>
      <c r="B166" s="48">
        <f>IFERROR(INDEX(tbl_Finance[Date],$A166),"")</f>
        <v/>
      </c>
      <c r="C166" s="49">
        <f>IFERROR(INDEX(tbl_Finance[Xero Invoice No],$A166),"")</f>
        <v/>
      </c>
      <c r="D166" s="49">
        <f>IFERROR(INDEX(tbl_Finance[Client],$A166),"")</f>
        <v/>
      </c>
      <c r="E166" s="49">
        <f>IFERROR(INDEX(tbl_Finance[Job Number],$A166),"")</f>
        <v/>
      </c>
      <c r="F166" s="49">
        <f>IFERROR(INDEX(tbl_Finance[Cost Centre],$A166),"")</f>
        <v/>
      </c>
      <c r="G166" s="50">
        <f>IFERROR(INDEX(tbl_Finance[Ex GST],$A166),"")</f>
        <v/>
      </c>
      <c r="H166" s="48">
        <f>IFERROR(INDEX(tbl_Finance[Defer Start],$A166),"")</f>
        <v/>
      </c>
      <c r="I166" s="48">
        <f>IFERROR(INDEX(tbl_Finance[Defer End],$A166),"")</f>
        <v/>
      </c>
      <c r="J166" s="47">
        <f>IF(OR($H166="",$I166="",$G166=""),"",MAX(1,(YEAR($I166)-YEAR($H166))*12+MONTH($I166)-MONTH($H166)+1))</f>
        <v/>
      </c>
      <c r="K166" s="50">
        <f>IF($J166="","",$G166/$J166)</f>
        <v/>
      </c>
      <c r="L166" s="50">
        <f>IF($J166="",0,$K166*MAX(0,MIN(YEAR($C$3)*12+MONTH($C$3),YEAR($I166)*12+MONTH($I166))-(YEAR($H166)*12+MONTH($H166))+1))</f>
        <v/>
      </c>
      <c r="M166" s="50">
        <f>IF($J166="",0,$K166*MAX(0,MIN(YEAR($C$3)*12+MONTH($C$3)-1,YEAR($I166)*12+MONTH($I166))-(YEAR($H166)*12+MONTH($H166))+1))</f>
        <v/>
      </c>
      <c r="N166" s="50">
        <f>IF(OR($J166="",$B166=""),0,IF(YEAR($B166)*12+MONTH($B166)&lt;=YEAR($C$3)*12+MONTH($C$3),$G166,0))</f>
        <v/>
      </c>
      <c r="O166" s="50">
        <f>IF(OR($J166="",$B166=""),0,IF(YEAR($B166)*12+MONTH($B166)&lt;=YEAR($C$3)*12+MONTH($C$3)-1,$G166,0))</f>
        <v/>
      </c>
      <c r="P166" s="50">
        <f>$M166-$O166</f>
        <v/>
      </c>
      <c r="Q166" s="50">
        <f>($L166-$M166)-($N166-$O166)</f>
        <v/>
      </c>
      <c r="R166" s="50">
        <f>$L166-$N166</f>
        <v/>
      </c>
    </row>
    <row r="167">
      <c r="A167" s="47">
        <f>ROW()-5</f>
        <v/>
      </c>
      <c r="B167" s="48">
        <f>IFERROR(INDEX(tbl_Finance[Date],$A167),"")</f>
        <v/>
      </c>
      <c r="C167" s="49">
        <f>IFERROR(INDEX(tbl_Finance[Xero Invoice No],$A167),"")</f>
        <v/>
      </c>
      <c r="D167" s="49">
        <f>IFERROR(INDEX(tbl_Finance[Client],$A167),"")</f>
        <v/>
      </c>
      <c r="E167" s="49">
        <f>IFERROR(INDEX(tbl_Finance[Job Number],$A167),"")</f>
        <v/>
      </c>
      <c r="F167" s="49">
        <f>IFERROR(INDEX(tbl_Finance[Cost Centre],$A167),"")</f>
        <v/>
      </c>
      <c r="G167" s="50">
        <f>IFERROR(INDEX(tbl_Finance[Ex GST],$A167),"")</f>
        <v/>
      </c>
      <c r="H167" s="48">
        <f>IFERROR(INDEX(tbl_Finance[Defer Start],$A167),"")</f>
        <v/>
      </c>
      <c r="I167" s="48">
        <f>IFERROR(INDEX(tbl_Finance[Defer End],$A167),"")</f>
        <v/>
      </c>
      <c r="J167" s="47">
        <f>IF(OR($H167="",$I167="",$G167=""),"",MAX(1,(YEAR($I167)-YEAR($H167))*12+MONTH($I167)-MONTH($H167)+1))</f>
        <v/>
      </c>
      <c r="K167" s="50">
        <f>IF($J167="","",$G167/$J167)</f>
        <v/>
      </c>
      <c r="L167" s="50">
        <f>IF($J167="",0,$K167*MAX(0,MIN(YEAR($C$3)*12+MONTH($C$3),YEAR($I167)*12+MONTH($I167))-(YEAR($H167)*12+MONTH($H167))+1))</f>
        <v/>
      </c>
      <c r="M167" s="50">
        <f>IF($J167="",0,$K167*MAX(0,MIN(YEAR($C$3)*12+MONTH($C$3)-1,YEAR($I167)*12+MONTH($I167))-(YEAR($H167)*12+MONTH($H167))+1))</f>
        <v/>
      </c>
      <c r="N167" s="50">
        <f>IF(OR($J167="",$B167=""),0,IF(YEAR($B167)*12+MONTH($B167)&lt;=YEAR($C$3)*12+MONTH($C$3),$G167,0))</f>
        <v/>
      </c>
      <c r="O167" s="50">
        <f>IF(OR($J167="",$B167=""),0,IF(YEAR($B167)*12+MONTH($B167)&lt;=YEAR($C$3)*12+MONTH($C$3)-1,$G167,0))</f>
        <v/>
      </c>
      <c r="P167" s="50">
        <f>$M167-$O167</f>
        <v/>
      </c>
      <c r="Q167" s="50">
        <f>($L167-$M167)-($N167-$O167)</f>
        <v/>
      </c>
      <c r="R167" s="50">
        <f>$L167-$N167</f>
        <v/>
      </c>
    </row>
    <row r="168">
      <c r="A168" s="47">
        <f>ROW()-5</f>
        <v/>
      </c>
      <c r="B168" s="48">
        <f>IFERROR(INDEX(tbl_Finance[Date],$A168),"")</f>
        <v/>
      </c>
      <c r="C168" s="49">
        <f>IFERROR(INDEX(tbl_Finance[Xero Invoice No],$A168),"")</f>
        <v/>
      </c>
      <c r="D168" s="49">
        <f>IFERROR(INDEX(tbl_Finance[Client],$A168),"")</f>
        <v/>
      </c>
      <c r="E168" s="49">
        <f>IFERROR(INDEX(tbl_Finance[Job Number],$A168),"")</f>
        <v/>
      </c>
      <c r="F168" s="49">
        <f>IFERROR(INDEX(tbl_Finance[Cost Centre],$A168),"")</f>
        <v/>
      </c>
      <c r="G168" s="50">
        <f>IFERROR(INDEX(tbl_Finance[Ex GST],$A168),"")</f>
        <v/>
      </c>
      <c r="H168" s="48">
        <f>IFERROR(INDEX(tbl_Finance[Defer Start],$A168),"")</f>
        <v/>
      </c>
      <c r="I168" s="48">
        <f>IFERROR(INDEX(tbl_Finance[Defer End],$A168),"")</f>
        <v/>
      </c>
      <c r="J168" s="47">
        <f>IF(OR($H168="",$I168="",$G168=""),"",MAX(1,(YEAR($I168)-YEAR($H168))*12+MONTH($I168)-MONTH($H168)+1))</f>
        <v/>
      </c>
      <c r="K168" s="50">
        <f>IF($J168="","",$G168/$J168)</f>
        <v/>
      </c>
      <c r="L168" s="50">
        <f>IF($J168="",0,$K168*MAX(0,MIN(YEAR($C$3)*12+MONTH($C$3),YEAR($I168)*12+MONTH($I168))-(YEAR($H168)*12+MONTH($H168))+1))</f>
        <v/>
      </c>
      <c r="M168" s="50">
        <f>IF($J168="",0,$K168*MAX(0,MIN(YEAR($C$3)*12+MONTH($C$3)-1,YEAR($I168)*12+MONTH($I168))-(YEAR($H168)*12+MONTH($H168))+1))</f>
        <v/>
      </c>
      <c r="N168" s="50">
        <f>IF(OR($J168="",$B168=""),0,IF(YEAR($B168)*12+MONTH($B168)&lt;=YEAR($C$3)*12+MONTH($C$3),$G168,0))</f>
        <v/>
      </c>
      <c r="O168" s="50">
        <f>IF(OR($J168="",$B168=""),0,IF(YEAR($B168)*12+MONTH($B168)&lt;=YEAR($C$3)*12+MONTH($C$3)-1,$G168,0))</f>
        <v/>
      </c>
      <c r="P168" s="50">
        <f>$M168-$O168</f>
        <v/>
      </c>
      <c r="Q168" s="50">
        <f>($L168-$M168)-($N168-$O168)</f>
        <v/>
      </c>
      <c r="R168" s="50">
        <f>$L168-$N168</f>
        <v/>
      </c>
    </row>
    <row r="169">
      <c r="A169" s="47">
        <f>ROW()-5</f>
        <v/>
      </c>
      <c r="B169" s="48">
        <f>IFERROR(INDEX(tbl_Finance[Date],$A169),"")</f>
        <v/>
      </c>
      <c r="C169" s="49">
        <f>IFERROR(INDEX(tbl_Finance[Xero Invoice No],$A169),"")</f>
        <v/>
      </c>
      <c r="D169" s="49">
        <f>IFERROR(INDEX(tbl_Finance[Client],$A169),"")</f>
        <v/>
      </c>
      <c r="E169" s="49">
        <f>IFERROR(INDEX(tbl_Finance[Job Number],$A169),"")</f>
        <v/>
      </c>
      <c r="F169" s="49">
        <f>IFERROR(INDEX(tbl_Finance[Cost Centre],$A169),"")</f>
        <v/>
      </c>
      <c r="G169" s="50">
        <f>IFERROR(INDEX(tbl_Finance[Ex GST],$A169),"")</f>
        <v/>
      </c>
      <c r="H169" s="48">
        <f>IFERROR(INDEX(tbl_Finance[Defer Start],$A169),"")</f>
        <v/>
      </c>
      <c r="I169" s="48">
        <f>IFERROR(INDEX(tbl_Finance[Defer End],$A169),"")</f>
        <v/>
      </c>
      <c r="J169" s="47">
        <f>IF(OR($H169="",$I169="",$G169=""),"",MAX(1,(YEAR($I169)-YEAR($H169))*12+MONTH($I169)-MONTH($H169)+1))</f>
        <v/>
      </c>
      <c r="K169" s="50">
        <f>IF($J169="","",$G169/$J169)</f>
        <v/>
      </c>
      <c r="L169" s="50">
        <f>IF($J169="",0,$K169*MAX(0,MIN(YEAR($C$3)*12+MONTH($C$3),YEAR($I169)*12+MONTH($I169))-(YEAR($H169)*12+MONTH($H169))+1))</f>
        <v/>
      </c>
      <c r="M169" s="50">
        <f>IF($J169="",0,$K169*MAX(0,MIN(YEAR($C$3)*12+MONTH($C$3)-1,YEAR($I169)*12+MONTH($I169))-(YEAR($H169)*12+MONTH($H169))+1))</f>
        <v/>
      </c>
      <c r="N169" s="50">
        <f>IF(OR($J169="",$B169=""),0,IF(YEAR($B169)*12+MONTH($B169)&lt;=YEAR($C$3)*12+MONTH($C$3),$G169,0))</f>
        <v/>
      </c>
      <c r="O169" s="50">
        <f>IF(OR($J169="",$B169=""),0,IF(YEAR($B169)*12+MONTH($B169)&lt;=YEAR($C$3)*12+MONTH($C$3)-1,$G169,0))</f>
        <v/>
      </c>
      <c r="P169" s="50">
        <f>$M169-$O169</f>
        <v/>
      </c>
      <c r="Q169" s="50">
        <f>($L169-$M169)-($N169-$O169)</f>
        <v/>
      </c>
      <c r="R169" s="50">
        <f>$L169-$N169</f>
        <v/>
      </c>
    </row>
    <row r="170">
      <c r="A170" s="47">
        <f>ROW()-5</f>
        <v/>
      </c>
      <c r="B170" s="48">
        <f>IFERROR(INDEX(tbl_Finance[Date],$A170),"")</f>
        <v/>
      </c>
      <c r="C170" s="49">
        <f>IFERROR(INDEX(tbl_Finance[Xero Invoice No],$A170),"")</f>
        <v/>
      </c>
      <c r="D170" s="49">
        <f>IFERROR(INDEX(tbl_Finance[Client],$A170),"")</f>
        <v/>
      </c>
      <c r="E170" s="49">
        <f>IFERROR(INDEX(tbl_Finance[Job Number],$A170),"")</f>
        <v/>
      </c>
      <c r="F170" s="49">
        <f>IFERROR(INDEX(tbl_Finance[Cost Centre],$A170),"")</f>
        <v/>
      </c>
      <c r="G170" s="50">
        <f>IFERROR(INDEX(tbl_Finance[Ex GST],$A170),"")</f>
        <v/>
      </c>
      <c r="H170" s="48">
        <f>IFERROR(INDEX(tbl_Finance[Defer Start],$A170),"")</f>
        <v/>
      </c>
      <c r="I170" s="48">
        <f>IFERROR(INDEX(tbl_Finance[Defer End],$A170),"")</f>
        <v/>
      </c>
      <c r="J170" s="47">
        <f>IF(OR($H170="",$I170="",$G170=""),"",MAX(1,(YEAR($I170)-YEAR($H170))*12+MONTH($I170)-MONTH($H170)+1))</f>
        <v/>
      </c>
      <c r="K170" s="50">
        <f>IF($J170="","",$G170/$J170)</f>
        <v/>
      </c>
      <c r="L170" s="50">
        <f>IF($J170="",0,$K170*MAX(0,MIN(YEAR($C$3)*12+MONTH($C$3),YEAR($I170)*12+MONTH($I170))-(YEAR($H170)*12+MONTH($H170))+1))</f>
        <v/>
      </c>
      <c r="M170" s="50">
        <f>IF($J170="",0,$K170*MAX(0,MIN(YEAR($C$3)*12+MONTH($C$3)-1,YEAR($I170)*12+MONTH($I170))-(YEAR($H170)*12+MONTH($H170))+1))</f>
        <v/>
      </c>
      <c r="N170" s="50">
        <f>IF(OR($J170="",$B170=""),0,IF(YEAR($B170)*12+MONTH($B170)&lt;=YEAR($C$3)*12+MONTH($C$3),$G170,0))</f>
        <v/>
      </c>
      <c r="O170" s="50">
        <f>IF(OR($J170="",$B170=""),0,IF(YEAR($B170)*12+MONTH($B170)&lt;=YEAR($C$3)*12+MONTH($C$3)-1,$G170,0))</f>
        <v/>
      </c>
      <c r="P170" s="50">
        <f>$M170-$O170</f>
        <v/>
      </c>
      <c r="Q170" s="50">
        <f>($L170-$M170)-($N170-$O170)</f>
        <v/>
      </c>
      <c r="R170" s="50">
        <f>$L170-$N170</f>
        <v/>
      </c>
    </row>
    <row r="171">
      <c r="A171" s="47">
        <f>ROW()-5</f>
        <v/>
      </c>
      <c r="B171" s="48">
        <f>IFERROR(INDEX(tbl_Finance[Date],$A171),"")</f>
        <v/>
      </c>
      <c r="C171" s="49">
        <f>IFERROR(INDEX(tbl_Finance[Xero Invoice No],$A171),"")</f>
        <v/>
      </c>
      <c r="D171" s="49">
        <f>IFERROR(INDEX(tbl_Finance[Client],$A171),"")</f>
        <v/>
      </c>
      <c r="E171" s="49">
        <f>IFERROR(INDEX(tbl_Finance[Job Number],$A171),"")</f>
        <v/>
      </c>
      <c r="F171" s="49">
        <f>IFERROR(INDEX(tbl_Finance[Cost Centre],$A171),"")</f>
        <v/>
      </c>
      <c r="G171" s="50">
        <f>IFERROR(INDEX(tbl_Finance[Ex GST],$A171),"")</f>
        <v/>
      </c>
      <c r="H171" s="48">
        <f>IFERROR(INDEX(tbl_Finance[Defer Start],$A171),"")</f>
        <v/>
      </c>
      <c r="I171" s="48">
        <f>IFERROR(INDEX(tbl_Finance[Defer End],$A171),"")</f>
        <v/>
      </c>
      <c r="J171" s="47">
        <f>IF(OR($H171="",$I171="",$G171=""),"",MAX(1,(YEAR($I171)-YEAR($H171))*12+MONTH($I171)-MONTH($H171)+1))</f>
        <v/>
      </c>
      <c r="K171" s="50">
        <f>IF($J171="","",$G171/$J171)</f>
        <v/>
      </c>
      <c r="L171" s="50">
        <f>IF($J171="",0,$K171*MAX(0,MIN(YEAR($C$3)*12+MONTH($C$3),YEAR($I171)*12+MONTH($I171))-(YEAR($H171)*12+MONTH($H171))+1))</f>
        <v/>
      </c>
      <c r="M171" s="50">
        <f>IF($J171="",0,$K171*MAX(0,MIN(YEAR($C$3)*12+MONTH($C$3)-1,YEAR($I171)*12+MONTH($I171))-(YEAR($H171)*12+MONTH($H171))+1))</f>
        <v/>
      </c>
      <c r="N171" s="50">
        <f>IF(OR($J171="",$B171=""),0,IF(YEAR($B171)*12+MONTH($B171)&lt;=YEAR($C$3)*12+MONTH($C$3),$G171,0))</f>
        <v/>
      </c>
      <c r="O171" s="50">
        <f>IF(OR($J171="",$B171=""),0,IF(YEAR($B171)*12+MONTH($B171)&lt;=YEAR($C$3)*12+MONTH($C$3)-1,$G171,0))</f>
        <v/>
      </c>
      <c r="P171" s="50">
        <f>$M171-$O171</f>
        <v/>
      </c>
      <c r="Q171" s="50">
        <f>($L171-$M171)-($N171-$O171)</f>
        <v/>
      </c>
      <c r="R171" s="50">
        <f>$L171-$N171</f>
        <v/>
      </c>
    </row>
    <row r="172">
      <c r="A172" s="47">
        <f>ROW()-5</f>
        <v/>
      </c>
      <c r="B172" s="48">
        <f>IFERROR(INDEX(tbl_Finance[Date],$A172),"")</f>
        <v/>
      </c>
      <c r="C172" s="49">
        <f>IFERROR(INDEX(tbl_Finance[Xero Invoice No],$A172),"")</f>
        <v/>
      </c>
      <c r="D172" s="49">
        <f>IFERROR(INDEX(tbl_Finance[Client],$A172),"")</f>
        <v/>
      </c>
      <c r="E172" s="49">
        <f>IFERROR(INDEX(tbl_Finance[Job Number],$A172),"")</f>
        <v/>
      </c>
      <c r="F172" s="49">
        <f>IFERROR(INDEX(tbl_Finance[Cost Centre],$A172),"")</f>
        <v/>
      </c>
      <c r="G172" s="50">
        <f>IFERROR(INDEX(tbl_Finance[Ex GST],$A172),"")</f>
        <v/>
      </c>
      <c r="H172" s="48">
        <f>IFERROR(INDEX(tbl_Finance[Defer Start],$A172),"")</f>
        <v/>
      </c>
      <c r="I172" s="48">
        <f>IFERROR(INDEX(tbl_Finance[Defer End],$A172),"")</f>
        <v/>
      </c>
      <c r="J172" s="47">
        <f>IF(OR($H172="",$I172="",$G172=""),"",MAX(1,(YEAR($I172)-YEAR($H172))*12+MONTH($I172)-MONTH($H172)+1))</f>
        <v/>
      </c>
      <c r="K172" s="50">
        <f>IF($J172="","",$G172/$J172)</f>
        <v/>
      </c>
      <c r="L172" s="50">
        <f>IF($J172="",0,$K172*MAX(0,MIN(YEAR($C$3)*12+MONTH($C$3),YEAR($I172)*12+MONTH($I172))-(YEAR($H172)*12+MONTH($H172))+1))</f>
        <v/>
      </c>
      <c r="M172" s="50">
        <f>IF($J172="",0,$K172*MAX(0,MIN(YEAR($C$3)*12+MONTH($C$3)-1,YEAR($I172)*12+MONTH($I172))-(YEAR($H172)*12+MONTH($H172))+1))</f>
        <v/>
      </c>
      <c r="N172" s="50">
        <f>IF(OR($J172="",$B172=""),0,IF(YEAR($B172)*12+MONTH($B172)&lt;=YEAR($C$3)*12+MONTH($C$3),$G172,0))</f>
        <v/>
      </c>
      <c r="O172" s="50">
        <f>IF(OR($J172="",$B172=""),0,IF(YEAR($B172)*12+MONTH($B172)&lt;=YEAR($C$3)*12+MONTH($C$3)-1,$G172,0))</f>
        <v/>
      </c>
      <c r="P172" s="50">
        <f>$M172-$O172</f>
        <v/>
      </c>
      <c r="Q172" s="50">
        <f>($L172-$M172)-($N172-$O172)</f>
        <v/>
      </c>
      <c r="R172" s="50">
        <f>$L172-$N172</f>
        <v/>
      </c>
    </row>
    <row r="173">
      <c r="A173" s="47">
        <f>ROW()-5</f>
        <v/>
      </c>
      <c r="B173" s="48">
        <f>IFERROR(INDEX(tbl_Finance[Date],$A173),"")</f>
        <v/>
      </c>
      <c r="C173" s="49">
        <f>IFERROR(INDEX(tbl_Finance[Xero Invoice No],$A173),"")</f>
        <v/>
      </c>
      <c r="D173" s="49">
        <f>IFERROR(INDEX(tbl_Finance[Client],$A173),"")</f>
        <v/>
      </c>
      <c r="E173" s="49">
        <f>IFERROR(INDEX(tbl_Finance[Job Number],$A173),"")</f>
        <v/>
      </c>
      <c r="F173" s="49">
        <f>IFERROR(INDEX(tbl_Finance[Cost Centre],$A173),"")</f>
        <v/>
      </c>
      <c r="G173" s="50">
        <f>IFERROR(INDEX(tbl_Finance[Ex GST],$A173),"")</f>
        <v/>
      </c>
      <c r="H173" s="48">
        <f>IFERROR(INDEX(tbl_Finance[Defer Start],$A173),"")</f>
        <v/>
      </c>
      <c r="I173" s="48">
        <f>IFERROR(INDEX(tbl_Finance[Defer End],$A173),"")</f>
        <v/>
      </c>
      <c r="J173" s="47">
        <f>IF(OR($H173="",$I173="",$G173=""),"",MAX(1,(YEAR($I173)-YEAR($H173))*12+MONTH($I173)-MONTH($H173)+1))</f>
        <v/>
      </c>
      <c r="K173" s="50">
        <f>IF($J173="","",$G173/$J173)</f>
        <v/>
      </c>
      <c r="L173" s="50">
        <f>IF($J173="",0,$K173*MAX(0,MIN(YEAR($C$3)*12+MONTH($C$3),YEAR($I173)*12+MONTH($I173))-(YEAR($H173)*12+MONTH($H173))+1))</f>
        <v/>
      </c>
      <c r="M173" s="50">
        <f>IF($J173="",0,$K173*MAX(0,MIN(YEAR($C$3)*12+MONTH($C$3)-1,YEAR($I173)*12+MONTH($I173))-(YEAR($H173)*12+MONTH($H173))+1))</f>
        <v/>
      </c>
      <c r="N173" s="50">
        <f>IF(OR($J173="",$B173=""),0,IF(YEAR($B173)*12+MONTH($B173)&lt;=YEAR($C$3)*12+MONTH($C$3),$G173,0))</f>
        <v/>
      </c>
      <c r="O173" s="50">
        <f>IF(OR($J173="",$B173=""),0,IF(YEAR($B173)*12+MONTH($B173)&lt;=YEAR($C$3)*12+MONTH($C$3)-1,$G173,0))</f>
        <v/>
      </c>
      <c r="P173" s="50">
        <f>$M173-$O173</f>
        <v/>
      </c>
      <c r="Q173" s="50">
        <f>($L173-$M173)-($N173-$O173)</f>
        <v/>
      </c>
      <c r="R173" s="50">
        <f>$L173-$N173</f>
        <v/>
      </c>
    </row>
    <row r="174">
      <c r="A174" s="47">
        <f>ROW()-5</f>
        <v/>
      </c>
      <c r="B174" s="48">
        <f>IFERROR(INDEX(tbl_Finance[Date],$A174),"")</f>
        <v/>
      </c>
      <c r="C174" s="49">
        <f>IFERROR(INDEX(tbl_Finance[Xero Invoice No],$A174),"")</f>
        <v/>
      </c>
      <c r="D174" s="49">
        <f>IFERROR(INDEX(tbl_Finance[Client],$A174),"")</f>
        <v/>
      </c>
      <c r="E174" s="49">
        <f>IFERROR(INDEX(tbl_Finance[Job Number],$A174),"")</f>
        <v/>
      </c>
      <c r="F174" s="49">
        <f>IFERROR(INDEX(tbl_Finance[Cost Centre],$A174),"")</f>
        <v/>
      </c>
      <c r="G174" s="50">
        <f>IFERROR(INDEX(tbl_Finance[Ex GST],$A174),"")</f>
        <v/>
      </c>
      <c r="H174" s="48">
        <f>IFERROR(INDEX(tbl_Finance[Defer Start],$A174),"")</f>
        <v/>
      </c>
      <c r="I174" s="48">
        <f>IFERROR(INDEX(tbl_Finance[Defer End],$A174),"")</f>
        <v/>
      </c>
      <c r="J174" s="47">
        <f>IF(OR($H174="",$I174="",$G174=""),"",MAX(1,(YEAR($I174)-YEAR($H174))*12+MONTH($I174)-MONTH($H174)+1))</f>
        <v/>
      </c>
      <c r="K174" s="50">
        <f>IF($J174="","",$G174/$J174)</f>
        <v/>
      </c>
      <c r="L174" s="50">
        <f>IF($J174="",0,$K174*MAX(0,MIN(YEAR($C$3)*12+MONTH($C$3),YEAR($I174)*12+MONTH($I174))-(YEAR($H174)*12+MONTH($H174))+1))</f>
        <v/>
      </c>
      <c r="M174" s="50">
        <f>IF($J174="",0,$K174*MAX(0,MIN(YEAR($C$3)*12+MONTH($C$3)-1,YEAR($I174)*12+MONTH($I174))-(YEAR($H174)*12+MONTH($H174))+1))</f>
        <v/>
      </c>
      <c r="N174" s="50">
        <f>IF(OR($J174="",$B174=""),0,IF(YEAR($B174)*12+MONTH($B174)&lt;=YEAR($C$3)*12+MONTH($C$3),$G174,0))</f>
        <v/>
      </c>
      <c r="O174" s="50">
        <f>IF(OR($J174="",$B174=""),0,IF(YEAR($B174)*12+MONTH($B174)&lt;=YEAR($C$3)*12+MONTH($C$3)-1,$G174,0))</f>
        <v/>
      </c>
      <c r="P174" s="50">
        <f>$M174-$O174</f>
        <v/>
      </c>
      <c r="Q174" s="50">
        <f>($L174-$M174)-($N174-$O174)</f>
        <v/>
      </c>
      <c r="R174" s="50">
        <f>$L174-$N174</f>
        <v/>
      </c>
    </row>
    <row r="175">
      <c r="A175" s="47">
        <f>ROW()-5</f>
        <v/>
      </c>
      <c r="B175" s="48">
        <f>IFERROR(INDEX(tbl_Finance[Date],$A175),"")</f>
        <v/>
      </c>
      <c r="C175" s="49">
        <f>IFERROR(INDEX(tbl_Finance[Xero Invoice No],$A175),"")</f>
        <v/>
      </c>
      <c r="D175" s="49">
        <f>IFERROR(INDEX(tbl_Finance[Client],$A175),"")</f>
        <v/>
      </c>
      <c r="E175" s="49">
        <f>IFERROR(INDEX(tbl_Finance[Job Number],$A175),"")</f>
        <v/>
      </c>
      <c r="F175" s="49">
        <f>IFERROR(INDEX(tbl_Finance[Cost Centre],$A175),"")</f>
        <v/>
      </c>
      <c r="G175" s="50">
        <f>IFERROR(INDEX(tbl_Finance[Ex GST],$A175),"")</f>
        <v/>
      </c>
      <c r="H175" s="48">
        <f>IFERROR(INDEX(tbl_Finance[Defer Start],$A175),"")</f>
        <v/>
      </c>
      <c r="I175" s="48">
        <f>IFERROR(INDEX(tbl_Finance[Defer End],$A175),"")</f>
        <v/>
      </c>
      <c r="J175" s="47">
        <f>IF(OR($H175="",$I175="",$G175=""),"",MAX(1,(YEAR($I175)-YEAR($H175))*12+MONTH($I175)-MONTH($H175)+1))</f>
        <v/>
      </c>
      <c r="K175" s="50">
        <f>IF($J175="","",$G175/$J175)</f>
        <v/>
      </c>
      <c r="L175" s="50">
        <f>IF($J175="",0,$K175*MAX(0,MIN(YEAR($C$3)*12+MONTH($C$3),YEAR($I175)*12+MONTH($I175))-(YEAR($H175)*12+MONTH($H175))+1))</f>
        <v/>
      </c>
      <c r="M175" s="50">
        <f>IF($J175="",0,$K175*MAX(0,MIN(YEAR($C$3)*12+MONTH($C$3)-1,YEAR($I175)*12+MONTH($I175))-(YEAR($H175)*12+MONTH($H175))+1))</f>
        <v/>
      </c>
      <c r="N175" s="50">
        <f>IF(OR($J175="",$B175=""),0,IF(YEAR($B175)*12+MONTH($B175)&lt;=YEAR($C$3)*12+MONTH($C$3),$G175,0))</f>
        <v/>
      </c>
      <c r="O175" s="50">
        <f>IF(OR($J175="",$B175=""),0,IF(YEAR($B175)*12+MONTH($B175)&lt;=YEAR($C$3)*12+MONTH($C$3)-1,$G175,0))</f>
        <v/>
      </c>
      <c r="P175" s="50">
        <f>$M175-$O175</f>
        <v/>
      </c>
      <c r="Q175" s="50">
        <f>($L175-$M175)-($N175-$O175)</f>
        <v/>
      </c>
      <c r="R175" s="50">
        <f>$L175-$N175</f>
        <v/>
      </c>
    </row>
    <row r="176">
      <c r="A176" s="47">
        <f>ROW()-5</f>
        <v/>
      </c>
      <c r="B176" s="48">
        <f>IFERROR(INDEX(tbl_Finance[Date],$A176),"")</f>
        <v/>
      </c>
      <c r="C176" s="49">
        <f>IFERROR(INDEX(tbl_Finance[Xero Invoice No],$A176),"")</f>
        <v/>
      </c>
      <c r="D176" s="49">
        <f>IFERROR(INDEX(tbl_Finance[Client],$A176),"")</f>
        <v/>
      </c>
      <c r="E176" s="49">
        <f>IFERROR(INDEX(tbl_Finance[Job Number],$A176),"")</f>
        <v/>
      </c>
      <c r="F176" s="49">
        <f>IFERROR(INDEX(tbl_Finance[Cost Centre],$A176),"")</f>
        <v/>
      </c>
      <c r="G176" s="50">
        <f>IFERROR(INDEX(tbl_Finance[Ex GST],$A176),"")</f>
        <v/>
      </c>
      <c r="H176" s="48">
        <f>IFERROR(INDEX(tbl_Finance[Defer Start],$A176),"")</f>
        <v/>
      </c>
      <c r="I176" s="48">
        <f>IFERROR(INDEX(tbl_Finance[Defer End],$A176),"")</f>
        <v/>
      </c>
      <c r="J176" s="47">
        <f>IF(OR($H176="",$I176="",$G176=""),"",MAX(1,(YEAR($I176)-YEAR($H176))*12+MONTH($I176)-MONTH($H176)+1))</f>
        <v/>
      </c>
      <c r="K176" s="50">
        <f>IF($J176="","",$G176/$J176)</f>
        <v/>
      </c>
      <c r="L176" s="50">
        <f>IF($J176="",0,$K176*MAX(0,MIN(YEAR($C$3)*12+MONTH($C$3),YEAR($I176)*12+MONTH($I176))-(YEAR($H176)*12+MONTH($H176))+1))</f>
        <v/>
      </c>
      <c r="M176" s="50">
        <f>IF($J176="",0,$K176*MAX(0,MIN(YEAR($C$3)*12+MONTH($C$3)-1,YEAR($I176)*12+MONTH($I176))-(YEAR($H176)*12+MONTH($H176))+1))</f>
        <v/>
      </c>
      <c r="N176" s="50">
        <f>IF(OR($J176="",$B176=""),0,IF(YEAR($B176)*12+MONTH($B176)&lt;=YEAR($C$3)*12+MONTH($C$3),$G176,0))</f>
        <v/>
      </c>
      <c r="O176" s="50">
        <f>IF(OR($J176="",$B176=""),0,IF(YEAR($B176)*12+MONTH($B176)&lt;=YEAR($C$3)*12+MONTH($C$3)-1,$G176,0))</f>
        <v/>
      </c>
      <c r="P176" s="50">
        <f>$M176-$O176</f>
        <v/>
      </c>
      <c r="Q176" s="50">
        <f>($L176-$M176)-($N176-$O176)</f>
        <v/>
      </c>
      <c r="R176" s="50">
        <f>$L176-$N176</f>
        <v/>
      </c>
    </row>
    <row r="177">
      <c r="A177" s="47">
        <f>ROW()-5</f>
        <v/>
      </c>
      <c r="B177" s="48">
        <f>IFERROR(INDEX(tbl_Finance[Date],$A177),"")</f>
        <v/>
      </c>
      <c r="C177" s="49">
        <f>IFERROR(INDEX(tbl_Finance[Xero Invoice No],$A177),"")</f>
        <v/>
      </c>
      <c r="D177" s="49">
        <f>IFERROR(INDEX(tbl_Finance[Client],$A177),"")</f>
        <v/>
      </c>
      <c r="E177" s="49">
        <f>IFERROR(INDEX(tbl_Finance[Job Number],$A177),"")</f>
        <v/>
      </c>
      <c r="F177" s="49">
        <f>IFERROR(INDEX(tbl_Finance[Cost Centre],$A177),"")</f>
        <v/>
      </c>
      <c r="G177" s="50">
        <f>IFERROR(INDEX(tbl_Finance[Ex GST],$A177),"")</f>
        <v/>
      </c>
      <c r="H177" s="48">
        <f>IFERROR(INDEX(tbl_Finance[Defer Start],$A177),"")</f>
        <v/>
      </c>
      <c r="I177" s="48">
        <f>IFERROR(INDEX(tbl_Finance[Defer End],$A177),"")</f>
        <v/>
      </c>
      <c r="J177" s="47">
        <f>IF(OR($H177="",$I177="",$G177=""),"",MAX(1,(YEAR($I177)-YEAR($H177))*12+MONTH($I177)-MONTH($H177)+1))</f>
        <v/>
      </c>
      <c r="K177" s="50">
        <f>IF($J177="","",$G177/$J177)</f>
        <v/>
      </c>
      <c r="L177" s="50">
        <f>IF($J177="",0,$K177*MAX(0,MIN(YEAR($C$3)*12+MONTH($C$3),YEAR($I177)*12+MONTH($I177))-(YEAR($H177)*12+MONTH($H177))+1))</f>
        <v/>
      </c>
      <c r="M177" s="50">
        <f>IF($J177="",0,$K177*MAX(0,MIN(YEAR($C$3)*12+MONTH($C$3)-1,YEAR($I177)*12+MONTH($I177))-(YEAR($H177)*12+MONTH($H177))+1))</f>
        <v/>
      </c>
      <c r="N177" s="50">
        <f>IF(OR($J177="",$B177=""),0,IF(YEAR($B177)*12+MONTH($B177)&lt;=YEAR($C$3)*12+MONTH($C$3),$G177,0))</f>
        <v/>
      </c>
      <c r="O177" s="50">
        <f>IF(OR($J177="",$B177=""),0,IF(YEAR($B177)*12+MONTH($B177)&lt;=YEAR($C$3)*12+MONTH($C$3)-1,$G177,0))</f>
        <v/>
      </c>
      <c r="P177" s="50">
        <f>$M177-$O177</f>
        <v/>
      </c>
      <c r="Q177" s="50">
        <f>($L177-$M177)-($N177-$O177)</f>
        <v/>
      </c>
      <c r="R177" s="50">
        <f>$L177-$N177</f>
        <v/>
      </c>
    </row>
    <row r="178">
      <c r="A178" s="47">
        <f>ROW()-5</f>
        <v/>
      </c>
      <c r="B178" s="48">
        <f>IFERROR(INDEX(tbl_Finance[Date],$A178),"")</f>
        <v/>
      </c>
      <c r="C178" s="49">
        <f>IFERROR(INDEX(tbl_Finance[Xero Invoice No],$A178),"")</f>
        <v/>
      </c>
      <c r="D178" s="49">
        <f>IFERROR(INDEX(tbl_Finance[Client],$A178),"")</f>
        <v/>
      </c>
      <c r="E178" s="49">
        <f>IFERROR(INDEX(tbl_Finance[Job Number],$A178),"")</f>
        <v/>
      </c>
      <c r="F178" s="49">
        <f>IFERROR(INDEX(tbl_Finance[Cost Centre],$A178),"")</f>
        <v/>
      </c>
      <c r="G178" s="50">
        <f>IFERROR(INDEX(tbl_Finance[Ex GST],$A178),"")</f>
        <v/>
      </c>
      <c r="H178" s="48">
        <f>IFERROR(INDEX(tbl_Finance[Defer Start],$A178),"")</f>
        <v/>
      </c>
      <c r="I178" s="48">
        <f>IFERROR(INDEX(tbl_Finance[Defer End],$A178),"")</f>
        <v/>
      </c>
      <c r="J178" s="47">
        <f>IF(OR($H178="",$I178="",$G178=""),"",MAX(1,(YEAR($I178)-YEAR($H178))*12+MONTH($I178)-MONTH($H178)+1))</f>
        <v/>
      </c>
      <c r="K178" s="50">
        <f>IF($J178="","",$G178/$J178)</f>
        <v/>
      </c>
      <c r="L178" s="50">
        <f>IF($J178="",0,$K178*MAX(0,MIN(YEAR($C$3)*12+MONTH($C$3),YEAR($I178)*12+MONTH($I178))-(YEAR($H178)*12+MONTH($H178))+1))</f>
        <v/>
      </c>
      <c r="M178" s="50">
        <f>IF($J178="",0,$K178*MAX(0,MIN(YEAR($C$3)*12+MONTH($C$3)-1,YEAR($I178)*12+MONTH($I178))-(YEAR($H178)*12+MONTH($H178))+1))</f>
        <v/>
      </c>
      <c r="N178" s="50">
        <f>IF(OR($J178="",$B178=""),0,IF(YEAR($B178)*12+MONTH($B178)&lt;=YEAR($C$3)*12+MONTH($C$3),$G178,0))</f>
        <v/>
      </c>
      <c r="O178" s="50">
        <f>IF(OR($J178="",$B178=""),0,IF(YEAR($B178)*12+MONTH($B178)&lt;=YEAR($C$3)*12+MONTH($C$3)-1,$G178,0))</f>
        <v/>
      </c>
      <c r="P178" s="50">
        <f>$M178-$O178</f>
        <v/>
      </c>
      <c r="Q178" s="50">
        <f>($L178-$M178)-($N178-$O178)</f>
        <v/>
      </c>
      <c r="R178" s="50">
        <f>$L178-$N178</f>
        <v/>
      </c>
    </row>
    <row r="179">
      <c r="A179" s="47">
        <f>ROW()-5</f>
        <v/>
      </c>
      <c r="B179" s="48">
        <f>IFERROR(INDEX(tbl_Finance[Date],$A179),"")</f>
        <v/>
      </c>
      <c r="C179" s="49">
        <f>IFERROR(INDEX(tbl_Finance[Xero Invoice No],$A179),"")</f>
        <v/>
      </c>
      <c r="D179" s="49">
        <f>IFERROR(INDEX(tbl_Finance[Client],$A179),"")</f>
        <v/>
      </c>
      <c r="E179" s="49">
        <f>IFERROR(INDEX(tbl_Finance[Job Number],$A179),"")</f>
        <v/>
      </c>
      <c r="F179" s="49">
        <f>IFERROR(INDEX(tbl_Finance[Cost Centre],$A179),"")</f>
        <v/>
      </c>
      <c r="G179" s="50">
        <f>IFERROR(INDEX(tbl_Finance[Ex GST],$A179),"")</f>
        <v/>
      </c>
      <c r="H179" s="48">
        <f>IFERROR(INDEX(tbl_Finance[Defer Start],$A179),"")</f>
        <v/>
      </c>
      <c r="I179" s="48">
        <f>IFERROR(INDEX(tbl_Finance[Defer End],$A179),"")</f>
        <v/>
      </c>
      <c r="J179" s="47">
        <f>IF(OR($H179="",$I179="",$G179=""),"",MAX(1,(YEAR($I179)-YEAR($H179))*12+MONTH($I179)-MONTH($H179)+1))</f>
        <v/>
      </c>
      <c r="K179" s="50">
        <f>IF($J179="","",$G179/$J179)</f>
        <v/>
      </c>
      <c r="L179" s="50">
        <f>IF($J179="",0,$K179*MAX(0,MIN(YEAR($C$3)*12+MONTH($C$3),YEAR($I179)*12+MONTH($I179))-(YEAR($H179)*12+MONTH($H179))+1))</f>
        <v/>
      </c>
      <c r="M179" s="50">
        <f>IF($J179="",0,$K179*MAX(0,MIN(YEAR($C$3)*12+MONTH($C$3)-1,YEAR($I179)*12+MONTH($I179))-(YEAR($H179)*12+MONTH($H179))+1))</f>
        <v/>
      </c>
      <c r="N179" s="50">
        <f>IF(OR($J179="",$B179=""),0,IF(YEAR($B179)*12+MONTH($B179)&lt;=YEAR($C$3)*12+MONTH($C$3),$G179,0))</f>
        <v/>
      </c>
      <c r="O179" s="50">
        <f>IF(OR($J179="",$B179=""),0,IF(YEAR($B179)*12+MONTH($B179)&lt;=YEAR($C$3)*12+MONTH($C$3)-1,$G179,0))</f>
        <v/>
      </c>
      <c r="P179" s="50">
        <f>$M179-$O179</f>
        <v/>
      </c>
      <c r="Q179" s="50">
        <f>($L179-$M179)-($N179-$O179)</f>
        <v/>
      </c>
      <c r="R179" s="50">
        <f>$L179-$N179</f>
        <v/>
      </c>
    </row>
    <row r="180">
      <c r="A180" s="47">
        <f>ROW()-5</f>
        <v/>
      </c>
      <c r="B180" s="48">
        <f>IFERROR(INDEX(tbl_Finance[Date],$A180),"")</f>
        <v/>
      </c>
      <c r="C180" s="49">
        <f>IFERROR(INDEX(tbl_Finance[Xero Invoice No],$A180),"")</f>
        <v/>
      </c>
      <c r="D180" s="49">
        <f>IFERROR(INDEX(tbl_Finance[Client],$A180),"")</f>
        <v/>
      </c>
      <c r="E180" s="49">
        <f>IFERROR(INDEX(tbl_Finance[Job Number],$A180),"")</f>
        <v/>
      </c>
      <c r="F180" s="49">
        <f>IFERROR(INDEX(tbl_Finance[Cost Centre],$A180),"")</f>
        <v/>
      </c>
      <c r="G180" s="50">
        <f>IFERROR(INDEX(tbl_Finance[Ex GST],$A180),"")</f>
        <v/>
      </c>
      <c r="H180" s="48">
        <f>IFERROR(INDEX(tbl_Finance[Defer Start],$A180),"")</f>
        <v/>
      </c>
      <c r="I180" s="48">
        <f>IFERROR(INDEX(tbl_Finance[Defer End],$A180),"")</f>
        <v/>
      </c>
      <c r="J180" s="47">
        <f>IF(OR($H180="",$I180="",$G180=""),"",MAX(1,(YEAR($I180)-YEAR($H180))*12+MONTH($I180)-MONTH($H180)+1))</f>
        <v/>
      </c>
      <c r="K180" s="50">
        <f>IF($J180="","",$G180/$J180)</f>
        <v/>
      </c>
      <c r="L180" s="50">
        <f>IF($J180="",0,$K180*MAX(0,MIN(YEAR($C$3)*12+MONTH($C$3),YEAR($I180)*12+MONTH($I180))-(YEAR($H180)*12+MONTH($H180))+1))</f>
        <v/>
      </c>
      <c r="M180" s="50">
        <f>IF($J180="",0,$K180*MAX(0,MIN(YEAR($C$3)*12+MONTH($C$3)-1,YEAR($I180)*12+MONTH($I180))-(YEAR($H180)*12+MONTH($H180))+1))</f>
        <v/>
      </c>
      <c r="N180" s="50">
        <f>IF(OR($J180="",$B180=""),0,IF(YEAR($B180)*12+MONTH($B180)&lt;=YEAR($C$3)*12+MONTH($C$3),$G180,0))</f>
        <v/>
      </c>
      <c r="O180" s="50">
        <f>IF(OR($J180="",$B180=""),0,IF(YEAR($B180)*12+MONTH($B180)&lt;=YEAR($C$3)*12+MONTH($C$3)-1,$G180,0))</f>
        <v/>
      </c>
      <c r="P180" s="50">
        <f>$M180-$O180</f>
        <v/>
      </c>
      <c r="Q180" s="50">
        <f>($L180-$M180)-($N180-$O180)</f>
        <v/>
      </c>
      <c r="R180" s="50">
        <f>$L180-$N180</f>
        <v/>
      </c>
    </row>
    <row r="181">
      <c r="A181" s="47">
        <f>ROW()-5</f>
        <v/>
      </c>
      <c r="B181" s="48">
        <f>IFERROR(INDEX(tbl_Finance[Date],$A181),"")</f>
        <v/>
      </c>
      <c r="C181" s="49">
        <f>IFERROR(INDEX(tbl_Finance[Xero Invoice No],$A181),"")</f>
        <v/>
      </c>
      <c r="D181" s="49">
        <f>IFERROR(INDEX(tbl_Finance[Client],$A181),"")</f>
        <v/>
      </c>
      <c r="E181" s="49">
        <f>IFERROR(INDEX(tbl_Finance[Job Number],$A181),"")</f>
        <v/>
      </c>
      <c r="F181" s="49">
        <f>IFERROR(INDEX(tbl_Finance[Cost Centre],$A181),"")</f>
        <v/>
      </c>
      <c r="G181" s="50">
        <f>IFERROR(INDEX(tbl_Finance[Ex GST],$A181),"")</f>
        <v/>
      </c>
      <c r="H181" s="48">
        <f>IFERROR(INDEX(tbl_Finance[Defer Start],$A181),"")</f>
        <v/>
      </c>
      <c r="I181" s="48">
        <f>IFERROR(INDEX(tbl_Finance[Defer End],$A181),"")</f>
        <v/>
      </c>
      <c r="J181" s="47">
        <f>IF(OR($H181="",$I181="",$G181=""),"",MAX(1,(YEAR($I181)-YEAR($H181))*12+MONTH($I181)-MONTH($H181)+1))</f>
        <v/>
      </c>
      <c r="K181" s="50">
        <f>IF($J181="","",$G181/$J181)</f>
        <v/>
      </c>
      <c r="L181" s="50">
        <f>IF($J181="",0,$K181*MAX(0,MIN(YEAR($C$3)*12+MONTH($C$3),YEAR($I181)*12+MONTH($I181))-(YEAR($H181)*12+MONTH($H181))+1))</f>
        <v/>
      </c>
      <c r="M181" s="50">
        <f>IF($J181="",0,$K181*MAX(0,MIN(YEAR($C$3)*12+MONTH($C$3)-1,YEAR($I181)*12+MONTH($I181))-(YEAR($H181)*12+MONTH($H181))+1))</f>
        <v/>
      </c>
      <c r="N181" s="50">
        <f>IF(OR($J181="",$B181=""),0,IF(YEAR($B181)*12+MONTH($B181)&lt;=YEAR($C$3)*12+MONTH($C$3),$G181,0))</f>
        <v/>
      </c>
      <c r="O181" s="50">
        <f>IF(OR($J181="",$B181=""),0,IF(YEAR($B181)*12+MONTH($B181)&lt;=YEAR($C$3)*12+MONTH($C$3)-1,$G181,0))</f>
        <v/>
      </c>
      <c r="P181" s="50">
        <f>$M181-$O181</f>
        <v/>
      </c>
      <c r="Q181" s="50">
        <f>($L181-$M181)-($N181-$O181)</f>
        <v/>
      </c>
      <c r="R181" s="50">
        <f>$L181-$N181</f>
        <v/>
      </c>
    </row>
    <row r="182">
      <c r="A182" s="47">
        <f>ROW()-5</f>
        <v/>
      </c>
      <c r="B182" s="48">
        <f>IFERROR(INDEX(tbl_Finance[Date],$A182),"")</f>
        <v/>
      </c>
      <c r="C182" s="49">
        <f>IFERROR(INDEX(tbl_Finance[Xero Invoice No],$A182),"")</f>
        <v/>
      </c>
      <c r="D182" s="49">
        <f>IFERROR(INDEX(tbl_Finance[Client],$A182),"")</f>
        <v/>
      </c>
      <c r="E182" s="49">
        <f>IFERROR(INDEX(tbl_Finance[Job Number],$A182),"")</f>
        <v/>
      </c>
      <c r="F182" s="49">
        <f>IFERROR(INDEX(tbl_Finance[Cost Centre],$A182),"")</f>
        <v/>
      </c>
      <c r="G182" s="50">
        <f>IFERROR(INDEX(tbl_Finance[Ex GST],$A182),"")</f>
        <v/>
      </c>
      <c r="H182" s="48">
        <f>IFERROR(INDEX(tbl_Finance[Defer Start],$A182),"")</f>
        <v/>
      </c>
      <c r="I182" s="48">
        <f>IFERROR(INDEX(tbl_Finance[Defer End],$A182),"")</f>
        <v/>
      </c>
      <c r="J182" s="47">
        <f>IF(OR($H182="",$I182="",$G182=""),"",MAX(1,(YEAR($I182)-YEAR($H182))*12+MONTH($I182)-MONTH($H182)+1))</f>
        <v/>
      </c>
      <c r="K182" s="50">
        <f>IF($J182="","",$G182/$J182)</f>
        <v/>
      </c>
      <c r="L182" s="50">
        <f>IF($J182="",0,$K182*MAX(0,MIN(YEAR($C$3)*12+MONTH($C$3),YEAR($I182)*12+MONTH($I182))-(YEAR($H182)*12+MONTH($H182))+1))</f>
        <v/>
      </c>
      <c r="M182" s="50">
        <f>IF($J182="",0,$K182*MAX(0,MIN(YEAR($C$3)*12+MONTH($C$3)-1,YEAR($I182)*12+MONTH($I182))-(YEAR($H182)*12+MONTH($H182))+1))</f>
        <v/>
      </c>
      <c r="N182" s="50">
        <f>IF(OR($J182="",$B182=""),0,IF(YEAR($B182)*12+MONTH($B182)&lt;=YEAR($C$3)*12+MONTH($C$3),$G182,0))</f>
        <v/>
      </c>
      <c r="O182" s="50">
        <f>IF(OR($J182="",$B182=""),0,IF(YEAR($B182)*12+MONTH($B182)&lt;=YEAR($C$3)*12+MONTH($C$3)-1,$G182,0))</f>
        <v/>
      </c>
      <c r="P182" s="50">
        <f>$M182-$O182</f>
        <v/>
      </c>
      <c r="Q182" s="50">
        <f>($L182-$M182)-($N182-$O182)</f>
        <v/>
      </c>
      <c r="R182" s="50">
        <f>$L182-$N182</f>
        <v/>
      </c>
    </row>
    <row r="183">
      <c r="A183" s="47">
        <f>ROW()-5</f>
        <v/>
      </c>
      <c r="B183" s="48">
        <f>IFERROR(INDEX(tbl_Finance[Date],$A183),"")</f>
        <v/>
      </c>
      <c r="C183" s="49">
        <f>IFERROR(INDEX(tbl_Finance[Xero Invoice No],$A183),"")</f>
        <v/>
      </c>
      <c r="D183" s="49">
        <f>IFERROR(INDEX(tbl_Finance[Client],$A183),"")</f>
        <v/>
      </c>
      <c r="E183" s="49">
        <f>IFERROR(INDEX(tbl_Finance[Job Number],$A183),"")</f>
        <v/>
      </c>
      <c r="F183" s="49">
        <f>IFERROR(INDEX(tbl_Finance[Cost Centre],$A183),"")</f>
        <v/>
      </c>
      <c r="G183" s="50">
        <f>IFERROR(INDEX(tbl_Finance[Ex GST],$A183),"")</f>
        <v/>
      </c>
      <c r="H183" s="48">
        <f>IFERROR(INDEX(tbl_Finance[Defer Start],$A183),"")</f>
        <v/>
      </c>
      <c r="I183" s="48">
        <f>IFERROR(INDEX(tbl_Finance[Defer End],$A183),"")</f>
        <v/>
      </c>
      <c r="J183" s="47">
        <f>IF(OR($H183="",$I183="",$G183=""),"",MAX(1,(YEAR($I183)-YEAR($H183))*12+MONTH($I183)-MONTH($H183)+1))</f>
        <v/>
      </c>
      <c r="K183" s="50">
        <f>IF($J183="","",$G183/$J183)</f>
        <v/>
      </c>
      <c r="L183" s="50">
        <f>IF($J183="",0,$K183*MAX(0,MIN(YEAR($C$3)*12+MONTH($C$3),YEAR($I183)*12+MONTH($I183))-(YEAR($H183)*12+MONTH($H183))+1))</f>
        <v/>
      </c>
      <c r="M183" s="50">
        <f>IF($J183="",0,$K183*MAX(0,MIN(YEAR($C$3)*12+MONTH($C$3)-1,YEAR($I183)*12+MONTH($I183))-(YEAR($H183)*12+MONTH($H183))+1))</f>
        <v/>
      </c>
      <c r="N183" s="50">
        <f>IF(OR($J183="",$B183=""),0,IF(YEAR($B183)*12+MONTH($B183)&lt;=YEAR($C$3)*12+MONTH($C$3),$G183,0))</f>
        <v/>
      </c>
      <c r="O183" s="50">
        <f>IF(OR($J183="",$B183=""),0,IF(YEAR($B183)*12+MONTH($B183)&lt;=YEAR($C$3)*12+MONTH($C$3)-1,$G183,0))</f>
        <v/>
      </c>
      <c r="P183" s="50">
        <f>$M183-$O183</f>
        <v/>
      </c>
      <c r="Q183" s="50">
        <f>($L183-$M183)-($N183-$O183)</f>
        <v/>
      </c>
      <c r="R183" s="50">
        <f>$L183-$N183</f>
        <v/>
      </c>
    </row>
    <row r="184">
      <c r="A184" s="47">
        <f>ROW()-5</f>
        <v/>
      </c>
      <c r="B184" s="48">
        <f>IFERROR(INDEX(tbl_Finance[Date],$A184),"")</f>
        <v/>
      </c>
      <c r="C184" s="49">
        <f>IFERROR(INDEX(tbl_Finance[Xero Invoice No],$A184),"")</f>
        <v/>
      </c>
      <c r="D184" s="49">
        <f>IFERROR(INDEX(tbl_Finance[Client],$A184),"")</f>
        <v/>
      </c>
      <c r="E184" s="49">
        <f>IFERROR(INDEX(tbl_Finance[Job Number],$A184),"")</f>
        <v/>
      </c>
      <c r="F184" s="49">
        <f>IFERROR(INDEX(tbl_Finance[Cost Centre],$A184),"")</f>
        <v/>
      </c>
      <c r="G184" s="50">
        <f>IFERROR(INDEX(tbl_Finance[Ex GST],$A184),"")</f>
        <v/>
      </c>
      <c r="H184" s="48">
        <f>IFERROR(INDEX(tbl_Finance[Defer Start],$A184),"")</f>
        <v/>
      </c>
      <c r="I184" s="48">
        <f>IFERROR(INDEX(tbl_Finance[Defer End],$A184),"")</f>
        <v/>
      </c>
      <c r="J184" s="47">
        <f>IF(OR($H184="",$I184="",$G184=""),"",MAX(1,(YEAR($I184)-YEAR($H184))*12+MONTH($I184)-MONTH($H184)+1))</f>
        <v/>
      </c>
      <c r="K184" s="50">
        <f>IF($J184="","",$G184/$J184)</f>
        <v/>
      </c>
      <c r="L184" s="50">
        <f>IF($J184="",0,$K184*MAX(0,MIN(YEAR($C$3)*12+MONTH($C$3),YEAR($I184)*12+MONTH($I184))-(YEAR($H184)*12+MONTH($H184))+1))</f>
        <v/>
      </c>
      <c r="M184" s="50">
        <f>IF($J184="",0,$K184*MAX(0,MIN(YEAR($C$3)*12+MONTH($C$3)-1,YEAR($I184)*12+MONTH($I184))-(YEAR($H184)*12+MONTH($H184))+1))</f>
        <v/>
      </c>
      <c r="N184" s="50">
        <f>IF(OR($J184="",$B184=""),0,IF(YEAR($B184)*12+MONTH($B184)&lt;=YEAR($C$3)*12+MONTH($C$3),$G184,0))</f>
        <v/>
      </c>
      <c r="O184" s="50">
        <f>IF(OR($J184="",$B184=""),0,IF(YEAR($B184)*12+MONTH($B184)&lt;=YEAR($C$3)*12+MONTH($C$3)-1,$G184,0))</f>
        <v/>
      </c>
      <c r="P184" s="50">
        <f>$M184-$O184</f>
        <v/>
      </c>
      <c r="Q184" s="50">
        <f>($L184-$M184)-($N184-$O184)</f>
        <v/>
      </c>
      <c r="R184" s="50">
        <f>$L184-$N184</f>
        <v/>
      </c>
    </row>
    <row r="185">
      <c r="A185" s="47">
        <f>ROW()-5</f>
        <v/>
      </c>
      <c r="B185" s="48">
        <f>IFERROR(INDEX(tbl_Finance[Date],$A185),"")</f>
        <v/>
      </c>
      <c r="C185" s="49">
        <f>IFERROR(INDEX(tbl_Finance[Xero Invoice No],$A185),"")</f>
        <v/>
      </c>
      <c r="D185" s="49">
        <f>IFERROR(INDEX(tbl_Finance[Client],$A185),"")</f>
        <v/>
      </c>
      <c r="E185" s="49">
        <f>IFERROR(INDEX(tbl_Finance[Job Number],$A185),"")</f>
        <v/>
      </c>
      <c r="F185" s="49">
        <f>IFERROR(INDEX(tbl_Finance[Cost Centre],$A185),"")</f>
        <v/>
      </c>
      <c r="G185" s="50">
        <f>IFERROR(INDEX(tbl_Finance[Ex GST],$A185),"")</f>
        <v/>
      </c>
      <c r="H185" s="48">
        <f>IFERROR(INDEX(tbl_Finance[Defer Start],$A185),"")</f>
        <v/>
      </c>
      <c r="I185" s="48">
        <f>IFERROR(INDEX(tbl_Finance[Defer End],$A185),"")</f>
        <v/>
      </c>
      <c r="J185" s="47">
        <f>IF(OR($H185="",$I185="",$G185=""),"",MAX(1,(YEAR($I185)-YEAR($H185))*12+MONTH($I185)-MONTH($H185)+1))</f>
        <v/>
      </c>
      <c r="K185" s="50">
        <f>IF($J185="","",$G185/$J185)</f>
        <v/>
      </c>
      <c r="L185" s="50">
        <f>IF($J185="",0,$K185*MAX(0,MIN(YEAR($C$3)*12+MONTH($C$3),YEAR($I185)*12+MONTH($I185))-(YEAR($H185)*12+MONTH($H185))+1))</f>
        <v/>
      </c>
      <c r="M185" s="50">
        <f>IF($J185="",0,$K185*MAX(0,MIN(YEAR($C$3)*12+MONTH($C$3)-1,YEAR($I185)*12+MONTH($I185))-(YEAR($H185)*12+MONTH($H185))+1))</f>
        <v/>
      </c>
      <c r="N185" s="50">
        <f>IF(OR($J185="",$B185=""),0,IF(YEAR($B185)*12+MONTH($B185)&lt;=YEAR($C$3)*12+MONTH($C$3),$G185,0))</f>
        <v/>
      </c>
      <c r="O185" s="50">
        <f>IF(OR($J185="",$B185=""),0,IF(YEAR($B185)*12+MONTH($B185)&lt;=YEAR($C$3)*12+MONTH($C$3)-1,$G185,0))</f>
        <v/>
      </c>
      <c r="P185" s="50">
        <f>$M185-$O185</f>
        <v/>
      </c>
      <c r="Q185" s="50">
        <f>($L185-$M185)-($N185-$O185)</f>
        <v/>
      </c>
      <c r="R185" s="50">
        <f>$L185-$N185</f>
        <v/>
      </c>
    </row>
    <row r="186">
      <c r="A186" s="47">
        <f>ROW()-5</f>
        <v/>
      </c>
      <c r="B186" s="48">
        <f>IFERROR(INDEX(tbl_Finance[Date],$A186),"")</f>
        <v/>
      </c>
      <c r="C186" s="49">
        <f>IFERROR(INDEX(tbl_Finance[Xero Invoice No],$A186),"")</f>
        <v/>
      </c>
      <c r="D186" s="49">
        <f>IFERROR(INDEX(tbl_Finance[Client],$A186),"")</f>
        <v/>
      </c>
      <c r="E186" s="49">
        <f>IFERROR(INDEX(tbl_Finance[Job Number],$A186),"")</f>
        <v/>
      </c>
      <c r="F186" s="49">
        <f>IFERROR(INDEX(tbl_Finance[Cost Centre],$A186),"")</f>
        <v/>
      </c>
      <c r="G186" s="50">
        <f>IFERROR(INDEX(tbl_Finance[Ex GST],$A186),"")</f>
        <v/>
      </c>
      <c r="H186" s="48">
        <f>IFERROR(INDEX(tbl_Finance[Defer Start],$A186),"")</f>
        <v/>
      </c>
      <c r="I186" s="48">
        <f>IFERROR(INDEX(tbl_Finance[Defer End],$A186),"")</f>
        <v/>
      </c>
      <c r="J186" s="47">
        <f>IF(OR($H186="",$I186="",$G186=""),"",MAX(1,(YEAR($I186)-YEAR($H186))*12+MONTH($I186)-MONTH($H186)+1))</f>
        <v/>
      </c>
      <c r="K186" s="50">
        <f>IF($J186="","",$G186/$J186)</f>
        <v/>
      </c>
      <c r="L186" s="50">
        <f>IF($J186="",0,$K186*MAX(0,MIN(YEAR($C$3)*12+MONTH($C$3),YEAR($I186)*12+MONTH($I186))-(YEAR($H186)*12+MONTH($H186))+1))</f>
        <v/>
      </c>
      <c r="M186" s="50">
        <f>IF($J186="",0,$K186*MAX(0,MIN(YEAR($C$3)*12+MONTH($C$3)-1,YEAR($I186)*12+MONTH($I186))-(YEAR($H186)*12+MONTH($H186))+1))</f>
        <v/>
      </c>
      <c r="N186" s="50">
        <f>IF(OR($J186="",$B186=""),0,IF(YEAR($B186)*12+MONTH($B186)&lt;=YEAR($C$3)*12+MONTH($C$3),$G186,0))</f>
        <v/>
      </c>
      <c r="O186" s="50">
        <f>IF(OR($J186="",$B186=""),0,IF(YEAR($B186)*12+MONTH($B186)&lt;=YEAR($C$3)*12+MONTH($C$3)-1,$G186,0))</f>
        <v/>
      </c>
      <c r="P186" s="50">
        <f>$M186-$O186</f>
        <v/>
      </c>
      <c r="Q186" s="50">
        <f>($L186-$M186)-($N186-$O186)</f>
        <v/>
      </c>
      <c r="R186" s="50">
        <f>$L186-$N186</f>
        <v/>
      </c>
    </row>
    <row r="187">
      <c r="A187" s="47">
        <f>ROW()-5</f>
        <v/>
      </c>
      <c r="B187" s="48">
        <f>IFERROR(INDEX(tbl_Finance[Date],$A187),"")</f>
        <v/>
      </c>
      <c r="C187" s="49">
        <f>IFERROR(INDEX(tbl_Finance[Xero Invoice No],$A187),"")</f>
        <v/>
      </c>
      <c r="D187" s="49">
        <f>IFERROR(INDEX(tbl_Finance[Client],$A187),"")</f>
        <v/>
      </c>
      <c r="E187" s="49">
        <f>IFERROR(INDEX(tbl_Finance[Job Number],$A187),"")</f>
        <v/>
      </c>
      <c r="F187" s="49">
        <f>IFERROR(INDEX(tbl_Finance[Cost Centre],$A187),"")</f>
        <v/>
      </c>
      <c r="G187" s="50">
        <f>IFERROR(INDEX(tbl_Finance[Ex GST],$A187),"")</f>
        <v/>
      </c>
      <c r="H187" s="48">
        <f>IFERROR(INDEX(tbl_Finance[Defer Start],$A187),"")</f>
        <v/>
      </c>
      <c r="I187" s="48">
        <f>IFERROR(INDEX(tbl_Finance[Defer End],$A187),"")</f>
        <v/>
      </c>
      <c r="J187" s="47">
        <f>IF(OR($H187="",$I187="",$G187=""),"",MAX(1,(YEAR($I187)-YEAR($H187))*12+MONTH($I187)-MONTH($H187)+1))</f>
        <v/>
      </c>
      <c r="K187" s="50">
        <f>IF($J187="","",$G187/$J187)</f>
        <v/>
      </c>
      <c r="L187" s="50">
        <f>IF($J187="",0,$K187*MAX(0,MIN(YEAR($C$3)*12+MONTH($C$3),YEAR($I187)*12+MONTH($I187))-(YEAR($H187)*12+MONTH($H187))+1))</f>
        <v/>
      </c>
      <c r="M187" s="50">
        <f>IF($J187="",0,$K187*MAX(0,MIN(YEAR($C$3)*12+MONTH($C$3)-1,YEAR($I187)*12+MONTH($I187))-(YEAR($H187)*12+MONTH($H187))+1))</f>
        <v/>
      </c>
      <c r="N187" s="50">
        <f>IF(OR($J187="",$B187=""),0,IF(YEAR($B187)*12+MONTH($B187)&lt;=YEAR($C$3)*12+MONTH($C$3),$G187,0))</f>
        <v/>
      </c>
      <c r="O187" s="50">
        <f>IF(OR($J187="",$B187=""),0,IF(YEAR($B187)*12+MONTH($B187)&lt;=YEAR($C$3)*12+MONTH($C$3)-1,$G187,0))</f>
        <v/>
      </c>
      <c r="P187" s="50">
        <f>$M187-$O187</f>
        <v/>
      </c>
      <c r="Q187" s="50">
        <f>($L187-$M187)-($N187-$O187)</f>
        <v/>
      </c>
      <c r="R187" s="50">
        <f>$L187-$N187</f>
        <v/>
      </c>
    </row>
    <row r="188">
      <c r="A188" s="47">
        <f>ROW()-5</f>
        <v/>
      </c>
      <c r="B188" s="48">
        <f>IFERROR(INDEX(tbl_Finance[Date],$A188),"")</f>
        <v/>
      </c>
      <c r="C188" s="49">
        <f>IFERROR(INDEX(tbl_Finance[Xero Invoice No],$A188),"")</f>
        <v/>
      </c>
      <c r="D188" s="49">
        <f>IFERROR(INDEX(tbl_Finance[Client],$A188),"")</f>
        <v/>
      </c>
      <c r="E188" s="49">
        <f>IFERROR(INDEX(tbl_Finance[Job Number],$A188),"")</f>
        <v/>
      </c>
      <c r="F188" s="49">
        <f>IFERROR(INDEX(tbl_Finance[Cost Centre],$A188),"")</f>
        <v/>
      </c>
      <c r="G188" s="50">
        <f>IFERROR(INDEX(tbl_Finance[Ex GST],$A188),"")</f>
        <v/>
      </c>
      <c r="H188" s="48">
        <f>IFERROR(INDEX(tbl_Finance[Defer Start],$A188),"")</f>
        <v/>
      </c>
      <c r="I188" s="48">
        <f>IFERROR(INDEX(tbl_Finance[Defer End],$A188),"")</f>
        <v/>
      </c>
      <c r="J188" s="47">
        <f>IF(OR($H188="",$I188="",$G188=""),"",MAX(1,(YEAR($I188)-YEAR($H188))*12+MONTH($I188)-MONTH($H188)+1))</f>
        <v/>
      </c>
      <c r="K188" s="50">
        <f>IF($J188="","",$G188/$J188)</f>
        <v/>
      </c>
      <c r="L188" s="50">
        <f>IF($J188="",0,$K188*MAX(0,MIN(YEAR($C$3)*12+MONTH($C$3),YEAR($I188)*12+MONTH($I188))-(YEAR($H188)*12+MONTH($H188))+1))</f>
        <v/>
      </c>
      <c r="M188" s="50">
        <f>IF($J188="",0,$K188*MAX(0,MIN(YEAR($C$3)*12+MONTH($C$3)-1,YEAR($I188)*12+MONTH($I188))-(YEAR($H188)*12+MONTH($H188))+1))</f>
        <v/>
      </c>
      <c r="N188" s="50">
        <f>IF(OR($J188="",$B188=""),0,IF(YEAR($B188)*12+MONTH($B188)&lt;=YEAR($C$3)*12+MONTH($C$3),$G188,0))</f>
        <v/>
      </c>
      <c r="O188" s="50">
        <f>IF(OR($J188="",$B188=""),0,IF(YEAR($B188)*12+MONTH($B188)&lt;=YEAR($C$3)*12+MONTH($C$3)-1,$G188,0))</f>
        <v/>
      </c>
      <c r="P188" s="50">
        <f>$M188-$O188</f>
        <v/>
      </c>
      <c r="Q188" s="50">
        <f>($L188-$M188)-($N188-$O188)</f>
        <v/>
      </c>
      <c r="R188" s="50">
        <f>$L188-$N188</f>
        <v/>
      </c>
    </row>
    <row r="189">
      <c r="A189" s="47">
        <f>ROW()-5</f>
        <v/>
      </c>
      <c r="B189" s="48">
        <f>IFERROR(INDEX(tbl_Finance[Date],$A189),"")</f>
        <v/>
      </c>
      <c r="C189" s="49">
        <f>IFERROR(INDEX(tbl_Finance[Xero Invoice No],$A189),"")</f>
        <v/>
      </c>
      <c r="D189" s="49">
        <f>IFERROR(INDEX(tbl_Finance[Client],$A189),"")</f>
        <v/>
      </c>
      <c r="E189" s="49">
        <f>IFERROR(INDEX(tbl_Finance[Job Number],$A189),"")</f>
        <v/>
      </c>
      <c r="F189" s="49">
        <f>IFERROR(INDEX(tbl_Finance[Cost Centre],$A189),"")</f>
        <v/>
      </c>
      <c r="G189" s="50">
        <f>IFERROR(INDEX(tbl_Finance[Ex GST],$A189),"")</f>
        <v/>
      </c>
      <c r="H189" s="48">
        <f>IFERROR(INDEX(tbl_Finance[Defer Start],$A189),"")</f>
        <v/>
      </c>
      <c r="I189" s="48">
        <f>IFERROR(INDEX(tbl_Finance[Defer End],$A189),"")</f>
        <v/>
      </c>
      <c r="J189" s="47">
        <f>IF(OR($H189="",$I189="",$G189=""),"",MAX(1,(YEAR($I189)-YEAR($H189))*12+MONTH($I189)-MONTH($H189)+1))</f>
        <v/>
      </c>
      <c r="K189" s="50">
        <f>IF($J189="","",$G189/$J189)</f>
        <v/>
      </c>
      <c r="L189" s="50">
        <f>IF($J189="",0,$K189*MAX(0,MIN(YEAR($C$3)*12+MONTH($C$3),YEAR($I189)*12+MONTH($I189))-(YEAR($H189)*12+MONTH($H189))+1))</f>
        <v/>
      </c>
      <c r="M189" s="50">
        <f>IF($J189="",0,$K189*MAX(0,MIN(YEAR($C$3)*12+MONTH($C$3)-1,YEAR($I189)*12+MONTH($I189))-(YEAR($H189)*12+MONTH($H189))+1))</f>
        <v/>
      </c>
      <c r="N189" s="50">
        <f>IF(OR($J189="",$B189=""),0,IF(YEAR($B189)*12+MONTH($B189)&lt;=YEAR($C$3)*12+MONTH($C$3),$G189,0))</f>
        <v/>
      </c>
      <c r="O189" s="50">
        <f>IF(OR($J189="",$B189=""),0,IF(YEAR($B189)*12+MONTH($B189)&lt;=YEAR($C$3)*12+MONTH($C$3)-1,$G189,0))</f>
        <v/>
      </c>
      <c r="P189" s="50">
        <f>$M189-$O189</f>
        <v/>
      </c>
      <c r="Q189" s="50">
        <f>($L189-$M189)-($N189-$O189)</f>
        <v/>
      </c>
      <c r="R189" s="50">
        <f>$L189-$N189</f>
        <v/>
      </c>
    </row>
    <row r="190">
      <c r="A190" s="47">
        <f>ROW()-5</f>
        <v/>
      </c>
      <c r="B190" s="48">
        <f>IFERROR(INDEX(tbl_Finance[Date],$A190),"")</f>
        <v/>
      </c>
      <c r="C190" s="49">
        <f>IFERROR(INDEX(tbl_Finance[Xero Invoice No],$A190),"")</f>
        <v/>
      </c>
      <c r="D190" s="49">
        <f>IFERROR(INDEX(tbl_Finance[Client],$A190),"")</f>
        <v/>
      </c>
      <c r="E190" s="49">
        <f>IFERROR(INDEX(tbl_Finance[Job Number],$A190),"")</f>
        <v/>
      </c>
      <c r="F190" s="49">
        <f>IFERROR(INDEX(tbl_Finance[Cost Centre],$A190),"")</f>
        <v/>
      </c>
      <c r="G190" s="50">
        <f>IFERROR(INDEX(tbl_Finance[Ex GST],$A190),"")</f>
        <v/>
      </c>
      <c r="H190" s="48">
        <f>IFERROR(INDEX(tbl_Finance[Defer Start],$A190),"")</f>
        <v/>
      </c>
      <c r="I190" s="48">
        <f>IFERROR(INDEX(tbl_Finance[Defer End],$A190),"")</f>
        <v/>
      </c>
      <c r="J190" s="47">
        <f>IF(OR($H190="",$I190="",$G190=""),"",MAX(1,(YEAR($I190)-YEAR($H190))*12+MONTH($I190)-MONTH($H190)+1))</f>
        <v/>
      </c>
      <c r="K190" s="50">
        <f>IF($J190="","",$G190/$J190)</f>
        <v/>
      </c>
      <c r="L190" s="50">
        <f>IF($J190="",0,$K190*MAX(0,MIN(YEAR($C$3)*12+MONTH($C$3),YEAR($I190)*12+MONTH($I190))-(YEAR($H190)*12+MONTH($H190))+1))</f>
        <v/>
      </c>
      <c r="M190" s="50">
        <f>IF($J190="",0,$K190*MAX(0,MIN(YEAR($C$3)*12+MONTH($C$3)-1,YEAR($I190)*12+MONTH($I190))-(YEAR($H190)*12+MONTH($H190))+1))</f>
        <v/>
      </c>
      <c r="N190" s="50">
        <f>IF(OR($J190="",$B190=""),0,IF(YEAR($B190)*12+MONTH($B190)&lt;=YEAR($C$3)*12+MONTH($C$3),$G190,0))</f>
        <v/>
      </c>
      <c r="O190" s="50">
        <f>IF(OR($J190="",$B190=""),0,IF(YEAR($B190)*12+MONTH($B190)&lt;=YEAR($C$3)*12+MONTH($C$3)-1,$G190,0))</f>
        <v/>
      </c>
      <c r="P190" s="50">
        <f>$M190-$O190</f>
        <v/>
      </c>
      <c r="Q190" s="50">
        <f>($L190-$M190)-($N190-$O190)</f>
        <v/>
      </c>
      <c r="R190" s="50">
        <f>$L190-$N190</f>
        <v/>
      </c>
    </row>
    <row r="191">
      <c r="A191" s="47">
        <f>ROW()-5</f>
        <v/>
      </c>
      <c r="B191" s="48">
        <f>IFERROR(INDEX(tbl_Finance[Date],$A191),"")</f>
        <v/>
      </c>
      <c r="C191" s="49">
        <f>IFERROR(INDEX(tbl_Finance[Xero Invoice No],$A191),"")</f>
        <v/>
      </c>
      <c r="D191" s="49">
        <f>IFERROR(INDEX(tbl_Finance[Client],$A191),"")</f>
        <v/>
      </c>
      <c r="E191" s="49">
        <f>IFERROR(INDEX(tbl_Finance[Job Number],$A191),"")</f>
        <v/>
      </c>
      <c r="F191" s="49">
        <f>IFERROR(INDEX(tbl_Finance[Cost Centre],$A191),"")</f>
        <v/>
      </c>
      <c r="G191" s="50">
        <f>IFERROR(INDEX(tbl_Finance[Ex GST],$A191),"")</f>
        <v/>
      </c>
      <c r="H191" s="48">
        <f>IFERROR(INDEX(tbl_Finance[Defer Start],$A191),"")</f>
        <v/>
      </c>
      <c r="I191" s="48">
        <f>IFERROR(INDEX(tbl_Finance[Defer End],$A191),"")</f>
        <v/>
      </c>
      <c r="J191" s="47">
        <f>IF(OR($H191="",$I191="",$G191=""),"",MAX(1,(YEAR($I191)-YEAR($H191))*12+MONTH($I191)-MONTH($H191)+1))</f>
        <v/>
      </c>
      <c r="K191" s="50">
        <f>IF($J191="","",$G191/$J191)</f>
        <v/>
      </c>
      <c r="L191" s="50">
        <f>IF($J191="",0,$K191*MAX(0,MIN(YEAR($C$3)*12+MONTH($C$3),YEAR($I191)*12+MONTH($I191))-(YEAR($H191)*12+MONTH($H191))+1))</f>
        <v/>
      </c>
      <c r="M191" s="50">
        <f>IF($J191="",0,$K191*MAX(0,MIN(YEAR($C$3)*12+MONTH($C$3)-1,YEAR($I191)*12+MONTH($I191))-(YEAR($H191)*12+MONTH($H191))+1))</f>
        <v/>
      </c>
      <c r="N191" s="50">
        <f>IF(OR($J191="",$B191=""),0,IF(YEAR($B191)*12+MONTH($B191)&lt;=YEAR($C$3)*12+MONTH($C$3),$G191,0))</f>
        <v/>
      </c>
      <c r="O191" s="50">
        <f>IF(OR($J191="",$B191=""),0,IF(YEAR($B191)*12+MONTH($B191)&lt;=YEAR($C$3)*12+MONTH($C$3)-1,$G191,0))</f>
        <v/>
      </c>
      <c r="P191" s="50">
        <f>$M191-$O191</f>
        <v/>
      </c>
      <c r="Q191" s="50">
        <f>($L191-$M191)-($N191-$O191)</f>
        <v/>
      </c>
      <c r="R191" s="50">
        <f>$L191-$N191</f>
        <v/>
      </c>
    </row>
    <row r="192">
      <c r="A192" s="47">
        <f>ROW()-5</f>
        <v/>
      </c>
      <c r="B192" s="48">
        <f>IFERROR(INDEX(tbl_Finance[Date],$A192),"")</f>
        <v/>
      </c>
      <c r="C192" s="49">
        <f>IFERROR(INDEX(tbl_Finance[Xero Invoice No],$A192),"")</f>
        <v/>
      </c>
      <c r="D192" s="49">
        <f>IFERROR(INDEX(tbl_Finance[Client],$A192),"")</f>
        <v/>
      </c>
      <c r="E192" s="49">
        <f>IFERROR(INDEX(tbl_Finance[Job Number],$A192),"")</f>
        <v/>
      </c>
      <c r="F192" s="49">
        <f>IFERROR(INDEX(tbl_Finance[Cost Centre],$A192),"")</f>
        <v/>
      </c>
      <c r="G192" s="50">
        <f>IFERROR(INDEX(tbl_Finance[Ex GST],$A192),"")</f>
        <v/>
      </c>
      <c r="H192" s="48">
        <f>IFERROR(INDEX(tbl_Finance[Defer Start],$A192),"")</f>
        <v/>
      </c>
      <c r="I192" s="48">
        <f>IFERROR(INDEX(tbl_Finance[Defer End],$A192),"")</f>
        <v/>
      </c>
      <c r="J192" s="47">
        <f>IF(OR($H192="",$I192="",$G192=""),"",MAX(1,(YEAR($I192)-YEAR($H192))*12+MONTH($I192)-MONTH($H192)+1))</f>
        <v/>
      </c>
      <c r="K192" s="50">
        <f>IF($J192="","",$G192/$J192)</f>
        <v/>
      </c>
      <c r="L192" s="50">
        <f>IF($J192="",0,$K192*MAX(0,MIN(YEAR($C$3)*12+MONTH($C$3),YEAR($I192)*12+MONTH($I192))-(YEAR($H192)*12+MONTH($H192))+1))</f>
        <v/>
      </c>
      <c r="M192" s="50">
        <f>IF($J192="",0,$K192*MAX(0,MIN(YEAR($C$3)*12+MONTH($C$3)-1,YEAR($I192)*12+MONTH($I192))-(YEAR($H192)*12+MONTH($H192))+1))</f>
        <v/>
      </c>
      <c r="N192" s="50">
        <f>IF(OR($J192="",$B192=""),0,IF(YEAR($B192)*12+MONTH($B192)&lt;=YEAR($C$3)*12+MONTH($C$3),$G192,0))</f>
        <v/>
      </c>
      <c r="O192" s="50">
        <f>IF(OR($J192="",$B192=""),0,IF(YEAR($B192)*12+MONTH($B192)&lt;=YEAR($C$3)*12+MONTH($C$3)-1,$G192,0))</f>
        <v/>
      </c>
      <c r="P192" s="50">
        <f>$M192-$O192</f>
        <v/>
      </c>
      <c r="Q192" s="50">
        <f>($L192-$M192)-($N192-$O192)</f>
        <v/>
      </c>
      <c r="R192" s="50">
        <f>$L192-$N192</f>
        <v/>
      </c>
    </row>
    <row r="193">
      <c r="A193" s="47">
        <f>ROW()-5</f>
        <v/>
      </c>
      <c r="B193" s="48">
        <f>IFERROR(INDEX(tbl_Finance[Date],$A193),"")</f>
        <v/>
      </c>
      <c r="C193" s="49">
        <f>IFERROR(INDEX(tbl_Finance[Xero Invoice No],$A193),"")</f>
        <v/>
      </c>
      <c r="D193" s="49">
        <f>IFERROR(INDEX(tbl_Finance[Client],$A193),"")</f>
        <v/>
      </c>
      <c r="E193" s="49">
        <f>IFERROR(INDEX(tbl_Finance[Job Number],$A193),"")</f>
        <v/>
      </c>
      <c r="F193" s="49">
        <f>IFERROR(INDEX(tbl_Finance[Cost Centre],$A193),"")</f>
        <v/>
      </c>
      <c r="G193" s="50">
        <f>IFERROR(INDEX(tbl_Finance[Ex GST],$A193),"")</f>
        <v/>
      </c>
      <c r="H193" s="48">
        <f>IFERROR(INDEX(tbl_Finance[Defer Start],$A193),"")</f>
        <v/>
      </c>
      <c r="I193" s="48">
        <f>IFERROR(INDEX(tbl_Finance[Defer End],$A193),"")</f>
        <v/>
      </c>
      <c r="J193" s="47">
        <f>IF(OR($H193="",$I193="",$G193=""),"",MAX(1,(YEAR($I193)-YEAR($H193))*12+MONTH($I193)-MONTH($H193)+1))</f>
        <v/>
      </c>
      <c r="K193" s="50">
        <f>IF($J193="","",$G193/$J193)</f>
        <v/>
      </c>
      <c r="L193" s="50">
        <f>IF($J193="",0,$K193*MAX(0,MIN(YEAR($C$3)*12+MONTH($C$3),YEAR($I193)*12+MONTH($I193))-(YEAR($H193)*12+MONTH($H193))+1))</f>
        <v/>
      </c>
      <c r="M193" s="50">
        <f>IF($J193="",0,$K193*MAX(0,MIN(YEAR($C$3)*12+MONTH($C$3)-1,YEAR($I193)*12+MONTH($I193))-(YEAR($H193)*12+MONTH($H193))+1))</f>
        <v/>
      </c>
      <c r="N193" s="50">
        <f>IF(OR($J193="",$B193=""),0,IF(YEAR($B193)*12+MONTH($B193)&lt;=YEAR($C$3)*12+MONTH($C$3),$G193,0))</f>
        <v/>
      </c>
      <c r="O193" s="50">
        <f>IF(OR($J193="",$B193=""),0,IF(YEAR($B193)*12+MONTH($B193)&lt;=YEAR($C$3)*12+MONTH($C$3)-1,$G193,0))</f>
        <v/>
      </c>
      <c r="P193" s="50">
        <f>$M193-$O193</f>
        <v/>
      </c>
      <c r="Q193" s="50">
        <f>($L193-$M193)-($N193-$O193)</f>
        <v/>
      </c>
      <c r="R193" s="50">
        <f>$L193-$N193</f>
        <v/>
      </c>
    </row>
    <row r="194">
      <c r="A194" s="47">
        <f>ROW()-5</f>
        <v/>
      </c>
      <c r="B194" s="48">
        <f>IFERROR(INDEX(tbl_Finance[Date],$A194),"")</f>
        <v/>
      </c>
      <c r="C194" s="49">
        <f>IFERROR(INDEX(tbl_Finance[Xero Invoice No],$A194),"")</f>
        <v/>
      </c>
      <c r="D194" s="49">
        <f>IFERROR(INDEX(tbl_Finance[Client],$A194),"")</f>
        <v/>
      </c>
      <c r="E194" s="49">
        <f>IFERROR(INDEX(tbl_Finance[Job Number],$A194),"")</f>
        <v/>
      </c>
      <c r="F194" s="49">
        <f>IFERROR(INDEX(tbl_Finance[Cost Centre],$A194),"")</f>
        <v/>
      </c>
      <c r="G194" s="50">
        <f>IFERROR(INDEX(tbl_Finance[Ex GST],$A194),"")</f>
        <v/>
      </c>
      <c r="H194" s="48">
        <f>IFERROR(INDEX(tbl_Finance[Defer Start],$A194),"")</f>
        <v/>
      </c>
      <c r="I194" s="48">
        <f>IFERROR(INDEX(tbl_Finance[Defer End],$A194),"")</f>
        <v/>
      </c>
      <c r="J194" s="47">
        <f>IF(OR($H194="",$I194="",$G194=""),"",MAX(1,(YEAR($I194)-YEAR($H194))*12+MONTH($I194)-MONTH($H194)+1))</f>
        <v/>
      </c>
      <c r="K194" s="50">
        <f>IF($J194="","",$G194/$J194)</f>
        <v/>
      </c>
      <c r="L194" s="50">
        <f>IF($J194="",0,$K194*MAX(0,MIN(YEAR($C$3)*12+MONTH($C$3),YEAR($I194)*12+MONTH($I194))-(YEAR($H194)*12+MONTH($H194))+1))</f>
        <v/>
      </c>
      <c r="M194" s="50">
        <f>IF($J194="",0,$K194*MAX(0,MIN(YEAR($C$3)*12+MONTH($C$3)-1,YEAR($I194)*12+MONTH($I194))-(YEAR($H194)*12+MONTH($H194))+1))</f>
        <v/>
      </c>
      <c r="N194" s="50">
        <f>IF(OR($J194="",$B194=""),0,IF(YEAR($B194)*12+MONTH($B194)&lt;=YEAR($C$3)*12+MONTH($C$3),$G194,0))</f>
        <v/>
      </c>
      <c r="O194" s="50">
        <f>IF(OR($J194="",$B194=""),0,IF(YEAR($B194)*12+MONTH($B194)&lt;=YEAR($C$3)*12+MONTH($C$3)-1,$G194,0))</f>
        <v/>
      </c>
      <c r="P194" s="50">
        <f>$M194-$O194</f>
        <v/>
      </c>
      <c r="Q194" s="50">
        <f>($L194-$M194)-($N194-$O194)</f>
        <v/>
      </c>
      <c r="R194" s="50">
        <f>$L194-$N194</f>
        <v/>
      </c>
    </row>
    <row r="195">
      <c r="A195" s="47">
        <f>ROW()-5</f>
        <v/>
      </c>
      <c r="B195" s="48">
        <f>IFERROR(INDEX(tbl_Finance[Date],$A195),"")</f>
        <v/>
      </c>
      <c r="C195" s="49">
        <f>IFERROR(INDEX(tbl_Finance[Xero Invoice No],$A195),"")</f>
        <v/>
      </c>
      <c r="D195" s="49">
        <f>IFERROR(INDEX(tbl_Finance[Client],$A195),"")</f>
        <v/>
      </c>
      <c r="E195" s="49">
        <f>IFERROR(INDEX(tbl_Finance[Job Number],$A195),"")</f>
        <v/>
      </c>
      <c r="F195" s="49">
        <f>IFERROR(INDEX(tbl_Finance[Cost Centre],$A195),"")</f>
        <v/>
      </c>
      <c r="G195" s="50">
        <f>IFERROR(INDEX(tbl_Finance[Ex GST],$A195),"")</f>
        <v/>
      </c>
      <c r="H195" s="48">
        <f>IFERROR(INDEX(tbl_Finance[Defer Start],$A195),"")</f>
        <v/>
      </c>
      <c r="I195" s="48">
        <f>IFERROR(INDEX(tbl_Finance[Defer End],$A195),"")</f>
        <v/>
      </c>
      <c r="J195" s="47">
        <f>IF(OR($H195="",$I195="",$G195=""),"",MAX(1,(YEAR($I195)-YEAR($H195))*12+MONTH($I195)-MONTH($H195)+1))</f>
        <v/>
      </c>
      <c r="K195" s="50">
        <f>IF($J195="","",$G195/$J195)</f>
        <v/>
      </c>
      <c r="L195" s="50">
        <f>IF($J195="",0,$K195*MAX(0,MIN(YEAR($C$3)*12+MONTH($C$3),YEAR($I195)*12+MONTH($I195))-(YEAR($H195)*12+MONTH($H195))+1))</f>
        <v/>
      </c>
      <c r="M195" s="50">
        <f>IF($J195="",0,$K195*MAX(0,MIN(YEAR($C$3)*12+MONTH($C$3)-1,YEAR($I195)*12+MONTH($I195))-(YEAR($H195)*12+MONTH($H195))+1))</f>
        <v/>
      </c>
      <c r="N195" s="50">
        <f>IF(OR($J195="",$B195=""),0,IF(YEAR($B195)*12+MONTH($B195)&lt;=YEAR($C$3)*12+MONTH($C$3),$G195,0))</f>
        <v/>
      </c>
      <c r="O195" s="50">
        <f>IF(OR($J195="",$B195=""),0,IF(YEAR($B195)*12+MONTH($B195)&lt;=YEAR($C$3)*12+MONTH($C$3)-1,$G195,0))</f>
        <v/>
      </c>
      <c r="P195" s="50">
        <f>$M195-$O195</f>
        <v/>
      </c>
      <c r="Q195" s="50">
        <f>($L195-$M195)-($N195-$O195)</f>
        <v/>
      </c>
      <c r="R195" s="50">
        <f>$L195-$N195</f>
        <v/>
      </c>
    </row>
    <row r="196">
      <c r="A196" s="47">
        <f>ROW()-5</f>
        <v/>
      </c>
      <c r="B196" s="48">
        <f>IFERROR(INDEX(tbl_Finance[Date],$A196),"")</f>
        <v/>
      </c>
      <c r="C196" s="49">
        <f>IFERROR(INDEX(tbl_Finance[Xero Invoice No],$A196),"")</f>
        <v/>
      </c>
      <c r="D196" s="49">
        <f>IFERROR(INDEX(tbl_Finance[Client],$A196),"")</f>
        <v/>
      </c>
      <c r="E196" s="49">
        <f>IFERROR(INDEX(tbl_Finance[Job Number],$A196),"")</f>
        <v/>
      </c>
      <c r="F196" s="49">
        <f>IFERROR(INDEX(tbl_Finance[Cost Centre],$A196),"")</f>
        <v/>
      </c>
      <c r="G196" s="50">
        <f>IFERROR(INDEX(tbl_Finance[Ex GST],$A196),"")</f>
        <v/>
      </c>
      <c r="H196" s="48">
        <f>IFERROR(INDEX(tbl_Finance[Defer Start],$A196),"")</f>
        <v/>
      </c>
      <c r="I196" s="48">
        <f>IFERROR(INDEX(tbl_Finance[Defer End],$A196),"")</f>
        <v/>
      </c>
      <c r="J196" s="47">
        <f>IF(OR($H196="",$I196="",$G196=""),"",MAX(1,(YEAR($I196)-YEAR($H196))*12+MONTH($I196)-MONTH($H196)+1))</f>
        <v/>
      </c>
      <c r="K196" s="50">
        <f>IF($J196="","",$G196/$J196)</f>
        <v/>
      </c>
      <c r="L196" s="50">
        <f>IF($J196="",0,$K196*MAX(0,MIN(YEAR($C$3)*12+MONTH($C$3),YEAR($I196)*12+MONTH($I196))-(YEAR($H196)*12+MONTH($H196))+1))</f>
        <v/>
      </c>
      <c r="M196" s="50">
        <f>IF($J196="",0,$K196*MAX(0,MIN(YEAR($C$3)*12+MONTH($C$3)-1,YEAR($I196)*12+MONTH($I196))-(YEAR($H196)*12+MONTH($H196))+1))</f>
        <v/>
      </c>
      <c r="N196" s="50">
        <f>IF(OR($J196="",$B196=""),0,IF(YEAR($B196)*12+MONTH($B196)&lt;=YEAR($C$3)*12+MONTH($C$3),$G196,0))</f>
        <v/>
      </c>
      <c r="O196" s="50">
        <f>IF(OR($J196="",$B196=""),0,IF(YEAR($B196)*12+MONTH($B196)&lt;=YEAR($C$3)*12+MONTH($C$3)-1,$G196,0))</f>
        <v/>
      </c>
      <c r="P196" s="50">
        <f>$M196-$O196</f>
        <v/>
      </c>
      <c r="Q196" s="50">
        <f>($L196-$M196)-($N196-$O196)</f>
        <v/>
      </c>
      <c r="R196" s="50">
        <f>$L196-$N196</f>
        <v/>
      </c>
    </row>
    <row r="197">
      <c r="A197" s="47">
        <f>ROW()-5</f>
        <v/>
      </c>
      <c r="B197" s="48">
        <f>IFERROR(INDEX(tbl_Finance[Date],$A197),"")</f>
        <v/>
      </c>
      <c r="C197" s="49">
        <f>IFERROR(INDEX(tbl_Finance[Xero Invoice No],$A197),"")</f>
        <v/>
      </c>
      <c r="D197" s="49">
        <f>IFERROR(INDEX(tbl_Finance[Client],$A197),"")</f>
        <v/>
      </c>
      <c r="E197" s="49">
        <f>IFERROR(INDEX(tbl_Finance[Job Number],$A197),"")</f>
        <v/>
      </c>
      <c r="F197" s="49">
        <f>IFERROR(INDEX(tbl_Finance[Cost Centre],$A197),"")</f>
        <v/>
      </c>
      <c r="G197" s="50">
        <f>IFERROR(INDEX(tbl_Finance[Ex GST],$A197),"")</f>
        <v/>
      </c>
      <c r="H197" s="48">
        <f>IFERROR(INDEX(tbl_Finance[Defer Start],$A197),"")</f>
        <v/>
      </c>
      <c r="I197" s="48">
        <f>IFERROR(INDEX(tbl_Finance[Defer End],$A197),"")</f>
        <v/>
      </c>
      <c r="J197" s="47">
        <f>IF(OR($H197="",$I197="",$G197=""),"",MAX(1,(YEAR($I197)-YEAR($H197))*12+MONTH($I197)-MONTH($H197)+1))</f>
        <v/>
      </c>
      <c r="K197" s="50">
        <f>IF($J197="","",$G197/$J197)</f>
        <v/>
      </c>
      <c r="L197" s="50">
        <f>IF($J197="",0,$K197*MAX(0,MIN(YEAR($C$3)*12+MONTH($C$3),YEAR($I197)*12+MONTH($I197))-(YEAR($H197)*12+MONTH($H197))+1))</f>
        <v/>
      </c>
      <c r="M197" s="50">
        <f>IF($J197="",0,$K197*MAX(0,MIN(YEAR($C$3)*12+MONTH($C$3)-1,YEAR($I197)*12+MONTH($I197))-(YEAR($H197)*12+MONTH($H197))+1))</f>
        <v/>
      </c>
      <c r="N197" s="50">
        <f>IF(OR($J197="",$B197=""),0,IF(YEAR($B197)*12+MONTH($B197)&lt;=YEAR($C$3)*12+MONTH($C$3),$G197,0))</f>
        <v/>
      </c>
      <c r="O197" s="50">
        <f>IF(OR($J197="",$B197=""),0,IF(YEAR($B197)*12+MONTH($B197)&lt;=YEAR($C$3)*12+MONTH($C$3)-1,$G197,0))</f>
        <v/>
      </c>
      <c r="P197" s="50">
        <f>$M197-$O197</f>
        <v/>
      </c>
      <c r="Q197" s="50">
        <f>($L197-$M197)-($N197-$O197)</f>
        <v/>
      </c>
      <c r="R197" s="50">
        <f>$L197-$N197</f>
        <v/>
      </c>
    </row>
    <row r="198">
      <c r="A198" s="47">
        <f>ROW()-5</f>
        <v/>
      </c>
      <c r="B198" s="48">
        <f>IFERROR(INDEX(tbl_Finance[Date],$A198),"")</f>
        <v/>
      </c>
      <c r="C198" s="49">
        <f>IFERROR(INDEX(tbl_Finance[Xero Invoice No],$A198),"")</f>
        <v/>
      </c>
      <c r="D198" s="49">
        <f>IFERROR(INDEX(tbl_Finance[Client],$A198),"")</f>
        <v/>
      </c>
      <c r="E198" s="49">
        <f>IFERROR(INDEX(tbl_Finance[Job Number],$A198),"")</f>
        <v/>
      </c>
      <c r="F198" s="49">
        <f>IFERROR(INDEX(tbl_Finance[Cost Centre],$A198),"")</f>
        <v/>
      </c>
      <c r="G198" s="50">
        <f>IFERROR(INDEX(tbl_Finance[Ex GST],$A198),"")</f>
        <v/>
      </c>
      <c r="H198" s="48">
        <f>IFERROR(INDEX(tbl_Finance[Defer Start],$A198),"")</f>
        <v/>
      </c>
      <c r="I198" s="48">
        <f>IFERROR(INDEX(tbl_Finance[Defer End],$A198),"")</f>
        <v/>
      </c>
      <c r="J198" s="47">
        <f>IF(OR($H198="",$I198="",$G198=""),"",MAX(1,(YEAR($I198)-YEAR($H198))*12+MONTH($I198)-MONTH($H198)+1))</f>
        <v/>
      </c>
      <c r="K198" s="50">
        <f>IF($J198="","",$G198/$J198)</f>
        <v/>
      </c>
      <c r="L198" s="50">
        <f>IF($J198="",0,$K198*MAX(0,MIN(YEAR($C$3)*12+MONTH($C$3),YEAR($I198)*12+MONTH($I198))-(YEAR($H198)*12+MONTH($H198))+1))</f>
        <v/>
      </c>
      <c r="M198" s="50">
        <f>IF($J198="",0,$K198*MAX(0,MIN(YEAR($C$3)*12+MONTH($C$3)-1,YEAR($I198)*12+MONTH($I198))-(YEAR($H198)*12+MONTH($H198))+1))</f>
        <v/>
      </c>
      <c r="N198" s="50">
        <f>IF(OR($J198="",$B198=""),0,IF(YEAR($B198)*12+MONTH($B198)&lt;=YEAR($C$3)*12+MONTH($C$3),$G198,0))</f>
        <v/>
      </c>
      <c r="O198" s="50">
        <f>IF(OR($J198="",$B198=""),0,IF(YEAR($B198)*12+MONTH($B198)&lt;=YEAR($C$3)*12+MONTH($C$3)-1,$G198,0))</f>
        <v/>
      </c>
      <c r="P198" s="50">
        <f>$M198-$O198</f>
        <v/>
      </c>
      <c r="Q198" s="50">
        <f>($L198-$M198)-($N198-$O198)</f>
        <v/>
      </c>
      <c r="R198" s="50">
        <f>$L198-$N198</f>
        <v/>
      </c>
    </row>
    <row r="199">
      <c r="A199" s="47">
        <f>ROW()-5</f>
        <v/>
      </c>
      <c r="B199" s="48">
        <f>IFERROR(INDEX(tbl_Finance[Date],$A199),"")</f>
        <v/>
      </c>
      <c r="C199" s="49">
        <f>IFERROR(INDEX(tbl_Finance[Xero Invoice No],$A199),"")</f>
        <v/>
      </c>
      <c r="D199" s="49">
        <f>IFERROR(INDEX(tbl_Finance[Client],$A199),"")</f>
        <v/>
      </c>
      <c r="E199" s="49">
        <f>IFERROR(INDEX(tbl_Finance[Job Number],$A199),"")</f>
        <v/>
      </c>
      <c r="F199" s="49">
        <f>IFERROR(INDEX(tbl_Finance[Cost Centre],$A199),"")</f>
        <v/>
      </c>
      <c r="G199" s="50">
        <f>IFERROR(INDEX(tbl_Finance[Ex GST],$A199),"")</f>
        <v/>
      </c>
      <c r="H199" s="48">
        <f>IFERROR(INDEX(tbl_Finance[Defer Start],$A199),"")</f>
        <v/>
      </c>
      <c r="I199" s="48">
        <f>IFERROR(INDEX(tbl_Finance[Defer End],$A199),"")</f>
        <v/>
      </c>
      <c r="J199" s="47">
        <f>IF(OR($H199="",$I199="",$G199=""),"",MAX(1,(YEAR($I199)-YEAR($H199))*12+MONTH($I199)-MONTH($H199)+1))</f>
        <v/>
      </c>
      <c r="K199" s="50">
        <f>IF($J199="","",$G199/$J199)</f>
        <v/>
      </c>
      <c r="L199" s="50">
        <f>IF($J199="",0,$K199*MAX(0,MIN(YEAR($C$3)*12+MONTH($C$3),YEAR($I199)*12+MONTH($I199))-(YEAR($H199)*12+MONTH($H199))+1))</f>
        <v/>
      </c>
      <c r="M199" s="50">
        <f>IF($J199="",0,$K199*MAX(0,MIN(YEAR($C$3)*12+MONTH($C$3)-1,YEAR($I199)*12+MONTH($I199))-(YEAR($H199)*12+MONTH($H199))+1))</f>
        <v/>
      </c>
      <c r="N199" s="50">
        <f>IF(OR($J199="",$B199=""),0,IF(YEAR($B199)*12+MONTH($B199)&lt;=YEAR($C$3)*12+MONTH($C$3),$G199,0))</f>
        <v/>
      </c>
      <c r="O199" s="50">
        <f>IF(OR($J199="",$B199=""),0,IF(YEAR($B199)*12+MONTH($B199)&lt;=YEAR($C$3)*12+MONTH($C$3)-1,$G199,0))</f>
        <v/>
      </c>
      <c r="P199" s="50">
        <f>$M199-$O199</f>
        <v/>
      </c>
      <c r="Q199" s="50">
        <f>($L199-$M199)-($N199-$O199)</f>
        <v/>
      </c>
      <c r="R199" s="50">
        <f>$L199-$N199</f>
        <v/>
      </c>
    </row>
    <row r="200">
      <c r="A200" s="47">
        <f>ROW()-5</f>
        <v/>
      </c>
      <c r="B200" s="48">
        <f>IFERROR(INDEX(tbl_Finance[Date],$A200),"")</f>
        <v/>
      </c>
      <c r="C200" s="49">
        <f>IFERROR(INDEX(tbl_Finance[Xero Invoice No],$A200),"")</f>
        <v/>
      </c>
      <c r="D200" s="49">
        <f>IFERROR(INDEX(tbl_Finance[Client],$A200),"")</f>
        <v/>
      </c>
      <c r="E200" s="49">
        <f>IFERROR(INDEX(tbl_Finance[Job Number],$A200),"")</f>
        <v/>
      </c>
      <c r="F200" s="49">
        <f>IFERROR(INDEX(tbl_Finance[Cost Centre],$A200),"")</f>
        <v/>
      </c>
      <c r="G200" s="50">
        <f>IFERROR(INDEX(tbl_Finance[Ex GST],$A200),"")</f>
        <v/>
      </c>
      <c r="H200" s="48">
        <f>IFERROR(INDEX(tbl_Finance[Defer Start],$A200),"")</f>
        <v/>
      </c>
      <c r="I200" s="48">
        <f>IFERROR(INDEX(tbl_Finance[Defer End],$A200),"")</f>
        <v/>
      </c>
      <c r="J200" s="47">
        <f>IF(OR($H200="",$I200="",$G200=""),"",MAX(1,(YEAR($I200)-YEAR($H200))*12+MONTH($I200)-MONTH($H200)+1))</f>
        <v/>
      </c>
      <c r="K200" s="50">
        <f>IF($J200="","",$G200/$J200)</f>
        <v/>
      </c>
      <c r="L200" s="50">
        <f>IF($J200="",0,$K200*MAX(0,MIN(YEAR($C$3)*12+MONTH($C$3),YEAR($I200)*12+MONTH($I200))-(YEAR($H200)*12+MONTH($H200))+1))</f>
        <v/>
      </c>
      <c r="M200" s="50">
        <f>IF($J200="",0,$K200*MAX(0,MIN(YEAR($C$3)*12+MONTH($C$3)-1,YEAR($I200)*12+MONTH($I200))-(YEAR($H200)*12+MONTH($H200))+1))</f>
        <v/>
      </c>
      <c r="N200" s="50">
        <f>IF(OR($J200="",$B200=""),0,IF(YEAR($B200)*12+MONTH($B200)&lt;=YEAR($C$3)*12+MONTH($C$3),$G200,0))</f>
        <v/>
      </c>
      <c r="O200" s="50">
        <f>IF(OR($J200="",$B200=""),0,IF(YEAR($B200)*12+MONTH($B200)&lt;=YEAR($C$3)*12+MONTH($C$3)-1,$G200,0))</f>
        <v/>
      </c>
      <c r="P200" s="50">
        <f>$M200-$O200</f>
        <v/>
      </c>
      <c r="Q200" s="50">
        <f>($L200-$M200)-($N200-$O200)</f>
        <v/>
      </c>
      <c r="R200" s="50">
        <f>$L200-$N200</f>
        <v/>
      </c>
    </row>
    <row r="201">
      <c r="A201" s="47">
        <f>ROW()-5</f>
        <v/>
      </c>
      <c r="B201" s="48">
        <f>IFERROR(INDEX(tbl_Finance[Date],$A201),"")</f>
        <v/>
      </c>
      <c r="C201" s="49">
        <f>IFERROR(INDEX(tbl_Finance[Xero Invoice No],$A201),"")</f>
        <v/>
      </c>
      <c r="D201" s="49">
        <f>IFERROR(INDEX(tbl_Finance[Client],$A201),"")</f>
        <v/>
      </c>
      <c r="E201" s="49">
        <f>IFERROR(INDEX(tbl_Finance[Job Number],$A201),"")</f>
        <v/>
      </c>
      <c r="F201" s="49">
        <f>IFERROR(INDEX(tbl_Finance[Cost Centre],$A201),"")</f>
        <v/>
      </c>
      <c r="G201" s="50">
        <f>IFERROR(INDEX(tbl_Finance[Ex GST],$A201),"")</f>
        <v/>
      </c>
      <c r="H201" s="48">
        <f>IFERROR(INDEX(tbl_Finance[Defer Start],$A201),"")</f>
        <v/>
      </c>
      <c r="I201" s="48">
        <f>IFERROR(INDEX(tbl_Finance[Defer End],$A201),"")</f>
        <v/>
      </c>
      <c r="J201" s="47">
        <f>IF(OR($H201="",$I201="",$G201=""),"",MAX(1,(YEAR($I201)-YEAR($H201))*12+MONTH($I201)-MONTH($H201)+1))</f>
        <v/>
      </c>
      <c r="K201" s="50">
        <f>IF($J201="","",$G201/$J201)</f>
        <v/>
      </c>
      <c r="L201" s="50">
        <f>IF($J201="",0,$K201*MAX(0,MIN(YEAR($C$3)*12+MONTH($C$3),YEAR($I201)*12+MONTH($I201))-(YEAR($H201)*12+MONTH($H201))+1))</f>
        <v/>
      </c>
      <c r="M201" s="50">
        <f>IF($J201="",0,$K201*MAX(0,MIN(YEAR($C$3)*12+MONTH($C$3)-1,YEAR($I201)*12+MONTH($I201))-(YEAR($H201)*12+MONTH($H201))+1))</f>
        <v/>
      </c>
      <c r="N201" s="50">
        <f>IF(OR($J201="",$B201=""),0,IF(YEAR($B201)*12+MONTH($B201)&lt;=YEAR($C$3)*12+MONTH($C$3),$G201,0))</f>
        <v/>
      </c>
      <c r="O201" s="50">
        <f>IF(OR($J201="",$B201=""),0,IF(YEAR($B201)*12+MONTH($B201)&lt;=YEAR($C$3)*12+MONTH($C$3)-1,$G201,0))</f>
        <v/>
      </c>
      <c r="P201" s="50">
        <f>$M201-$O201</f>
        <v/>
      </c>
      <c r="Q201" s="50">
        <f>($L201-$M201)-($N201-$O201)</f>
        <v/>
      </c>
      <c r="R201" s="50">
        <f>$L201-$N201</f>
        <v/>
      </c>
    </row>
    <row r="202">
      <c r="A202" s="47">
        <f>ROW()-5</f>
        <v/>
      </c>
      <c r="B202" s="48">
        <f>IFERROR(INDEX(tbl_Finance[Date],$A202),"")</f>
        <v/>
      </c>
      <c r="C202" s="49">
        <f>IFERROR(INDEX(tbl_Finance[Xero Invoice No],$A202),"")</f>
        <v/>
      </c>
      <c r="D202" s="49">
        <f>IFERROR(INDEX(tbl_Finance[Client],$A202),"")</f>
        <v/>
      </c>
      <c r="E202" s="49">
        <f>IFERROR(INDEX(tbl_Finance[Job Number],$A202),"")</f>
        <v/>
      </c>
      <c r="F202" s="49">
        <f>IFERROR(INDEX(tbl_Finance[Cost Centre],$A202),"")</f>
        <v/>
      </c>
      <c r="G202" s="50">
        <f>IFERROR(INDEX(tbl_Finance[Ex GST],$A202),"")</f>
        <v/>
      </c>
      <c r="H202" s="48">
        <f>IFERROR(INDEX(tbl_Finance[Defer Start],$A202),"")</f>
        <v/>
      </c>
      <c r="I202" s="48">
        <f>IFERROR(INDEX(tbl_Finance[Defer End],$A202),"")</f>
        <v/>
      </c>
      <c r="J202" s="47">
        <f>IF(OR($H202="",$I202="",$G202=""),"",MAX(1,(YEAR($I202)-YEAR($H202))*12+MONTH($I202)-MONTH($H202)+1))</f>
        <v/>
      </c>
      <c r="K202" s="50">
        <f>IF($J202="","",$G202/$J202)</f>
        <v/>
      </c>
      <c r="L202" s="50">
        <f>IF($J202="",0,$K202*MAX(0,MIN(YEAR($C$3)*12+MONTH($C$3),YEAR($I202)*12+MONTH($I202))-(YEAR($H202)*12+MONTH($H202))+1))</f>
        <v/>
      </c>
      <c r="M202" s="50">
        <f>IF($J202="",0,$K202*MAX(0,MIN(YEAR($C$3)*12+MONTH($C$3)-1,YEAR($I202)*12+MONTH($I202))-(YEAR($H202)*12+MONTH($H202))+1))</f>
        <v/>
      </c>
      <c r="N202" s="50">
        <f>IF(OR($J202="",$B202=""),0,IF(YEAR($B202)*12+MONTH($B202)&lt;=YEAR($C$3)*12+MONTH($C$3),$G202,0))</f>
        <v/>
      </c>
      <c r="O202" s="50">
        <f>IF(OR($J202="",$B202=""),0,IF(YEAR($B202)*12+MONTH($B202)&lt;=YEAR($C$3)*12+MONTH($C$3)-1,$G202,0))</f>
        <v/>
      </c>
      <c r="P202" s="50">
        <f>$M202-$O202</f>
        <v/>
      </c>
      <c r="Q202" s="50">
        <f>($L202-$M202)-($N202-$O202)</f>
        <v/>
      </c>
      <c r="R202" s="50">
        <f>$L202-$N202</f>
        <v/>
      </c>
    </row>
    <row r="203">
      <c r="A203" s="47">
        <f>ROW()-5</f>
        <v/>
      </c>
      <c r="B203" s="48">
        <f>IFERROR(INDEX(tbl_Finance[Date],$A203),"")</f>
        <v/>
      </c>
      <c r="C203" s="49">
        <f>IFERROR(INDEX(tbl_Finance[Xero Invoice No],$A203),"")</f>
        <v/>
      </c>
      <c r="D203" s="49">
        <f>IFERROR(INDEX(tbl_Finance[Client],$A203),"")</f>
        <v/>
      </c>
      <c r="E203" s="49">
        <f>IFERROR(INDEX(tbl_Finance[Job Number],$A203),"")</f>
        <v/>
      </c>
      <c r="F203" s="49">
        <f>IFERROR(INDEX(tbl_Finance[Cost Centre],$A203),"")</f>
        <v/>
      </c>
      <c r="G203" s="50">
        <f>IFERROR(INDEX(tbl_Finance[Ex GST],$A203),"")</f>
        <v/>
      </c>
      <c r="H203" s="48">
        <f>IFERROR(INDEX(tbl_Finance[Defer Start],$A203),"")</f>
        <v/>
      </c>
      <c r="I203" s="48">
        <f>IFERROR(INDEX(tbl_Finance[Defer End],$A203),"")</f>
        <v/>
      </c>
      <c r="J203" s="47">
        <f>IF(OR($H203="",$I203="",$G203=""),"",MAX(1,(YEAR($I203)-YEAR($H203))*12+MONTH($I203)-MONTH($H203)+1))</f>
        <v/>
      </c>
      <c r="K203" s="50">
        <f>IF($J203="","",$G203/$J203)</f>
        <v/>
      </c>
      <c r="L203" s="50">
        <f>IF($J203="",0,$K203*MAX(0,MIN(YEAR($C$3)*12+MONTH($C$3),YEAR($I203)*12+MONTH($I203))-(YEAR($H203)*12+MONTH($H203))+1))</f>
        <v/>
      </c>
      <c r="M203" s="50">
        <f>IF($J203="",0,$K203*MAX(0,MIN(YEAR($C$3)*12+MONTH($C$3)-1,YEAR($I203)*12+MONTH($I203))-(YEAR($H203)*12+MONTH($H203))+1))</f>
        <v/>
      </c>
      <c r="N203" s="50">
        <f>IF(OR($J203="",$B203=""),0,IF(YEAR($B203)*12+MONTH($B203)&lt;=YEAR($C$3)*12+MONTH($C$3),$G203,0))</f>
        <v/>
      </c>
      <c r="O203" s="50">
        <f>IF(OR($J203="",$B203=""),0,IF(YEAR($B203)*12+MONTH($B203)&lt;=YEAR($C$3)*12+MONTH($C$3)-1,$G203,0))</f>
        <v/>
      </c>
      <c r="P203" s="50">
        <f>$M203-$O203</f>
        <v/>
      </c>
      <c r="Q203" s="50">
        <f>($L203-$M203)-($N203-$O203)</f>
        <v/>
      </c>
      <c r="R203" s="50">
        <f>$L203-$N203</f>
        <v/>
      </c>
    </row>
    <row r="204">
      <c r="A204" s="47">
        <f>ROW()-5</f>
        <v/>
      </c>
      <c r="B204" s="48">
        <f>IFERROR(INDEX(tbl_Finance[Date],$A204),"")</f>
        <v/>
      </c>
      <c r="C204" s="49">
        <f>IFERROR(INDEX(tbl_Finance[Xero Invoice No],$A204),"")</f>
        <v/>
      </c>
      <c r="D204" s="49">
        <f>IFERROR(INDEX(tbl_Finance[Client],$A204),"")</f>
        <v/>
      </c>
      <c r="E204" s="49">
        <f>IFERROR(INDEX(tbl_Finance[Job Number],$A204),"")</f>
        <v/>
      </c>
      <c r="F204" s="49">
        <f>IFERROR(INDEX(tbl_Finance[Cost Centre],$A204),"")</f>
        <v/>
      </c>
      <c r="G204" s="50">
        <f>IFERROR(INDEX(tbl_Finance[Ex GST],$A204),"")</f>
        <v/>
      </c>
      <c r="H204" s="48">
        <f>IFERROR(INDEX(tbl_Finance[Defer Start],$A204),"")</f>
        <v/>
      </c>
      <c r="I204" s="48">
        <f>IFERROR(INDEX(tbl_Finance[Defer End],$A204),"")</f>
        <v/>
      </c>
      <c r="J204" s="47">
        <f>IF(OR($H204="",$I204="",$G204=""),"",MAX(1,(YEAR($I204)-YEAR($H204))*12+MONTH($I204)-MONTH($H204)+1))</f>
        <v/>
      </c>
      <c r="K204" s="50">
        <f>IF($J204="","",$G204/$J204)</f>
        <v/>
      </c>
      <c r="L204" s="50">
        <f>IF($J204="",0,$K204*MAX(0,MIN(YEAR($C$3)*12+MONTH($C$3),YEAR($I204)*12+MONTH($I204))-(YEAR($H204)*12+MONTH($H204))+1))</f>
        <v/>
      </c>
      <c r="M204" s="50">
        <f>IF($J204="",0,$K204*MAX(0,MIN(YEAR($C$3)*12+MONTH($C$3)-1,YEAR($I204)*12+MONTH($I204))-(YEAR($H204)*12+MONTH($H204))+1))</f>
        <v/>
      </c>
      <c r="N204" s="50">
        <f>IF(OR($J204="",$B204=""),0,IF(YEAR($B204)*12+MONTH($B204)&lt;=YEAR($C$3)*12+MONTH($C$3),$G204,0))</f>
        <v/>
      </c>
      <c r="O204" s="50">
        <f>IF(OR($J204="",$B204=""),0,IF(YEAR($B204)*12+MONTH($B204)&lt;=YEAR($C$3)*12+MONTH($C$3)-1,$G204,0))</f>
        <v/>
      </c>
      <c r="P204" s="50">
        <f>$M204-$O204</f>
        <v/>
      </c>
      <c r="Q204" s="50">
        <f>($L204-$M204)-($N204-$O204)</f>
        <v/>
      </c>
      <c r="R204" s="50">
        <f>$L204-$N204</f>
        <v/>
      </c>
    </row>
    <row r="205">
      <c r="A205" s="47">
        <f>ROW()-5</f>
        <v/>
      </c>
      <c r="B205" s="48">
        <f>IFERROR(INDEX(tbl_Finance[Date],$A205),"")</f>
        <v/>
      </c>
      <c r="C205" s="49">
        <f>IFERROR(INDEX(tbl_Finance[Xero Invoice No],$A205),"")</f>
        <v/>
      </c>
      <c r="D205" s="49">
        <f>IFERROR(INDEX(tbl_Finance[Client],$A205),"")</f>
        <v/>
      </c>
      <c r="E205" s="49">
        <f>IFERROR(INDEX(tbl_Finance[Job Number],$A205),"")</f>
        <v/>
      </c>
      <c r="F205" s="49">
        <f>IFERROR(INDEX(tbl_Finance[Cost Centre],$A205),"")</f>
        <v/>
      </c>
      <c r="G205" s="50">
        <f>IFERROR(INDEX(tbl_Finance[Ex GST],$A205),"")</f>
        <v/>
      </c>
      <c r="H205" s="48">
        <f>IFERROR(INDEX(tbl_Finance[Defer Start],$A205),"")</f>
        <v/>
      </c>
      <c r="I205" s="48">
        <f>IFERROR(INDEX(tbl_Finance[Defer End],$A205),"")</f>
        <v/>
      </c>
      <c r="J205" s="47">
        <f>IF(OR($H205="",$I205="",$G205=""),"",MAX(1,(YEAR($I205)-YEAR($H205))*12+MONTH($I205)-MONTH($H205)+1))</f>
        <v/>
      </c>
      <c r="K205" s="50">
        <f>IF($J205="","",$G205/$J205)</f>
        <v/>
      </c>
      <c r="L205" s="50">
        <f>IF($J205="",0,$K205*MAX(0,MIN(YEAR($C$3)*12+MONTH($C$3),YEAR($I205)*12+MONTH($I205))-(YEAR($H205)*12+MONTH($H205))+1))</f>
        <v/>
      </c>
      <c r="M205" s="50">
        <f>IF($J205="",0,$K205*MAX(0,MIN(YEAR($C$3)*12+MONTH($C$3)-1,YEAR($I205)*12+MONTH($I205))-(YEAR($H205)*12+MONTH($H205))+1))</f>
        <v/>
      </c>
      <c r="N205" s="50">
        <f>IF(OR($J205="",$B205=""),0,IF(YEAR($B205)*12+MONTH($B205)&lt;=YEAR($C$3)*12+MONTH($C$3),$G205,0))</f>
        <v/>
      </c>
      <c r="O205" s="50">
        <f>IF(OR($J205="",$B205=""),0,IF(YEAR($B205)*12+MONTH($B205)&lt;=YEAR($C$3)*12+MONTH($C$3)-1,$G205,0))</f>
        <v/>
      </c>
      <c r="P205" s="50">
        <f>$M205-$O205</f>
        <v/>
      </c>
      <c r="Q205" s="50">
        <f>($L205-$M205)-($N205-$O205)</f>
        <v/>
      </c>
      <c r="R205" s="50">
        <f>$L205-$N205</f>
        <v/>
      </c>
    </row>
    <row r="206">
      <c r="A206" s="47">
        <f>ROW()-5</f>
        <v/>
      </c>
      <c r="B206" s="48">
        <f>IFERROR(INDEX(tbl_Finance[Date],$A206),"")</f>
        <v/>
      </c>
      <c r="C206" s="49">
        <f>IFERROR(INDEX(tbl_Finance[Xero Invoice No],$A206),"")</f>
        <v/>
      </c>
      <c r="D206" s="49">
        <f>IFERROR(INDEX(tbl_Finance[Client],$A206),"")</f>
        <v/>
      </c>
      <c r="E206" s="49">
        <f>IFERROR(INDEX(tbl_Finance[Job Number],$A206),"")</f>
        <v/>
      </c>
      <c r="F206" s="49">
        <f>IFERROR(INDEX(tbl_Finance[Cost Centre],$A206),"")</f>
        <v/>
      </c>
      <c r="G206" s="50">
        <f>IFERROR(INDEX(tbl_Finance[Ex GST],$A206),"")</f>
        <v/>
      </c>
      <c r="H206" s="48">
        <f>IFERROR(INDEX(tbl_Finance[Defer Start],$A206),"")</f>
        <v/>
      </c>
      <c r="I206" s="48">
        <f>IFERROR(INDEX(tbl_Finance[Defer End],$A206),"")</f>
        <v/>
      </c>
      <c r="J206" s="47">
        <f>IF(OR($H206="",$I206="",$G206=""),"",MAX(1,(YEAR($I206)-YEAR($H206))*12+MONTH($I206)-MONTH($H206)+1))</f>
        <v/>
      </c>
      <c r="K206" s="50">
        <f>IF($J206="","",$G206/$J206)</f>
        <v/>
      </c>
      <c r="L206" s="50">
        <f>IF($J206="",0,$K206*MAX(0,MIN(YEAR($C$3)*12+MONTH($C$3),YEAR($I206)*12+MONTH($I206))-(YEAR($H206)*12+MONTH($H206))+1))</f>
        <v/>
      </c>
      <c r="M206" s="50">
        <f>IF($J206="",0,$K206*MAX(0,MIN(YEAR($C$3)*12+MONTH($C$3)-1,YEAR($I206)*12+MONTH($I206))-(YEAR($H206)*12+MONTH($H206))+1))</f>
        <v/>
      </c>
      <c r="N206" s="50">
        <f>IF(OR($J206="",$B206=""),0,IF(YEAR($B206)*12+MONTH($B206)&lt;=YEAR($C$3)*12+MONTH($C$3),$G206,0))</f>
        <v/>
      </c>
      <c r="O206" s="50">
        <f>IF(OR($J206="",$B206=""),0,IF(YEAR($B206)*12+MONTH($B206)&lt;=YEAR($C$3)*12+MONTH($C$3)-1,$G206,0))</f>
        <v/>
      </c>
      <c r="P206" s="50">
        <f>$M206-$O206</f>
        <v/>
      </c>
      <c r="Q206" s="50">
        <f>($L206-$M206)-($N206-$O206)</f>
        <v/>
      </c>
      <c r="R206" s="50">
        <f>$L206-$N206</f>
        <v/>
      </c>
    </row>
    <row r="207">
      <c r="A207" s="47">
        <f>ROW()-5</f>
        <v/>
      </c>
      <c r="B207" s="48">
        <f>IFERROR(INDEX(tbl_Finance[Date],$A207),"")</f>
        <v/>
      </c>
      <c r="C207" s="49">
        <f>IFERROR(INDEX(tbl_Finance[Xero Invoice No],$A207),"")</f>
        <v/>
      </c>
      <c r="D207" s="49">
        <f>IFERROR(INDEX(tbl_Finance[Client],$A207),"")</f>
        <v/>
      </c>
      <c r="E207" s="49">
        <f>IFERROR(INDEX(tbl_Finance[Job Number],$A207),"")</f>
        <v/>
      </c>
      <c r="F207" s="49">
        <f>IFERROR(INDEX(tbl_Finance[Cost Centre],$A207),"")</f>
        <v/>
      </c>
      <c r="G207" s="50">
        <f>IFERROR(INDEX(tbl_Finance[Ex GST],$A207),"")</f>
        <v/>
      </c>
      <c r="H207" s="48">
        <f>IFERROR(INDEX(tbl_Finance[Defer Start],$A207),"")</f>
        <v/>
      </c>
      <c r="I207" s="48">
        <f>IFERROR(INDEX(tbl_Finance[Defer End],$A207),"")</f>
        <v/>
      </c>
      <c r="J207" s="47">
        <f>IF(OR($H207="",$I207="",$G207=""),"",MAX(1,(YEAR($I207)-YEAR($H207))*12+MONTH($I207)-MONTH($H207)+1))</f>
        <v/>
      </c>
      <c r="K207" s="50">
        <f>IF($J207="","",$G207/$J207)</f>
        <v/>
      </c>
      <c r="L207" s="50">
        <f>IF($J207="",0,$K207*MAX(0,MIN(YEAR($C$3)*12+MONTH($C$3),YEAR($I207)*12+MONTH($I207))-(YEAR($H207)*12+MONTH($H207))+1))</f>
        <v/>
      </c>
      <c r="M207" s="50">
        <f>IF($J207="",0,$K207*MAX(0,MIN(YEAR($C$3)*12+MONTH($C$3)-1,YEAR($I207)*12+MONTH($I207))-(YEAR($H207)*12+MONTH($H207))+1))</f>
        <v/>
      </c>
      <c r="N207" s="50">
        <f>IF(OR($J207="",$B207=""),0,IF(YEAR($B207)*12+MONTH($B207)&lt;=YEAR($C$3)*12+MONTH($C$3),$G207,0))</f>
        <v/>
      </c>
      <c r="O207" s="50">
        <f>IF(OR($J207="",$B207=""),0,IF(YEAR($B207)*12+MONTH($B207)&lt;=YEAR($C$3)*12+MONTH($C$3)-1,$G207,0))</f>
        <v/>
      </c>
      <c r="P207" s="50">
        <f>$M207-$O207</f>
        <v/>
      </c>
      <c r="Q207" s="50">
        <f>($L207-$M207)-($N207-$O207)</f>
        <v/>
      </c>
      <c r="R207" s="50">
        <f>$L207-$N207</f>
        <v/>
      </c>
    </row>
    <row r="208">
      <c r="A208" s="47">
        <f>ROW()-5</f>
        <v/>
      </c>
      <c r="B208" s="48">
        <f>IFERROR(INDEX(tbl_Finance[Date],$A208),"")</f>
        <v/>
      </c>
      <c r="C208" s="49">
        <f>IFERROR(INDEX(tbl_Finance[Xero Invoice No],$A208),"")</f>
        <v/>
      </c>
      <c r="D208" s="49">
        <f>IFERROR(INDEX(tbl_Finance[Client],$A208),"")</f>
        <v/>
      </c>
      <c r="E208" s="49">
        <f>IFERROR(INDEX(tbl_Finance[Job Number],$A208),"")</f>
        <v/>
      </c>
      <c r="F208" s="49">
        <f>IFERROR(INDEX(tbl_Finance[Cost Centre],$A208),"")</f>
        <v/>
      </c>
      <c r="G208" s="50">
        <f>IFERROR(INDEX(tbl_Finance[Ex GST],$A208),"")</f>
        <v/>
      </c>
      <c r="H208" s="48">
        <f>IFERROR(INDEX(tbl_Finance[Defer Start],$A208),"")</f>
        <v/>
      </c>
      <c r="I208" s="48">
        <f>IFERROR(INDEX(tbl_Finance[Defer End],$A208),"")</f>
        <v/>
      </c>
      <c r="J208" s="47">
        <f>IF(OR($H208="",$I208="",$G208=""),"",MAX(1,(YEAR($I208)-YEAR($H208))*12+MONTH($I208)-MONTH($H208)+1))</f>
        <v/>
      </c>
      <c r="K208" s="50">
        <f>IF($J208="","",$G208/$J208)</f>
        <v/>
      </c>
      <c r="L208" s="50">
        <f>IF($J208="",0,$K208*MAX(0,MIN(YEAR($C$3)*12+MONTH($C$3),YEAR($I208)*12+MONTH($I208))-(YEAR($H208)*12+MONTH($H208))+1))</f>
        <v/>
      </c>
      <c r="M208" s="50">
        <f>IF($J208="",0,$K208*MAX(0,MIN(YEAR($C$3)*12+MONTH($C$3)-1,YEAR($I208)*12+MONTH($I208))-(YEAR($H208)*12+MONTH($H208))+1))</f>
        <v/>
      </c>
      <c r="N208" s="50">
        <f>IF(OR($J208="",$B208=""),0,IF(YEAR($B208)*12+MONTH($B208)&lt;=YEAR($C$3)*12+MONTH($C$3),$G208,0))</f>
        <v/>
      </c>
      <c r="O208" s="50">
        <f>IF(OR($J208="",$B208=""),0,IF(YEAR($B208)*12+MONTH($B208)&lt;=YEAR($C$3)*12+MONTH($C$3)-1,$G208,0))</f>
        <v/>
      </c>
      <c r="P208" s="50">
        <f>$M208-$O208</f>
        <v/>
      </c>
      <c r="Q208" s="50">
        <f>($L208-$M208)-($N208-$O208)</f>
        <v/>
      </c>
      <c r="R208" s="50">
        <f>$L208-$N208</f>
        <v/>
      </c>
    </row>
    <row r="209">
      <c r="A209" s="47">
        <f>ROW()-5</f>
        <v/>
      </c>
      <c r="B209" s="48">
        <f>IFERROR(INDEX(tbl_Finance[Date],$A209),"")</f>
        <v/>
      </c>
      <c r="C209" s="49">
        <f>IFERROR(INDEX(tbl_Finance[Xero Invoice No],$A209),"")</f>
        <v/>
      </c>
      <c r="D209" s="49">
        <f>IFERROR(INDEX(tbl_Finance[Client],$A209),"")</f>
        <v/>
      </c>
      <c r="E209" s="49">
        <f>IFERROR(INDEX(tbl_Finance[Job Number],$A209),"")</f>
        <v/>
      </c>
      <c r="F209" s="49">
        <f>IFERROR(INDEX(tbl_Finance[Cost Centre],$A209),"")</f>
        <v/>
      </c>
      <c r="G209" s="50">
        <f>IFERROR(INDEX(tbl_Finance[Ex GST],$A209),"")</f>
        <v/>
      </c>
      <c r="H209" s="48">
        <f>IFERROR(INDEX(tbl_Finance[Defer Start],$A209),"")</f>
        <v/>
      </c>
      <c r="I209" s="48">
        <f>IFERROR(INDEX(tbl_Finance[Defer End],$A209),"")</f>
        <v/>
      </c>
      <c r="J209" s="47">
        <f>IF(OR($H209="",$I209="",$G209=""),"",MAX(1,(YEAR($I209)-YEAR($H209))*12+MONTH($I209)-MONTH($H209)+1))</f>
        <v/>
      </c>
      <c r="K209" s="50">
        <f>IF($J209="","",$G209/$J209)</f>
        <v/>
      </c>
      <c r="L209" s="50">
        <f>IF($J209="",0,$K209*MAX(0,MIN(YEAR($C$3)*12+MONTH($C$3),YEAR($I209)*12+MONTH($I209))-(YEAR($H209)*12+MONTH($H209))+1))</f>
        <v/>
      </c>
      <c r="M209" s="50">
        <f>IF($J209="",0,$K209*MAX(0,MIN(YEAR($C$3)*12+MONTH($C$3)-1,YEAR($I209)*12+MONTH($I209))-(YEAR($H209)*12+MONTH($H209))+1))</f>
        <v/>
      </c>
      <c r="N209" s="50">
        <f>IF(OR($J209="",$B209=""),0,IF(YEAR($B209)*12+MONTH($B209)&lt;=YEAR($C$3)*12+MONTH($C$3),$G209,0))</f>
        <v/>
      </c>
      <c r="O209" s="50">
        <f>IF(OR($J209="",$B209=""),0,IF(YEAR($B209)*12+MONTH($B209)&lt;=YEAR($C$3)*12+MONTH($C$3)-1,$G209,0))</f>
        <v/>
      </c>
      <c r="P209" s="50">
        <f>$M209-$O209</f>
        <v/>
      </c>
      <c r="Q209" s="50">
        <f>($L209-$M209)-($N209-$O209)</f>
        <v/>
      </c>
      <c r="R209" s="50">
        <f>$L209-$N209</f>
        <v/>
      </c>
    </row>
    <row r="210">
      <c r="A210" s="47">
        <f>ROW()-5</f>
        <v/>
      </c>
      <c r="B210" s="48">
        <f>IFERROR(INDEX(tbl_Finance[Date],$A210),"")</f>
        <v/>
      </c>
      <c r="C210" s="49">
        <f>IFERROR(INDEX(tbl_Finance[Xero Invoice No],$A210),"")</f>
        <v/>
      </c>
      <c r="D210" s="49">
        <f>IFERROR(INDEX(tbl_Finance[Client],$A210),"")</f>
        <v/>
      </c>
      <c r="E210" s="49">
        <f>IFERROR(INDEX(tbl_Finance[Job Number],$A210),"")</f>
        <v/>
      </c>
      <c r="F210" s="49">
        <f>IFERROR(INDEX(tbl_Finance[Cost Centre],$A210),"")</f>
        <v/>
      </c>
      <c r="G210" s="50">
        <f>IFERROR(INDEX(tbl_Finance[Ex GST],$A210),"")</f>
        <v/>
      </c>
      <c r="H210" s="48">
        <f>IFERROR(INDEX(tbl_Finance[Defer Start],$A210),"")</f>
        <v/>
      </c>
      <c r="I210" s="48">
        <f>IFERROR(INDEX(tbl_Finance[Defer End],$A210),"")</f>
        <v/>
      </c>
      <c r="J210" s="47">
        <f>IF(OR($H210="",$I210="",$G210=""),"",MAX(1,(YEAR($I210)-YEAR($H210))*12+MONTH($I210)-MONTH($H210)+1))</f>
        <v/>
      </c>
      <c r="K210" s="50">
        <f>IF($J210="","",$G210/$J210)</f>
        <v/>
      </c>
      <c r="L210" s="50">
        <f>IF($J210="",0,$K210*MAX(0,MIN(YEAR($C$3)*12+MONTH($C$3),YEAR($I210)*12+MONTH($I210))-(YEAR($H210)*12+MONTH($H210))+1))</f>
        <v/>
      </c>
      <c r="M210" s="50">
        <f>IF($J210="",0,$K210*MAX(0,MIN(YEAR($C$3)*12+MONTH($C$3)-1,YEAR($I210)*12+MONTH($I210))-(YEAR($H210)*12+MONTH($H210))+1))</f>
        <v/>
      </c>
      <c r="N210" s="50">
        <f>IF(OR($J210="",$B210=""),0,IF(YEAR($B210)*12+MONTH($B210)&lt;=YEAR($C$3)*12+MONTH($C$3),$G210,0))</f>
        <v/>
      </c>
      <c r="O210" s="50">
        <f>IF(OR($J210="",$B210=""),0,IF(YEAR($B210)*12+MONTH($B210)&lt;=YEAR($C$3)*12+MONTH($C$3)-1,$G210,0))</f>
        <v/>
      </c>
      <c r="P210" s="50">
        <f>$M210-$O210</f>
        <v/>
      </c>
      <c r="Q210" s="50">
        <f>($L210-$M210)-($N210-$O210)</f>
        <v/>
      </c>
      <c r="R210" s="50">
        <f>$L210-$N210</f>
        <v/>
      </c>
    </row>
    <row r="211">
      <c r="A211" s="47">
        <f>ROW()-5</f>
        <v/>
      </c>
      <c r="B211" s="48">
        <f>IFERROR(INDEX(tbl_Finance[Date],$A211),"")</f>
        <v/>
      </c>
      <c r="C211" s="49">
        <f>IFERROR(INDEX(tbl_Finance[Xero Invoice No],$A211),"")</f>
        <v/>
      </c>
      <c r="D211" s="49">
        <f>IFERROR(INDEX(tbl_Finance[Client],$A211),"")</f>
        <v/>
      </c>
      <c r="E211" s="49">
        <f>IFERROR(INDEX(tbl_Finance[Job Number],$A211),"")</f>
        <v/>
      </c>
      <c r="F211" s="49">
        <f>IFERROR(INDEX(tbl_Finance[Cost Centre],$A211),"")</f>
        <v/>
      </c>
      <c r="G211" s="50">
        <f>IFERROR(INDEX(tbl_Finance[Ex GST],$A211),"")</f>
        <v/>
      </c>
      <c r="H211" s="48">
        <f>IFERROR(INDEX(tbl_Finance[Defer Start],$A211),"")</f>
        <v/>
      </c>
      <c r="I211" s="48">
        <f>IFERROR(INDEX(tbl_Finance[Defer End],$A211),"")</f>
        <v/>
      </c>
      <c r="J211" s="47">
        <f>IF(OR($H211="",$I211="",$G211=""),"",MAX(1,(YEAR($I211)-YEAR($H211))*12+MONTH($I211)-MONTH($H211)+1))</f>
        <v/>
      </c>
      <c r="K211" s="50">
        <f>IF($J211="","",$G211/$J211)</f>
        <v/>
      </c>
      <c r="L211" s="50">
        <f>IF($J211="",0,$K211*MAX(0,MIN(YEAR($C$3)*12+MONTH($C$3),YEAR($I211)*12+MONTH($I211))-(YEAR($H211)*12+MONTH($H211))+1))</f>
        <v/>
      </c>
      <c r="M211" s="50">
        <f>IF($J211="",0,$K211*MAX(0,MIN(YEAR($C$3)*12+MONTH($C$3)-1,YEAR($I211)*12+MONTH($I211))-(YEAR($H211)*12+MONTH($H211))+1))</f>
        <v/>
      </c>
      <c r="N211" s="50">
        <f>IF(OR($J211="",$B211=""),0,IF(YEAR($B211)*12+MONTH($B211)&lt;=YEAR($C$3)*12+MONTH($C$3),$G211,0))</f>
        <v/>
      </c>
      <c r="O211" s="50">
        <f>IF(OR($J211="",$B211=""),0,IF(YEAR($B211)*12+MONTH($B211)&lt;=YEAR($C$3)*12+MONTH($C$3)-1,$G211,0))</f>
        <v/>
      </c>
      <c r="P211" s="50">
        <f>$M211-$O211</f>
        <v/>
      </c>
      <c r="Q211" s="50">
        <f>($L211-$M211)-($N211-$O211)</f>
        <v/>
      </c>
      <c r="R211" s="50">
        <f>$L211-$N211</f>
        <v/>
      </c>
    </row>
    <row r="212">
      <c r="A212" s="47">
        <f>ROW()-5</f>
        <v/>
      </c>
      <c r="B212" s="48">
        <f>IFERROR(INDEX(tbl_Finance[Date],$A212),"")</f>
        <v/>
      </c>
      <c r="C212" s="49">
        <f>IFERROR(INDEX(tbl_Finance[Xero Invoice No],$A212),"")</f>
        <v/>
      </c>
      <c r="D212" s="49">
        <f>IFERROR(INDEX(tbl_Finance[Client],$A212),"")</f>
        <v/>
      </c>
      <c r="E212" s="49">
        <f>IFERROR(INDEX(tbl_Finance[Job Number],$A212),"")</f>
        <v/>
      </c>
      <c r="F212" s="49">
        <f>IFERROR(INDEX(tbl_Finance[Cost Centre],$A212),"")</f>
        <v/>
      </c>
      <c r="G212" s="50">
        <f>IFERROR(INDEX(tbl_Finance[Ex GST],$A212),"")</f>
        <v/>
      </c>
      <c r="H212" s="48">
        <f>IFERROR(INDEX(tbl_Finance[Defer Start],$A212),"")</f>
        <v/>
      </c>
      <c r="I212" s="48">
        <f>IFERROR(INDEX(tbl_Finance[Defer End],$A212),"")</f>
        <v/>
      </c>
      <c r="J212" s="47">
        <f>IF(OR($H212="",$I212="",$G212=""),"",MAX(1,(YEAR($I212)-YEAR($H212))*12+MONTH($I212)-MONTH($H212)+1))</f>
        <v/>
      </c>
      <c r="K212" s="50">
        <f>IF($J212="","",$G212/$J212)</f>
        <v/>
      </c>
      <c r="L212" s="50">
        <f>IF($J212="",0,$K212*MAX(0,MIN(YEAR($C$3)*12+MONTH($C$3),YEAR($I212)*12+MONTH($I212))-(YEAR($H212)*12+MONTH($H212))+1))</f>
        <v/>
      </c>
      <c r="M212" s="50">
        <f>IF($J212="",0,$K212*MAX(0,MIN(YEAR($C$3)*12+MONTH($C$3)-1,YEAR($I212)*12+MONTH($I212))-(YEAR($H212)*12+MONTH($H212))+1))</f>
        <v/>
      </c>
      <c r="N212" s="50">
        <f>IF(OR($J212="",$B212=""),0,IF(YEAR($B212)*12+MONTH($B212)&lt;=YEAR($C$3)*12+MONTH($C$3),$G212,0))</f>
        <v/>
      </c>
      <c r="O212" s="50">
        <f>IF(OR($J212="",$B212=""),0,IF(YEAR($B212)*12+MONTH($B212)&lt;=YEAR($C$3)*12+MONTH($C$3)-1,$G212,0))</f>
        <v/>
      </c>
      <c r="P212" s="50">
        <f>$M212-$O212</f>
        <v/>
      </c>
      <c r="Q212" s="50">
        <f>($L212-$M212)-($N212-$O212)</f>
        <v/>
      </c>
      <c r="R212" s="50">
        <f>$L212-$N212</f>
        <v/>
      </c>
    </row>
    <row r="213">
      <c r="A213" s="47">
        <f>ROW()-5</f>
        <v/>
      </c>
      <c r="B213" s="48">
        <f>IFERROR(INDEX(tbl_Finance[Date],$A213),"")</f>
        <v/>
      </c>
      <c r="C213" s="49">
        <f>IFERROR(INDEX(tbl_Finance[Xero Invoice No],$A213),"")</f>
        <v/>
      </c>
      <c r="D213" s="49">
        <f>IFERROR(INDEX(tbl_Finance[Client],$A213),"")</f>
        <v/>
      </c>
      <c r="E213" s="49">
        <f>IFERROR(INDEX(tbl_Finance[Job Number],$A213),"")</f>
        <v/>
      </c>
      <c r="F213" s="49">
        <f>IFERROR(INDEX(tbl_Finance[Cost Centre],$A213),"")</f>
        <v/>
      </c>
      <c r="G213" s="50">
        <f>IFERROR(INDEX(tbl_Finance[Ex GST],$A213),"")</f>
        <v/>
      </c>
      <c r="H213" s="48">
        <f>IFERROR(INDEX(tbl_Finance[Defer Start],$A213),"")</f>
        <v/>
      </c>
      <c r="I213" s="48">
        <f>IFERROR(INDEX(tbl_Finance[Defer End],$A213),"")</f>
        <v/>
      </c>
      <c r="J213" s="47">
        <f>IF(OR($H213="",$I213="",$G213=""),"",MAX(1,(YEAR($I213)-YEAR($H213))*12+MONTH($I213)-MONTH($H213)+1))</f>
        <v/>
      </c>
      <c r="K213" s="50">
        <f>IF($J213="","",$G213/$J213)</f>
        <v/>
      </c>
      <c r="L213" s="50">
        <f>IF($J213="",0,$K213*MAX(0,MIN(YEAR($C$3)*12+MONTH($C$3),YEAR($I213)*12+MONTH($I213))-(YEAR($H213)*12+MONTH($H213))+1))</f>
        <v/>
      </c>
      <c r="M213" s="50">
        <f>IF($J213="",0,$K213*MAX(0,MIN(YEAR($C$3)*12+MONTH($C$3)-1,YEAR($I213)*12+MONTH($I213))-(YEAR($H213)*12+MONTH($H213))+1))</f>
        <v/>
      </c>
      <c r="N213" s="50">
        <f>IF(OR($J213="",$B213=""),0,IF(YEAR($B213)*12+MONTH($B213)&lt;=YEAR($C$3)*12+MONTH($C$3),$G213,0))</f>
        <v/>
      </c>
      <c r="O213" s="50">
        <f>IF(OR($J213="",$B213=""),0,IF(YEAR($B213)*12+MONTH($B213)&lt;=YEAR($C$3)*12+MONTH($C$3)-1,$G213,0))</f>
        <v/>
      </c>
      <c r="P213" s="50">
        <f>$M213-$O213</f>
        <v/>
      </c>
      <c r="Q213" s="50">
        <f>($L213-$M213)-($N213-$O213)</f>
        <v/>
      </c>
      <c r="R213" s="50">
        <f>$L213-$N213</f>
        <v/>
      </c>
    </row>
    <row r="214">
      <c r="A214" s="47">
        <f>ROW()-5</f>
        <v/>
      </c>
      <c r="B214" s="48">
        <f>IFERROR(INDEX(tbl_Finance[Date],$A214),"")</f>
        <v/>
      </c>
      <c r="C214" s="49">
        <f>IFERROR(INDEX(tbl_Finance[Xero Invoice No],$A214),"")</f>
        <v/>
      </c>
      <c r="D214" s="49">
        <f>IFERROR(INDEX(tbl_Finance[Client],$A214),"")</f>
        <v/>
      </c>
      <c r="E214" s="49">
        <f>IFERROR(INDEX(tbl_Finance[Job Number],$A214),"")</f>
        <v/>
      </c>
      <c r="F214" s="49">
        <f>IFERROR(INDEX(tbl_Finance[Cost Centre],$A214),"")</f>
        <v/>
      </c>
      <c r="G214" s="50">
        <f>IFERROR(INDEX(tbl_Finance[Ex GST],$A214),"")</f>
        <v/>
      </c>
      <c r="H214" s="48">
        <f>IFERROR(INDEX(tbl_Finance[Defer Start],$A214),"")</f>
        <v/>
      </c>
      <c r="I214" s="48">
        <f>IFERROR(INDEX(tbl_Finance[Defer End],$A214),"")</f>
        <v/>
      </c>
      <c r="J214" s="47">
        <f>IF(OR($H214="",$I214="",$G214=""),"",MAX(1,(YEAR($I214)-YEAR($H214))*12+MONTH($I214)-MONTH($H214)+1))</f>
        <v/>
      </c>
      <c r="K214" s="50">
        <f>IF($J214="","",$G214/$J214)</f>
        <v/>
      </c>
      <c r="L214" s="50">
        <f>IF($J214="",0,$K214*MAX(0,MIN(YEAR($C$3)*12+MONTH($C$3),YEAR($I214)*12+MONTH($I214))-(YEAR($H214)*12+MONTH($H214))+1))</f>
        <v/>
      </c>
      <c r="M214" s="50">
        <f>IF($J214="",0,$K214*MAX(0,MIN(YEAR($C$3)*12+MONTH($C$3)-1,YEAR($I214)*12+MONTH($I214))-(YEAR($H214)*12+MONTH($H214))+1))</f>
        <v/>
      </c>
      <c r="N214" s="50">
        <f>IF(OR($J214="",$B214=""),0,IF(YEAR($B214)*12+MONTH($B214)&lt;=YEAR($C$3)*12+MONTH($C$3),$G214,0))</f>
        <v/>
      </c>
      <c r="O214" s="50">
        <f>IF(OR($J214="",$B214=""),0,IF(YEAR($B214)*12+MONTH($B214)&lt;=YEAR($C$3)*12+MONTH($C$3)-1,$G214,0))</f>
        <v/>
      </c>
      <c r="P214" s="50">
        <f>$M214-$O214</f>
        <v/>
      </c>
      <c r="Q214" s="50">
        <f>($L214-$M214)-($N214-$O214)</f>
        <v/>
      </c>
      <c r="R214" s="50">
        <f>$L214-$N214</f>
        <v/>
      </c>
    </row>
    <row r="215">
      <c r="A215" s="47">
        <f>ROW()-5</f>
        <v/>
      </c>
      <c r="B215" s="48">
        <f>IFERROR(INDEX(tbl_Finance[Date],$A215),"")</f>
        <v/>
      </c>
      <c r="C215" s="49">
        <f>IFERROR(INDEX(tbl_Finance[Xero Invoice No],$A215),"")</f>
        <v/>
      </c>
      <c r="D215" s="49">
        <f>IFERROR(INDEX(tbl_Finance[Client],$A215),"")</f>
        <v/>
      </c>
      <c r="E215" s="49">
        <f>IFERROR(INDEX(tbl_Finance[Job Number],$A215),"")</f>
        <v/>
      </c>
      <c r="F215" s="49">
        <f>IFERROR(INDEX(tbl_Finance[Cost Centre],$A215),"")</f>
        <v/>
      </c>
      <c r="G215" s="50">
        <f>IFERROR(INDEX(tbl_Finance[Ex GST],$A215),"")</f>
        <v/>
      </c>
      <c r="H215" s="48">
        <f>IFERROR(INDEX(tbl_Finance[Defer Start],$A215),"")</f>
        <v/>
      </c>
      <c r="I215" s="48">
        <f>IFERROR(INDEX(tbl_Finance[Defer End],$A215),"")</f>
        <v/>
      </c>
      <c r="J215" s="47">
        <f>IF(OR($H215="",$I215="",$G215=""),"",MAX(1,(YEAR($I215)-YEAR($H215))*12+MONTH($I215)-MONTH($H215)+1))</f>
        <v/>
      </c>
      <c r="K215" s="50">
        <f>IF($J215="","",$G215/$J215)</f>
        <v/>
      </c>
      <c r="L215" s="50">
        <f>IF($J215="",0,$K215*MAX(0,MIN(YEAR($C$3)*12+MONTH($C$3),YEAR($I215)*12+MONTH($I215))-(YEAR($H215)*12+MONTH($H215))+1))</f>
        <v/>
      </c>
      <c r="M215" s="50">
        <f>IF($J215="",0,$K215*MAX(0,MIN(YEAR($C$3)*12+MONTH($C$3)-1,YEAR($I215)*12+MONTH($I215))-(YEAR($H215)*12+MONTH($H215))+1))</f>
        <v/>
      </c>
      <c r="N215" s="50">
        <f>IF(OR($J215="",$B215=""),0,IF(YEAR($B215)*12+MONTH($B215)&lt;=YEAR($C$3)*12+MONTH($C$3),$G215,0))</f>
        <v/>
      </c>
      <c r="O215" s="50">
        <f>IF(OR($J215="",$B215=""),0,IF(YEAR($B215)*12+MONTH($B215)&lt;=YEAR($C$3)*12+MONTH($C$3)-1,$G215,0))</f>
        <v/>
      </c>
      <c r="P215" s="50">
        <f>$M215-$O215</f>
        <v/>
      </c>
      <c r="Q215" s="50">
        <f>($L215-$M215)-($N215-$O215)</f>
        <v/>
      </c>
      <c r="R215" s="50">
        <f>$L215-$N215</f>
        <v/>
      </c>
    </row>
    <row r="216">
      <c r="A216" s="47">
        <f>ROW()-5</f>
        <v/>
      </c>
      <c r="B216" s="48">
        <f>IFERROR(INDEX(tbl_Finance[Date],$A216),"")</f>
        <v/>
      </c>
      <c r="C216" s="49">
        <f>IFERROR(INDEX(tbl_Finance[Xero Invoice No],$A216),"")</f>
        <v/>
      </c>
      <c r="D216" s="49">
        <f>IFERROR(INDEX(tbl_Finance[Client],$A216),"")</f>
        <v/>
      </c>
      <c r="E216" s="49">
        <f>IFERROR(INDEX(tbl_Finance[Job Number],$A216),"")</f>
        <v/>
      </c>
      <c r="F216" s="49">
        <f>IFERROR(INDEX(tbl_Finance[Cost Centre],$A216),"")</f>
        <v/>
      </c>
      <c r="G216" s="50">
        <f>IFERROR(INDEX(tbl_Finance[Ex GST],$A216),"")</f>
        <v/>
      </c>
      <c r="H216" s="48">
        <f>IFERROR(INDEX(tbl_Finance[Defer Start],$A216),"")</f>
        <v/>
      </c>
      <c r="I216" s="48">
        <f>IFERROR(INDEX(tbl_Finance[Defer End],$A216),"")</f>
        <v/>
      </c>
      <c r="J216" s="47">
        <f>IF(OR($H216="",$I216="",$G216=""),"",MAX(1,(YEAR($I216)-YEAR($H216))*12+MONTH($I216)-MONTH($H216)+1))</f>
        <v/>
      </c>
      <c r="K216" s="50">
        <f>IF($J216="","",$G216/$J216)</f>
        <v/>
      </c>
      <c r="L216" s="50">
        <f>IF($J216="",0,$K216*MAX(0,MIN(YEAR($C$3)*12+MONTH($C$3),YEAR($I216)*12+MONTH($I216))-(YEAR($H216)*12+MONTH($H216))+1))</f>
        <v/>
      </c>
      <c r="M216" s="50">
        <f>IF($J216="",0,$K216*MAX(0,MIN(YEAR($C$3)*12+MONTH($C$3)-1,YEAR($I216)*12+MONTH($I216))-(YEAR($H216)*12+MONTH($H216))+1))</f>
        <v/>
      </c>
      <c r="N216" s="50">
        <f>IF(OR($J216="",$B216=""),0,IF(YEAR($B216)*12+MONTH($B216)&lt;=YEAR($C$3)*12+MONTH($C$3),$G216,0))</f>
        <v/>
      </c>
      <c r="O216" s="50">
        <f>IF(OR($J216="",$B216=""),0,IF(YEAR($B216)*12+MONTH($B216)&lt;=YEAR($C$3)*12+MONTH($C$3)-1,$G216,0))</f>
        <v/>
      </c>
      <c r="P216" s="50">
        <f>$M216-$O216</f>
        <v/>
      </c>
      <c r="Q216" s="50">
        <f>($L216-$M216)-($N216-$O216)</f>
        <v/>
      </c>
      <c r="R216" s="50">
        <f>$L216-$N216</f>
        <v/>
      </c>
    </row>
    <row r="217">
      <c r="A217" s="47">
        <f>ROW()-5</f>
        <v/>
      </c>
      <c r="B217" s="48">
        <f>IFERROR(INDEX(tbl_Finance[Date],$A217),"")</f>
        <v/>
      </c>
      <c r="C217" s="49">
        <f>IFERROR(INDEX(tbl_Finance[Xero Invoice No],$A217),"")</f>
        <v/>
      </c>
      <c r="D217" s="49">
        <f>IFERROR(INDEX(tbl_Finance[Client],$A217),"")</f>
        <v/>
      </c>
      <c r="E217" s="49">
        <f>IFERROR(INDEX(tbl_Finance[Job Number],$A217),"")</f>
        <v/>
      </c>
      <c r="F217" s="49">
        <f>IFERROR(INDEX(tbl_Finance[Cost Centre],$A217),"")</f>
        <v/>
      </c>
      <c r="G217" s="50">
        <f>IFERROR(INDEX(tbl_Finance[Ex GST],$A217),"")</f>
        <v/>
      </c>
      <c r="H217" s="48">
        <f>IFERROR(INDEX(tbl_Finance[Defer Start],$A217),"")</f>
        <v/>
      </c>
      <c r="I217" s="48">
        <f>IFERROR(INDEX(tbl_Finance[Defer End],$A217),"")</f>
        <v/>
      </c>
      <c r="J217" s="47">
        <f>IF(OR($H217="",$I217="",$G217=""),"",MAX(1,(YEAR($I217)-YEAR($H217))*12+MONTH($I217)-MONTH($H217)+1))</f>
        <v/>
      </c>
      <c r="K217" s="50">
        <f>IF($J217="","",$G217/$J217)</f>
        <v/>
      </c>
      <c r="L217" s="50">
        <f>IF($J217="",0,$K217*MAX(0,MIN(YEAR($C$3)*12+MONTH($C$3),YEAR($I217)*12+MONTH($I217))-(YEAR($H217)*12+MONTH($H217))+1))</f>
        <v/>
      </c>
      <c r="M217" s="50">
        <f>IF($J217="",0,$K217*MAX(0,MIN(YEAR($C$3)*12+MONTH($C$3)-1,YEAR($I217)*12+MONTH($I217))-(YEAR($H217)*12+MONTH($H217))+1))</f>
        <v/>
      </c>
      <c r="N217" s="50">
        <f>IF(OR($J217="",$B217=""),0,IF(YEAR($B217)*12+MONTH($B217)&lt;=YEAR($C$3)*12+MONTH($C$3),$G217,0))</f>
        <v/>
      </c>
      <c r="O217" s="50">
        <f>IF(OR($J217="",$B217=""),0,IF(YEAR($B217)*12+MONTH($B217)&lt;=YEAR($C$3)*12+MONTH($C$3)-1,$G217,0))</f>
        <v/>
      </c>
      <c r="P217" s="50">
        <f>$M217-$O217</f>
        <v/>
      </c>
      <c r="Q217" s="50">
        <f>($L217-$M217)-($N217-$O217)</f>
        <v/>
      </c>
      <c r="R217" s="50">
        <f>$L217-$N217</f>
        <v/>
      </c>
    </row>
    <row r="218">
      <c r="A218" s="47">
        <f>ROW()-5</f>
        <v/>
      </c>
      <c r="B218" s="48">
        <f>IFERROR(INDEX(tbl_Finance[Date],$A218),"")</f>
        <v/>
      </c>
      <c r="C218" s="49">
        <f>IFERROR(INDEX(tbl_Finance[Xero Invoice No],$A218),"")</f>
        <v/>
      </c>
      <c r="D218" s="49">
        <f>IFERROR(INDEX(tbl_Finance[Client],$A218),"")</f>
        <v/>
      </c>
      <c r="E218" s="49">
        <f>IFERROR(INDEX(tbl_Finance[Job Number],$A218),"")</f>
        <v/>
      </c>
      <c r="F218" s="49">
        <f>IFERROR(INDEX(tbl_Finance[Cost Centre],$A218),"")</f>
        <v/>
      </c>
      <c r="G218" s="50">
        <f>IFERROR(INDEX(tbl_Finance[Ex GST],$A218),"")</f>
        <v/>
      </c>
      <c r="H218" s="48">
        <f>IFERROR(INDEX(tbl_Finance[Defer Start],$A218),"")</f>
        <v/>
      </c>
      <c r="I218" s="48">
        <f>IFERROR(INDEX(tbl_Finance[Defer End],$A218),"")</f>
        <v/>
      </c>
      <c r="J218" s="47">
        <f>IF(OR($H218="",$I218="",$G218=""),"",MAX(1,(YEAR($I218)-YEAR($H218))*12+MONTH($I218)-MONTH($H218)+1))</f>
        <v/>
      </c>
      <c r="K218" s="50">
        <f>IF($J218="","",$G218/$J218)</f>
        <v/>
      </c>
      <c r="L218" s="50">
        <f>IF($J218="",0,$K218*MAX(0,MIN(YEAR($C$3)*12+MONTH($C$3),YEAR($I218)*12+MONTH($I218))-(YEAR($H218)*12+MONTH($H218))+1))</f>
        <v/>
      </c>
      <c r="M218" s="50">
        <f>IF($J218="",0,$K218*MAX(0,MIN(YEAR($C$3)*12+MONTH($C$3)-1,YEAR($I218)*12+MONTH($I218))-(YEAR($H218)*12+MONTH($H218))+1))</f>
        <v/>
      </c>
      <c r="N218" s="50">
        <f>IF(OR($J218="",$B218=""),0,IF(YEAR($B218)*12+MONTH($B218)&lt;=YEAR($C$3)*12+MONTH($C$3),$G218,0))</f>
        <v/>
      </c>
      <c r="O218" s="50">
        <f>IF(OR($J218="",$B218=""),0,IF(YEAR($B218)*12+MONTH($B218)&lt;=YEAR($C$3)*12+MONTH($C$3)-1,$G218,0))</f>
        <v/>
      </c>
      <c r="P218" s="50">
        <f>$M218-$O218</f>
        <v/>
      </c>
      <c r="Q218" s="50">
        <f>($L218-$M218)-($N218-$O218)</f>
        <v/>
      </c>
      <c r="R218" s="50">
        <f>$L218-$N218</f>
        <v/>
      </c>
    </row>
    <row r="219">
      <c r="A219" s="47">
        <f>ROW()-5</f>
        <v/>
      </c>
      <c r="B219" s="48">
        <f>IFERROR(INDEX(tbl_Finance[Date],$A219),"")</f>
        <v/>
      </c>
      <c r="C219" s="49">
        <f>IFERROR(INDEX(tbl_Finance[Xero Invoice No],$A219),"")</f>
        <v/>
      </c>
      <c r="D219" s="49">
        <f>IFERROR(INDEX(tbl_Finance[Client],$A219),"")</f>
        <v/>
      </c>
      <c r="E219" s="49">
        <f>IFERROR(INDEX(tbl_Finance[Job Number],$A219),"")</f>
        <v/>
      </c>
      <c r="F219" s="49">
        <f>IFERROR(INDEX(tbl_Finance[Cost Centre],$A219),"")</f>
        <v/>
      </c>
      <c r="G219" s="50">
        <f>IFERROR(INDEX(tbl_Finance[Ex GST],$A219),"")</f>
        <v/>
      </c>
      <c r="H219" s="48">
        <f>IFERROR(INDEX(tbl_Finance[Defer Start],$A219),"")</f>
        <v/>
      </c>
      <c r="I219" s="48">
        <f>IFERROR(INDEX(tbl_Finance[Defer End],$A219),"")</f>
        <v/>
      </c>
      <c r="J219" s="47">
        <f>IF(OR($H219="",$I219="",$G219=""),"",MAX(1,(YEAR($I219)-YEAR($H219))*12+MONTH($I219)-MONTH($H219)+1))</f>
        <v/>
      </c>
      <c r="K219" s="50">
        <f>IF($J219="","",$G219/$J219)</f>
        <v/>
      </c>
      <c r="L219" s="50">
        <f>IF($J219="",0,$K219*MAX(0,MIN(YEAR($C$3)*12+MONTH($C$3),YEAR($I219)*12+MONTH($I219))-(YEAR($H219)*12+MONTH($H219))+1))</f>
        <v/>
      </c>
      <c r="M219" s="50">
        <f>IF($J219="",0,$K219*MAX(0,MIN(YEAR($C$3)*12+MONTH($C$3)-1,YEAR($I219)*12+MONTH($I219))-(YEAR($H219)*12+MONTH($H219))+1))</f>
        <v/>
      </c>
      <c r="N219" s="50">
        <f>IF(OR($J219="",$B219=""),0,IF(YEAR($B219)*12+MONTH($B219)&lt;=YEAR($C$3)*12+MONTH($C$3),$G219,0))</f>
        <v/>
      </c>
      <c r="O219" s="50">
        <f>IF(OR($J219="",$B219=""),0,IF(YEAR($B219)*12+MONTH($B219)&lt;=YEAR($C$3)*12+MONTH($C$3)-1,$G219,0))</f>
        <v/>
      </c>
      <c r="P219" s="50">
        <f>$M219-$O219</f>
        <v/>
      </c>
      <c r="Q219" s="50">
        <f>($L219-$M219)-($N219-$O219)</f>
        <v/>
      </c>
      <c r="R219" s="50">
        <f>$L219-$N219</f>
        <v/>
      </c>
    </row>
    <row r="220">
      <c r="A220" s="47">
        <f>ROW()-5</f>
        <v/>
      </c>
      <c r="B220" s="48">
        <f>IFERROR(INDEX(tbl_Finance[Date],$A220),"")</f>
        <v/>
      </c>
      <c r="C220" s="49">
        <f>IFERROR(INDEX(tbl_Finance[Xero Invoice No],$A220),"")</f>
        <v/>
      </c>
      <c r="D220" s="49">
        <f>IFERROR(INDEX(tbl_Finance[Client],$A220),"")</f>
        <v/>
      </c>
      <c r="E220" s="49">
        <f>IFERROR(INDEX(tbl_Finance[Job Number],$A220),"")</f>
        <v/>
      </c>
      <c r="F220" s="49">
        <f>IFERROR(INDEX(tbl_Finance[Cost Centre],$A220),"")</f>
        <v/>
      </c>
      <c r="G220" s="50">
        <f>IFERROR(INDEX(tbl_Finance[Ex GST],$A220),"")</f>
        <v/>
      </c>
      <c r="H220" s="48">
        <f>IFERROR(INDEX(tbl_Finance[Defer Start],$A220),"")</f>
        <v/>
      </c>
      <c r="I220" s="48">
        <f>IFERROR(INDEX(tbl_Finance[Defer End],$A220),"")</f>
        <v/>
      </c>
      <c r="J220" s="47">
        <f>IF(OR($H220="",$I220="",$G220=""),"",MAX(1,(YEAR($I220)-YEAR($H220))*12+MONTH($I220)-MONTH($H220)+1))</f>
        <v/>
      </c>
      <c r="K220" s="50">
        <f>IF($J220="","",$G220/$J220)</f>
        <v/>
      </c>
      <c r="L220" s="50">
        <f>IF($J220="",0,$K220*MAX(0,MIN(YEAR($C$3)*12+MONTH($C$3),YEAR($I220)*12+MONTH($I220))-(YEAR($H220)*12+MONTH($H220))+1))</f>
        <v/>
      </c>
      <c r="M220" s="50">
        <f>IF($J220="",0,$K220*MAX(0,MIN(YEAR($C$3)*12+MONTH($C$3)-1,YEAR($I220)*12+MONTH($I220))-(YEAR($H220)*12+MONTH($H220))+1))</f>
        <v/>
      </c>
      <c r="N220" s="50">
        <f>IF(OR($J220="",$B220=""),0,IF(YEAR($B220)*12+MONTH($B220)&lt;=YEAR($C$3)*12+MONTH($C$3),$G220,0))</f>
        <v/>
      </c>
      <c r="O220" s="50">
        <f>IF(OR($J220="",$B220=""),0,IF(YEAR($B220)*12+MONTH($B220)&lt;=YEAR($C$3)*12+MONTH($C$3)-1,$G220,0))</f>
        <v/>
      </c>
      <c r="P220" s="50">
        <f>$M220-$O220</f>
        <v/>
      </c>
      <c r="Q220" s="50">
        <f>($L220-$M220)-($N220-$O220)</f>
        <v/>
      </c>
      <c r="R220" s="50">
        <f>$L220-$N220</f>
        <v/>
      </c>
    </row>
    <row r="221">
      <c r="A221" s="47">
        <f>ROW()-5</f>
        <v/>
      </c>
      <c r="B221" s="48">
        <f>IFERROR(INDEX(tbl_Finance[Date],$A221),"")</f>
        <v/>
      </c>
      <c r="C221" s="49">
        <f>IFERROR(INDEX(tbl_Finance[Xero Invoice No],$A221),"")</f>
        <v/>
      </c>
      <c r="D221" s="49">
        <f>IFERROR(INDEX(tbl_Finance[Client],$A221),"")</f>
        <v/>
      </c>
      <c r="E221" s="49">
        <f>IFERROR(INDEX(tbl_Finance[Job Number],$A221),"")</f>
        <v/>
      </c>
      <c r="F221" s="49">
        <f>IFERROR(INDEX(tbl_Finance[Cost Centre],$A221),"")</f>
        <v/>
      </c>
      <c r="G221" s="50">
        <f>IFERROR(INDEX(tbl_Finance[Ex GST],$A221),"")</f>
        <v/>
      </c>
      <c r="H221" s="48">
        <f>IFERROR(INDEX(tbl_Finance[Defer Start],$A221),"")</f>
        <v/>
      </c>
      <c r="I221" s="48">
        <f>IFERROR(INDEX(tbl_Finance[Defer End],$A221),"")</f>
        <v/>
      </c>
      <c r="J221" s="47">
        <f>IF(OR($H221="",$I221="",$G221=""),"",MAX(1,(YEAR($I221)-YEAR($H221))*12+MONTH($I221)-MONTH($H221)+1))</f>
        <v/>
      </c>
      <c r="K221" s="50">
        <f>IF($J221="","",$G221/$J221)</f>
        <v/>
      </c>
      <c r="L221" s="50">
        <f>IF($J221="",0,$K221*MAX(0,MIN(YEAR($C$3)*12+MONTH($C$3),YEAR($I221)*12+MONTH($I221))-(YEAR($H221)*12+MONTH($H221))+1))</f>
        <v/>
      </c>
      <c r="M221" s="50">
        <f>IF($J221="",0,$K221*MAX(0,MIN(YEAR($C$3)*12+MONTH($C$3)-1,YEAR($I221)*12+MONTH($I221))-(YEAR($H221)*12+MONTH($H221))+1))</f>
        <v/>
      </c>
      <c r="N221" s="50">
        <f>IF(OR($J221="",$B221=""),0,IF(YEAR($B221)*12+MONTH($B221)&lt;=YEAR($C$3)*12+MONTH($C$3),$G221,0))</f>
        <v/>
      </c>
      <c r="O221" s="50">
        <f>IF(OR($J221="",$B221=""),0,IF(YEAR($B221)*12+MONTH($B221)&lt;=YEAR($C$3)*12+MONTH($C$3)-1,$G221,0))</f>
        <v/>
      </c>
      <c r="P221" s="50">
        <f>$M221-$O221</f>
        <v/>
      </c>
      <c r="Q221" s="50">
        <f>($L221-$M221)-($N221-$O221)</f>
        <v/>
      </c>
      <c r="R221" s="50">
        <f>$L221-$N221</f>
        <v/>
      </c>
    </row>
    <row r="222">
      <c r="A222" s="47">
        <f>ROW()-5</f>
        <v/>
      </c>
      <c r="B222" s="48">
        <f>IFERROR(INDEX(tbl_Finance[Date],$A222),"")</f>
        <v/>
      </c>
      <c r="C222" s="49">
        <f>IFERROR(INDEX(tbl_Finance[Xero Invoice No],$A222),"")</f>
        <v/>
      </c>
      <c r="D222" s="49">
        <f>IFERROR(INDEX(tbl_Finance[Client],$A222),"")</f>
        <v/>
      </c>
      <c r="E222" s="49">
        <f>IFERROR(INDEX(tbl_Finance[Job Number],$A222),"")</f>
        <v/>
      </c>
      <c r="F222" s="49">
        <f>IFERROR(INDEX(tbl_Finance[Cost Centre],$A222),"")</f>
        <v/>
      </c>
      <c r="G222" s="50">
        <f>IFERROR(INDEX(tbl_Finance[Ex GST],$A222),"")</f>
        <v/>
      </c>
      <c r="H222" s="48">
        <f>IFERROR(INDEX(tbl_Finance[Defer Start],$A222),"")</f>
        <v/>
      </c>
      <c r="I222" s="48">
        <f>IFERROR(INDEX(tbl_Finance[Defer End],$A222),"")</f>
        <v/>
      </c>
      <c r="J222" s="47">
        <f>IF(OR($H222="",$I222="",$G222=""),"",MAX(1,(YEAR($I222)-YEAR($H222))*12+MONTH($I222)-MONTH($H222)+1))</f>
        <v/>
      </c>
      <c r="K222" s="50">
        <f>IF($J222="","",$G222/$J222)</f>
        <v/>
      </c>
      <c r="L222" s="50">
        <f>IF($J222="",0,$K222*MAX(0,MIN(YEAR($C$3)*12+MONTH($C$3),YEAR($I222)*12+MONTH($I222))-(YEAR($H222)*12+MONTH($H222))+1))</f>
        <v/>
      </c>
      <c r="M222" s="50">
        <f>IF($J222="",0,$K222*MAX(0,MIN(YEAR($C$3)*12+MONTH($C$3)-1,YEAR($I222)*12+MONTH($I222))-(YEAR($H222)*12+MONTH($H222))+1))</f>
        <v/>
      </c>
      <c r="N222" s="50">
        <f>IF(OR($J222="",$B222=""),0,IF(YEAR($B222)*12+MONTH($B222)&lt;=YEAR($C$3)*12+MONTH($C$3),$G222,0))</f>
        <v/>
      </c>
      <c r="O222" s="50">
        <f>IF(OR($J222="",$B222=""),0,IF(YEAR($B222)*12+MONTH($B222)&lt;=YEAR($C$3)*12+MONTH($C$3)-1,$G222,0))</f>
        <v/>
      </c>
      <c r="P222" s="50">
        <f>$M222-$O222</f>
        <v/>
      </c>
      <c r="Q222" s="50">
        <f>($L222-$M222)-($N222-$O222)</f>
        <v/>
      </c>
      <c r="R222" s="50">
        <f>$L222-$N222</f>
        <v/>
      </c>
    </row>
    <row r="223">
      <c r="A223" s="47">
        <f>ROW()-5</f>
        <v/>
      </c>
      <c r="B223" s="48">
        <f>IFERROR(INDEX(tbl_Finance[Date],$A223),"")</f>
        <v/>
      </c>
      <c r="C223" s="49">
        <f>IFERROR(INDEX(tbl_Finance[Xero Invoice No],$A223),"")</f>
        <v/>
      </c>
      <c r="D223" s="49">
        <f>IFERROR(INDEX(tbl_Finance[Client],$A223),"")</f>
        <v/>
      </c>
      <c r="E223" s="49">
        <f>IFERROR(INDEX(tbl_Finance[Job Number],$A223),"")</f>
        <v/>
      </c>
      <c r="F223" s="49">
        <f>IFERROR(INDEX(tbl_Finance[Cost Centre],$A223),"")</f>
        <v/>
      </c>
      <c r="G223" s="50">
        <f>IFERROR(INDEX(tbl_Finance[Ex GST],$A223),"")</f>
        <v/>
      </c>
      <c r="H223" s="48">
        <f>IFERROR(INDEX(tbl_Finance[Defer Start],$A223),"")</f>
        <v/>
      </c>
      <c r="I223" s="48">
        <f>IFERROR(INDEX(tbl_Finance[Defer End],$A223),"")</f>
        <v/>
      </c>
      <c r="J223" s="47">
        <f>IF(OR($H223="",$I223="",$G223=""),"",MAX(1,(YEAR($I223)-YEAR($H223))*12+MONTH($I223)-MONTH($H223)+1))</f>
        <v/>
      </c>
      <c r="K223" s="50">
        <f>IF($J223="","",$G223/$J223)</f>
        <v/>
      </c>
      <c r="L223" s="50">
        <f>IF($J223="",0,$K223*MAX(0,MIN(YEAR($C$3)*12+MONTH($C$3),YEAR($I223)*12+MONTH($I223))-(YEAR($H223)*12+MONTH($H223))+1))</f>
        <v/>
      </c>
      <c r="M223" s="50">
        <f>IF($J223="",0,$K223*MAX(0,MIN(YEAR($C$3)*12+MONTH($C$3)-1,YEAR($I223)*12+MONTH($I223))-(YEAR($H223)*12+MONTH($H223))+1))</f>
        <v/>
      </c>
      <c r="N223" s="50">
        <f>IF(OR($J223="",$B223=""),0,IF(YEAR($B223)*12+MONTH($B223)&lt;=YEAR($C$3)*12+MONTH($C$3),$G223,0))</f>
        <v/>
      </c>
      <c r="O223" s="50">
        <f>IF(OR($J223="",$B223=""),0,IF(YEAR($B223)*12+MONTH($B223)&lt;=YEAR($C$3)*12+MONTH($C$3)-1,$G223,0))</f>
        <v/>
      </c>
      <c r="P223" s="50">
        <f>$M223-$O223</f>
        <v/>
      </c>
      <c r="Q223" s="50">
        <f>($L223-$M223)-($N223-$O223)</f>
        <v/>
      </c>
      <c r="R223" s="50">
        <f>$L223-$N223</f>
        <v/>
      </c>
    </row>
    <row r="224">
      <c r="A224" s="47">
        <f>ROW()-5</f>
        <v/>
      </c>
      <c r="B224" s="48">
        <f>IFERROR(INDEX(tbl_Finance[Date],$A224),"")</f>
        <v/>
      </c>
      <c r="C224" s="49">
        <f>IFERROR(INDEX(tbl_Finance[Xero Invoice No],$A224),"")</f>
        <v/>
      </c>
      <c r="D224" s="49">
        <f>IFERROR(INDEX(tbl_Finance[Client],$A224),"")</f>
        <v/>
      </c>
      <c r="E224" s="49">
        <f>IFERROR(INDEX(tbl_Finance[Job Number],$A224),"")</f>
        <v/>
      </c>
      <c r="F224" s="49">
        <f>IFERROR(INDEX(tbl_Finance[Cost Centre],$A224),"")</f>
        <v/>
      </c>
      <c r="G224" s="50">
        <f>IFERROR(INDEX(tbl_Finance[Ex GST],$A224),"")</f>
        <v/>
      </c>
      <c r="H224" s="48">
        <f>IFERROR(INDEX(tbl_Finance[Defer Start],$A224),"")</f>
        <v/>
      </c>
      <c r="I224" s="48">
        <f>IFERROR(INDEX(tbl_Finance[Defer End],$A224),"")</f>
        <v/>
      </c>
      <c r="J224" s="47">
        <f>IF(OR($H224="",$I224="",$G224=""),"",MAX(1,(YEAR($I224)-YEAR($H224))*12+MONTH($I224)-MONTH($H224)+1))</f>
        <v/>
      </c>
      <c r="K224" s="50">
        <f>IF($J224="","",$G224/$J224)</f>
        <v/>
      </c>
      <c r="L224" s="50">
        <f>IF($J224="",0,$K224*MAX(0,MIN(YEAR($C$3)*12+MONTH($C$3),YEAR($I224)*12+MONTH($I224))-(YEAR($H224)*12+MONTH($H224))+1))</f>
        <v/>
      </c>
      <c r="M224" s="50">
        <f>IF($J224="",0,$K224*MAX(0,MIN(YEAR($C$3)*12+MONTH($C$3)-1,YEAR($I224)*12+MONTH($I224))-(YEAR($H224)*12+MONTH($H224))+1))</f>
        <v/>
      </c>
      <c r="N224" s="50">
        <f>IF(OR($J224="",$B224=""),0,IF(YEAR($B224)*12+MONTH($B224)&lt;=YEAR($C$3)*12+MONTH($C$3),$G224,0))</f>
        <v/>
      </c>
      <c r="O224" s="50">
        <f>IF(OR($J224="",$B224=""),0,IF(YEAR($B224)*12+MONTH($B224)&lt;=YEAR($C$3)*12+MONTH($C$3)-1,$G224,0))</f>
        <v/>
      </c>
      <c r="P224" s="50">
        <f>$M224-$O224</f>
        <v/>
      </c>
      <c r="Q224" s="50">
        <f>($L224-$M224)-($N224-$O224)</f>
        <v/>
      </c>
      <c r="R224" s="50">
        <f>$L224-$N224</f>
        <v/>
      </c>
    </row>
    <row r="225">
      <c r="A225" s="47">
        <f>ROW()-5</f>
        <v/>
      </c>
      <c r="B225" s="48">
        <f>IFERROR(INDEX(tbl_Finance[Date],$A225),"")</f>
        <v/>
      </c>
      <c r="C225" s="49">
        <f>IFERROR(INDEX(tbl_Finance[Xero Invoice No],$A225),"")</f>
        <v/>
      </c>
      <c r="D225" s="49">
        <f>IFERROR(INDEX(tbl_Finance[Client],$A225),"")</f>
        <v/>
      </c>
      <c r="E225" s="49">
        <f>IFERROR(INDEX(tbl_Finance[Job Number],$A225),"")</f>
        <v/>
      </c>
      <c r="F225" s="49">
        <f>IFERROR(INDEX(tbl_Finance[Cost Centre],$A225),"")</f>
        <v/>
      </c>
      <c r="G225" s="50">
        <f>IFERROR(INDEX(tbl_Finance[Ex GST],$A225),"")</f>
        <v/>
      </c>
      <c r="H225" s="48">
        <f>IFERROR(INDEX(tbl_Finance[Defer Start],$A225),"")</f>
        <v/>
      </c>
      <c r="I225" s="48">
        <f>IFERROR(INDEX(tbl_Finance[Defer End],$A225),"")</f>
        <v/>
      </c>
      <c r="J225" s="47">
        <f>IF(OR($H225="",$I225="",$G225=""),"",MAX(1,(YEAR($I225)-YEAR($H225))*12+MONTH($I225)-MONTH($H225)+1))</f>
        <v/>
      </c>
      <c r="K225" s="50">
        <f>IF($J225="","",$G225/$J225)</f>
        <v/>
      </c>
      <c r="L225" s="50">
        <f>IF($J225="",0,$K225*MAX(0,MIN(YEAR($C$3)*12+MONTH($C$3),YEAR($I225)*12+MONTH($I225))-(YEAR($H225)*12+MONTH($H225))+1))</f>
        <v/>
      </c>
      <c r="M225" s="50">
        <f>IF($J225="",0,$K225*MAX(0,MIN(YEAR($C$3)*12+MONTH($C$3)-1,YEAR($I225)*12+MONTH($I225))-(YEAR($H225)*12+MONTH($H225))+1))</f>
        <v/>
      </c>
      <c r="N225" s="50">
        <f>IF(OR($J225="",$B225=""),0,IF(YEAR($B225)*12+MONTH($B225)&lt;=YEAR($C$3)*12+MONTH($C$3),$G225,0))</f>
        <v/>
      </c>
      <c r="O225" s="50">
        <f>IF(OR($J225="",$B225=""),0,IF(YEAR($B225)*12+MONTH($B225)&lt;=YEAR($C$3)*12+MONTH($C$3)-1,$G225,0))</f>
        <v/>
      </c>
      <c r="P225" s="50">
        <f>$M225-$O225</f>
        <v/>
      </c>
      <c r="Q225" s="50">
        <f>($L225-$M225)-($N225-$O225)</f>
        <v/>
      </c>
      <c r="R225" s="50">
        <f>$L225-$N225</f>
        <v/>
      </c>
    </row>
    <row r="226">
      <c r="A226" s="47">
        <f>ROW()-5</f>
        <v/>
      </c>
      <c r="B226" s="48">
        <f>IFERROR(INDEX(tbl_Finance[Date],$A226),"")</f>
        <v/>
      </c>
      <c r="C226" s="49">
        <f>IFERROR(INDEX(tbl_Finance[Xero Invoice No],$A226),"")</f>
        <v/>
      </c>
      <c r="D226" s="49">
        <f>IFERROR(INDEX(tbl_Finance[Client],$A226),"")</f>
        <v/>
      </c>
      <c r="E226" s="49">
        <f>IFERROR(INDEX(tbl_Finance[Job Number],$A226),"")</f>
        <v/>
      </c>
      <c r="F226" s="49">
        <f>IFERROR(INDEX(tbl_Finance[Cost Centre],$A226),"")</f>
        <v/>
      </c>
      <c r="G226" s="50">
        <f>IFERROR(INDEX(tbl_Finance[Ex GST],$A226),"")</f>
        <v/>
      </c>
      <c r="H226" s="48">
        <f>IFERROR(INDEX(tbl_Finance[Defer Start],$A226),"")</f>
        <v/>
      </c>
      <c r="I226" s="48">
        <f>IFERROR(INDEX(tbl_Finance[Defer End],$A226),"")</f>
        <v/>
      </c>
      <c r="J226" s="47">
        <f>IF(OR($H226="",$I226="",$G226=""),"",MAX(1,(YEAR($I226)-YEAR($H226))*12+MONTH($I226)-MONTH($H226)+1))</f>
        <v/>
      </c>
      <c r="K226" s="50">
        <f>IF($J226="","",$G226/$J226)</f>
        <v/>
      </c>
      <c r="L226" s="50">
        <f>IF($J226="",0,$K226*MAX(0,MIN(YEAR($C$3)*12+MONTH($C$3),YEAR($I226)*12+MONTH($I226))-(YEAR($H226)*12+MONTH($H226))+1))</f>
        <v/>
      </c>
      <c r="M226" s="50">
        <f>IF($J226="",0,$K226*MAX(0,MIN(YEAR($C$3)*12+MONTH($C$3)-1,YEAR($I226)*12+MONTH($I226))-(YEAR($H226)*12+MONTH($H226))+1))</f>
        <v/>
      </c>
      <c r="N226" s="50">
        <f>IF(OR($J226="",$B226=""),0,IF(YEAR($B226)*12+MONTH($B226)&lt;=YEAR($C$3)*12+MONTH($C$3),$G226,0))</f>
        <v/>
      </c>
      <c r="O226" s="50">
        <f>IF(OR($J226="",$B226=""),0,IF(YEAR($B226)*12+MONTH($B226)&lt;=YEAR($C$3)*12+MONTH($C$3)-1,$G226,0))</f>
        <v/>
      </c>
      <c r="P226" s="50">
        <f>$M226-$O226</f>
        <v/>
      </c>
      <c r="Q226" s="50">
        <f>($L226-$M226)-($N226-$O226)</f>
        <v/>
      </c>
      <c r="R226" s="50">
        <f>$L226-$N226</f>
        <v/>
      </c>
    </row>
    <row r="227">
      <c r="A227" s="47">
        <f>ROW()-5</f>
        <v/>
      </c>
      <c r="B227" s="48">
        <f>IFERROR(INDEX(tbl_Finance[Date],$A227),"")</f>
        <v/>
      </c>
      <c r="C227" s="49">
        <f>IFERROR(INDEX(tbl_Finance[Xero Invoice No],$A227),"")</f>
        <v/>
      </c>
      <c r="D227" s="49">
        <f>IFERROR(INDEX(tbl_Finance[Client],$A227),"")</f>
        <v/>
      </c>
      <c r="E227" s="49">
        <f>IFERROR(INDEX(tbl_Finance[Job Number],$A227),"")</f>
        <v/>
      </c>
      <c r="F227" s="49">
        <f>IFERROR(INDEX(tbl_Finance[Cost Centre],$A227),"")</f>
        <v/>
      </c>
      <c r="G227" s="50">
        <f>IFERROR(INDEX(tbl_Finance[Ex GST],$A227),"")</f>
        <v/>
      </c>
      <c r="H227" s="48">
        <f>IFERROR(INDEX(tbl_Finance[Defer Start],$A227),"")</f>
        <v/>
      </c>
      <c r="I227" s="48">
        <f>IFERROR(INDEX(tbl_Finance[Defer End],$A227),"")</f>
        <v/>
      </c>
      <c r="J227" s="47">
        <f>IF(OR($H227="",$I227="",$G227=""),"",MAX(1,(YEAR($I227)-YEAR($H227))*12+MONTH($I227)-MONTH($H227)+1))</f>
        <v/>
      </c>
      <c r="K227" s="50">
        <f>IF($J227="","",$G227/$J227)</f>
        <v/>
      </c>
      <c r="L227" s="50">
        <f>IF($J227="",0,$K227*MAX(0,MIN(YEAR($C$3)*12+MONTH($C$3),YEAR($I227)*12+MONTH($I227))-(YEAR($H227)*12+MONTH($H227))+1))</f>
        <v/>
      </c>
      <c r="M227" s="50">
        <f>IF($J227="",0,$K227*MAX(0,MIN(YEAR($C$3)*12+MONTH($C$3)-1,YEAR($I227)*12+MONTH($I227))-(YEAR($H227)*12+MONTH($H227))+1))</f>
        <v/>
      </c>
      <c r="N227" s="50">
        <f>IF(OR($J227="",$B227=""),0,IF(YEAR($B227)*12+MONTH($B227)&lt;=YEAR($C$3)*12+MONTH($C$3),$G227,0))</f>
        <v/>
      </c>
      <c r="O227" s="50">
        <f>IF(OR($J227="",$B227=""),0,IF(YEAR($B227)*12+MONTH($B227)&lt;=YEAR($C$3)*12+MONTH($C$3)-1,$G227,0))</f>
        <v/>
      </c>
      <c r="P227" s="50">
        <f>$M227-$O227</f>
        <v/>
      </c>
      <c r="Q227" s="50">
        <f>($L227-$M227)-($N227-$O227)</f>
        <v/>
      </c>
      <c r="R227" s="50">
        <f>$L227-$N227</f>
        <v/>
      </c>
    </row>
    <row r="228">
      <c r="A228" s="47">
        <f>ROW()-5</f>
        <v/>
      </c>
      <c r="B228" s="48">
        <f>IFERROR(INDEX(tbl_Finance[Date],$A228),"")</f>
        <v/>
      </c>
      <c r="C228" s="49">
        <f>IFERROR(INDEX(tbl_Finance[Xero Invoice No],$A228),"")</f>
        <v/>
      </c>
      <c r="D228" s="49">
        <f>IFERROR(INDEX(tbl_Finance[Client],$A228),"")</f>
        <v/>
      </c>
      <c r="E228" s="49">
        <f>IFERROR(INDEX(tbl_Finance[Job Number],$A228),"")</f>
        <v/>
      </c>
      <c r="F228" s="49">
        <f>IFERROR(INDEX(tbl_Finance[Cost Centre],$A228),"")</f>
        <v/>
      </c>
      <c r="G228" s="50">
        <f>IFERROR(INDEX(tbl_Finance[Ex GST],$A228),"")</f>
        <v/>
      </c>
      <c r="H228" s="48">
        <f>IFERROR(INDEX(tbl_Finance[Defer Start],$A228),"")</f>
        <v/>
      </c>
      <c r="I228" s="48">
        <f>IFERROR(INDEX(tbl_Finance[Defer End],$A228),"")</f>
        <v/>
      </c>
      <c r="J228" s="47">
        <f>IF(OR($H228="",$I228="",$G228=""),"",MAX(1,(YEAR($I228)-YEAR($H228))*12+MONTH($I228)-MONTH($H228)+1))</f>
        <v/>
      </c>
      <c r="K228" s="50">
        <f>IF($J228="","",$G228/$J228)</f>
        <v/>
      </c>
      <c r="L228" s="50">
        <f>IF($J228="",0,$K228*MAX(0,MIN(YEAR($C$3)*12+MONTH($C$3),YEAR($I228)*12+MONTH($I228))-(YEAR($H228)*12+MONTH($H228))+1))</f>
        <v/>
      </c>
      <c r="M228" s="50">
        <f>IF($J228="",0,$K228*MAX(0,MIN(YEAR($C$3)*12+MONTH($C$3)-1,YEAR($I228)*12+MONTH($I228))-(YEAR($H228)*12+MONTH($H228))+1))</f>
        <v/>
      </c>
      <c r="N228" s="50">
        <f>IF(OR($J228="",$B228=""),0,IF(YEAR($B228)*12+MONTH($B228)&lt;=YEAR($C$3)*12+MONTH($C$3),$G228,0))</f>
        <v/>
      </c>
      <c r="O228" s="50">
        <f>IF(OR($J228="",$B228=""),0,IF(YEAR($B228)*12+MONTH($B228)&lt;=YEAR($C$3)*12+MONTH($C$3)-1,$G228,0))</f>
        <v/>
      </c>
      <c r="P228" s="50">
        <f>$M228-$O228</f>
        <v/>
      </c>
      <c r="Q228" s="50">
        <f>($L228-$M228)-($N228-$O228)</f>
        <v/>
      </c>
      <c r="R228" s="50">
        <f>$L228-$N228</f>
        <v/>
      </c>
    </row>
    <row r="229">
      <c r="A229" s="47">
        <f>ROW()-5</f>
        <v/>
      </c>
      <c r="B229" s="48">
        <f>IFERROR(INDEX(tbl_Finance[Date],$A229),"")</f>
        <v/>
      </c>
      <c r="C229" s="49">
        <f>IFERROR(INDEX(tbl_Finance[Xero Invoice No],$A229),"")</f>
        <v/>
      </c>
      <c r="D229" s="49">
        <f>IFERROR(INDEX(tbl_Finance[Client],$A229),"")</f>
        <v/>
      </c>
      <c r="E229" s="49">
        <f>IFERROR(INDEX(tbl_Finance[Job Number],$A229),"")</f>
        <v/>
      </c>
      <c r="F229" s="49">
        <f>IFERROR(INDEX(tbl_Finance[Cost Centre],$A229),"")</f>
        <v/>
      </c>
      <c r="G229" s="50">
        <f>IFERROR(INDEX(tbl_Finance[Ex GST],$A229),"")</f>
        <v/>
      </c>
      <c r="H229" s="48">
        <f>IFERROR(INDEX(tbl_Finance[Defer Start],$A229),"")</f>
        <v/>
      </c>
      <c r="I229" s="48">
        <f>IFERROR(INDEX(tbl_Finance[Defer End],$A229),"")</f>
        <v/>
      </c>
      <c r="J229" s="47">
        <f>IF(OR($H229="",$I229="",$G229=""),"",MAX(1,(YEAR($I229)-YEAR($H229))*12+MONTH($I229)-MONTH($H229)+1))</f>
        <v/>
      </c>
      <c r="K229" s="50">
        <f>IF($J229="","",$G229/$J229)</f>
        <v/>
      </c>
      <c r="L229" s="50">
        <f>IF($J229="",0,$K229*MAX(0,MIN(YEAR($C$3)*12+MONTH($C$3),YEAR($I229)*12+MONTH($I229))-(YEAR($H229)*12+MONTH($H229))+1))</f>
        <v/>
      </c>
      <c r="M229" s="50">
        <f>IF($J229="",0,$K229*MAX(0,MIN(YEAR($C$3)*12+MONTH($C$3)-1,YEAR($I229)*12+MONTH($I229))-(YEAR($H229)*12+MONTH($H229))+1))</f>
        <v/>
      </c>
      <c r="N229" s="50">
        <f>IF(OR($J229="",$B229=""),0,IF(YEAR($B229)*12+MONTH($B229)&lt;=YEAR($C$3)*12+MONTH($C$3),$G229,0))</f>
        <v/>
      </c>
      <c r="O229" s="50">
        <f>IF(OR($J229="",$B229=""),0,IF(YEAR($B229)*12+MONTH($B229)&lt;=YEAR($C$3)*12+MONTH($C$3)-1,$G229,0))</f>
        <v/>
      </c>
      <c r="P229" s="50">
        <f>$M229-$O229</f>
        <v/>
      </c>
      <c r="Q229" s="50">
        <f>($L229-$M229)-($N229-$O229)</f>
        <v/>
      </c>
      <c r="R229" s="50">
        <f>$L229-$N229</f>
        <v/>
      </c>
    </row>
    <row r="230">
      <c r="A230" s="47">
        <f>ROW()-5</f>
        <v/>
      </c>
      <c r="B230" s="48">
        <f>IFERROR(INDEX(tbl_Finance[Date],$A230),"")</f>
        <v/>
      </c>
      <c r="C230" s="49">
        <f>IFERROR(INDEX(tbl_Finance[Xero Invoice No],$A230),"")</f>
        <v/>
      </c>
      <c r="D230" s="49">
        <f>IFERROR(INDEX(tbl_Finance[Client],$A230),"")</f>
        <v/>
      </c>
      <c r="E230" s="49">
        <f>IFERROR(INDEX(tbl_Finance[Job Number],$A230),"")</f>
        <v/>
      </c>
      <c r="F230" s="49">
        <f>IFERROR(INDEX(tbl_Finance[Cost Centre],$A230),"")</f>
        <v/>
      </c>
      <c r="G230" s="50">
        <f>IFERROR(INDEX(tbl_Finance[Ex GST],$A230),"")</f>
        <v/>
      </c>
      <c r="H230" s="48">
        <f>IFERROR(INDEX(tbl_Finance[Defer Start],$A230),"")</f>
        <v/>
      </c>
      <c r="I230" s="48">
        <f>IFERROR(INDEX(tbl_Finance[Defer End],$A230),"")</f>
        <v/>
      </c>
      <c r="J230" s="47">
        <f>IF(OR($H230="",$I230="",$G230=""),"",MAX(1,(YEAR($I230)-YEAR($H230))*12+MONTH($I230)-MONTH($H230)+1))</f>
        <v/>
      </c>
      <c r="K230" s="50">
        <f>IF($J230="","",$G230/$J230)</f>
        <v/>
      </c>
      <c r="L230" s="50">
        <f>IF($J230="",0,$K230*MAX(0,MIN(YEAR($C$3)*12+MONTH($C$3),YEAR($I230)*12+MONTH($I230))-(YEAR($H230)*12+MONTH($H230))+1))</f>
        <v/>
      </c>
      <c r="M230" s="50">
        <f>IF($J230="",0,$K230*MAX(0,MIN(YEAR($C$3)*12+MONTH($C$3)-1,YEAR($I230)*12+MONTH($I230))-(YEAR($H230)*12+MONTH($H230))+1))</f>
        <v/>
      </c>
      <c r="N230" s="50">
        <f>IF(OR($J230="",$B230=""),0,IF(YEAR($B230)*12+MONTH($B230)&lt;=YEAR($C$3)*12+MONTH($C$3),$G230,0))</f>
        <v/>
      </c>
      <c r="O230" s="50">
        <f>IF(OR($J230="",$B230=""),0,IF(YEAR($B230)*12+MONTH($B230)&lt;=YEAR($C$3)*12+MONTH($C$3)-1,$G230,0))</f>
        <v/>
      </c>
      <c r="P230" s="50">
        <f>$M230-$O230</f>
        <v/>
      </c>
      <c r="Q230" s="50">
        <f>($L230-$M230)-($N230-$O230)</f>
        <v/>
      </c>
      <c r="R230" s="50">
        <f>$L230-$N230</f>
        <v/>
      </c>
    </row>
    <row r="231">
      <c r="A231" s="47">
        <f>ROW()-5</f>
        <v/>
      </c>
      <c r="B231" s="48">
        <f>IFERROR(INDEX(tbl_Finance[Date],$A231),"")</f>
        <v/>
      </c>
      <c r="C231" s="49">
        <f>IFERROR(INDEX(tbl_Finance[Xero Invoice No],$A231),"")</f>
        <v/>
      </c>
      <c r="D231" s="49">
        <f>IFERROR(INDEX(tbl_Finance[Client],$A231),"")</f>
        <v/>
      </c>
      <c r="E231" s="49">
        <f>IFERROR(INDEX(tbl_Finance[Job Number],$A231),"")</f>
        <v/>
      </c>
      <c r="F231" s="49">
        <f>IFERROR(INDEX(tbl_Finance[Cost Centre],$A231),"")</f>
        <v/>
      </c>
      <c r="G231" s="50">
        <f>IFERROR(INDEX(tbl_Finance[Ex GST],$A231),"")</f>
        <v/>
      </c>
      <c r="H231" s="48">
        <f>IFERROR(INDEX(tbl_Finance[Defer Start],$A231),"")</f>
        <v/>
      </c>
      <c r="I231" s="48">
        <f>IFERROR(INDEX(tbl_Finance[Defer End],$A231),"")</f>
        <v/>
      </c>
      <c r="J231" s="47">
        <f>IF(OR($H231="",$I231="",$G231=""),"",MAX(1,(YEAR($I231)-YEAR($H231))*12+MONTH($I231)-MONTH($H231)+1))</f>
        <v/>
      </c>
      <c r="K231" s="50">
        <f>IF($J231="","",$G231/$J231)</f>
        <v/>
      </c>
      <c r="L231" s="50">
        <f>IF($J231="",0,$K231*MAX(0,MIN(YEAR($C$3)*12+MONTH($C$3),YEAR($I231)*12+MONTH($I231))-(YEAR($H231)*12+MONTH($H231))+1))</f>
        <v/>
      </c>
      <c r="M231" s="50">
        <f>IF($J231="",0,$K231*MAX(0,MIN(YEAR($C$3)*12+MONTH($C$3)-1,YEAR($I231)*12+MONTH($I231))-(YEAR($H231)*12+MONTH($H231))+1))</f>
        <v/>
      </c>
      <c r="N231" s="50">
        <f>IF(OR($J231="",$B231=""),0,IF(YEAR($B231)*12+MONTH($B231)&lt;=YEAR($C$3)*12+MONTH($C$3),$G231,0))</f>
        <v/>
      </c>
      <c r="O231" s="50">
        <f>IF(OR($J231="",$B231=""),0,IF(YEAR($B231)*12+MONTH($B231)&lt;=YEAR($C$3)*12+MONTH($C$3)-1,$G231,0))</f>
        <v/>
      </c>
      <c r="P231" s="50">
        <f>$M231-$O231</f>
        <v/>
      </c>
      <c r="Q231" s="50">
        <f>($L231-$M231)-($N231-$O231)</f>
        <v/>
      </c>
      <c r="R231" s="50">
        <f>$L231-$N231</f>
        <v/>
      </c>
    </row>
    <row r="232">
      <c r="A232" s="47">
        <f>ROW()-5</f>
        <v/>
      </c>
      <c r="B232" s="48">
        <f>IFERROR(INDEX(tbl_Finance[Date],$A232),"")</f>
        <v/>
      </c>
      <c r="C232" s="49">
        <f>IFERROR(INDEX(tbl_Finance[Xero Invoice No],$A232),"")</f>
        <v/>
      </c>
      <c r="D232" s="49">
        <f>IFERROR(INDEX(tbl_Finance[Client],$A232),"")</f>
        <v/>
      </c>
      <c r="E232" s="49">
        <f>IFERROR(INDEX(tbl_Finance[Job Number],$A232),"")</f>
        <v/>
      </c>
      <c r="F232" s="49">
        <f>IFERROR(INDEX(tbl_Finance[Cost Centre],$A232),"")</f>
        <v/>
      </c>
      <c r="G232" s="50">
        <f>IFERROR(INDEX(tbl_Finance[Ex GST],$A232),"")</f>
        <v/>
      </c>
      <c r="H232" s="48">
        <f>IFERROR(INDEX(tbl_Finance[Defer Start],$A232),"")</f>
        <v/>
      </c>
      <c r="I232" s="48">
        <f>IFERROR(INDEX(tbl_Finance[Defer End],$A232),"")</f>
        <v/>
      </c>
      <c r="J232" s="47">
        <f>IF(OR($H232="",$I232="",$G232=""),"",MAX(1,(YEAR($I232)-YEAR($H232))*12+MONTH($I232)-MONTH($H232)+1))</f>
        <v/>
      </c>
      <c r="K232" s="50">
        <f>IF($J232="","",$G232/$J232)</f>
        <v/>
      </c>
      <c r="L232" s="50">
        <f>IF($J232="",0,$K232*MAX(0,MIN(YEAR($C$3)*12+MONTH($C$3),YEAR($I232)*12+MONTH($I232))-(YEAR($H232)*12+MONTH($H232))+1))</f>
        <v/>
      </c>
      <c r="M232" s="50">
        <f>IF($J232="",0,$K232*MAX(0,MIN(YEAR($C$3)*12+MONTH($C$3)-1,YEAR($I232)*12+MONTH($I232))-(YEAR($H232)*12+MONTH($H232))+1))</f>
        <v/>
      </c>
      <c r="N232" s="50">
        <f>IF(OR($J232="",$B232=""),0,IF(YEAR($B232)*12+MONTH($B232)&lt;=YEAR($C$3)*12+MONTH($C$3),$G232,0))</f>
        <v/>
      </c>
      <c r="O232" s="50">
        <f>IF(OR($J232="",$B232=""),0,IF(YEAR($B232)*12+MONTH($B232)&lt;=YEAR($C$3)*12+MONTH($C$3)-1,$G232,0))</f>
        <v/>
      </c>
      <c r="P232" s="50">
        <f>$M232-$O232</f>
        <v/>
      </c>
      <c r="Q232" s="50">
        <f>($L232-$M232)-($N232-$O232)</f>
        <v/>
      </c>
      <c r="R232" s="50">
        <f>$L232-$N232</f>
        <v/>
      </c>
    </row>
    <row r="233">
      <c r="A233" s="47">
        <f>ROW()-5</f>
        <v/>
      </c>
      <c r="B233" s="48">
        <f>IFERROR(INDEX(tbl_Finance[Date],$A233),"")</f>
        <v/>
      </c>
      <c r="C233" s="49">
        <f>IFERROR(INDEX(tbl_Finance[Xero Invoice No],$A233),"")</f>
        <v/>
      </c>
      <c r="D233" s="49">
        <f>IFERROR(INDEX(tbl_Finance[Client],$A233),"")</f>
        <v/>
      </c>
      <c r="E233" s="49">
        <f>IFERROR(INDEX(tbl_Finance[Job Number],$A233),"")</f>
        <v/>
      </c>
      <c r="F233" s="49">
        <f>IFERROR(INDEX(tbl_Finance[Cost Centre],$A233),"")</f>
        <v/>
      </c>
      <c r="G233" s="50">
        <f>IFERROR(INDEX(tbl_Finance[Ex GST],$A233),"")</f>
        <v/>
      </c>
      <c r="H233" s="48">
        <f>IFERROR(INDEX(tbl_Finance[Defer Start],$A233),"")</f>
        <v/>
      </c>
      <c r="I233" s="48">
        <f>IFERROR(INDEX(tbl_Finance[Defer End],$A233),"")</f>
        <v/>
      </c>
      <c r="J233" s="47">
        <f>IF(OR($H233="",$I233="",$G233=""),"",MAX(1,(YEAR($I233)-YEAR($H233))*12+MONTH($I233)-MONTH($H233)+1))</f>
        <v/>
      </c>
      <c r="K233" s="50">
        <f>IF($J233="","",$G233/$J233)</f>
        <v/>
      </c>
      <c r="L233" s="50">
        <f>IF($J233="",0,$K233*MAX(0,MIN(YEAR($C$3)*12+MONTH($C$3),YEAR($I233)*12+MONTH($I233))-(YEAR($H233)*12+MONTH($H233))+1))</f>
        <v/>
      </c>
      <c r="M233" s="50">
        <f>IF($J233="",0,$K233*MAX(0,MIN(YEAR($C$3)*12+MONTH($C$3)-1,YEAR($I233)*12+MONTH($I233))-(YEAR($H233)*12+MONTH($H233))+1))</f>
        <v/>
      </c>
      <c r="N233" s="50">
        <f>IF(OR($J233="",$B233=""),0,IF(YEAR($B233)*12+MONTH($B233)&lt;=YEAR($C$3)*12+MONTH($C$3),$G233,0))</f>
        <v/>
      </c>
      <c r="O233" s="50">
        <f>IF(OR($J233="",$B233=""),0,IF(YEAR($B233)*12+MONTH($B233)&lt;=YEAR($C$3)*12+MONTH($C$3)-1,$G233,0))</f>
        <v/>
      </c>
      <c r="P233" s="50">
        <f>$M233-$O233</f>
        <v/>
      </c>
      <c r="Q233" s="50">
        <f>($L233-$M233)-($N233-$O233)</f>
        <v/>
      </c>
      <c r="R233" s="50">
        <f>$L233-$N233</f>
        <v/>
      </c>
    </row>
    <row r="234">
      <c r="A234" s="47">
        <f>ROW()-5</f>
        <v/>
      </c>
      <c r="B234" s="48">
        <f>IFERROR(INDEX(tbl_Finance[Date],$A234),"")</f>
        <v/>
      </c>
      <c r="C234" s="49">
        <f>IFERROR(INDEX(tbl_Finance[Xero Invoice No],$A234),"")</f>
        <v/>
      </c>
      <c r="D234" s="49">
        <f>IFERROR(INDEX(tbl_Finance[Client],$A234),"")</f>
        <v/>
      </c>
      <c r="E234" s="49">
        <f>IFERROR(INDEX(tbl_Finance[Job Number],$A234),"")</f>
        <v/>
      </c>
      <c r="F234" s="49">
        <f>IFERROR(INDEX(tbl_Finance[Cost Centre],$A234),"")</f>
        <v/>
      </c>
      <c r="G234" s="50">
        <f>IFERROR(INDEX(tbl_Finance[Ex GST],$A234),"")</f>
        <v/>
      </c>
      <c r="H234" s="48">
        <f>IFERROR(INDEX(tbl_Finance[Defer Start],$A234),"")</f>
        <v/>
      </c>
      <c r="I234" s="48">
        <f>IFERROR(INDEX(tbl_Finance[Defer End],$A234),"")</f>
        <v/>
      </c>
      <c r="J234" s="47">
        <f>IF(OR($H234="",$I234="",$G234=""),"",MAX(1,(YEAR($I234)-YEAR($H234))*12+MONTH($I234)-MONTH($H234)+1))</f>
        <v/>
      </c>
      <c r="K234" s="50">
        <f>IF($J234="","",$G234/$J234)</f>
        <v/>
      </c>
      <c r="L234" s="50">
        <f>IF($J234="",0,$K234*MAX(0,MIN(YEAR($C$3)*12+MONTH($C$3),YEAR($I234)*12+MONTH($I234))-(YEAR($H234)*12+MONTH($H234))+1))</f>
        <v/>
      </c>
      <c r="M234" s="50">
        <f>IF($J234="",0,$K234*MAX(0,MIN(YEAR($C$3)*12+MONTH($C$3)-1,YEAR($I234)*12+MONTH($I234))-(YEAR($H234)*12+MONTH($H234))+1))</f>
        <v/>
      </c>
      <c r="N234" s="50">
        <f>IF(OR($J234="",$B234=""),0,IF(YEAR($B234)*12+MONTH($B234)&lt;=YEAR($C$3)*12+MONTH($C$3),$G234,0))</f>
        <v/>
      </c>
      <c r="O234" s="50">
        <f>IF(OR($J234="",$B234=""),0,IF(YEAR($B234)*12+MONTH($B234)&lt;=YEAR($C$3)*12+MONTH($C$3)-1,$G234,0))</f>
        <v/>
      </c>
      <c r="P234" s="50">
        <f>$M234-$O234</f>
        <v/>
      </c>
      <c r="Q234" s="50">
        <f>($L234-$M234)-($N234-$O234)</f>
        <v/>
      </c>
      <c r="R234" s="50">
        <f>$L234-$N234</f>
        <v/>
      </c>
    </row>
    <row r="235">
      <c r="A235" s="47">
        <f>ROW()-5</f>
        <v/>
      </c>
      <c r="B235" s="48">
        <f>IFERROR(INDEX(tbl_Finance[Date],$A235),"")</f>
        <v/>
      </c>
      <c r="C235" s="49">
        <f>IFERROR(INDEX(tbl_Finance[Xero Invoice No],$A235),"")</f>
        <v/>
      </c>
      <c r="D235" s="49">
        <f>IFERROR(INDEX(tbl_Finance[Client],$A235),"")</f>
        <v/>
      </c>
      <c r="E235" s="49">
        <f>IFERROR(INDEX(tbl_Finance[Job Number],$A235),"")</f>
        <v/>
      </c>
      <c r="F235" s="49">
        <f>IFERROR(INDEX(tbl_Finance[Cost Centre],$A235),"")</f>
        <v/>
      </c>
      <c r="G235" s="50">
        <f>IFERROR(INDEX(tbl_Finance[Ex GST],$A235),"")</f>
        <v/>
      </c>
      <c r="H235" s="48">
        <f>IFERROR(INDEX(tbl_Finance[Defer Start],$A235),"")</f>
        <v/>
      </c>
      <c r="I235" s="48">
        <f>IFERROR(INDEX(tbl_Finance[Defer End],$A235),"")</f>
        <v/>
      </c>
      <c r="J235" s="47">
        <f>IF(OR($H235="",$I235="",$G235=""),"",MAX(1,(YEAR($I235)-YEAR($H235))*12+MONTH($I235)-MONTH($H235)+1))</f>
        <v/>
      </c>
      <c r="K235" s="50">
        <f>IF($J235="","",$G235/$J235)</f>
        <v/>
      </c>
      <c r="L235" s="50">
        <f>IF($J235="",0,$K235*MAX(0,MIN(YEAR($C$3)*12+MONTH($C$3),YEAR($I235)*12+MONTH($I235))-(YEAR($H235)*12+MONTH($H235))+1))</f>
        <v/>
      </c>
      <c r="M235" s="50">
        <f>IF($J235="",0,$K235*MAX(0,MIN(YEAR($C$3)*12+MONTH($C$3)-1,YEAR($I235)*12+MONTH($I235))-(YEAR($H235)*12+MONTH($H235))+1))</f>
        <v/>
      </c>
      <c r="N235" s="50">
        <f>IF(OR($J235="",$B235=""),0,IF(YEAR($B235)*12+MONTH($B235)&lt;=YEAR($C$3)*12+MONTH($C$3),$G235,0))</f>
        <v/>
      </c>
      <c r="O235" s="50">
        <f>IF(OR($J235="",$B235=""),0,IF(YEAR($B235)*12+MONTH($B235)&lt;=YEAR($C$3)*12+MONTH($C$3)-1,$G235,0))</f>
        <v/>
      </c>
      <c r="P235" s="50">
        <f>$M235-$O235</f>
        <v/>
      </c>
      <c r="Q235" s="50">
        <f>($L235-$M235)-($N235-$O235)</f>
        <v/>
      </c>
      <c r="R235" s="50">
        <f>$L235-$N235</f>
        <v/>
      </c>
    </row>
    <row r="236">
      <c r="A236" s="47">
        <f>ROW()-5</f>
        <v/>
      </c>
      <c r="B236" s="48">
        <f>IFERROR(INDEX(tbl_Finance[Date],$A236),"")</f>
        <v/>
      </c>
      <c r="C236" s="49">
        <f>IFERROR(INDEX(tbl_Finance[Xero Invoice No],$A236),"")</f>
        <v/>
      </c>
      <c r="D236" s="49">
        <f>IFERROR(INDEX(tbl_Finance[Client],$A236),"")</f>
        <v/>
      </c>
      <c r="E236" s="49">
        <f>IFERROR(INDEX(tbl_Finance[Job Number],$A236),"")</f>
        <v/>
      </c>
      <c r="F236" s="49">
        <f>IFERROR(INDEX(tbl_Finance[Cost Centre],$A236),"")</f>
        <v/>
      </c>
      <c r="G236" s="50">
        <f>IFERROR(INDEX(tbl_Finance[Ex GST],$A236),"")</f>
        <v/>
      </c>
      <c r="H236" s="48">
        <f>IFERROR(INDEX(tbl_Finance[Defer Start],$A236),"")</f>
        <v/>
      </c>
      <c r="I236" s="48">
        <f>IFERROR(INDEX(tbl_Finance[Defer End],$A236),"")</f>
        <v/>
      </c>
      <c r="J236" s="47">
        <f>IF(OR($H236="",$I236="",$G236=""),"",MAX(1,(YEAR($I236)-YEAR($H236))*12+MONTH($I236)-MONTH($H236)+1))</f>
        <v/>
      </c>
      <c r="K236" s="50">
        <f>IF($J236="","",$G236/$J236)</f>
        <v/>
      </c>
      <c r="L236" s="50">
        <f>IF($J236="",0,$K236*MAX(0,MIN(YEAR($C$3)*12+MONTH($C$3),YEAR($I236)*12+MONTH($I236))-(YEAR($H236)*12+MONTH($H236))+1))</f>
        <v/>
      </c>
      <c r="M236" s="50">
        <f>IF($J236="",0,$K236*MAX(0,MIN(YEAR($C$3)*12+MONTH($C$3)-1,YEAR($I236)*12+MONTH($I236))-(YEAR($H236)*12+MONTH($H236))+1))</f>
        <v/>
      </c>
      <c r="N236" s="50">
        <f>IF(OR($J236="",$B236=""),0,IF(YEAR($B236)*12+MONTH($B236)&lt;=YEAR($C$3)*12+MONTH($C$3),$G236,0))</f>
        <v/>
      </c>
      <c r="O236" s="50">
        <f>IF(OR($J236="",$B236=""),0,IF(YEAR($B236)*12+MONTH($B236)&lt;=YEAR($C$3)*12+MONTH($C$3)-1,$G236,0))</f>
        <v/>
      </c>
      <c r="P236" s="50">
        <f>$M236-$O236</f>
        <v/>
      </c>
      <c r="Q236" s="50">
        <f>($L236-$M236)-($N236-$O236)</f>
        <v/>
      </c>
      <c r="R236" s="50">
        <f>$L236-$N236</f>
        <v/>
      </c>
    </row>
    <row r="237">
      <c r="A237" s="47">
        <f>ROW()-5</f>
        <v/>
      </c>
      <c r="B237" s="48">
        <f>IFERROR(INDEX(tbl_Finance[Date],$A237),"")</f>
        <v/>
      </c>
      <c r="C237" s="49">
        <f>IFERROR(INDEX(tbl_Finance[Xero Invoice No],$A237),"")</f>
        <v/>
      </c>
      <c r="D237" s="49">
        <f>IFERROR(INDEX(tbl_Finance[Client],$A237),"")</f>
        <v/>
      </c>
      <c r="E237" s="49">
        <f>IFERROR(INDEX(tbl_Finance[Job Number],$A237),"")</f>
        <v/>
      </c>
      <c r="F237" s="49">
        <f>IFERROR(INDEX(tbl_Finance[Cost Centre],$A237),"")</f>
        <v/>
      </c>
      <c r="G237" s="50">
        <f>IFERROR(INDEX(tbl_Finance[Ex GST],$A237),"")</f>
        <v/>
      </c>
      <c r="H237" s="48">
        <f>IFERROR(INDEX(tbl_Finance[Defer Start],$A237),"")</f>
        <v/>
      </c>
      <c r="I237" s="48">
        <f>IFERROR(INDEX(tbl_Finance[Defer End],$A237),"")</f>
        <v/>
      </c>
      <c r="J237" s="47">
        <f>IF(OR($H237="",$I237="",$G237=""),"",MAX(1,(YEAR($I237)-YEAR($H237))*12+MONTH($I237)-MONTH($H237)+1))</f>
        <v/>
      </c>
      <c r="K237" s="50">
        <f>IF($J237="","",$G237/$J237)</f>
        <v/>
      </c>
      <c r="L237" s="50">
        <f>IF($J237="",0,$K237*MAX(0,MIN(YEAR($C$3)*12+MONTH($C$3),YEAR($I237)*12+MONTH($I237))-(YEAR($H237)*12+MONTH($H237))+1))</f>
        <v/>
      </c>
      <c r="M237" s="50">
        <f>IF($J237="",0,$K237*MAX(0,MIN(YEAR($C$3)*12+MONTH($C$3)-1,YEAR($I237)*12+MONTH($I237))-(YEAR($H237)*12+MONTH($H237))+1))</f>
        <v/>
      </c>
      <c r="N237" s="50">
        <f>IF(OR($J237="",$B237=""),0,IF(YEAR($B237)*12+MONTH($B237)&lt;=YEAR($C$3)*12+MONTH($C$3),$G237,0))</f>
        <v/>
      </c>
      <c r="O237" s="50">
        <f>IF(OR($J237="",$B237=""),0,IF(YEAR($B237)*12+MONTH($B237)&lt;=YEAR($C$3)*12+MONTH($C$3)-1,$G237,0))</f>
        <v/>
      </c>
      <c r="P237" s="50">
        <f>$M237-$O237</f>
        <v/>
      </c>
      <c r="Q237" s="50">
        <f>($L237-$M237)-($N237-$O237)</f>
        <v/>
      </c>
      <c r="R237" s="50">
        <f>$L237-$N237</f>
        <v/>
      </c>
    </row>
    <row r="238">
      <c r="A238" s="47">
        <f>ROW()-5</f>
        <v/>
      </c>
      <c r="B238" s="48">
        <f>IFERROR(INDEX(tbl_Finance[Date],$A238),"")</f>
        <v/>
      </c>
      <c r="C238" s="49">
        <f>IFERROR(INDEX(tbl_Finance[Xero Invoice No],$A238),"")</f>
        <v/>
      </c>
      <c r="D238" s="49">
        <f>IFERROR(INDEX(tbl_Finance[Client],$A238),"")</f>
        <v/>
      </c>
      <c r="E238" s="49">
        <f>IFERROR(INDEX(tbl_Finance[Job Number],$A238),"")</f>
        <v/>
      </c>
      <c r="F238" s="49">
        <f>IFERROR(INDEX(tbl_Finance[Cost Centre],$A238),"")</f>
        <v/>
      </c>
      <c r="G238" s="50">
        <f>IFERROR(INDEX(tbl_Finance[Ex GST],$A238),"")</f>
        <v/>
      </c>
      <c r="H238" s="48">
        <f>IFERROR(INDEX(tbl_Finance[Defer Start],$A238),"")</f>
        <v/>
      </c>
      <c r="I238" s="48">
        <f>IFERROR(INDEX(tbl_Finance[Defer End],$A238),"")</f>
        <v/>
      </c>
      <c r="J238" s="47">
        <f>IF(OR($H238="",$I238="",$G238=""),"",MAX(1,(YEAR($I238)-YEAR($H238))*12+MONTH($I238)-MONTH($H238)+1))</f>
        <v/>
      </c>
      <c r="K238" s="50">
        <f>IF($J238="","",$G238/$J238)</f>
        <v/>
      </c>
      <c r="L238" s="50">
        <f>IF($J238="",0,$K238*MAX(0,MIN(YEAR($C$3)*12+MONTH($C$3),YEAR($I238)*12+MONTH($I238))-(YEAR($H238)*12+MONTH($H238))+1))</f>
        <v/>
      </c>
      <c r="M238" s="50">
        <f>IF($J238="",0,$K238*MAX(0,MIN(YEAR($C$3)*12+MONTH($C$3)-1,YEAR($I238)*12+MONTH($I238))-(YEAR($H238)*12+MONTH($H238))+1))</f>
        <v/>
      </c>
      <c r="N238" s="50">
        <f>IF(OR($J238="",$B238=""),0,IF(YEAR($B238)*12+MONTH($B238)&lt;=YEAR($C$3)*12+MONTH($C$3),$G238,0))</f>
        <v/>
      </c>
      <c r="O238" s="50">
        <f>IF(OR($J238="",$B238=""),0,IF(YEAR($B238)*12+MONTH($B238)&lt;=YEAR($C$3)*12+MONTH($C$3)-1,$G238,0))</f>
        <v/>
      </c>
      <c r="P238" s="50">
        <f>$M238-$O238</f>
        <v/>
      </c>
      <c r="Q238" s="50">
        <f>($L238-$M238)-($N238-$O238)</f>
        <v/>
      </c>
      <c r="R238" s="50">
        <f>$L238-$N238</f>
        <v/>
      </c>
    </row>
    <row r="239">
      <c r="A239" s="47">
        <f>ROW()-5</f>
        <v/>
      </c>
      <c r="B239" s="48">
        <f>IFERROR(INDEX(tbl_Finance[Date],$A239),"")</f>
        <v/>
      </c>
      <c r="C239" s="49">
        <f>IFERROR(INDEX(tbl_Finance[Xero Invoice No],$A239),"")</f>
        <v/>
      </c>
      <c r="D239" s="49">
        <f>IFERROR(INDEX(tbl_Finance[Client],$A239),"")</f>
        <v/>
      </c>
      <c r="E239" s="49">
        <f>IFERROR(INDEX(tbl_Finance[Job Number],$A239),"")</f>
        <v/>
      </c>
      <c r="F239" s="49">
        <f>IFERROR(INDEX(tbl_Finance[Cost Centre],$A239),"")</f>
        <v/>
      </c>
      <c r="G239" s="50">
        <f>IFERROR(INDEX(tbl_Finance[Ex GST],$A239),"")</f>
        <v/>
      </c>
      <c r="H239" s="48">
        <f>IFERROR(INDEX(tbl_Finance[Defer Start],$A239),"")</f>
        <v/>
      </c>
      <c r="I239" s="48">
        <f>IFERROR(INDEX(tbl_Finance[Defer End],$A239),"")</f>
        <v/>
      </c>
      <c r="J239" s="47">
        <f>IF(OR($H239="",$I239="",$G239=""),"",MAX(1,(YEAR($I239)-YEAR($H239))*12+MONTH($I239)-MONTH($H239)+1))</f>
        <v/>
      </c>
      <c r="K239" s="50">
        <f>IF($J239="","",$G239/$J239)</f>
        <v/>
      </c>
      <c r="L239" s="50">
        <f>IF($J239="",0,$K239*MAX(0,MIN(YEAR($C$3)*12+MONTH($C$3),YEAR($I239)*12+MONTH($I239))-(YEAR($H239)*12+MONTH($H239))+1))</f>
        <v/>
      </c>
      <c r="M239" s="50">
        <f>IF($J239="",0,$K239*MAX(0,MIN(YEAR($C$3)*12+MONTH($C$3)-1,YEAR($I239)*12+MONTH($I239))-(YEAR($H239)*12+MONTH($H239))+1))</f>
        <v/>
      </c>
      <c r="N239" s="50">
        <f>IF(OR($J239="",$B239=""),0,IF(YEAR($B239)*12+MONTH($B239)&lt;=YEAR($C$3)*12+MONTH($C$3),$G239,0))</f>
        <v/>
      </c>
      <c r="O239" s="50">
        <f>IF(OR($J239="",$B239=""),0,IF(YEAR($B239)*12+MONTH($B239)&lt;=YEAR($C$3)*12+MONTH($C$3)-1,$G239,0))</f>
        <v/>
      </c>
      <c r="P239" s="50">
        <f>$M239-$O239</f>
        <v/>
      </c>
      <c r="Q239" s="50">
        <f>($L239-$M239)-($N239-$O239)</f>
        <v/>
      </c>
      <c r="R239" s="50">
        <f>$L239-$N239</f>
        <v/>
      </c>
    </row>
    <row r="240">
      <c r="A240" s="47">
        <f>ROW()-5</f>
        <v/>
      </c>
      <c r="B240" s="48">
        <f>IFERROR(INDEX(tbl_Finance[Date],$A240),"")</f>
        <v/>
      </c>
      <c r="C240" s="49">
        <f>IFERROR(INDEX(tbl_Finance[Xero Invoice No],$A240),"")</f>
        <v/>
      </c>
      <c r="D240" s="49">
        <f>IFERROR(INDEX(tbl_Finance[Client],$A240),"")</f>
        <v/>
      </c>
      <c r="E240" s="49">
        <f>IFERROR(INDEX(tbl_Finance[Job Number],$A240),"")</f>
        <v/>
      </c>
      <c r="F240" s="49">
        <f>IFERROR(INDEX(tbl_Finance[Cost Centre],$A240),"")</f>
        <v/>
      </c>
      <c r="G240" s="50">
        <f>IFERROR(INDEX(tbl_Finance[Ex GST],$A240),"")</f>
        <v/>
      </c>
      <c r="H240" s="48">
        <f>IFERROR(INDEX(tbl_Finance[Defer Start],$A240),"")</f>
        <v/>
      </c>
      <c r="I240" s="48">
        <f>IFERROR(INDEX(tbl_Finance[Defer End],$A240),"")</f>
        <v/>
      </c>
      <c r="J240" s="47">
        <f>IF(OR($H240="",$I240="",$G240=""),"",MAX(1,(YEAR($I240)-YEAR($H240))*12+MONTH($I240)-MONTH($H240)+1))</f>
        <v/>
      </c>
      <c r="K240" s="50">
        <f>IF($J240="","",$G240/$J240)</f>
        <v/>
      </c>
      <c r="L240" s="50">
        <f>IF($J240="",0,$K240*MAX(0,MIN(YEAR($C$3)*12+MONTH($C$3),YEAR($I240)*12+MONTH($I240))-(YEAR($H240)*12+MONTH($H240))+1))</f>
        <v/>
      </c>
      <c r="M240" s="50">
        <f>IF($J240="",0,$K240*MAX(0,MIN(YEAR($C$3)*12+MONTH($C$3)-1,YEAR($I240)*12+MONTH($I240))-(YEAR($H240)*12+MONTH($H240))+1))</f>
        <v/>
      </c>
      <c r="N240" s="50">
        <f>IF(OR($J240="",$B240=""),0,IF(YEAR($B240)*12+MONTH($B240)&lt;=YEAR($C$3)*12+MONTH($C$3),$G240,0))</f>
        <v/>
      </c>
      <c r="O240" s="50">
        <f>IF(OR($J240="",$B240=""),0,IF(YEAR($B240)*12+MONTH($B240)&lt;=YEAR($C$3)*12+MONTH($C$3)-1,$G240,0))</f>
        <v/>
      </c>
      <c r="P240" s="50">
        <f>$M240-$O240</f>
        <v/>
      </c>
      <c r="Q240" s="50">
        <f>($L240-$M240)-($N240-$O240)</f>
        <v/>
      </c>
      <c r="R240" s="50">
        <f>$L240-$N240</f>
        <v/>
      </c>
    </row>
    <row r="241">
      <c r="A241" s="47">
        <f>ROW()-5</f>
        <v/>
      </c>
      <c r="B241" s="48">
        <f>IFERROR(INDEX(tbl_Finance[Date],$A241),"")</f>
        <v/>
      </c>
      <c r="C241" s="49">
        <f>IFERROR(INDEX(tbl_Finance[Xero Invoice No],$A241),"")</f>
        <v/>
      </c>
      <c r="D241" s="49">
        <f>IFERROR(INDEX(tbl_Finance[Client],$A241),"")</f>
        <v/>
      </c>
      <c r="E241" s="49">
        <f>IFERROR(INDEX(tbl_Finance[Job Number],$A241),"")</f>
        <v/>
      </c>
      <c r="F241" s="49">
        <f>IFERROR(INDEX(tbl_Finance[Cost Centre],$A241),"")</f>
        <v/>
      </c>
      <c r="G241" s="50">
        <f>IFERROR(INDEX(tbl_Finance[Ex GST],$A241),"")</f>
        <v/>
      </c>
      <c r="H241" s="48">
        <f>IFERROR(INDEX(tbl_Finance[Defer Start],$A241),"")</f>
        <v/>
      </c>
      <c r="I241" s="48">
        <f>IFERROR(INDEX(tbl_Finance[Defer End],$A241),"")</f>
        <v/>
      </c>
      <c r="J241" s="47">
        <f>IF(OR($H241="",$I241="",$G241=""),"",MAX(1,(YEAR($I241)-YEAR($H241))*12+MONTH($I241)-MONTH($H241)+1))</f>
        <v/>
      </c>
      <c r="K241" s="50">
        <f>IF($J241="","",$G241/$J241)</f>
        <v/>
      </c>
      <c r="L241" s="50">
        <f>IF($J241="",0,$K241*MAX(0,MIN(YEAR($C$3)*12+MONTH($C$3),YEAR($I241)*12+MONTH($I241))-(YEAR($H241)*12+MONTH($H241))+1))</f>
        <v/>
      </c>
      <c r="M241" s="50">
        <f>IF($J241="",0,$K241*MAX(0,MIN(YEAR($C$3)*12+MONTH($C$3)-1,YEAR($I241)*12+MONTH($I241))-(YEAR($H241)*12+MONTH($H241))+1))</f>
        <v/>
      </c>
      <c r="N241" s="50">
        <f>IF(OR($J241="",$B241=""),0,IF(YEAR($B241)*12+MONTH($B241)&lt;=YEAR($C$3)*12+MONTH($C$3),$G241,0))</f>
        <v/>
      </c>
      <c r="O241" s="50">
        <f>IF(OR($J241="",$B241=""),0,IF(YEAR($B241)*12+MONTH($B241)&lt;=YEAR($C$3)*12+MONTH($C$3)-1,$G241,0))</f>
        <v/>
      </c>
      <c r="P241" s="50">
        <f>$M241-$O241</f>
        <v/>
      </c>
      <c r="Q241" s="50">
        <f>($L241-$M241)-($N241-$O241)</f>
        <v/>
      </c>
      <c r="R241" s="50">
        <f>$L241-$N241</f>
        <v/>
      </c>
    </row>
    <row r="242">
      <c r="A242" s="47">
        <f>ROW()-5</f>
        <v/>
      </c>
      <c r="B242" s="48">
        <f>IFERROR(INDEX(tbl_Finance[Date],$A242),"")</f>
        <v/>
      </c>
      <c r="C242" s="49">
        <f>IFERROR(INDEX(tbl_Finance[Xero Invoice No],$A242),"")</f>
        <v/>
      </c>
      <c r="D242" s="49">
        <f>IFERROR(INDEX(tbl_Finance[Client],$A242),"")</f>
        <v/>
      </c>
      <c r="E242" s="49">
        <f>IFERROR(INDEX(tbl_Finance[Job Number],$A242),"")</f>
        <v/>
      </c>
      <c r="F242" s="49">
        <f>IFERROR(INDEX(tbl_Finance[Cost Centre],$A242),"")</f>
        <v/>
      </c>
      <c r="G242" s="50">
        <f>IFERROR(INDEX(tbl_Finance[Ex GST],$A242),"")</f>
        <v/>
      </c>
      <c r="H242" s="48">
        <f>IFERROR(INDEX(tbl_Finance[Defer Start],$A242),"")</f>
        <v/>
      </c>
      <c r="I242" s="48">
        <f>IFERROR(INDEX(tbl_Finance[Defer End],$A242),"")</f>
        <v/>
      </c>
      <c r="J242" s="47">
        <f>IF(OR($H242="",$I242="",$G242=""),"",MAX(1,(YEAR($I242)-YEAR($H242))*12+MONTH($I242)-MONTH($H242)+1))</f>
        <v/>
      </c>
      <c r="K242" s="50">
        <f>IF($J242="","",$G242/$J242)</f>
        <v/>
      </c>
      <c r="L242" s="50">
        <f>IF($J242="",0,$K242*MAX(0,MIN(YEAR($C$3)*12+MONTH($C$3),YEAR($I242)*12+MONTH($I242))-(YEAR($H242)*12+MONTH($H242))+1))</f>
        <v/>
      </c>
      <c r="M242" s="50">
        <f>IF($J242="",0,$K242*MAX(0,MIN(YEAR($C$3)*12+MONTH($C$3)-1,YEAR($I242)*12+MONTH($I242))-(YEAR($H242)*12+MONTH($H242))+1))</f>
        <v/>
      </c>
      <c r="N242" s="50">
        <f>IF(OR($J242="",$B242=""),0,IF(YEAR($B242)*12+MONTH($B242)&lt;=YEAR($C$3)*12+MONTH($C$3),$G242,0))</f>
        <v/>
      </c>
      <c r="O242" s="50">
        <f>IF(OR($J242="",$B242=""),0,IF(YEAR($B242)*12+MONTH($B242)&lt;=YEAR($C$3)*12+MONTH($C$3)-1,$G242,0))</f>
        <v/>
      </c>
      <c r="P242" s="50">
        <f>$M242-$O242</f>
        <v/>
      </c>
      <c r="Q242" s="50">
        <f>($L242-$M242)-($N242-$O242)</f>
        <v/>
      </c>
      <c r="R242" s="50">
        <f>$L242-$N242</f>
        <v/>
      </c>
    </row>
    <row r="243">
      <c r="A243" s="47">
        <f>ROW()-5</f>
        <v/>
      </c>
      <c r="B243" s="48">
        <f>IFERROR(INDEX(tbl_Finance[Date],$A243),"")</f>
        <v/>
      </c>
      <c r="C243" s="49">
        <f>IFERROR(INDEX(tbl_Finance[Xero Invoice No],$A243),"")</f>
        <v/>
      </c>
      <c r="D243" s="49">
        <f>IFERROR(INDEX(tbl_Finance[Client],$A243),"")</f>
        <v/>
      </c>
      <c r="E243" s="49">
        <f>IFERROR(INDEX(tbl_Finance[Job Number],$A243),"")</f>
        <v/>
      </c>
      <c r="F243" s="49">
        <f>IFERROR(INDEX(tbl_Finance[Cost Centre],$A243),"")</f>
        <v/>
      </c>
      <c r="G243" s="50">
        <f>IFERROR(INDEX(tbl_Finance[Ex GST],$A243),"")</f>
        <v/>
      </c>
      <c r="H243" s="48">
        <f>IFERROR(INDEX(tbl_Finance[Defer Start],$A243),"")</f>
        <v/>
      </c>
      <c r="I243" s="48">
        <f>IFERROR(INDEX(tbl_Finance[Defer End],$A243),"")</f>
        <v/>
      </c>
      <c r="J243" s="47">
        <f>IF(OR($H243="",$I243="",$G243=""),"",MAX(1,(YEAR($I243)-YEAR($H243))*12+MONTH($I243)-MONTH($H243)+1))</f>
        <v/>
      </c>
      <c r="K243" s="50">
        <f>IF($J243="","",$G243/$J243)</f>
        <v/>
      </c>
      <c r="L243" s="50">
        <f>IF($J243="",0,$K243*MAX(0,MIN(YEAR($C$3)*12+MONTH($C$3),YEAR($I243)*12+MONTH($I243))-(YEAR($H243)*12+MONTH($H243))+1))</f>
        <v/>
      </c>
      <c r="M243" s="50">
        <f>IF($J243="",0,$K243*MAX(0,MIN(YEAR($C$3)*12+MONTH($C$3)-1,YEAR($I243)*12+MONTH($I243))-(YEAR($H243)*12+MONTH($H243))+1))</f>
        <v/>
      </c>
      <c r="N243" s="50">
        <f>IF(OR($J243="",$B243=""),0,IF(YEAR($B243)*12+MONTH($B243)&lt;=YEAR($C$3)*12+MONTH($C$3),$G243,0))</f>
        <v/>
      </c>
      <c r="O243" s="50">
        <f>IF(OR($J243="",$B243=""),0,IF(YEAR($B243)*12+MONTH($B243)&lt;=YEAR($C$3)*12+MONTH($C$3)-1,$G243,0))</f>
        <v/>
      </c>
      <c r="P243" s="50">
        <f>$M243-$O243</f>
        <v/>
      </c>
      <c r="Q243" s="50">
        <f>($L243-$M243)-($N243-$O243)</f>
        <v/>
      </c>
      <c r="R243" s="50">
        <f>$L243-$N243</f>
        <v/>
      </c>
    </row>
    <row r="244">
      <c r="A244" s="47">
        <f>ROW()-5</f>
        <v/>
      </c>
      <c r="B244" s="48">
        <f>IFERROR(INDEX(tbl_Finance[Date],$A244),"")</f>
        <v/>
      </c>
      <c r="C244" s="49">
        <f>IFERROR(INDEX(tbl_Finance[Xero Invoice No],$A244),"")</f>
        <v/>
      </c>
      <c r="D244" s="49">
        <f>IFERROR(INDEX(tbl_Finance[Client],$A244),"")</f>
        <v/>
      </c>
      <c r="E244" s="49">
        <f>IFERROR(INDEX(tbl_Finance[Job Number],$A244),"")</f>
        <v/>
      </c>
      <c r="F244" s="49">
        <f>IFERROR(INDEX(tbl_Finance[Cost Centre],$A244),"")</f>
        <v/>
      </c>
      <c r="G244" s="50">
        <f>IFERROR(INDEX(tbl_Finance[Ex GST],$A244),"")</f>
        <v/>
      </c>
      <c r="H244" s="48">
        <f>IFERROR(INDEX(tbl_Finance[Defer Start],$A244),"")</f>
        <v/>
      </c>
      <c r="I244" s="48">
        <f>IFERROR(INDEX(tbl_Finance[Defer End],$A244),"")</f>
        <v/>
      </c>
      <c r="J244" s="47">
        <f>IF(OR($H244="",$I244="",$G244=""),"",MAX(1,(YEAR($I244)-YEAR($H244))*12+MONTH($I244)-MONTH($H244)+1))</f>
        <v/>
      </c>
      <c r="K244" s="50">
        <f>IF($J244="","",$G244/$J244)</f>
        <v/>
      </c>
      <c r="L244" s="50">
        <f>IF($J244="",0,$K244*MAX(0,MIN(YEAR($C$3)*12+MONTH($C$3),YEAR($I244)*12+MONTH($I244))-(YEAR($H244)*12+MONTH($H244))+1))</f>
        <v/>
      </c>
      <c r="M244" s="50">
        <f>IF($J244="",0,$K244*MAX(0,MIN(YEAR($C$3)*12+MONTH($C$3)-1,YEAR($I244)*12+MONTH($I244))-(YEAR($H244)*12+MONTH($H244))+1))</f>
        <v/>
      </c>
      <c r="N244" s="50">
        <f>IF(OR($J244="",$B244=""),0,IF(YEAR($B244)*12+MONTH($B244)&lt;=YEAR($C$3)*12+MONTH($C$3),$G244,0))</f>
        <v/>
      </c>
      <c r="O244" s="50">
        <f>IF(OR($J244="",$B244=""),0,IF(YEAR($B244)*12+MONTH($B244)&lt;=YEAR($C$3)*12+MONTH($C$3)-1,$G244,0))</f>
        <v/>
      </c>
      <c r="P244" s="50">
        <f>$M244-$O244</f>
        <v/>
      </c>
      <c r="Q244" s="50">
        <f>($L244-$M244)-($N244-$O244)</f>
        <v/>
      </c>
      <c r="R244" s="50">
        <f>$L244-$N244</f>
        <v/>
      </c>
    </row>
    <row r="245">
      <c r="A245" s="47">
        <f>ROW()-5</f>
        <v/>
      </c>
      <c r="B245" s="48">
        <f>IFERROR(INDEX(tbl_Finance[Date],$A245),"")</f>
        <v/>
      </c>
      <c r="C245" s="49">
        <f>IFERROR(INDEX(tbl_Finance[Xero Invoice No],$A245),"")</f>
        <v/>
      </c>
      <c r="D245" s="49">
        <f>IFERROR(INDEX(tbl_Finance[Client],$A245),"")</f>
        <v/>
      </c>
      <c r="E245" s="49">
        <f>IFERROR(INDEX(tbl_Finance[Job Number],$A245),"")</f>
        <v/>
      </c>
      <c r="F245" s="49">
        <f>IFERROR(INDEX(tbl_Finance[Cost Centre],$A245),"")</f>
        <v/>
      </c>
      <c r="G245" s="50">
        <f>IFERROR(INDEX(tbl_Finance[Ex GST],$A245),"")</f>
        <v/>
      </c>
      <c r="H245" s="48">
        <f>IFERROR(INDEX(tbl_Finance[Defer Start],$A245),"")</f>
        <v/>
      </c>
      <c r="I245" s="48">
        <f>IFERROR(INDEX(tbl_Finance[Defer End],$A245),"")</f>
        <v/>
      </c>
      <c r="J245" s="47">
        <f>IF(OR($H245="",$I245="",$G245=""),"",MAX(1,(YEAR($I245)-YEAR($H245))*12+MONTH($I245)-MONTH($H245)+1))</f>
        <v/>
      </c>
      <c r="K245" s="50">
        <f>IF($J245="","",$G245/$J245)</f>
        <v/>
      </c>
      <c r="L245" s="50">
        <f>IF($J245="",0,$K245*MAX(0,MIN(YEAR($C$3)*12+MONTH($C$3),YEAR($I245)*12+MONTH($I245))-(YEAR($H245)*12+MONTH($H245))+1))</f>
        <v/>
      </c>
      <c r="M245" s="50">
        <f>IF($J245="",0,$K245*MAX(0,MIN(YEAR($C$3)*12+MONTH($C$3)-1,YEAR($I245)*12+MONTH($I245))-(YEAR($H245)*12+MONTH($H245))+1))</f>
        <v/>
      </c>
      <c r="N245" s="50">
        <f>IF(OR($J245="",$B245=""),0,IF(YEAR($B245)*12+MONTH($B245)&lt;=YEAR($C$3)*12+MONTH($C$3),$G245,0))</f>
        <v/>
      </c>
      <c r="O245" s="50">
        <f>IF(OR($J245="",$B245=""),0,IF(YEAR($B245)*12+MONTH($B245)&lt;=YEAR($C$3)*12+MONTH($C$3)-1,$G245,0))</f>
        <v/>
      </c>
      <c r="P245" s="50">
        <f>$M245-$O245</f>
        <v/>
      </c>
      <c r="Q245" s="50">
        <f>($L245-$M245)-($N245-$O245)</f>
        <v/>
      </c>
      <c r="R245" s="50">
        <f>$L245-$N245</f>
        <v/>
      </c>
    </row>
    <row r="246">
      <c r="A246" s="47">
        <f>ROW()-5</f>
        <v/>
      </c>
      <c r="B246" s="48">
        <f>IFERROR(INDEX(tbl_Finance[Date],$A246),"")</f>
        <v/>
      </c>
      <c r="C246" s="49">
        <f>IFERROR(INDEX(tbl_Finance[Xero Invoice No],$A246),"")</f>
        <v/>
      </c>
      <c r="D246" s="49">
        <f>IFERROR(INDEX(tbl_Finance[Client],$A246),"")</f>
        <v/>
      </c>
      <c r="E246" s="49">
        <f>IFERROR(INDEX(tbl_Finance[Job Number],$A246),"")</f>
        <v/>
      </c>
      <c r="F246" s="49">
        <f>IFERROR(INDEX(tbl_Finance[Cost Centre],$A246),"")</f>
        <v/>
      </c>
      <c r="G246" s="50">
        <f>IFERROR(INDEX(tbl_Finance[Ex GST],$A246),"")</f>
        <v/>
      </c>
      <c r="H246" s="48">
        <f>IFERROR(INDEX(tbl_Finance[Defer Start],$A246),"")</f>
        <v/>
      </c>
      <c r="I246" s="48">
        <f>IFERROR(INDEX(tbl_Finance[Defer End],$A246),"")</f>
        <v/>
      </c>
      <c r="J246" s="47">
        <f>IF(OR($H246="",$I246="",$G246=""),"",MAX(1,(YEAR($I246)-YEAR($H246))*12+MONTH($I246)-MONTH($H246)+1))</f>
        <v/>
      </c>
      <c r="K246" s="50">
        <f>IF($J246="","",$G246/$J246)</f>
        <v/>
      </c>
      <c r="L246" s="50">
        <f>IF($J246="",0,$K246*MAX(0,MIN(YEAR($C$3)*12+MONTH($C$3),YEAR($I246)*12+MONTH($I246))-(YEAR($H246)*12+MONTH($H246))+1))</f>
        <v/>
      </c>
      <c r="M246" s="50">
        <f>IF($J246="",0,$K246*MAX(0,MIN(YEAR($C$3)*12+MONTH($C$3)-1,YEAR($I246)*12+MONTH($I246))-(YEAR($H246)*12+MONTH($H246))+1))</f>
        <v/>
      </c>
      <c r="N246" s="50">
        <f>IF(OR($J246="",$B246=""),0,IF(YEAR($B246)*12+MONTH($B246)&lt;=YEAR($C$3)*12+MONTH($C$3),$G246,0))</f>
        <v/>
      </c>
      <c r="O246" s="50">
        <f>IF(OR($J246="",$B246=""),0,IF(YEAR($B246)*12+MONTH($B246)&lt;=YEAR($C$3)*12+MONTH($C$3)-1,$G246,0))</f>
        <v/>
      </c>
      <c r="P246" s="50">
        <f>$M246-$O246</f>
        <v/>
      </c>
      <c r="Q246" s="50">
        <f>($L246-$M246)-($N246-$O246)</f>
        <v/>
      </c>
      <c r="R246" s="50">
        <f>$L246-$N246</f>
        <v/>
      </c>
    </row>
    <row r="247">
      <c r="A247" s="47">
        <f>ROW()-5</f>
        <v/>
      </c>
      <c r="B247" s="48">
        <f>IFERROR(INDEX(tbl_Finance[Date],$A247),"")</f>
        <v/>
      </c>
      <c r="C247" s="49">
        <f>IFERROR(INDEX(tbl_Finance[Xero Invoice No],$A247),"")</f>
        <v/>
      </c>
      <c r="D247" s="49">
        <f>IFERROR(INDEX(tbl_Finance[Client],$A247),"")</f>
        <v/>
      </c>
      <c r="E247" s="49">
        <f>IFERROR(INDEX(tbl_Finance[Job Number],$A247),"")</f>
        <v/>
      </c>
      <c r="F247" s="49">
        <f>IFERROR(INDEX(tbl_Finance[Cost Centre],$A247),"")</f>
        <v/>
      </c>
      <c r="G247" s="50">
        <f>IFERROR(INDEX(tbl_Finance[Ex GST],$A247),"")</f>
        <v/>
      </c>
      <c r="H247" s="48">
        <f>IFERROR(INDEX(tbl_Finance[Defer Start],$A247),"")</f>
        <v/>
      </c>
      <c r="I247" s="48">
        <f>IFERROR(INDEX(tbl_Finance[Defer End],$A247),"")</f>
        <v/>
      </c>
      <c r="J247" s="47">
        <f>IF(OR($H247="",$I247="",$G247=""),"",MAX(1,(YEAR($I247)-YEAR($H247))*12+MONTH($I247)-MONTH($H247)+1))</f>
        <v/>
      </c>
      <c r="K247" s="50">
        <f>IF($J247="","",$G247/$J247)</f>
        <v/>
      </c>
      <c r="L247" s="50">
        <f>IF($J247="",0,$K247*MAX(0,MIN(YEAR($C$3)*12+MONTH($C$3),YEAR($I247)*12+MONTH($I247))-(YEAR($H247)*12+MONTH($H247))+1))</f>
        <v/>
      </c>
      <c r="M247" s="50">
        <f>IF($J247="",0,$K247*MAX(0,MIN(YEAR($C$3)*12+MONTH($C$3)-1,YEAR($I247)*12+MONTH($I247))-(YEAR($H247)*12+MONTH($H247))+1))</f>
        <v/>
      </c>
      <c r="N247" s="50">
        <f>IF(OR($J247="",$B247=""),0,IF(YEAR($B247)*12+MONTH($B247)&lt;=YEAR($C$3)*12+MONTH($C$3),$G247,0))</f>
        <v/>
      </c>
      <c r="O247" s="50">
        <f>IF(OR($J247="",$B247=""),0,IF(YEAR($B247)*12+MONTH($B247)&lt;=YEAR($C$3)*12+MONTH($C$3)-1,$G247,0))</f>
        <v/>
      </c>
      <c r="P247" s="50">
        <f>$M247-$O247</f>
        <v/>
      </c>
      <c r="Q247" s="50">
        <f>($L247-$M247)-($N247-$O247)</f>
        <v/>
      </c>
      <c r="R247" s="50">
        <f>$L247-$N247</f>
        <v/>
      </c>
    </row>
    <row r="248">
      <c r="A248" s="47">
        <f>ROW()-5</f>
        <v/>
      </c>
      <c r="B248" s="48">
        <f>IFERROR(INDEX(tbl_Finance[Date],$A248),"")</f>
        <v/>
      </c>
      <c r="C248" s="49">
        <f>IFERROR(INDEX(tbl_Finance[Xero Invoice No],$A248),"")</f>
        <v/>
      </c>
      <c r="D248" s="49">
        <f>IFERROR(INDEX(tbl_Finance[Client],$A248),"")</f>
        <v/>
      </c>
      <c r="E248" s="49">
        <f>IFERROR(INDEX(tbl_Finance[Job Number],$A248),"")</f>
        <v/>
      </c>
      <c r="F248" s="49">
        <f>IFERROR(INDEX(tbl_Finance[Cost Centre],$A248),"")</f>
        <v/>
      </c>
      <c r="G248" s="50">
        <f>IFERROR(INDEX(tbl_Finance[Ex GST],$A248),"")</f>
        <v/>
      </c>
      <c r="H248" s="48">
        <f>IFERROR(INDEX(tbl_Finance[Defer Start],$A248),"")</f>
        <v/>
      </c>
      <c r="I248" s="48">
        <f>IFERROR(INDEX(tbl_Finance[Defer End],$A248),"")</f>
        <v/>
      </c>
      <c r="J248" s="47">
        <f>IF(OR($H248="",$I248="",$G248=""),"",MAX(1,(YEAR($I248)-YEAR($H248))*12+MONTH($I248)-MONTH($H248)+1))</f>
        <v/>
      </c>
      <c r="K248" s="50">
        <f>IF($J248="","",$G248/$J248)</f>
        <v/>
      </c>
      <c r="L248" s="50">
        <f>IF($J248="",0,$K248*MAX(0,MIN(YEAR($C$3)*12+MONTH($C$3),YEAR($I248)*12+MONTH($I248))-(YEAR($H248)*12+MONTH($H248))+1))</f>
        <v/>
      </c>
      <c r="M248" s="50">
        <f>IF($J248="",0,$K248*MAX(0,MIN(YEAR($C$3)*12+MONTH($C$3)-1,YEAR($I248)*12+MONTH($I248))-(YEAR($H248)*12+MONTH($H248))+1))</f>
        <v/>
      </c>
      <c r="N248" s="50">
        <f>IF(OR($J248="",$B248=""),0,IF(YEAR($B248)*12+MONTH($B248)&lt;=YEAR($C$3)*12+MONTH($C$3),$G248,0))</f>
        <v/>
      </c>
      <c r="O248" s="50">
        <f>IF(OR($J248="",$B248=""),0,IF(YEAR($B248)*12+MONTH($B248)&lt;=YEAR($C$3)*12+MONTH($C$3)-1,$G248,0))</f>
        <v/>
      </c>
      <c r="P248" s="50">
        <f>$M248-$O248</f>
        <v/>
      </c>
      <c r="Q248" s="50">
        <f>($L248-$M248)-($N248-$O248)</f>
        <v/>
      </c>
      <c r="R248" s="50">
        <f>$L248-$N248</f>
        <v/>
      </c>
    </row>
    <row r="249">
      <c r="A249" s="47">
        <f>ROW()-5</f>
        <v/>
      </c>
      <c r="B249" s="48">
        <f>IFERROR(INDEX(tbl_Finance[Date],$A249),"")</f>
        <v/>
      </c>
      <c r="C249" s="49">
        <f>IFERROR(INDEX(tbl_Finance[Xero Invoice No],$A249),"")</f>
        <v/>
      </c>
      <c r="D249" s="49">
        <f>IFERROR(INDEX(tbl_Finance[Client],$A249),"")</f>
        <v/>
      </c>
      <c r="E249" s="49">
        <f>IFERROR(INDEX(tbl_Finance[Job Number],$A249),"")</f>
        <v/>
      </c>
      <c r="F249" s="49">
        <f>IFERROR(INDEX(tbl_Finance[Cost Centre],$A249),"")</f>
        <v/>
      </c>
      <c r="G249" s="50">
        <f>IFERROR(INDEX(tbl_Finance[Ex GST],$A249),"")</f>
        <v/>
      </c>
      <c r="H249" s="48">
        <f>IFERROR(INDEX(tbl_Finance[Defer Start],$A249),"")</f>
        <v/>
      </c>
      <c r="I249" s="48">
        <f>IFERROR(INDEX(tbl_Finance[Defer End],$A249),"")</f>
        <v/>
      </c>
      <c r="J249" s="47">
        <f>IF(OR($H249="",$I249="",$G249=""),"",MAX(1,(YEAR($I249)-YEAR($H249))*12+MONTH($I249)-MONTH($H249)+1))</f>
        <v/>
      </c>
      <c r="K249" s="50">
        <f>IF($J249="","",$G249/$J249)</f>
        <v/>
      </c>
      <c r="L249" s="50">
        <f>IF($J249="",0,$K249*MAX(0,MIN(YEAR($C$3)*12+MONTH($C$3),YEAR($I249)*12+MONTH($I249))-(YEAR($H249)*12+MONTH($H249))+1))</f>
        <v/>
      </c>
      <c r="M249" s="50">
        <f>IF($J249="",0,$K249*MAX(0,MIN(YEAR($C$3)*12+MONTH($C$3)-1,YEAR($I249)*12+MONTH($I249))-(YEAR($H249)*12+MONTH($H249))+1))</f>
        <v/>
      </c>
      <c r="N249" s="50">
        <f>IF(OR($J249="",$B249=""),0,IF(YEAR($B249)*12+MONTH($B249)&lt;=YEAR($C$3)*12+MONTH($C$3),$G249,0))</f>
        <v/>
      </c>
      <c r="O249" s="50">
        <f>IF(OR($J249="",$B249=""),0,IF(YEAR($B249)*12+MONTH($B249)&lt;=YEAR($C$3)*12+MONTH($C$3)-1,$G249,0))</f>
        <v/>
      </c>
      <c r="P249" s="50">
        <f>$M249-$O249</f>
        <v/>
      </c>
      <c r="Q249" s="50">
        <f>($L249-$M249)-($N249-$O249)</f>
        <v/>
      </c>
      <c r="R249" s="50">
        <f>$L249-$N249</f>
        <v/>
      </c>
    </row>
    <row r="250">
      <c r="A250" s="47">
        <f>ROW()-5</f>
        <v/>
      </c>
      <c r="B250" s="48">
        <f>IFERROR(INDEX(tbl_Finance[Date],$A250),"")</f>
        <v/>
      </c>
      <c r="C250" s="49">
        <f>IFERROR(INDEX(tbl_Finance[Xero Invoice No],$A250),"")</f>
        <v/>
      </c>
      <c r="D250" s="49">
        <f>IFERROR(INDEX(tbl_Finance[Client],$A250),"")</f>
        <v/>
      </c>
      <c r="E250" s="49">
        <f>IFERROR(INDEX(tbl_Finance[Job Number],$A250),"")</f>
        <v/>
      </c>
      <c r="F250" s="49">
        <f>IFERROR(INDEX(tbl_Finance[Cost Centre],$A250),"")</f>
        <v/>
      </c>
      <c r="G250" s="50">
        <f>IFERROR(INDEX(tbl_Finance[Ex GST],$A250),"")</f>
        <v/>
      </c>
      <c r="H250" s="48">
        <f>IFERROR(INDEX(tbl_Finance[Defer Start],$A250),"")</f>
        <v/>
      </c>
      <c r="I250" s="48">
        <f>IFERROR(INDEX(tbl_Finance[Defer End],$A250),"")</f>
        <v/>
      </c>
      <c r="J250" s="47">
        <f>IF(OR($H250="",$I250="",$G250=""),"",MAX(1,(YEAR($I250)-YEAR($H250))*12+MONTH($I250)-MONTH($H250)+1))</f>
        <v/>
      </c>
      <c r="K250" s="50">
        <f>IF($J250="","",$G250/$J250)</f>
        <v/>
      </c>
      <c r="L250" s="50">
        <f>IF($J250="",0,$K250*MAX(0,MIN(YEAR($C$3)*12+MONTH($C$3),YEAR($I250)*12+MONTH($I250))-(YEAR($H250)*12+MONTH($H250))+1))</f>
        <v/>
      </c>
      <c r="M250" s="50">
        <f>IF($J250="",0,$K250*MAX(0,MIN(YEAR($C$3)*12+MONTH($C$3)-1,YEAR($I250)*12+MONTH($I250))-(YEAR($H250)*12+MONTH($H250))+1))</f>
        <v/>
      </c>
      <c r="N250" s="50">
        <f>IF(OR($J250="",$B250=""),0,IF(YEAR($B250)*12+MONTH($B250)&lt;=YEAR($C$3)*12+MONTH($C$3),$G250,0))</f>
        <v/>
      </c>
      <c r="O250" s="50">
        <f>IF(OR($J250="",$B250=""),0,IF(YEAR($B250)*12+MONTH($B250)&lt;=YEAR($C$3)*12+MONTH($C$3)-1,$G250,0))</f>
        <v/>
      </c>
      <c r="P250" s="50">
        <f>$M250-$O250</f>
        <v/>
      </c>
      <c r="Q250" s="50">
        <f>($L250-$M250)-($N250-$O250)</f>
        <v/>
      </c>
      <c r="R250" s="50">
        <f>$L250-$N250</f>
        <v/>
      </c>
    </row>
    <row r="251">
      <c r="A251" s="47">
        <f>ROW()-5</f>
        <v/>
      </c>
      <c r="B251" s="48">
        <f>IFERROR(INDEX(tbl_Finance[Date],$A251),"")</f>
        <v/>
      </c>
      <c r="C251" s="49">
        <f>IFERROR(INDEX(tbl_Finance[Xero Invoice No],$A251),"")</f>
        <v/>
      </c>
      <c r="D251" s="49">
        <f>IFERROR(INDEX(tbl_Finance[Client],$A251),"")</f>
        <v/>
      </c>
      <c r="E251" s="49">
        <f>IFERROR(INDEX(tbl_Finance[Job Number],$A251),"")</f>
        <v/>
      </c>
      <c r="F251" s="49">
        <f>IFERROR(INDEX(tbl_Finance[Cost Centre],$A251),"")</f>
        <v/>
      </c>
      <c r="G251" s="50">
        <f>IFERROR(INDEX(tbl_Finance[Ex GST],$A251),"")</f>
        <v/>
      </c>
      <c r="H251" s="48">
        <f>IFERROR(INDEX(tbl_Finance[Defer Start],$A251),"")</f>
        <v/>
      </c>
      <c r="I251" s="48">
        <f>IFERROR(INDEX(tbl_Finance[Defer End],$A251),"")</f>
        <v/>
      </c>
      <c r="J251" s="47">
        <f>IF(OR($H251="",$I251="",$G251=""),"",MAX(1,(YEAR($I251)-YEAR($H251))*12+MONTH($I251)-MONTH($H251)+1))</f>
        <v/>
      </c>
      <c r="K251" s="50">
        <f>IF($J251="","",$G251/$J251)</f>
        <v/>
      </c>
      <c r="L251" s="50">
        <f>IF($J251="",0,$K251*MAX(0,MIN(YEAR($C$3)*12+MONTH($C$3),YEAR($I251)*12+MONTH($I251))-(YEAR($H251)*12+MONTH($H251))+1))</f>
        <v/>
      </c>
      <c r="M251" s="50">
        <f>IF($J251="",0,$K251*MAX(0,MIN(YEAR($C$3)*12+MONTH($C$3)-1,YEAR($I251)*12+MONTH($I251))-(YEAR($H251)*12+MONTH($H251))+1))</f>
        <v/>
      </c>
      <c r="N251" s="50">
        <f>IF(OR($J251="",$B251=""),0,IF(YEAR($B251)*12+MONTH($B251)&lt;=YEAR($C$3)*12+MONTH($C$3),$G251,0))</f>
        <v/>
      </c>
      <c r="O251" s="50">
        <f>IF(OR($J251="",$B251=""),0,IF(YEAR($B251)*12+MONTH($B251)&lt;=YEAR($C$3)*12+MONTH($C$3)-1,$G251,0))</f>
        <v/>
      </c>
      <c r="P251" s="50">
        <f>$M251-$O251</f>
        <v/>
      </c>
      <c r="Q251" s="50">
        <f>($L251-$M251)-($N251-$O251)</f>
        <v/>
      </c>
      <c r="R251" s="50">
        <f>$L251-$N251</f>
        <v/>
      </c>
    </row>
    <row r="252">
      <c r="A252" s="47">
        <f>ROW()-5</f>
        <v/>
      </c>
      <c r="B252" s="48">
        <f>IFERROR(INDEX(tbl_Finance[Date],$A252),"")</f>
        <v/>
      </c>
      <c r="C252" s="49">
        <f>IFERROR(INDEX(tbl_Finance[Xero Invoice No],$A252),"")</f>
        <v/>
      </c>
      <c r="D252" s="49">
        <f>IFERROR(INDEX(tbl_Finance[Client],$A252),"")</f>
        <v/>
      </c>
      <c r="E252" s="49">
        <f>IFERROR(INDEX(tbl_Finance[Job Number],$A252),"")</f>
        <v/>
      </c>
      <c r="F252" s="49">
        <f>IFERROR(INDEX(tbl_Finance[Cost Centre],$A252),"")</f>
        <v/>
      </c>
      <c r="G252" s="50">
        <f>IFERROR(INDEX(tbl_Finance[Ex GST],$A252),"")</f>
        <v/>
      </c>
      <c r="H252" s="48">
        <f>IFERROR(INDEX(tbl_Finance[Defer Start],$A252),"")</f>
        <v/>
      </c>
      <c r="I252" s="48">
        <f>IFERROR(INDEX(tbl_Finance[Defer End],$A252),"")</f>
        <v/>
      </c>
      <c r="J252" s="47">
        <f>IF(OR($H252="",$I252="",$G252=""),"",MAX(1,(YEAR($I252)-YEAR($H252))*12+MONTH($I252)-MONTH($H252)+1))</f>
        <v/>
      </c>
      <c r="K252" s="50">
        <f>IF($J252="","",$G252/$J252)</f>
        <v/>
      </c>
      <c r="L252" s="50">
        <f>IF($J252="",0,$K252*MAX(0,MIN(YEAR($C$3)*12+MONTH($C$3),YEAR($I252)*12+MONTH($I252))-(YEAR($H252)*12+MONTH($H252))+1))</f>
        <v/>
      </c>
      <c r="M252" s="50">
        <f>IF($J252="",0,$K252*MAX(0,MIN(YEAR($C$3)*12+MONTH($C$3)-1,YEAR($I252)*12+MONTH($I252))-(YEAR($H252)*12+MONTH($H252))+1))</f>
        <v/>
      </c>
      <c r="N252" s="50">
        <f>IF(OR($J252="",$B252=""),0,IF(YEAR($B252)*12+MONTH($B252)&lt;=YEAR($C$3)*12+MONTH($C$3),$G252,0))</f>
        <v/>
      </c>
      <c r="O252" s="50">
        <f>IF(OR($J252="",$B252=""),0,IF(YEAR($B252)*12+MONTH($B252)&lt;=YEAR($C$3)*12+MONTH($C$3)-1,$G252,0))</f>
        <v/>
      </c>
      <c r="P252" s="50">
        <f>$M252-$O252</f>
        <v/>
      </c>
      <c r="Q252" s="50">
        <f>($L252-$M252)-($N252-$O252)</f>
        <v/>
      </c>
      <c r="R252" s="50">
        <f>$L252-$N252</f>
        <v/>
      </c>
    </row>
    <row r="253">
      <c r="A253" s="47">
        <f>ROW()-5</f>
        <v/>
      </c>
      <c r="B253" s="48">
        <f>IFERROR(INDEX(tbl_Finance[Date],$A253),"")</f>
        <v/>
      </c>
      <c r="C253" s="49">
        <f>IFERROR(INDEX(tbl_Finance[Xero Invoice No],$A253),"")</f>
        <v/>
      </c>
      <c r="D253" s="49">
        <f>IFERROR(INDEX(tbl_Finance[Client],$A253),"")</f>
        <v/>
      </c>
      <c r="E253" s="49">
        <f>IFERROR(INDEX(tbl_Finance[Job Number],$A253),"")</f>
        <v/>
      </c>
      <c r="F253" s="49">
        <f>IFERROR(INDEX(tbl_Finance[Cost Centre],$A253),"")</f>
        <v/>
      </c>
      <c r="G253" s="50">
        <f>IFERROR(INDEX(tbl_Finance[Ex GST],$A253),"")</f>
        <v/>
      </c>
      <c r="H253" s="48">
        <f>IFERROR(INDEX(tbl_Finance[Defer Start],$A253),"")</f>
        <v/>
      </c>
      <c r="I253" s="48">
        <f>IFERROR(INDEX(tbl_Finance[Defer End],$A253),"")</f>
        <v/>
      </c>
      <c r="J253" s="47">
        <f>IF(OR($H253="",$I253="",$G253=""),"",MAX(1,(YEAR($I253)-YEAR($H253))*12+MONTH($I253)-MONTH($H253)+1))</f>
        <v/>
      </c>
      <c r="K253" s="50">
        <f>IF($J253="","",$G253/$J253)</f>
        <v/>
      </c>
      <c r="L253" s="50">
        <f>IF($J253="",0,$K253*MAX(0,MIN(YEAR($C$3)*12+MONTH($C$3),YEAR($I253)*12+MONTH($I253))-(YEAR($H253)*12+MONTH($H253))+1))</f>
        <v/>
      </c>
      <c r="M253" s="50">
        <f>IF($J253="",0,$K253*MAX(0,MIN(YEAR($C$3)*12+MONTH($C$3)-1,YEAR($I253)*12+MONTH($I253))-(YEAR($H253)*12+MONTH($H253))+1))</f>
        <v/>
      </c>
      <c r="N253" s="50">
        <f>IF(OR($J253="",$B253=""),0,IF(YEAR($B253)*12+MONTH($B253)&lt;=YEAR($C$3)*12+MONTH($C$3),$G253,0))</f>
        <v/>
      </c>
      <c r="O253" s="50">
        <f>IF(OR($J253="",$B253=""),0,IF(YEAR($B253)*12+MONTH($B253)&lt;=YEAR($C$3)*12+MONTH($C$3)-1,$G253,0))</f>
        <v/>
      </c>
      <c r="P253" s="50">
        <f>$M253-$O253</f>
        <v/>
      </c>
      <c r="Q253" s="50">
        <f>($L253-$M253)-($N253-$O253)</f>
        <v/>
      </c>
      <c r="R253" s="50">
        <f>$L253-$N253</f>
        <v/>
      </c>
    </row>
    <row r="254">
      <c r="A254" s="47">
        <f>ROW()-5</f>
        <v/>
      </c>
      <c r="B254" s="48">
        <f>IFERROR(INDEX(tbl_Finance[Date],$A254),"")</f>
        <v/>
      </c>
      <c r="C254" s="49">
        <f>IFERROR(INDEX(tbl_Finance[Xero Invoice No],$A254),"")</f>
        <v/>
      </c>
      <c r="D254" s="49">
        <f>IFERROR(INDEX(tbl_Finance[Client],$A254),"")</f>
        <v/>
      </c>
      <c r="E254" s="49">
        <f>IFERROR(INDEX(tbl_Finance[Job Number],$A254),"")</f>
        <v/>
      </c>
      <c r="F254" s="49">
        <f>IFERROR(INDEX(tbl_Finance[Cost Centre],$A254),"")</f>
        <v/>
      </c>
      <c r="G254" s="50">
        <f>IFERROR(INDEX(tbl_Finance[Ex GST],$A254),"")</f>
        <v/>
      </c>
      <c r="H254" s="48">
        <f>IFERROR(INDEX(tbl_Finance[Defer Start],$A254),"")</f>
        <v/>
      </c>
      <c r="I254" s="48">
        <f>IFERROR(INDEX(tbl_Finance[Defer End],$A254),"")</f>
        <v/>
      </c>
      <c r="J254" s="47">
        <f>IF(OR($H254="",$I254="",$G254=""),"",MAX(1,(YEAR($I254)-YEAR($H254))*12+MONTH($I254)-MONTH($H254)+1))</f>
        <v/>
      </c>
      <c r="K254" s="50">
        <f>IF($J254="","",$G254/$J254)</f>
        <v/>
      </c>
      <c r="L254" s="50">
        <f>IF($J254="",0,$K254*MAX(0,MIN(YEAR($C$3)*12+MONTH($C$3),YEAR($I254)*12+MONTH($I254))-(YEAR($H254)*12+MONTH($H254))+1))</f>
        <v/>
      </c>
      <c r="M254" s="50">
        <f>IF($J254="",0,$K254*MAX(0,MIN(YEAR($C$3)*12+MONTH($C$3)-1,YEAR($I254)*12+MONTH($I254))-(YEAR($H254)*12+MONTH($H254))+1))</f>
        <v/>
      </c>
      <c r="N254" s="50">
        <f>IF(OR($J254="",$B254=""),0,IF(YEAR($B254)*12+MONTH($B254)&lt;=YEAR($C$3)*12+MONTH($C$3),$G254,0))</f>
        <v/>
      </c>
      <c r="O254" s="50">
        <f>IF(OR($J254="",$B254=""),0,IF(YEAR($B254)*12+MONTH($B254)&lt;=YEAR($C$3)*12+MONTH($C$3)-1,$G254,0))</f>
        <v/>
      </c>
      <c r="P254" s="50">
        <f>$M254-$O254</f>
        <v/>
      </c>
      <c r="Q254" s="50">
        <f>($L254-$M254)-($N254-$O254)</f>
        <v/>
      </c>
      <c r="R254" s="50">
        <f>$L254-$N254</f>
        <v/>
      </c>
    </row>
    <row r="255">
      <c r="A255" s="47">
        <f>ROW()-5</f>
        <v/>
      </c>
      <c r="B255" s="48">
        <f>IFERROR(INDEX(tbl_Finance[Date],$A255),"")</f>
        <v/>
      </c>
      <c r="C255" s="49">
        <f>IFERROR(INDEX(tbl_Finance[Xero Invoice No],$A255),"")</f>
        <v/>
      </c>
      <c r="D255" s="49">
        <f>IFERROR(INDEX(tbl_Finance[Client],$A255),"")</f>
        <v/>
      </c>
      <c r="E255" s="49">
        <f>IFERROR(INDEX(tbl_Finance[Job Number],$A255),"")</f>
        <v/>
      </c>
      <c r="F255" s="49">
        <f>IFERROR(INDEX(tbl_Finance[Cost Centre],$A255),"")</f>
        <v/>
      </c>
      <c r="G255" s="50">
        <f>IFERROR(INDEX(tbl_Finance[Ex GST],$A255),"")</f>
        <v/>
      </c>
      <c r="H255" s="48">
        <f>IFERROR(INDEX(tbl_Finance[Defer Start],$A255),"")</f>
        <v/>
      </c>
      <c r="I255" s="48">
        <f>IFERROR(INDEX(tbl_Finance[Defer End],$A255),"")</f>
        <v/>
      </c>
      <c r="J255" s="47">
        <f>IF(OR($H255="",$I255="",$G255=""),"",MAX(1,(YEAR($I255)-YEAR($H255))*12+MONTH($I255)-MONTH($H255)+1))</f>
        <v/>
      </c>
      <c r="K255" s="50">
        <f>IF($J255="","",$G255/$J255)</f>
        <v/>
      </c>
      <c r="L255" s="50">
        <f>IF($J255="",0,$K255*MAX(0,MIN(YEAR($C$3)*12+MONTH($C$3),YEAR($I255)*12+MONTH($I255))-(YEAR($H255)*12+MONTH($H255))+1))</f>
        <v/>
      </c>
      <c r="M255" s="50">
        <f>IF($J255="",0,$K255*MAX(0,MIN(YEAR($C$3)*12+MONTH($C$3)-1,YEAR($I255)*12+MONTH($I255))-(YEAR($H255)*12+MONTH($H255))+1))</f>
        <v/>
      </c>
      <c r="N255" s="50">
        <f>IF(OR($J255="",$B255=""),0,IF(YEAR($B255)*12+MONTH($B255)&lt;=YEAR($C$3)*12+MONTH($C$3),$G255,0))</f>
        <v/>
      </c>
      <c r="O255" s="50">
        <f>IF(OR($J255="",$B255=""),0,IF(YEAR($B255)*12+MONTH($B255)&lt;=YEAR($C$3)*12+MONTH($C$3)-1,$G255,0))</f>
        <v/>
      </c>
      <c r="P255" s="50">
        <f>$M255-$O255</f>
        <v/>
      </c>
      <c r="Q255" s="50">
        <f>($L255-$M255)-($N255-$O255)</f>
        <v/>
      </c>
      <c r="R255" s="50">
        <f>$L255-$N255</f>
        <v/>
      </c>
    </row>
    <row r="256">
      <c r="A256" s="47">
        <f>ROW()-5</f>
        <v/>
      </c>
      <c r="B256" s="48">
        <f>IFERROR(INDEX(tbl_Finance[Date],$A256),"")</f>
        <v/>
      </c>
      <c r="C256" s="49">
        <f>IFERROR(INDEX(tbl_Finance[Xero Invoice No],$A256),"")</f>
        <v/>
      </c>
      <c r="D256" s="49">
        <f>IFERROR(INDEX(tbl_Finance[Client],$A256),"")</f>
        <v/>
      </c>
      <c r="E256" s="49">
        <f>IFERROR(INDEX(tbl_Finance[Job Number],$A256),"")</f>
        <v/>
      </c>
      <c r="F256" s="49">
        <f>IFERROR(INDEX(tbl_Finance[Cost Centre],$A256),"")</f>
        <v/>
      </c>
      <c r="G256" s="50">
        <f>IFERROR(INDEX(tbl_Finance[Ex GST],$A256),"")</f>
        <v/>
      </c>
      <c r="H256" s="48">
        <f>IFERROR(INDEX(tbl_Finance[Defer Start],$A256),"")</f>
        <v/>
      </c>
      <c r="I256" s="48">
        <f>IFERROR(INDEX(tbl_Finance[Defer End],$A256),"")</f>
        <v/>
      </c>
      <c r="J256" s="47">
        <f>IF(OR($H256="",$I256="",$G256=""),"",MAX(1,(YEAR($I256)-YEAR($H256))*12+MONTH($I256)-MONTH($H256)+1))</f>
        <v/>
      </c>
      <c r="K256" s="50">
        <f>IF($J256="","",$G256/$J256)</f>
        <v/>
      </c>
      <c r="L256" s="50">
        <f>IF($J256="",0,$K256*MAX(0,MIN(YEAR($C$3)*12+MONTH($C$3),YEAR($I256)*12+MONTH($I256))-(YEAR($H256)*12+MONTH($H256))+1))</f>
        <v/>
      </c>
      <c r="M256" s="50">
        <f>IF($J256="",0,$K256*MAX(0,MIN(YEAR($C$3)*12+MONTH($C$3)-1,YEAR($I256)*12+MONTH($I256))-(YEAR($H256)*12+MONTH($H256))+1))</f>
        <v/>
      </c>
      <c r="N256" s="50">
        <f>IF(OR($J256="",$B256=""),0,IF(YEAR($B256)*12+MONTH($B256)&lt;=YEAR($C$3)*12+MONTH($C$3),$G256,0))</f>
        <v/>
      </c>
      <c r="O256" s="50">
        <f>IF(OR($J256="",$B256=""),0,IF(YEAR($B256)*12+MONTH($B256)&lt;=YEAR($C$3)*12+MONTH($C$3)-1,$G256,0))</f>
        <v/>
      </c>
      <c r="P256" s="50">
        <f>$M256-$O256</f>
        <v/>
      </c>
      <c r="Q256" s="50">
        <f>($L256-$M256)-($N256-$O256)</f>
        <v/>
      </c>
      <c r="R256" s="50">
        <f>$L256-$N256</f>
        <v/>
      </c>
    </row>
    <row r="257">
      <c r="A257" s="47">
        <f>ROW()-5</f>
        <v/>
      </c>
      <c r="B257" s="48">
        <f>IFERROR(INDEX(tbl_Finance[Date],$A257),"")</f>
        <v/>
      </c>
      <c r="C257" s="49">
        <f>IFERROR(INDEX(tbl_Finance[Xero Invoice No],$A257),"")</f>
        <v/>
      </c>
      <c r="D257" s="49">
        <f>IFERROR(INDEX(tbl_Finance[Client],$A257),"")</f>
        <v/>
      </c>
      <c r="E257" s="49">
        <f>IFERROR(INDEX(tbl_Finance[Job Number],$A257),"")</f>
        <v/>
      </c>
      <c r="F257" s="49">
        <f>IFERROR(INDEX(tbl_Finance[Cost Centre],$A257),"")</f>
        <v/>
      </c>
      <c r="G257" s="50">
        <f>IFERROR(INDEX(tbl_Finance[Ex GST],$A257),"")</f>
        <v/>
      </c>
      <c r="H257" s="48">
        <f>IFERROR(INDEX(tbl_Finance[Defer Start],$A257),"")</f>
        <v/>
      </c>
      <c r="I257" s="48">
        <f>IFERROR(INDEX(tbl_Finance[Defer End],$A257),"")</f>
        <v/>
      </c>
      <c r="J257" s="47">
        <f>IF(OR($H257="",$I257="",$G257=""),"",MAX(1,(YEAR($I257)-YEAR($H257))*12+MONTH($I257)-MONTH($H257)+1))</f>
        <v/>
      </c>
      <c r="K257" s="50">
        <f>IF($J257="","",$G257/$J257)</f>
        <v/>
      </c>
      <c r="L257" s="50">
        <f>IF($J257="",0,$K257*MAX(0,MIN(YEAR($C$3)*12+MONTH($C$3),YEAR($I257)*12+MONTH($I257))-(YEAR($H257)*12+MONTH($H257))+1))</f>
        <v/>
      </c>
      <c r="M257" s="50">
        <f>IF($J257="",0,$K257*MAX(0,MIN(YEAR($C$3)*12+MONTH($C$3)-1,YEAR($I257)*12+MONTH($I257))-(YEAR($H257)*12+MONTH($H257))+1))</f>
        <v/>
      </c>
      <c r="N257" s="50">
        <f>IF(OR($J257="",$B257=""),0,IF(YEAR($B257)*12+MONTH($B257)&lt;=YEAR($C$3)*12+MONTH($C$3),$G257,0))</f>
        <v/>
      </c>
      <c r="O257" s="50">
        <f>IF(OR($J257="",$B257=""),0,IF(YEAR($B257)*12+MONTH($B257)&lt;=YEAR($C$3)*12+MONTH($C$3)-1,$G257,0))</f>
        <v/>
      </c>
      <c r="P257" s="50">
        <f>$M257-$O257</f>
        <v/>
      </c>
      <c r="Q257" s="50">
        <f>($L257-$M257)-($N257-$O257)</f>
        <v/>
      </c>
      <c r="R257" s="50">
        <f>$L257-$N257</f>
        <v/>
      </c>
    </row>
    <row r="258">
      <c r="A258" s="47">
        <f>ROW()-5</f>
        <v/>
      </c>
      <c r="B258" s="48">
        <f>IFERROR(INDEX(tbl_Finance[Date],$A258),"")</f>
        <v/>
      </c>
      <c r="C258" s="49">
        <f>IFERROR(INDEX(tbl_Finance[Xero Invoice No],$A258),"")</f>
        <v/>
      </c>
      <c r="D258" s="49">
        <f>IFERROR(INDEX(tbl_Finance[Client],$A258),"")</f>
        <v/>
      </c>
      <c r="E258" s="49">
        <f>IFERROR(INDEX(tbl_Finance[Job Number],$A258),"")</f>
        <v/>
      </c>
      <c r="F258" s="49">
        <f>IFERROR(INDEX(tbl_Finance[Cost Centre],$A258),"")</f>
        <v/>
      </c>
      <c r="G258" s="50">
        <f>IFERROR(INDEX(tbl_Finance[Ex GST],$A258),"")</f>
        <v/>
      </c>
      <c r="H258" s="48">
        <f>IFERROR(INDEX(tbl_Finance[Defer Start],$A258),"")</f>
        <v/>
      </c>
      <c r="I258" s="48">
        <f>IFERROR(INDEX(tbl_Finance[Defer End],$A258),"")</f>
        <v/>
      </c>
      <c r="J258" s="47">
        <f>IF(OR($H258="",$I258="",$G258=""),"",MAX(1,(YEAR($I258)-YEAR($H258))*12+MONTH($I258)-MONTH($H258)+1))</f>
        <v/>
      </c>
      <c r="K258" s="50">
        <f>IF($J258="","",$G258/$J258)</f>
        <v/>
      </c>
      <c r="L258" s="50">
        <f>IF($J258="",0,$K258*MAX(0,MIN(YEAR($C$3)*12+MONTH($C$3),YEAR($I258)*12+MONTH($I258))-(YEAR($H258)*12+MONTH($H258))+1))</f>
        <v/>
      </c>
      <c r="M258" s="50">
        <f>IF($J258="",0,$K258*MAX(0,MIN(YEAR($C$3)*12+MONTH($C$3)-1,YEAR($I258)*12+MONTH($I258))-(YEAR($H258)*12+MONTH($H258))+1))</f>
        <v/>
      </c>
      <c r="N258" s="50">
        <f>IF(OR($J258="",$B258=""),0,IF(YEAR($B258)*12+MONTH($B258)&lt;=YEAR($C$3)*12+MONTH($C$3),$G258,0))</f>
        <v/>
      </c>
      <c r="O258" s="50">
        <f>IF(OR($J258="",$B258=""),0,IF(YEAR($B258)*12+MONTH($B258)&lt;=YEAR($C$3)*12+MONTH($C$3)-1,$G258,0))</f>
        <v/>
      </c>
      <c r="P258" s="50">
        <f>$M258-$O258</f>
        <v/>
      </c>
      <c r="Q258" s="50">
        <f>($L258-$M258)-($N258-$O258)</f>
        <v/>
      </c>
      <c r="R258" s="50">
        <f>$L258-$N258</f>
        <v/>
      </c>
    </row>
    <row r="259">
      <c r="A259" s="47">
        <f>ROW()-5</f>
        <v/>
      </c>
      <c r="B259" s="48">
        <f>IFERROR(INDEX(tbl_Finance[Date],$A259),"")</f>
        <v/>
      </c>
      <c r="C259" s="49">
        <f>IFERROR(INDEX(tbl_Finance[Xero Invoice No],$A259),"")</f>
        <v/>
      </c>
      <c r="D259" s="49">
        <f>IFERROR(INDEX(tbl_Finance[Client],$A259),"")</f>
        <v/>
      </c>
      <c r="E259" s="49">
        <f>IFERROR(INDEX(tbl_Finance[Job Number],$A259),"")</f>
        <v/>
      </c>
      <c r="F259" s="49">
        <f>IFERROR(INDEX(tbl_Finance[Cost Centre],$A259),"")</f>
        <v/>
      </c>
      <c r="G259" s="50">
        <f>IFERROR(INDEX(tbl_Finance[Ex GST],$A259),"")</f>
        <v/>
      </c>
      <c r="H259" s="48">
        <f>IFERROR(INDEX(tbl_Finance[Defer Start],$A259),"")</f>
        <v/>
      </c>
      <c r="I259" s="48">
        <f>IFERROR(INDEX(tbl_Finance[Defer End],$A259),"")</f>
        <v/>
      </c>
      <c r="J259" s="47">
        <f>IF(OR($H259="",$I259="",$G259=""),"",MAX(1,(YEAR($I259)-YEAR($H259))*12+MONTH($I259)-MONTH($H259)+1))</f>
        <v/>
      </c>
      <c r="K259" s="50">
        <f>IF($J259="","",$G259/$J259)</f>
        <v/>
      </c>
      <c r="L259" s="50">
        <f>IF($J259="",0,$K259*MAX(0,MIN(YEAR($C$3)*12+MONTH($C$3),YEAR($I259)*12+MONTH($I259))-(YEAR($H259)*12+MONTH($H259))+1))</f>
        <v/>
      </c>
      <c r="M259" s="50">
        <f>IF($J259="",0,$K259*MAX(0,MIN(YEAR($C$3)*12+MONTH($C$3)-1,YEAR($I259)*12+MONTH($I259))-(YEAR($H259)*12+MONTH($H259))+1))</f>
        <v/>
      </c>
      <c r="N259" s="50">
        <f>IF(OR($J259="",$B259=""),0,IF(YEAR($B259)*12+MONTH($B259)&lt;=YEAR($C$3)*12+MONTH($C$3),$G259,0))</f>
        <v/>
      </c>
      <c r="O259" s="50">
        <f>IF(OR($J259="",$B259=""),0,IF(YEAR($B259)*12+MONTH($B259)&lt;=YEAR($C$3)*12+MONTH($C$3)-1,$G259,0))</f>
        <v/>
      </c>
      <c r="P259" s="50">
        <f>$M259-$O259</f>
        <v/>
      </c>
      <c r="Q259" s="50">
        <f>($L259-$M259)-($N259-$O259)</f>
        <v/>
      </c>
      <c r="R259" s="50">
        <f>$L259-$N259</f>
        <v/>
      </c>
    </row>
    <row r="260">
      <c r="A260" s="47">
        <f>ROW()-5</f>
        <v/>
      </c>
      <c r="B260" s="48">
        <f>IFERROR(INDEX(tbl_Finance[Date],$A260),"")</f>
        <v/>
      </c>
      <c r="C260" s="49">
        <f>IFERROR(INDEX(tbl_Finance[Xero Invoice No],$A260),"")</f>
        <v/>
      </c>
      <c r="D260" s="49">
        <f>IFERROR(INDEX(tbl_Finance[Client],$A260),"")</f>
        <v/>
      </c>
      <c r="E260" s="49">
        <f>IFERROR(INDEX(tbl_Finance[Job Number],$A260),"")</f>
        <v/>
      </c>
      <c r="F260" s="49">
        <f>IFERROR(INDEX(tbl_Finance[Cost Centre],$A260),"")</f>
        <v/>
      </c>
      <c r="G260" s="50">
        <f>IFERROR(INDEX(tbl_Finance[Ex GST],$A260),"")</f>
        <v/>
      </c>
      <c r="H260" s="48">
        <f>IFERROR(INDEX(tbl_Finance[Defer Start],$A260),"")</f>
        <v/>
      </c>
      <c r="I260" s="48">
        <f>IFERROR(INDEX(tbl_Finance[Defer End],$A260),"")</f>
        <v/>
      </c>
      <c r="J260" s="47">
        <f>IF(OR($H260="",$I260="",$G260=""),"",MAX(1,(YEAR($I260)-YEAR($H260))*12+MONTH($I260)-MONTH($H260)+1))</f>
        <v/>
      </c>
      <c r="K260" s="50">
        <f>IF($J260="","",$G260/$J260)</f>
        <v/>
      </c>
      <c r="L260" s="50">
        <f>IF($J260="",0,$K260*MAX(0,MIN(YEAR($C$3)*12+MONTH($C$3),YEAR($I260)*12+MONTH($I260))-(YEAR($H260)*12+MONTH($H260))+1))</f>
        <v/>
      </c>
      <c r="M260" s="50">
        <f>IF($J260="",0,$K260*MAX(0,MIN(YEAR($C$3)*12+MONTH($C$3)-1,YEAR($I260)*12+MONTH($I260))-(YEAR($H260)*12+MONTH($H260))+1))</f>
        <v/>
      </c>
      <c r="N260" s="50">
        <f>IF(OR($J260="",$B260=""),0,IF(YEAR($B260)*12+MONTH($B260)&lt;=YEAR($C$3)*12+MONTH($C$3),$G260,0))</f>
        <v/>
      </c>
      <c r="O260" s="50">
        <f>IF(OR($J260="",$B260=""),0,IF(YEAR($B260)*12+MONTH($B260)&lt;=YEAR($C$3)*12+MONTH($C$3)-1,$G260,0))</f>
        <v/>
      </c>
      <c r="P260" s="50">
        <f>$M260-$O260</f>
        <v/>
      </c>
      <c r="Q260" s="50">
        <f>($L260-$M260)-($N260-$O260)</f>
        <v/>
      </c>
      <c r="R260" s="50">
        <f>$L260-$N260</f>
        <v/>
      </c>
    </row>
    <row r="261">
      <c r="A261" s="47">
        <f>ROW()-5</f>
        <v/>
      </c>
      <c r="B261" s="48">
        <f>IFERROR(INDEX(tbl_Finance[Date],$A261),"")</f>
        <v/>
      </c>
      <c r="C261" s="49">
        <f>IFERROR(INDEX(tbl_Finance[Xero Invoice No],$A261),"")</f>
        <v/>
      </c>
      <c r="D261" s="49">
        <f>IFERROR(INDEX(tbl_Finance[Client],$A261),"")</f>
        <v/>
      </c>
      <c r="E261" s="49">
        <f>IFERROR(INDEX(tbl_Finance[Job Number],$A261),"")</f>
        <v/>
      </c>
      <c r="F261" s="49">
        <f>IFERROR(INDEX(tbl_Finance[Cost Centre],$A261),"")</f>
        <v/>
      </c>
      <c r="G261" s="50">
        <f>IFERROR(INDEX(tbl_Finance[Ex GST],$A261),"")</f>
        <v/>
      </c>
      <c r="H261" s="48">
        <f>IFERROR(INDEX(tbl_Finance[Defer Start],$A261),"")</f>
        <v/>
      </c>
      <c r="I261" s="48">
        <f>IFERROR(INDEX(tbl_Finance[Defer End],$A261),"")</f>
        <v/>
      </c>
      <c r="J261" s="47">
        <f>IF(OR($H261="",$I261="",$G261=""),"",MAX(1,(YEAR($I261)-YEAR($H261))*12+MONTH($I261)-MONTH($H261)+1))</f>
        <v/>
      </c>
      <c r="K261" s="50">
        <f>IF($J261="","",$G261/$J261)</f>
        <v/>
      </c>
      <c r="L261" s="50">
        <f>IF($J261="",0,$K261*MAX(0,MIN(YEAR($C$3)*12+MONTH($C$3),YEAR($I261)*12+MONTH($I261))-(YEAR($H261)*12+MONTH($H261))+1))</f>
        <v/>
      </c>
      <c r="M261" s="50">
        <f>IF($J261="",0,$K261*MAX(0,MIN(YEAR($C$3)*12+MONTH($C$3)-1,YEAR($I261)*12+MONTH($I261))-(YEAR($H261)*12+MONTH($H261))+1))</f>
        <v/>
      </c>
      <c r="N261" s="50">
        <f>IF(OR($J261="",$B261=""),0,IF(YEAR($B261)*12+MONTH($B261)&lt;=YEAR($C$3)*12+MONTH($C$3),$G261,0))</f>
        <v/>
      </c>
      <c r="O261" s="50">
        <f>IF(OR($J261="",$B261=""),0,IF(YEAR($B261)*12+MONTH($B261)&lt;=YEAR($C$3)*12+MONTH($C$3)-1,$G261,0))</f>
        <v/>
      </c>
      <c r="P261" s="50">
        <f>$M261-$O261</f>
        <v/>
      </c>
      <c r="Q261" s="50">
        <f>($L261-$M261)-($N261-$O261)</f>
        <v/>
      </c>
      <c r="R261" s="50">
        <f>$L261-$N261</f>
        <v/>
      </c>
    </row>
    <row r="262">
      <c r="A262" s="47">
        <f>ROW()-5</f>
        <v/>
      </c>
      <c r="B262" s="48">
        <f>IFERROR(INDEX(tbl_Finance[Date],$A262),"")</f>
        <v/>
      </c>
      <c r="C262" s="49">
        <f>IFERROR(INDEX(tbl_Finance[Xero Invoice No],$A262),"")</f>
        <v/>
      </c>
      <c r="D262" s="49">
        <f>IFERROR(INDEX(tbl_Finance[Client],$A262),"")</f>
        <v/>
      </c>
      <c r="E262" s="49">
        <f>IFERROR(INDEX(tbl_Finance[Job Number],$A262),"")</f>
        <v/>
      </c>
      <c r="F262" s="49">
        <f>IFERROR(INDEX(tbl_Finance[Cost Centre],$A262),"")</f>
        <v/>
      </c>
      <c r="G262" s="50">
        <f>IFERROR(INDEX(tbl_Finance[Ex GST],$A262),"")</f>
        <v/>
      </c>
      <c r="H262" s="48">
        <f>IFERROR(INDEX(tbl_Finance[Defer Start],$A262),"")</f>
        <v/>
      </c>
      <c r="I262" s="48">
        <f>IFERROR(INDEX(tbl_Finance[Defer End],$A262),"")</f>
        <v/>
      </c>
      <c r="J262" s="47">
        <f>IF(OR($H262="",$I262="",$G262=""),"",MAX(1,(YEAR($I262)-YEAR($H262))*12+MONTH($I262)-MONTH($H262)+1))</f>
        <v/>
      </c>
      <c r="K262" s="50">
        <f>IF($J262="","",$G262/$J262)</f>
        <v/>
      </c>
      <c r="L262" s="50">
        <f>IF($J262="",0,$K262*MAX(0,MIN(YEAR($C$3)*12+MONTH($C$3),YEAR($I262)*12+MONTH($I262))-(YEAR($H262)*12+MONTH($H262))+1))</f>
        <v/>
      </c>
      <c r="M262" s="50">
        <f>IF($J262="",0,$K262*MAX(0,MIN(YEAR($C$3)*12+MONTH($C$3)-1,YEAR($I262)*12+MONTH($I262))-(YEAR($H262)*12+MONTH($H262))+1))</f>
        <v/>
      </c>
      <c r="N262" s="50">
        <f>IF(OR($J262="",$B262=""),0,IF(YEAR($B262)*12+MONTH($B262)&lt;=YEAR($C$3)*12+MONTH($C$3),$G262,0))</f>
        <v/>
      </c>
      <c r="O262" s="50">
        <f>IF(OR($J262="",$B262=""),0,IF(YEAR($B262)*12+MONTH($B262)&lt;=YEAR($C$3)*12+MONTH($C$3)-1,$G262,0))</f>
        <v/>
      </c>
      <c r="P262" s="50">
        <f>$M262-$O262</f>
        <v/>
      </c>
      <c r="Q262" s="50">
        <f>($L262-$M262)-($N262-$O262)</f>
        <v/>
      </c>
      <c r="R262" s="50">
        <f>$L262-$N262</f>
        <v/>
      </c>
    </row>
    <row r="263">
      <c r="A263" s="47">
        <f>ROW()-5</f>
        <v/>
      </c>
      <c r="B263" s="48">
        <f>IFERROR(INDEX(tbl_Finance[Date],$A263),"")</f>
        <v/>
      </c>
      <c r="C263" s="49">
        <f>IFERROR(INDEX(tbl_Finance[Xero Invoice No],$A263),"")</f>
        <v/>
      </c>
      <c r="D263" s="49">
        <f>IFERROR(INDEX(tbl_Finance[Client],$A263),"")</f>
        <v/>
      </c>
      <c r="E263" s="49">
        <f>IFERROR(INDEX(tbl_Finance[Job Number],$A263),"")</f>
        <v/>
      </c>
      <c r="F263" s="49">
        <f>IFERROR(INDEX(tbl_Finance[Cost Centre],$A263),"")</f>
        <v/>
      </c>
      <c r="G263" s="50">
        <f>IFERROR(INDEX(tbl_Finance[Ex GST],$A263),"")</f>
        <v/>
      </c>
      <c r="H263" s="48">
        <f>IFERROR(INDEX(tbl_Finance[Defer Start],$A263),"")</f>
        <v/>
      </c>
      <c r="I263" s="48">
        <f>IFERROR(INDEX(tbl_Finance[Defer End],$A263),"")</f>
        <v/>
      </c>
      <c r="J263" s="47">
        <f>IF(OR($H263="",$I263="",$G263=""),"",MAX(1,(YEAR($I263)-YEAR($H263))*12+MONTH($I263)-MONTH($H263)+1))</f>
        <v/>
      </c>
      <c r="K263" s="50">
        <f>IF($J263="","",$G263/$J263)</f>
        <v/>
      </c>
      <c r="L263" s="50">
        <f>IF($J263="",0,$K263*MAX(0,MIN(YEAR($C$3)*12+MONTH($C$3),YEAR($I263)*12+MONTH($I263))-(YEAR($H263)*12+MONTH($H263))+1))</f>
        <v/>
      </c>
      <c r="M263" s="50">
        <f>IF($J263="",0,$K263*MAX(0,MIN(YEAR($C$3)*12+MONTH($C$3)-1,YEAR($I263)*12+MONTH($I263))-(YEAR($H263)*12+MONTH($H263))+1))</f>
        <v/>
      </c>
      <c r="N263" s="50">
        <f>IF(OR($J263="",$B263=""),0,IF(YEAR($B263)*12+MONTH($B263)&lt;=YEAR($C$3)*12+MONTH($C$3),$G263,0))</f>
        <v/>
      </c>
      <c r="O263" s="50">
        <f>IF(OR($J263="",$B263=""),0,IF(YEAR($B263)*12+MONTH($B263)&lt;=YEAR($C$3)*12+MONTH($C$3)-1,$G263,0))</f>
        <v/>
      </c>
      <c r="P263" s="50">
        <f>$M263-$O263</f>
        <v/>
      </c>
      <c r="Q263" s="50">
        <f>($L263-$M263)-($N263-$O263)</f>
        <v/>
      </c>
      <c r="R263" s="50">
        <f>$L263-$N263</f>
        <v/>
      </c>
    </row>
    <row r="264">
      <c r="A264" s="47">
        <f>ROW()-5</f>
        <v/>
      </c>
      <c r="B264" s="48">
        <f>IFERROR(INDEX(tbl_Finance[Date],$A264),"")</f>
        <v/>
      </c>
      <c r="C264" s="49">
        <f>IFERROR(INDEX(tbl_Finance[Xero Invoice No],$A264),"")</f>
        <v/>
      </c>
      <c r="D264" s="49">
        <f>IFERROR(INDEX(tbl_Finance[Client],$A264),"")</f>
        <v/>
      </c>
      <c r="E264" s="49">
        <f>IFERROR(INDEX(tbl_Finance[Job Number],$A264),"")</f>
        <v/>
      </c>
      <c r="F264" s="49">
        <f>IFERROR(INDEX(tbl_Finance[Cost Centre],$A264),"")</f>
        <v/>
      </c>
      <c r="G264" s="50">
        <f>IFERROR(INDEX(tbl_Finance[Ex GST],$A264),"")</f>
        <v/>
      </c>
      <c r="H264" s="48">
        <f>IFERROR(INDEX(tbl_Finance[Defer Start],$A264),"")</f>
        <v/>
      </c>
      <c r="I264" s="48">
        <f>IFERROR(INDEX(tbl_Finance[Defer End],$A264),"")</f>
        <v/>
      </c>
      <c r="J264" s="47">
        <f>IF(OR($H264="",$I264="",$G264=""),"",MAX(1,(YEAR($I264)-YEAR($H264))*12+MONTH($I264)-MONTH($H264)+1))</f>
        <v/>
      </c>
      <c r="K264" s="50">
        <f>IF($J264="","",$G264/$J264)</f>
        <v/>
      </c>
      <c r="L264" s="50">
        <f>IF($J264="",0,$K264*MAX(0,MIN(YEAR($C$3)*12+MONTH($C$3),YEAR($I264)*12+MONTH($I264))-(YEAR($H264)*12+MONTH($H264))+1))</f>
        <v/>
      </c>
      <c r="M264" s="50">
        <f>IF($J264="",0,$K264*MAX(0,MIN(YEAR($C$3)*12+MONTH($C$3)-1,YEAR($I264)*12+MONTH($I264))-(YEAR($H264)*12+MONTH($H264))+1))</f>
        <v/>
      </c>
      <c r="N264" s="50">
        <f>IF(OR($J264="",$B264=""),0,IF(YEAR($B264)*12+MONTH($B264)&lt;=YEAR($C$3)*12+MONTH($C$3),$G264,0))</f>
        <v/>
      </c>
      <c r="O264" s="50">
        <f>IF(OR($J264="",$B264=""),0,IF(YEAR($B264)*12+MONTH($B264)&lt;=YEAR($C$3)*12+MONTH($C$3)-1,$G264,0))</f>
        <v/>
      </c>
      <c r="P264" s="50">
        <f>$M264-$O264</f>
        <v/>
      </c>
      <c r="Q264" s="50">
        <f>($L264-$M264)-($N264-$O264)</f>
        <v/>
      </c>
      <c r="R264" s="50">
        <f>$L264-$N264</f>
        <v/>
      </c>
    </row>
    <row r="265">
      <c r="A265" s="47">
        <f>ROW()-5</f>
        <v/>
      </c>
      <c r="B265" s="48">
        <f>IFERROR(INDEX(tbl_Finance[Date],$A265),"")</f>
        <v/>
      </c>
      <c r="C265" s="49">
        <f>IFERROR(INDEX(tbl_Finance[Xero Invoice No],$A265),"")</f>
        <v/>
      </c>
      <c r="D265" s="49">
        <f>IFERROR(INDEX(tbl_Finance[Client],$A265),"")</f>
        <v/>
      </c>
      <c r="E265" s="49">
        <f>IFERROR(INDEX(tbl_Finance[Job Number],$A265),"")</f>
        <v/>
      </c>
      <c r="F265" s="49">
        <f>IFERROR(INDEX(tbl_Finance[Cost Centre],$A265),"")</f>
        <v/>
      </c>
      <c r="G265" s="50">
        <f>IFERROR(INDEX(tbl_Finance[Ex GST],$A265),"")</f>
        <v/>
      </c>
      <c r="H265" s="48">
        <f>IFERROR(INDEX(tbl_Finance[Defer Start],$A265),"")</f>
        <v/>
      </c>
      <c r="I265" s="48">
        <f>IFERROR(INDEX(tbl_Finance[Defer End],$A265),"")</f>
        <v/>
      </c>
      <c r="J265" s="47">
        <f>IF(OR($H265="",$I265="",$G265=""),"",MAX(1,(YEAR($I265)-YEAR($H265))*12+MONTH($I265)-MONTH($H265)+1))</f>
        <v/>
      </c>
      <c r="K265" s="50">
        <f>IF($J265="","",$G265/$J265)</f>
        <v/>
      </c>
      <c r="L265" s="50">
        <f>IF($J265="",0,$K265*MAX(0,MIN(YEAR($C$3)*12+MONTH($C$3),YEAR($I265)*12+MONTH($I265))-(YEAR($H265)*12+MONTH($H265))+1))</f>
        <v/>
      </c>
      <c r="M265" s="50">
        <f>IF($J265="",0,$K265*MAX(0,MIN(YEAR($C$3)*12+MONTH($C$3)-1,YEAR($I265)*12+MONTH($I265))-(YEAR($H265)*12+MONTH($H265))+1))</f>
        <v/>
      </c>
      <c r="N265" s="50">
        <f>IF(OR($J265="",$B265=""),0,IF(YEAR($B265)*12+MONTH($B265)&lt;=YEAR($C$3)*12+MONTH($C$3),$G265,0))</f>
        <v/>
      </c>
      <c r="O265" s="50">
        <f>IF(OR($J265="",$B265=""),0,IF(YEAR($B265)*12+MONTH($B265)&lt;=YEAR($C$3)*12+MONTH($C$3)-1,$G265,0))</f>
        <v/>
      </c>
      <c r="P265" s="50">
        <f>$M265-$O265</f>
        <v/>
      </c>
      <c r="Q265" s="50">
        <f>($L265-$M265)-($N265-$O265)</f>
        <v/>
      </c>
      <c r="R265" s="50">
        <f>$L265-$N265</f>
        <v/>
      </c>
    </row>
    <row r="266">
      <c r="A266" s="47">
        <f>ROW()-5</f>
        <v/>
      </c>
      <c r="B266" s="48">
        <f>IFERROR(INDEX(tbl_Finance[Date],$A266),"")</f>
        <v/>
      </c>
      <c r="C266" s="49">
        <f>IFERROR(INDEX(tbl_Finance[Xero Invoice No],$A266),"")</f>
        <v/>
      </c>
      <c r="D266" s="49">
        <f>IFERROR(INDEX(tbl_Finance[Client],$A266),"")</f>
        <v/>
      </c>
      <c r="E266" s="49">
        <f>IFERROR(INDEX(tbl_Finance[Job Number],$A266),"")</f>
        <v/>
      </c>
      <c r="F266" s="49">
        <f>IFERROR(INDEX(tbl_Finance[Cost Centre],$A266),"")</f>
        <v/>
      </c>
      <c r="G266" s="50">
        <f>IFERROR(INDEX(tbl_Finance[Ex GST],$A266),"")</f>
        <v/>
      </c>
      <c r="H266" s="48">
        <f>IFERROR(INDEX(tbl_Finance[Defer Start],$A266),"")</f>
        <v/>
      </c>
      <c r="I266" s="48">
        <f>IFERROR(INDEX(tbl_Finance[Defer End],$A266),"")</f>
        <v/>
      </c>
      <c r="J266" s="47">
        <f>IF(OR($H266="",$I266="",$G266=""),"",MAX(1,(YEAR($I266)-YEAR($H266))*12+MONTH($I266)-MONTH($H266)+1))</f>
        <v/>
      </c>
      <c r="K266" s="50">
        <f>IF($J266="","",$G266/$J266)</f>
        <v/>
      </c>
      <c r="L266" s="50">
        <f>IF($J266="",0,$K266*MAX(0,MIN(YEAR($C$3)*12+MONTH($C$3),YEAR($I266)*12+MONTH($I266))-(YEAR($H266)*12+MONTH($H266))+1))</f>
        <v/>
      </c>
      <c r="M266" s="50">
        <f>IF($J266="",0,$K266*MAX(0,MIN(YEAR($C$3)*12+MONTH($C$3)-1,YEAR($I266)*12+MONTH($I266))-(YEAR($H266)*12+MONTH($H266))+1))</f>
        <v/>
      </c>
      <c r="N266" s="50">
        <f>IF(OR($J266="",$B266=""),0,IF(YEAR($B266)*12+MONTH($B266)&lt;=YEAR($C$3)*12+MONTH($C$3),$G266,0))</f>
        <v/>
      </c>
      <c r="O266" s="50">
        <f>IF(OR($J266="",$B266=""),0,IF(YEAR($B266)*12+MONTH($B266)&lt;=YEAR($C$3)*12+MONTH($C$3)-1,$G266,0))</f>
        <v/>
      </c>
      <c r="P266" s="50">
        <f>$M266-$O266</f>
        <v/>
      </c>
      <c r="Q266" s="50">
        <f>($L266-$M266)-($N266-$O266)</f>
        <v/>
      </c>
      <c r="R266" s="50">
        <f>$L266-$N266</f>
        <v/>
      </c>
    </row>
    <row r="267">
      <c r="A267" s="47">
        <f>ROW()-5</f>
        <v/>
      </c>
      <c r="B267" s="48">
        <f>IFERROR(INDEX(tbl_Finance[Date],$A267),"")</f>
        <v/>
      </c>
      <c r="C267" s="49">
        <f>IFERROR(INDEX(tbl_Finance[Xero Invoice No],$A267),"")</f>
        <v/>
      </c>
      <c r="D267" s="49">
        <f>IFERROR(INDEX(tbl_Finance[Client],$A267),"")</f>
        <v/>
      </c>
      <c r="E267" s="49">
        <f>IFERROR(INDEX(tbl_Finance[Job Number],$A267),"")</f>
        <v/>
      </c>
      <c r="F267" s="49">
        <f>IFERROR(INDEX(tbl_Finance[Cost Centre],$A267),"")</f>
        <v/>
      </c>
      <c r="G267" s="50">
        <f>IFERROR(INDEX(tbl_Finance[Ex GST],$A267),"")</f>
        <v/>
      </c>
      <c r="H267" s="48">
        <f>IFERROR(INDEX(tbl_Finance[Defer Start],$A267),"")</f>
        <v/>
      </c>
      <c r="I267" s="48">
        <f>IFERROR(INDEX(tbl_Finance[Defer End],$A267),"")</f>
        <v/>
      </c>
      <c r="J267" s="47">
        <f>IF(OR($H267="",$I267="",$G267=""),"",MAX(1,(YEAR($I267)-YEAR($H267))*12+MONTH($I267)-MONTH($H267)+1))</f>
        <v/>
      </c>
      <c r="K267" s="50">
        <f>IF($J267="","",$G267/$J267)</f>
        <v/>
      </c>
      <c r="L267" s="50">
        <f>IF($J267="",0,$K267*MAX(0,MIN(YEAR($C$3)*12+MONTH($C$3),YEAR($I267)*12+MONTH($I267))-(YEAR($H267)*12+MONTH($H267))+1))</f>
        <v/>
      </c>
      <c r="M267" s="50">
        <f>IF($J267="",0,$K267*MAX(0,MIN(YEAR($C$3)*12+MONTH($C$3)-1,YEAR($I267)*12+MONTH($I267))-(YEAR($H267)*12+MONTH($H267))+1))</f>
        <v/>
      </c>
      <c r="N267" s="50">
        <f>IF(OR($J267="",$B267=""),0,IF(YEAR($B267)*12+MONTH($B267)&lt;=YEAR($C$3)*12+MONTH($C$3),$G267,0))</f>
        <v/>
      </c>
      <c r="O267" s="50">
        <f>IF(OR($J267="",$B267=""),0,IF(YEAR($B267)*12+MONTH($B267)&lt;=YEAR($C$3)*12+MONTH($C$3)-1,$G267,0))</f>
        <v/>
      </c>
      <c r="P267" s="50">
        <f>$M267-$O267</f>
        <v/>
      </c>
      <c r="Q267" s="50">
        <f>($L267-$M267)-($N267-$O267)</f>
        <v/>
      </c>
      <c r="R267" s="50">
        <f>$L267-$N267</f>
        <v/>
      </c>
    </row>
    <row r="268">
      <c r="A268" s="47">
        <f>ROW()-5</f>
        <v/>
      </c>
      <c r="B268" s="48">
        <f>IFERROR(INDEX(tbl_Finance[Date],$A268),"")</f>
        <v/>
      </c>
      <c r="C268" s="49">
        <f>IFERROR(INDEX(tbl_Finance[Xero Invoice No],$A268),"")</f>
        <v/>
      </c>
      <c r="D268" s="49">
        <f>IFERROR(INDEX(tbl_Finance[Client],$A268),"")</f>
        <v/>
      </c>
      <c r="E268" s="49">
        <f>IFERROR(INDEX(tbl_Finance[Job Number],$A268),"")</f>
        <v/>
      </c>
      <c r="F268" s="49">
        <f>IFERROR(INDEX(tbl_Finance[Cost Centre],$A268),"")</f>
        <v/>
      </c>
      <c r="G268" s="50">
        <f>IFERROR(INDEX(tbl_Finance[Ex GST],$A268),"")</f>
        <v/>
      </c>
      <c r="H268" s="48">
        <f>IFERROR(INDEX(tbl_Finance[Defer Start],$A268),"")</f>
        <v/>
      </c>
      <c r="I268" s="48">
        <f>IFERROR(INDEX(tbl_Finance[Defer End],$A268),"")</f>
        <v/>
      </c>
      <c r="J268" s="47">
        <f>IF(OR($H268="",$I268="",$G268=""),"",MAX(1,(YEAR($I268)-YEAR($H268))*12+MONTH($I268)-MONTH($H268)+1))</f>
        <v/>
      </c>
      <c r="K268" s="50">
        <f>IF($J268="","",$G268/$J268)</f>
        <v/>
      </c>
      <c r="L268" s="50">
        <f>IF($J268="",0,$K268*MAX(0,MIN(YEAR($C$3)*12+MONTH($C$3),YEAR($I268)*12+MONTH($I268))-(YEAR($H268)*12+MONTH($H268))+1))</f>
        <v/>
      </c>
      <c r="M268" s="50">
        <f>IF($J268="",0,$K268*MAX(0,MIN(YEAR($C$3)*12+MONTH($C$3)-1,YEAR($I268)*12+MONTH($I268))-(YEAR($H268)*12+MONTH($H268))+1))</f>
        <v/>
      </c>
      <c r="N268" s="50">
        <f>IF(OR($J268="",$B268=""),0,IF(YEAR($B268)*12+MONTH($B268)&lt;=YEAR($C$3)*12+MONTH($C$3),$G268,0))</f>
        <v/>
      </c>
      <c r="O268" s="50">
        <f>IF(OR($J268="",$B268=""),0,IF(YEAR($B268)*12+MONTH($B268)&lt;=YEAR($C$3)*12+MONTH($C$3)-1,$G268,0))</f>
        <v/>
      </c>
      <c r="P268" s="50">
        <f>$M268-$O268</f>
        <v/>
      </c>
      <c r="Q268" s="50">
        <f>($L268-$M268)-($N268-$O268)</f>
        <v/>
      </c>
      <c r="R268" s="50">
        <f>$L268-$N268</f>
        <v/>
      </c>
    </row>
    <row r="269">
      <c r="A269" s="47">
        <f>ROW()-5</f>
        <v/>
      </c>
      <c r="B269" s="48">
        <f>IFERROR(INDEX(tbl_Finance[Date],$A269),"")</f>
        <v/>
      </c>
      <c r="C269" s="49">
        <f>IFERROR(INDEX(tbl_Finance[Xero Invoice No],$A269),"")</f>
        <v/>
      </c>
      <c r="D269" s="49">
        <f>IFERROR(INDEX(tbl_Finance[Client],$A269),"")</f>
        <v/>
      </c>
      <c r="E269" s="49">
        <f>IFERROR(INDEX(tbl_Finance[Job Number],$A269),"")</f>
        <v/>
      </c>
      <c r="F269" s="49">
        <f>IFERROR(INDEX(tbl_Finance[Cost Centre],$A269),"")</f>
        <v/>
      </c>
      <c r="G269" s="50">
        <f>IFERROR(INDEX(tbl_Finance[Ex GST],$A269),"")</f>
        <v/>
      </c>
      <c r="H269" s="48">
        <f>IFERROR(INDEX(tbl_Finance[Defer Start],$A269),"")</f>
        <v/>
      </c>
      <c r="I269" s="48">
        <f>IFERROR(INDEX(tbl_Finance[Defer End],$A269),"")</f>
        <v/>
      </c>
      <c r="J269" s="47">
        <f>IF(OR($H269="",$I269="",$G269=""),"",MAX(1,(YEAR($I269)-YEAR($H269))*12+MONTH($I269)-MONTH($H269)+1))</f>
        <v/>
      </c>
      <c r="K269" s="50">
        <f>IF($J269="","",$G269/$J269)</f>
        <v/>
      </c>
      <c r="L269" s="50">
        <f>IF($J269="",0,$K269*MAX(0,MIN(YEAR($C$3)*12+MONTH($C$3),YEAR($I269)*12+MONTH($I269))-(YEAR($H269)*12+MONTH($H269))+1))</f>
        <v/>
      </c>
      <c r="M269" s="50">
        <f>IF($J269="",0,$K269*MAX(0,MIN(YEAR($C$3)*12+MONTH($C$3)-1,YEAR($I269)*12+MONTH($I269))-(YEAR($H269)*12+MONTH($H269))+1))</f>
        <v/>
      </c>
      <c r="N269" s="50">
        <f>IF(OR($J269="",$B269=""),0,IF(YEAR($B269)*12+MONTH($B269)&lt;=YEAR($C$3)*12+MONTH($C$3),$G269,0))</f>
        <v/>
      </c>
      <c r="O269" s="50">
        <f>IF(OR($J269="",$B269=""),0,IF(YEAR($B269)*12+MONTH($B269)&lt;=YEAR($C$3)*12+MONTH($C$3)-1,$G269,0))</f>
        <v/>
      </c>
      <c r="P269" s="50">
        <f>$M269-$O269</f>
        <v/>
      </c>
      <c r="Q269" s="50">
        <f>($L269-$M269)-($N269-$O269)</f>
        <v/>
      </c>
      <c r="R269" s="50">
        <f>$L269-$N269</f>
        <v/>
      </c>
    </row>
    <row r="270">
      <c r="A270" s="47">
        <f>ROW()-5</f>
        <v/>
      </c>
      <c r="B270" s="48">
        <f>IFERROR(INDEX(tbl_Finance[Date],$A270),"")</f>
        <v/>
      </c>
      <c r="C270" s="49">
        <f>IFERROR(INDEX(tbl_Finance[Xero Invoice No],$A270),"")</f>
        <v/>
      </c>
      <c r="D270" s="49">
        <f>IFERROR(INDEX(tbl_Finance[Client],$A270),"")</f>
        <v/>
      </c>
      <c r="E270" s="49">
        <f>IFERROR(INDEX(tbl_Finance[Job Number],$A270),"")</f>
        <v/>
      </c>
      <c r="F270" s="49">
        <f>IFERROR(INDEX(tbl_Finance[Cost Centre],$A270),"")</f>
        <v/>
      </c>
      <c r="G270" s="50">
        <f>IFERROR(INDEX(tbl_Finance[Ex GST],$A270),"")</f>
        <v/>
      </c>
      <c r="H270" s="48">
        <f>IFERROR(INDEX(tbl_Finance[Defer Start],$A270),"")</f>
        <v/>
      </c>
      <c r="I270" s="48">
        <f>IFERROR(INDEX(tbl_Finance[Defer End],$A270),"")</f>
        <v/>
      </c>
      <c r="J270" s="47">
        <f>IF(OR($H270="",$I270="",$G270=""),"",MAX(1,(YEAR($I270)-YEAR($H270))*12+MONTH($I270)-MONTH($H270)+1))</f>
        <v/>
      </c>
      <c r="K270" s="50">
        <f>IF($J270="","",$G270/$J270)</f>
        <v/>
      </c>
      <c r="L270" s="50">
        <f>IF($J270="",0,$K270*MAX(0,MIN(YEAR($C$3)*12+MONTH($C$3),YEAR($I270)*12+MONTH($I270))-(YEAR($H270)*12+MONTH($H270))+1))</f>
        <v/>
      </c>
      <c r="M270" s="50">
        <f>IF($J270="",0,$K270*MAX(0,MIN(YEAR($C$3)*12+MONTH($C$3)-1,YEAR($I270)*12+MONTH($I270))-(YEAR($H270)*12+MONTH($H270))+1))</f>
        <v/>
      </c>
      <c r="N270" s="50">
        <f>IF(OR($J270="",$B270=""),0,IF(YEAR($B270)*12+MONTH($B270)&lt;=YEAR($C$3)*12+MONTH($C$3),$G270,0))</f>
        <v/>
      </c>
      <c r="O270" s="50">
        <f>IF(OR($J270="",$B270=""),0,IF(YEAR($B270)*12+MONTH($B270)&lt;=YEAR($C$3)*12+MONTH($C$3)-1,$G270,0))</f>
        <v/>
      </c>
      <c r="P270" s="50">
        <f>$M270-$O270</f>
        <v/>
      </c>
      <c r="Q270" s="50">
        <f>($L270-$M270)-($N270-$O270)</f>
        <v/>
      </c>
      <c r="R270" s="50">
        <f>$L270-$N270</f>
        <v/>
      </c>
    </row>
    <row r="271">
      <c r="A271" s="47">
        <f>ROW()-5</f>
        <v/>
      </c>
      <c r="B271" s="48">
        <f>IFERROR(INDEX(tbl_Finance[Date],$A271),"")</f>
        <v/>
      </c>
      <c r="C271" s="49">
        <f>IFERROR(INDEX(tbl_Finance[Xero Invoice No],$A271),"")</f>
        <v/>
      </c>
      <c r="D271" s="49">
        <f>IFERROR(INDEX(tbl_Finance[Client],$A271),"")</f>
        <v/>
      </c>
      <c r="E271" s="49">
        <f>IFERROR(INDEX(tbl_Finance[Job Number],$A271),"")</f>
        <v/>
      </c>
      <c r="F271" s="49">
        <f>IFERROR(INDEX(tbl_Finance[Cost Centre],$A271),"")</f>
        <v/>
      </c>
      <c r="G271" s="50">
        <f>IFERROR(INDEX(tbl_Finance[Ex GST],$A271),"")</f>
        <v/>
      </c>
      <c r="H271" s="48">
        <f>IFERROR(INDEX(tbl_Finance[Defer Start],$A271),"")</f>
        <v/>
      </c>
      <c r="I271" s="48">
        <f>IFERROR(INDEX(tbl_Finance[Defer End],$A271),"")</f>
        <v/>
      </c>
      <c r="J271" s="47">
        <f>IF(OR($H271="",$I271="",$G271=""),"",MAX(1,(YEAR($I271)-YEAR($H271))*12+MONTH($I271)-MONTH($H271)+1))</f>
        <v/>
      </c>
      <c r="K271" s="50">
        <f>IF($J271="","",$G271/$J271)</f>
        <v/>
      </c>
      <c r="L271" s="50">
        <f>IF($J271="",0,$K271*MAX(0,MIN(YEAR($C$3)*12+MONTH($C$3),YEAR($I271)*12+MONTH($I271))-(YEAR($H271)*12+MONTH($H271))+1))</f>
        <v/>
      </c>
      <c r="M271" s="50">
        <f>IF($J271="",0,$K271*MAX(0,MIN(YEAR($C$3)*12+MONTH($C$3)-1,YEAR($I271)*12+MONTH($I271))-(YEAR($H271)*12+MONTH($H271))+1))</f>
        <v/>
      </c>
      <c r="N271" s="50">
        <f>IF(OR($J271="",$B271=""),0,IF(YEAR($B271)*12+MONTH($B271)&lt;=YEAR($C$3)*12+MONTH($C$3),$G271,0))</f>
        <v/>
      </c>
      <c r="O271" s="50">
        <f>IF(OR($J271="",$B271=""),0,IF(YEAR($B271)*12+MONTH($B271)&lt;=YEAR($C$3)*12+MONTH($C$3)-1,$G271,0))</f>
        <v/>
      </c>
      <c r="P271" s="50">
        <f>$M271-$O271</f>
        <v/>
      </c>
      <c r="Q271" s="50">
        <f>($L271-$M271)-($N271-$O271)</f>
        <v/>
      </c>
      <c r="R271" s="50">
        <f>$L271-$N271</f>
        <v/>
      </c>
    </row>
    <row r="272">
      <c r="A272" s="47">
        <f>ROW()-5</f>
        <v/>
      </c>
      <c r="B272" s="48">
        <f>IFERROR(INDEX(tbl_Finance[Date],$A272),"")</f>
        <v/>
      </c>
      <c r="C272" s="49">
        <f>IFERROR(INDEX(tbl_Finance[Xero Invoice No],$A272),"")</f>
        <v/>
      </c>
      <c r="D272" s="49">
        <f>IFERROR(INDEX(tbl_Finance[Client],$A272),"")</f>
        <v/>
      </c>
      <c r="E272" s="49">
        <f>IFERROR(INDEX(tbl_Finance[Job Number],$A272),"")</f>
        <v/>
      </c>
      <c r="F272" s="49">
        <f>IFERROR(INDEX(tbl_Finance[Cost Centre],$A272),"")</f>
        <v/>
      </c>
      <c r="G272" s="50">
        <f>IFERROR(INDEX(tbl_Finance[Ex GST],$A272),"")</f>
        <v/>
      </c>
      <c r="H272" s="48">
        <f>IFERROR(INDEX(tbl_Finance[Defer Start],$A272),"")</f>
        <v/>
      </c>
      <c r="I272" s="48">
        <f>IFERROR(INDEX(tbl_Finance[Defer End],$A272),"")</f>
        <v/>
      </c>
      <c r="J272" s="47">
        <f>IF(OR($H272="",$I272="",$G272=""),"",MAX(1,(YEAR($I272)-YEAR($H272))*12+MONTH($I272)-MONTH($H272)+1))</f>
        <v/>
      </c>
      <c r="K272" s="50">
        <f>IF($J272="","",$G272/$J272)</f>
        <v/>
      </c>
      <c r="L272" s="50">
        <f>IF($J272="",0,$K272*MAX(0,MIN(YEAR($C$3)*12+MONTH($C$3),YEAR($I272)*12+MONTH($I272))-(YEAR($H272)*12+MONTH($H272))+1))</f>
        <v/>
      </c>
      <c r="M272" s="50">
        <f>IF($J272="",0,$K272*MAX(0,MIN(YEAR($C$3)*12+MONTH($C$3)-1,YEAR($I272)*12+MONTH($I272))-(YEAR($H272)*12+MONTH($H272))+1))</f>
        <v/>
      </c>
      <c r="N272" s="50">
        <f>IF(OR($J272="",$B272=""),0,IF(YEAR($B272)*12+MONTH($B272)&lt;=YEAR($C$3)*12+MONTH($C$3),$G272,0))</f>
        <v/>
      </c>
      <c r="O272" s="50">
        <f>IF(OR($J272="",$B272=""),0,IF(YEAR($B272)*12+MONTH($B272)&lt;=YEAR($C$3)*12+MONTH($C$3)-1,$G272,0))</f>
        <v/>
      </c>
      <c r="P272" s="50">
        <f>$M272-$O272</f>
        <v/>
      </c>
      <c r="Q272" s="50">
        <f>($L272-$M272)-($N272-$O272)</f>
        <v/>
      </c>
      <c r="R272" s="50">
        <f>$L272-$N272</f>
        <v/>
      </c>
    </row>
    <row r="273">
      <c r="A273" s="47">
        <f>ROW()-5</f>
        <v/>
      </c>
      <c r="B273" s="48">
        <f>IFERROR(INDEX(tbl_Finance[Date],$A273),"")</f>
        <v/>
      </c>
      <c r="C273" s="49">
        <f>IFERROR(INDEX(tbl_Finance[Xero Invoice No],$A273),"")</f>
        <v/>
      </c>
      <c r="D273" s="49">
        <f>IFERROR(INDEX(tbl_Finance[Client],$A273),"")</f>
        <v/>
      </c>
      <c r="E273" s="49">
        <f>IFERROR(INDEX(tbl_Finance[Job Number],$A273),"")</f>
        <v/>
      </c>
      <c r="F273" s="49">
        <f>IFERROR(INDEX(tbl_Finance[Cost Centre],$A273),"")</f>
        <v/>
      </c>
      <c r="G273" s="50">
        <f>IFERROR(INDEX(tbl_Finance[Ex GST],$A273),"")</f>
        <v/>
      </c>
      <c r="H273" s="48">
        <f>IFERROR(INDEX(tbl_Finance[Defer Start],$A273),"")</f>
        <v/>
      </c>
      <c r="I273" s="48">
        <f>IFERROR(INDEX(tbl_Finance[Defer End],$A273),"")</f>
        <v/>
      </c>
      <c r="J273" s="47">
        <f>IF(OR($H273="",$I273="",$G273=""),"",MAX(1,(YEAR($I273)-YEAR($H273))*12+MONTH($I273)-MONTH($H273)+1))</f>
        <v/>
      </c>
      <c r="K273" s="50">
        <f>IF($J273="","",$G273/$J273)</f>
        <v/>
      </c>
      <c r="L273" s="50">
        <f>IF($J273="",0,$K273*MAX(0,MIN(YEAR($C$3)*12+MONTH($C$3),YEAR($I273)*12+MONTH($I273))-(YEAR($H273)*12+MONTH($H273))+1))</f>
        <v/>
      </c>
      <c r="M273" s="50">
        <f>IF($J273="",0,$K273*MAX(0,MIN(YEAR($C$3)*12+MONTH($C$3)-1,YEAR($I273)*12+MONTH($I273))-(YEAR($H273)*12+MONTH($H273))+1))</f>
        <v/>
      </c>
      <c r="N273" s="50">
        <f>IF(OR($J273="",$B273=""),0,IF(YEAR($B273)*12+MONTH($B273)&lt;=YEAR($C$3)*12+MONTH($C$3),$G273,0))</f>
        <v/>
      </c>
      <c r="O273" s="50">
        <f>IF(OR($J273="",$B273=""),0,IF(YEAR($B273)*12+MONTH($B273)&lt;=YEAR($C$3)*12+MONTH($C$3)-1,$G273,0))</f>
        <v/>
      </c>
      <c r="P273" s="50">
        <f>$M273-$O273</f>
        <v/>
      </c>
      <c r="Q273" s="50">
        <f>($L273-$M273)-($N273-$O273)</f>
        <v/>
      </c>
      <c r="R273" s="50">
        <f>$L273-$N273</f>
        <v/>
      </c>
    </row>
    <row r="274">
      <c r="A274" s="47">
        <f>ROW()-5</f>
        <v/>
      </c>
      <c r="B274" s="48">
        <f>IFERROR(INDEX(tbl_Finance[Date],$A274),"")</f>
        <v/>
      </c>
      <c r="C274" s="49">
        <f>IFERROR(INDEX(tbl_Finance[Xero Invoice No],$A274),"")</f>
        <v/>
      </c>
      <c r="D274" s="49">
        <f>IFERROR(INDEX(tbl_Finance[Client],$A274),"")</f>
        <v/>
      </c>
      <c r="E274" s="49">
        <f>IFERROR(INDEX(tbl_Finance[Job Number],$A274),"")</f>
        <v/>
      </c>
      <c r="F274" s="49">
        <f>IFERROR(INDEX(tbl_Finance[Cost Centre],$A274),"")</f>
        <v/>
      </c>
      <c r="G274" s="50">
        <f>IFERROR(INDEX(tbl_Finance[Ex GST],$A274),"")</f>
        <v/>
      </c>
      <c r="H274" s="48">
        <f>IFERROR(INDEX(tbl_Finance[Defer Start],$A274),"")</f>
        <v/>
      </c>
      <c r="I274" s="48">
        <f>IFERROR(INDEX(tbl_Finance[Defer End],$A274),"")</f>
        <v/>
      </c>
      <c r="J274" s="47">
        <f>IF(OR($H274="",$I274="",$G274=""),"",MAX(1,(YEAR($I274)-YEAR($H274))*12+MONTH($I274)-MONTH($H274)+1))</f>
        <v/>
      </c>
      <c r="K274" s="50">
        <f>IF($J274="","",$G274/$J274)</f>
        <v/>
      </c>
      <c r="L274" s="50">
        <f>IF($J274="",0,$K274*MAX(0,MIN(YEAR($C$3)*12+MONTH($C$3),YEAR($I274)*12+MONTH($I274))-(YEAR($H274)*12+MONTH($H274))+1))</f>
        <v/>
      </c>
      <c r="M274" s="50">
        <f>IF($J274="",0,$K274*MAX(0,MIN(YEAR($C$3)*12+MONTH($C$3)-1,YEAR($I274)*12+MONTH($I274))-(YEAR($H274)*12+MONTH($H274))+1))</f>
        <v/>
      </c>
      <c r="N274" s="50">
        <f>IF(OR($J274="",$B274=""),0,IF(YEAR($B274)*12+MONTH($B274)&lt;=YEAR($C$3)*12+MONTH($C$3),$G274,0))</f>
        <v/>
      </c>
      <c r="O274" s="50">
        <f>IF(OR($J274="",$B274=""),0,IF(YEAR($B274)*12+MONTH($B274)&lt;=YEAR($C$3)*12+MONTH($C$3)-1,$G274,0))</f>
        <v/>
      </c>
      <c r="P274" s="50">
        <f>$M274-$O274</f>
        <v/>
      </c>
      <c r="Q274" s="50">
        <f>($L274-$M274)-($N274-$O274)</f>
        <v/>
      </c>
      <c r="R274" s="50">
        <f>$L274-$N274</f>
        <v/>
      </c>
    </row>
    <row r="275">
      <c r="A275" s="47">
        <f>ROW()-5</f>
        <v/>
      </c>
      <c r="B275" s="48">
        <f>IFERROR(INDEX(tbl_Finance[Date],$A275),"")</f>
        <v/>
      </c>
      <c r="C275" s="49">
        <f>IFERROR(INDEX(tbl_Finance[Xero Invoice No],$A275),"")</f>
        <v/>
      </c>
      <c r="D275" s="49">
        <f>IFERROR(INDEX(tbl_Finance[Client],$A275),"")</f>
        <v/>
      </c>
      <c r="E275" s="49">
        <f>IFERROR(INDEX(tbl_Finance[Job Number],$A275),"")</f>
        <v/>
      </c>
      <c r="F275" s="49">
        <f>IFERROR(INDEX(tbl_Finance[Cost Centre],$A275),"")</f>
        <v/>
      </c>
      <c r="G275" s="50">
        <f>IFERROR(INDEX(tbl_Finance[Ex GST],$A275),"")</f>
        <v/>
      </c>
      <c r="H275" s="48">
        <f>IFERROR(INDEX(tbl_Finance[Defer Start],$A275),"")</f>
        <v/>
      </c>
      <c r="I275" s="48">
        <f>IFERROR(INDEX(tbl_Finance[Defer End],$A275),"")</f>
        <v/>
      </c>
      <c r="J275" s="47">
        <f>IF(OR($H275="",$I275="",$G275=""),"",MAX(1,(YEAR($I275)-YEAR($H275))*12+MONTH($I275)-MONTH($H275)+1))</f>
        <v/>
      </c>
      <c r="K275" s="50">
        <f>IF($J275="","",$G275/$J275)</f>
        <v/>
      </c>
      <c r="L275" s="50">
        <f>IF($J275="",0,$K275*MAX(0,MIN(YEAR($C$3)*12+MONTH($C$3),YEAR($I275)*12+MONTH($I275))-(YEAR($H275)*12+MONTH($H275))+1))</f>
        <v/>
      </c>
      <c r="M275" s="50">
        <f>IF($J275="",0,$K275*MAX(0,MIN(YEAR($C$3)*12+MONTH($C$3)-1,YEAR($I275)*12+MONTH($I275))-(YEAR($H275)*12+MONTH($H275))+1))</f>
        <v/>
      </c>
      <c r="N275" s="50">
        <f>IF(OR($J275="",$B275=""),0,IF(YEAR($B275)*12+MONTH($B275)&lt;=YEAR($C$3)*12+MONTH($C$3),$G275,0))</f>
        <v/>
      </c>
      <c r="O275" s="50">
        <f>IF(OR($J275="",$B275=""),0,IF(YEAR($B275)*12+MONTH($B275)&lt;=YEAR($C$3)*12+MONTH($C$3)-1,$G275,0))</f>
        <v/>
      </c>
      <c r="P275" s="50">
        <f>$M275-$O275</f>
        <v/>
      </c>
      <c r="Q275" s="50">
        <f>($L275-$M275)-($N275-$O275)</f>
        <v/>
      </c>
      <c r="R275" s="50">
        <f>$L275-$N275</f>
        <v/>
      </c>
    </row>
    <row r="276">
      <c r="A276" s="47">
        <f>ROW()-5</f>
        <v/>
      </c>
      <c r="B276" s="48">
        <f>IFERROR(INDEX(tbl_Finance[Date],$A276),"")</f>
        <v/>
      </c>
      <c r="C276" s="49">
        <f>IFERROR(INDEX(tbl_Finance[Xero Invoice No],$A276),"")</f>
        <v/>
      </c>
      <c r="D276" s="49">
        <f>IFERROR(INDEX(tbl_Finance[Client],$A276),"")</f>
        <v/>
      </c>
      <c r="E276" s="49">
        <f>IFERROR(INDEX(tbl_Finance[Job Number],$A276),"")</f>
        <v/>
      </c>
      <c r="F276" s="49">
        <f>IFERROR(INDEX(tbl_Finance[Cost Centre],$A276),"")</f>
        <v/>
      </c>
      <c r="G276" s="50">
        <f>IFERROR(INDEX(tbl_Finance[Ex GST],$A276),"")</f>
        <v/>
      </c>
      <c r="H276" s="48">
        <f>IFERROR(INDEX(tbl_Finance[Defer Start],$A276),"")</f>
        <v/>
      </c>
      <c r="I276" s="48">
        <f>IFERROR(INDEX(tbl_Finance[Defer End],$A276),"")</f>
        <v/>
      </c>
      <c r="J276" s="47">
        <f>IF(OR($H276="",$I276="",$G276=""),"",MAX(1,(YEAR($I276)-YEAR($H276))*12+MONTH($I276)-MONTH($H276)+1))</f>
        <v/>
      </c>
      <c r="K276" s="50">
        <f>IF($J276="","",$G276/$J276)</f>
        <v/>
      </c>
      <c r="L276" s="50">
        <f>IF($J276="",0,$K276*MAX(0,MIN(YEAR($C$3)*12+MONTH($C$3),YEAR($I276)*12+MONTH($I276))-(YEAR($H276)*12+MONTH($H276))+1))</f>
        <v/>
      </c>
      <c r="M276" s="50">
        <f>IF($J276="",0,$K276*MAX(0,MIN(YEAR($C$3)*12+MONTH($C$3)-1,YEAR($I276)*12+MONTH($I276))-(YEAR($H276)*12+MONTH($H276))+1))</f>
        <v/>
      </c>
      <c r="N276" s="50">
        <f>IF(OR($J276="",$B276=""),0,IF(YEAR($B276)*12+MONTH($B276)&lt;=YEAR($C$3)*12+MONTH($C$3),$G276,0))</f>
        <v/>
      </c>
      <c r="O276" s="50">
        <f>IF(OR($J276="",$B276=""),0,IF(YEAR($B276)*12+MONTH($B276)&lt;=YEAR($C$3)*12+MONTH($C$3)-1,$G276,0))</f>
        <v/>
      </c>
      <c r="P276" s="50">
        <f>$M276-$O276</f>
        <v/>
      </c>
      <c r="Q276" s="50">
        <f>($L276-$M276)-($N276-$O276)</f>
        <v/>
      </c>
      <c r="R276" s="50">
        <f>$L276-$N276</f>
        <v/>
      </c>
    </row>
    <row r="277">
      <c r="A277" s="47">
        <f>ROW()-5</f>
        <v/>
      </c>
      <c r="B277" s="48">
        <f>IFERROR(INDEX(tbl_Finance[Date],$A277),"")</f>
        <v/>
      </c>
      <c r="C277" s="49">
        <f>IFERROR(INDEX(tbl_Finance[Xero Invoice No],$A277),"")</f>
        <v/>
      </c>
      <c r="D277" s="49">
        <f>IFERROR(INDEX(tbl_Finance[Client],$A277),"")</f>
        <v/>
      </c>
      <c r="E277" s="49">
        <f>IFERROR(INDEX(tbl_Finance[Job Number],$A277),"")</f>
        <v/>
      </c>
      <c r="F277" s="49">
        <f>IFERROR(INDEX(tbl_Finance[Cost Centre],$A277),"")</f>
        <v/>
      </c>
      <c r="G277" s="50">
        <f>IFERROR(INDEX(tbl_Finance[Ex GST],$A277),"")</f>
        <v/>
      </c>
      <c r="H277" s="48">
        <f>IFERROR(INDEX(tbl_Finance[Defer Start],$A277),"")</f>
        <v/>
      </c>
      <c r="I277" s="48">
        <f>IFERROR(INDEX(tbl_Finance[Defer End],$A277),"")</f>
        <v/>
      </c>
      <c r="J277" s="47">
        <f>IF(OR($H277="",$I277="",$G277=""),"",MAX(1,(YEAR($I277)-YEAR($H277))*12+MONTH($I277)-MONTH($H277)+1))</f>
        <v/>
      </c>
      <c r="K277" s="50">
        <f>IF($J277="","",$G277/$J277)</f>
        <v/>
      </c>
      <c r="L277" s="50">
        <f>IF($J277="",0,$K277*MAX(0,MIN(YEAR($C$3)*12+MONTH($C$3),YEAR($I277)*12+MONTH($I277))-(YEAR($H277)*12+MONTH($H277))+1))</f>
        <v/>
      </c>
      <c r="M277" s="50">
        <f>IF($J277="",0,$K277*MAX(0,MIN(YEAR($C$3)*12+MONTH($C$3)-1,YEAR($I277)*12+MONTH($I277))-(YEAR($H277)*12+MONTH($H277))+1))</f>
        <v/>
      </c>
      <c r="N277" s="50">
        <f>IF(OR($J277="",$B277=""),0,IF(YEAR($B277)*12+MONTH($B277)&lt;=YEAR($C$3)*12+MONTH($C$3),$G277,0))</f>
        <v/>
      </c>
      <c r="O277" s="50">
        <f>IF(OR($J277="",$B277=""),0,IF(YEAR($B277)*12+MONTH($B277)&lt;=YEAR($C$3)*12+MONTH($C$3)-1,$G277,0))</f>
        <v/>
      </c>
      <c r="P277" s="50">
        <f>$M277-$O277</f>
        <v/>
      </c>
      <c r="Q277" s="50">
        <f>($L277-$M277)-($N277-$O277)</f>
        <v/>
      </c>
      <c r="R277" s="50">
        <f>$L277-$N277</f>
        <v/>
      </c>
    </row>
    <row r="278">
      <c r="A278" s="47">
        <f>ROW()-5</f>
        <v/>
      </c>
      <c r="B278" s="48">
        <f>IFERROR(INDEX(tbl_Finance[Date],$A278),"")</f>
        <v/>
      </c>
      <c r="C278" s="49">
        <f>IFERROR(INDEX(tbl_Finance[Xero Invoice No],$A278),"")</f>
        <v/>
      </c>
      <c r="D278" s="49">
        <f>IFERROR(INDEX(tbl_Finance[Client],$A278),"")</f>
        <v/>
      </c>
      <c r="E278" s="49">
        <f>IFERROR(INDEX(tbl_Finance[Job Number],$A278),"")</f>
        <v/>
      </c>
      <c r="F278" s="49">
        <f>IFERROR(INDEX(tbl_Finance[Cost Centre],$A278),"")</f>
        <v/>
      </c>
      <c r="G278" s="50">
        <f>IFERROR(INDEX(tbl_Finance[Ex GST],$A278),"")</f>
        <v/>
      </c>
      <c r="H278" s="48">
        <f>IFERROR(INDEX(tbl_Finance[Defer Start],$A278),"")</f>
        <v/>
      </c>
      <c r="I278" s="48">
        <f>IFERROR(INDEX(tbl_Finance[Defer End],$A278),"")</f>
        <v/>
      </c>
      <c r="J278" s="47">
        <f>IF(OR($H278="",$I278="",$G278=""),"",MAX(1,(YEAR($I278)-YEAR($H278))*12+MONTH($I278)-MONTH($H278)+1))</f>
        <v/>
      </c>
      <c r="K278" s="50">
        <f>IF($J278="","",$G278/$J278)</f>
        <v/>
      </c>
      <c r="L278" s="50">
        <f>IF($J278="",0,$K278*MAX(0,MIN(YEAR($C$3)*12+MONTH($C$3),YEAR($I278)*12+MONTH($I278))-(YEAR($H278)*12+MONTH($H278))+1))</f>
        <v/>
      </c>
      <c r="M278" s="50">
        <f>IF($J278="",0,$K278*MAX(0,MIN(YEAR($C$3)*12+MONTH($C$3)-1,YEAR($I278)*12+MONTH($I278))-(YEAR($H278)*12+MONTH($H278))+1))</f>
        <v/>
      </c>
      <c r="N278" s="50">
        <f>IF(OR($J278="",$B278=""),0,IF(YEAR($B278)*12+MONTH($B278)&lt;=YEAR($C$3)*12+MONTH($C$3),$G278,0))</f>
        <v/>
      </c>
      <c r="O278" s="50">
        <f>IF(OR($J278="",$B278=""),0,IF(YEAR($B278)*12+MONTH($B278)&lt;=YEAR($C$3)*12+MONTH($C$3)-1,$G278,0))</f>
        <v/>
      </c>
      <c r="P278" s="50">
        <f>$M278-$O278</f>
        <v/>
      </c>
      <c r="Q278" s="50">
        <f>($L278-$M278)-($N278-$O278)</f>
        <v/>
      </c>
      <c r="R278" s="50">
        <f>$L278-$N278</f>
        <v/>
      </c>
    </row>
    <row r="279">
      <c r="A279" s="47">
        <f>ROW()-5</f>
        <v/>
      </c>
      <c r="B279" s="48">
        <f>IFERROR(INDEX(tbl_Finance[Date],$A279),"")</f>
        <v/>
      </c>
      <c r="C279" s="49">
        <f>IFERROR(INDEX(tbl_Finance[Xero Invoice No],$A279),"")</f>
        <v/>
      </c>
      <c r="D279" s="49">
        <f>IFERROR(INDEX(tbl_Finance[Client],$A279),"")</f>
        <v/>
      </c>
      <c r="E279" s="49">
        <f>IFERROR(INDEX(tbl_Finance[Job Number],$A279),"")</f>
        <v/>
      </c>
      <c r="F279" s="49">
        <f>IFERROR(INDEX(tbl_Finance[Cost Centre],$A279),"")</f>
        <v/>
      </c>
      <c r="G279" s="50">
        <f>IFERROR(INDEX(tbl_Finance[Ex GST],$A279),"")</f>
        <v/>
      </c>
      <c r="H279" s="48">
        <f>IFERROR(INDEX(tbl_Finance[Defer Start],$A279),"")</f>
        <v/>
      </c>
      <c r="I279" s="48">
        <f>IFERROR(INDEX(tbl_Finance[Defer End],$A279),"")</f>
        <v/>
      </c>
      <c r="J279" s="47">
        <f>IF(OR($H279="",$I279="",$G279=""),"",MAX(1,(YEAR($I279)-YEAR($H279))*12+MONTH($I279)-MONTH($H279)+1))</f>
        <v/>
      </c>
      <c r="K279" s="50">
        <f>IF($J279="","",$G279/$J279)</f>
        <v/>
      </c>
      <c r="L279" s="50">
        <f>IF($J279="",0,$K279*MAX(0,MIN(YEAR($C$3)*12+MONTH($C$3),YEAR($I279)*12+MONTH($I279))-(YEAR($H279)*12+MONTH($H279))+1))</f>
        <v/>
      </c>
      <c r="M279" s="50">
        <f>IF($J279="",0,$K279*MAX(0,MIN(YEAR($C$3)*12+MONTH($C$3)-1,YEAR($I279)*12+MONTH($I279))-(YEAR($H279)*12+MONTH($H279))+1))</f>
        <v/>
      </c>
      <c r="N279" s="50">
        <f>IF(OR($J279="",$B279=""),0,IF(YEAR($B279)*12+MONTH($B279)&lt;=YEAR($C$3)*12+MONTH($C$3),$G279,0))</f>
        <v/>
      </c>
      <c r="O279" s="50">
        <f>IF(OR($J279="",$B279=""),0,IF(YEAR($B279)*12+MONTH($B279)&lt;=YEAR($C$3)*12+MONTH($C$3)-1,$G279,0))</f>
        <v/>
      </c>
      <c r="P279" s="50">
        <f>$M279-$O279</f>
        <v/>
      </c>
      <c r="Q279" s="50">
        <f>($L279-$M279)-($N279-$O279)</f>
        <v/>
      </c>
      <c r="R279" s="50">
        <f>$L279-$N279</f>
        <v/>
      </c>
    </row>
    <row r="280">
      <c r="A280" s="47">
        <f>ROW()-5</f>
        <v/>
      </c>
      <c r="B280" s="48">
        <f>IFERROR(INDEX(tbl_Finance[Date],$A280),"")</f>
        <v/>
      </c>
      <c r="C280" s="49">
        <f>IFERROR(INDEX(tbl_Finance[Xero Invoice No],$A280),"")</f>
        <v/>
      </c>
      <c r="D280" s="49">
        <f>IFERROR(INDEX(tbl_Finance[Client],$A280),"")</f>
        <v/>
      </c>
      <c r="E280" s="49">
        <f>IFERROR(INDEX(tbl_Finance[Job Number],$A280),"")</f>
        <v/>
      </c>
      <c r="F280" s="49">
        <f>IFERROR(INDEX(tbl_Finance[Cost Centre],$A280),"")</f>
        <v/>
      </c>
      <c r="G280" s="50">
        <f>IFERROR(INDEX(tbl_Finance[Ex GST],$A280),"")</f>
        <v/>
      </c>
      <c r="H280" s="48">
        <f>IFERROR(INDEX(tbl_Finance[Defer Start],$A280),"")</f>
        <v/>
      </c>
      <c r="I280" s="48">
        <f>IFERROR(INDEX(tbl_Finance[Defer End],$A280),"")</f>
        <v/>
      </c>
      <c r="J280" s="47">
        <f>IF(OR($H280="",$I280="",$G280=""),"",MAX(1,(YEAR($I280)-YEAR($H280))*12+MONTH($I280)-MONTH($H280)+1))</f>
        <v/>
      </c>
      <c r="K280" s="50">
        <f>IF($J280="","",$G280/$J280)</f>
        <v/>
      </c>
      <c r="L280" s="50">
        <f>IF($J280="",0,$K280*MAX(0,MIN(YEAR($C$3)*12+MONTH($C$3),YEAR($I280)*12+MONTH($I280))-(YEAR($H280)*12+MONTH($H280))+1))</f>
        <v/>
      </c>
      <c r="M280" s="50">
        <f>IF($J280="",0,$K280*MAX(0,MIN(YEAR($C$3)*12+MONTH($C$3)-1,YEAR($I280)*12+MONTH($I280))-(YEAR($H280)*12+MONTH($H280))+1))</f>
        <v/>
      </c>
      <c r="N280" s="50">
        <f>IF(OR($J280="",$B280=""),0,IF(YEAR($B280)*12+MONTH($B280)&lt;=YEAR($C$3)*12+MONTH($C$3),$G280,0))</f>
        <v/>
      </c>
      <c r="O280" s="50">
        <f>IF(OR($J280="",$B280=""),0,IF(YEAR($B280)*12+MONTH($B280)&lt;=YEAR($C$3)*12+MONTH($C$3)-1,$G280,0))</f>
        <v/>
      </c>
      <c r="P280" s="50">
        <f>$M280-$O280</f>
        <v/>
      </c>
      <c r="Q280" s="50">
        <f>($L280-$M280)-($N280-$O280)</f>
        <v/>
      </c>
      <c r="R280" s="50">
        <f>$L280-$N280</f>
        <v/>
      </c>
    </row>
    <row r="281">
      <c r="A281" s="47">
        <f>ROW()-5</f>
        <v/>
      </c>
      <c r="B281" s="48">
        <f>IFERROR(INDEX(tbl_Finance[Date],$A281),"")</f>
        <v/>
      </c>
      <c r="C281" s="49">
        <f>IFERROR(INDEX(tbl_Finance[Xero Invoice No],$A281),"")</f>
        <v/>
      </c>
      <c r="D281" s="49">
        <f>IFERROR(INDEX(tbl_Finance[Client],$A281),"")</f>
        <v/>
      </c>
      <c r="E281" s="49">
        <f>IFERROR(INDEX(tbl_Finance[Job Number],$A281),"")</f>
        <v/>
      </c>
      <c r="F281" s="49">
        <f>IFERROR(INDEX(tbl_Finance[Cost Centre],$A281),"")</f>
        <v/>
      </c>
      <c r="G281" s="50">
        <f>IFERROR(INDEX(tbl_Finance[Ex GST],$A281),"")</f>
        <v/>
      </c>
      <c r="H281" s="48">
        <f>IFERROR(INDEX(tbl_Finance[Defer Start],$A281),"")</f>
        <v/>
      </c>
      <c r="I281" s="48">
        <f>IFERROR(INDEX(tbl_Finance[Defer End],$A281),"")</f>
        <v/>
      </c>
      <c r="J281" s="47">
        <f>IF(OR($H281="",$I281="",$G281=""),"",MAX(1,(YEAR($I281)-YEAR($H281))*12+MONTH($I281)-MONTH($H281)+1))</f>
        <v/>
      </c>
      <c r="K281" s="50">
        <f>IF($J281="","",$G281/$J281)</f>
        <v/>
      </c>
      <c r="L281" s="50">
        <f>IF($J281="",0,$K281*MAX(0,MIN(YEAR($C$3)*12+MONTH($C$3),YEAR($I281)*12+MONTH($I281))-(YEAR($H281)*12+MONTH($H281))+1))</f>
        <v/>
      </c>
      <c r="M281" s="50">
        <f>IF($J281="",0,$K281*MAX(0,MIN(YEAR($C$3)*12+MONTH($C$3)-1,YEAR($I281)*12+MONTH($I281))-(YEAR($H281)*12+MONTH($H281))+1))</f>
        <v/>
      </c>
      <c r="N281" s="50">
        <f>IF(OR($J281="",$B281=""),0,IF(YEAR($B281)*12+MONTH($B281)&lt;=YEAR($C$3)*12+MONTH($C$3),$G281,0))</f>
        <v/>
      </c>
      <c r="O281" s="50">
        <f>IF(OR($J281="",$B281=""),0,IF(YEAR($B281)*12+MONTH($B281)&lt;=YEAR($C$3)*12+MONTH($C$3)-1,$G281,0))</f>
        <v/>
      </c>
      <c r="P281" s="50">
        <f>$M281-$O281</f>
        <v/>
      </c>
      <c r="Q281" s="50">
        <f>($L281-$M281)-($N281-$O281)</f>
        <v/>
      </c>
      <c r="R281" s="50">
        <f>$L281-$N281</f>
        <v/>
      </c>
    </row>
    <row r="282">
      <c r="A282" s="47">
        <f>ROW()-5</f>
        <v/>
      </c>
      <c r="B282" s="48">
        <f>IFERROR(INDEX(tbl_Finance[Date],$A282),"")</f>
        <v/>
      </c>
      <c r="C282" s="49">
        <f>IFERROR(INDEX(tbl_Finance[Xero Invoice No],$A282),"")</f>
        <v/>
      </c>
      <c r="D282" s="49">
        <f>IFERROR(INDEX(tbl_Finance[Client],$A282),"")</f>
        <v/>
      </c>
      <c r="E282" s="49">
        <f>IFERROR(INDEX(tbl_Finance[Job Number],$A282),"")</f>
        <v/>
      </c>
      <c r="F282" s="49">
        <f>IFERROR(INDEX(tbl_Finance[Cost Centre],$A282),"")</f>
        <v/>
      </c>
      <c r="G282" s="50">
        <f>IFERROR(INDEX(tbl_Finance[Ex GST],$A282),"")</f>
        <v/>
      </c>
      <c r="H282" s="48">
        <f>IFERROR(INDEX(tbl_Finance[Defer Start],$A282),"")</f>
        <v/>
      </c>
      <c r="I282" s="48">
        <f>IFERROR(INDEX(tbl_Finance[Defer End],$A282),"")</f>
        <v/>
      </c>
      <c r="J282" s="47">
        <f>IF(OR($H282="",$I282="",$G282=""),"",MAX(1,(YEAR($I282)-YEAR($H282))*12+MONTH($I282)-MONTH($H282)+1))</f>
        <v/>
      </c>
      <c r="K282" s="50">
        <f>IF($J282="","",$G282/$J282)</f>
        <v/>
      </c>
      <c r="L282" s="50">
        <f>IF($J282="",0,$K282*MAX(0,MIN(YEAR($C$3)*12+MONTH($C$3),YEAR($I282)*12+MONTH($I282))-(YEAR($H282)*12+MONTH($H282))+1))</f>
        <v/>
      </c>
      <c r="M282" s="50">
        <f>IF($J282="",0,$K282*MAX(0,MIN(YEAR($C$3)*12+MONTH($C$3)-1,YEAR($I282)*12+MONTH($I282))-(YEAR($H282)*12+MONTH($H282))+1))</f>
        <v/>
      </c>
      <c r="N282" s="50">
        <f>IF(OR($J282="",$B282=""),0,IF(YEAR($B282)*12+MONTH($B282)&lt;=YEAR($C$3)*12+MONTH($C$3),$G282,0))</f>
        <v/>
      </c>
      <c r="O282" s="50">
        <f>IF(OR($J282="",$B282=""),0,IF(YEAR($B282)*12+MONTH($B282)&lt;=YEAR($C$3)*12+MONTH($C$3)-1,$G282,0))</f>
        <v/>
      </c>
      <c r="P282" s="50">
        <f>$M282-$O282</f>
        <v/>
      </c>
      <c r="Q282" s="50">
        <f>($L282-$M282)-($N282-$O282)</f>
        <v/>
      </c>
      <c r="R282" s="50">
        <f>$L282-$N282</f>
        <v/>
      </c>
    </row>
    <row r="283">
      <c r="A283" s="47">
        <f>ROW()-5</f>
        <v/>
      </c>
      <c r="B283" s="48">
        <f>IFERROR(INDEX(tbl_Finance[Date],$A283),"")</f>
        <v/>
      </c>
      <c r="C283" s="49">
        <f>IFERROR(INDEX(tbl_Finance[Xero Invoice No],$A283),"")</f>
        <v/>
      </c>
      <c r="D283" s="49">
        <f>IFERROR(INDEX(tbl_Finance[Client],$A283),"")</f>
        <v/>
      </c>
      <c r="E283" s="49">
        <f>IFERROR(INDEX(tbl_Finance[Job Number],$A283),"")</f>
        <v/>
      </c>
      <c r="F283" s="49">
        <f>IFERROR(INDEX(tbl_Finance[Cost Centre],$A283),"")</f>
        <v/>
      </c>
      <c r="G283" s="50">
        <f>IFERROR(INDEX(tbl_Finance[Ex GST],$A283),"")</f>
        <v/>
      </c>
      <c r="H283" s="48">
        <f>IFERROR(INDEX(tbl_Finance[Defer Start],$A283),"")</f>
        <v/>
      </c>
      <c r="I283" s="48">
        <f>IFERROR(INDEX(tbl_Finance[Defer End],$A283),"")</f>
        <v/>
      </c>
      <c r="J283" s="47">
        <f>IF(OR($H283="",$I283="",$G283=""),"",MAX(1,(YEAR($I283)-YEAR($H283))*12+MONTH($I283)-MONTH($H283)+1))</f>
        <v/>
      </c>
      <c r="K283" s="50">
        <f>IF($J283="","",$G283/$J283)</f>
        <v/>
      </c>
      <c r="L283" s="50">
        <f>IF($J283="",0,$K283*MAX(0,MIN(YEAR($C$3)*12+MONTH($C$3),YEAR($I283)*12+MONTH($I283))-(YEAR($H283)*12+MONTH($H283))+1))</f>
        <v/>
      </c>
      <c r="M283" s="50">
        <f>IF($J283="",0,$K283*MAX(0,MIN(YEAR($C$3)*12+MONTH($C$3)-1,YEAR($I283)*12+MONTH($I283))-(YEAR($H283)*12+MONTH($H283))+1))</f>
        <v/>
      </c>
      <c r="N283" s="50">
        <f>IF(OR($J283="",$B283=""),0,IF(YEAR($B283)*12+MONTH($B283)&lt;=YEAR($C$3)*12+MONTH($C$3),$G283,0))</f>
        <v/>
      </c>
      <c r="O283" s="50">
        <f>IF(OR($J283="",$B283=""),0,IF(YEAR($B283)*12+MONTH($B283)&lt;=YEAR($C$3)*12+MONTH($C$3)-1,$G283,0))</f>
        <v/>
      </c>
      <c r="P283" s="50">
        <f>$M283-$O283</f>
        <v/>
      </c>
      <c r="Q283" s="50">
        <f>($L283-$M283)-($N283-$O283)</f>
        <v/>
      </c>
      <c r="R283" s="50">
        <f>$L283-$N283</f>
        <v/>
      </c>
    </row>
    <row r="284">
      <c r="A284" s="47">
        <f>ROW()-5</f>
        <v/>
      </c>
      <c r="B284" s="48">
        <f>IFERROR(INDEX(tbl_Finance[Date],$A284),"")</f>
        <v/>
      </c>
      <c r="C284" s="49">
        <f>IFERROR(INDEX(tbl_Finance[Xero Invoice No],$A284),"")</f>
        <v/>
      </c>
      <c r="D284" s="49">
        <f>IFERROR(INDEX(tbl_Finance[Client],$A284),"")</f>
        <v/>
      </c>
      <c r="E284" s="49">
        <f>IFERROR(INDEX(tbl_Finance[Job Number],$A284),"")</f>
        <v/>
      </c>
      <c r="F284" s="49">
        <f>IFERROR(INDEX(tbl_Finance[Cost Centre],$A284),"")</f>
        <v/>
      </c>
      <c r="G284" s="50">
        <f>IFERROR(INDEX(tbl_Finance[Ex GST],$A284),"")</f>
        <v/>
      </c>
      <c r="H284" s="48">
        <f>IFERROR(INDEX(tbl_Finance[Defer Start],$A284),"")</f>
        <v/>
      </c>
      <c r="I284" s="48">
        <f>IFERROR(INDEX(tbl_Finance[Defer End],$A284),"")</f>
        <v/>
      </c>
      <c r="J284" s="47">
        <f>IF(OR($H284="",$I284="",$G284=""),"",MAX(1,(YEAR($I284)-YEAR($H284))*12+MONTH($I284)-MONTH($H284)+1))</f>
        <v/>
      </c>
      <c r="K284" s="50">
        <f>IF($J284="","",$G284/$J284)</f>
        <v/>
      </c>
      <c r="L284" s="50">
        <f>IF($J284="",0,$K284*MAX(0,MIN(YEAR($C$3)*12+MONTH($C$3),YEAR($I284)*12+MONTH($I284))-(YEAR($H284)*12+MONTH($H284))+1))</f>
        <v/>
      </c>
      <c r="M284" s="50">
        <f>IF($J284="",0,$K284*MAX(0,MIN(YEAR($C$3)*12+MONTH($C$3)-1,YEAR($I284)*12+MONTH($I284))-(YEAR($H284)*12+MONTH($H284))+1))</f>
        <v/>
      </c>
      <c r="N284" s="50">
        <f>IF(OR($J284="",$B284=""),0,IF(YEAR($B284)*12+MONTH($B284)&lt;=YEAR($C$3)*12+MONTH($C$3),$G284,0))</f>
        <v/>
      </c>
      <c r="O284" s="50">
        <f>IF(OR($J284="",$B284=""),0,IF(YEAR($B284)*12+MONTH($B284)&lt;=YEAR($C$3)*12+MONTH($C$3)-1,$G284,0))</f>
        <v/>
      </c>
      <c r="P284" s="50">
        <f>$M284-$O284</f>
        <v/>
      </c>
      <c r="Q284" s="50">
        <f>($L284-$M284)-($N284-$O284)</f>
        <v/>
      </c>
      <c r="R284" s="50">
        <f>$L284-$N284</f>
        <v/>
      </c>
    </row>
    <row r="285">
      <c r="A285" s="47">
        <f>ROW()-5</f>
        <v/>
      </c>
      <c r="B285" s="48">
        <f>IFERROR(INDEX(tbl_Finance[Date],$A285),"")</f>
        <v/>
      </c>
      <c r="C285" s="49">
        <f>IFERROR(INDEX(tbl_Finance[Xero Invoice No],$A285),"")</f>
        <v/>
      </c>
      <c r="D285" s="49">
        <f>IFERROR(INDEX(tbl_Finance[Client],$A285),"")</f>
        <v/>
      </c>
      <c r="E285" s="49">
        <f>IFERROR(INDEX(tbl_Finance[Job Number],$A285),"")</f>
        <v/>
      </c>
      <c r="F285" s="49">
        <f>IFERROR(INDEX(tbl_Finance[Cost Centre],$A285),"")</f>
        <v/>
      </c>
      <c r="G285" s="50">
        <f>IFERROR(INDEX(tbl_Finance[Ex GST],$A285),"")</f>
        <v/>
      </c>
      <c r="H285" s="48">
        <f>IFERROR(INDEX(tbl_Finance[Defer Start],$A285),"")</f>
        <v/>
      </c>
      <c r="I285" s="48">
        <f>IFERROR(INDEX(tbl_Finance[Defer End],$A285),"")</f>
        <v/>
      </c>
      <c r="J285" s="47">
        <f>IF(OR($H285="",$I285="",$G285=""),"",MAX(1,(YEAR($I285)-YEAR($H285))*12+MONTH($I285)-MONTH($H285)+1))</f>
        <v/>
      </c>
      <c r="K285" s="50">
        <f>IF($J285="","",$G285/$J285)</f>
        <v/>
      </c>
      <c r="L285" s="50">
        <f>IF($J285="",0,$K285*MAX(0,MIN(YEAR($C$3)*12+MONTH($C$3),YEAR($I285)*12+MONTH($I285))-(YEAR($H285)*12+MONTH($H285))+1))</f>
        <v/>
      </c>
      <c r="M285" s="50">
        <f>IF($J285="",0,$K285*MAX(0,MIN(YEAR($C$3)*12+MONTH($C$3)-1,YEAR($I285)*12+MONTH($I285))-(YEAR($H285)*12+MONTH($H285))+1))</f>
        <v/>
      </c>
      <c r="N285" s="50">
        <f>IF(OR($J285="",$B285=""),0,IF(YEAR($B285)*12+MONTH($B285)&lt;=YEAR($C$3)*12+MONTH($C$3),$G285,0))</f>
        <v/>
      </c>
      <c r="O285" s="50">
        <f>IF(OR($J285="",$B285=""),0,IF(YEAR($B285)*12+MONTH($B285)&lt;=YEAR($C$3)*12+MONTH($C$3)-1,$G285,0))</f>
        <v/>
      </c>
      <c r="P285" s="50">
        <f>$M285-$O285</f>
        <v/>
      </c>
      <c r="Q285" s="50">
        <f>($L285-$M285)-($N285-$O285)</f>
        <v/>
      </c>
      <c r="R285" s="50">
        <f>$L285-$N285</f>
        <v/>
      </c>
    </row>
    <row r="286">
      <c r="A286" s="47">
        <f>ROW()-5</f>
        <v/>
      </c>
      <c r="B286" s="48">
        <f>IFERROR(INDEX(tbl_Finance[Date],$A286),"")</f>
        <v/>
      </c>
      <c r="C286" s="49">
        <f>IFERROR(INDEX(tbl_Finance[Xero Invoice No],$A286),"")</f>
        <v/>
      </c>
      <c r="D286" s="49">
        <f>IFERROR(INDEX(tbl_Finance[Client],$A286),"")</f>
        <v/>
      </c>
      <c r="E286" s="49">
        <f>IFERROR(INDEX(tbl_Finance[Job Number],$A286),"")</f>
        <v/>
      </c>
      <c r="F286" s="49">
        <f>IFERROR(INDEX(tbl_Finance[Cost Centre],$A286),"")</f>
        <v/>
      </c>
      <c r="G286" s="50">
        <f>IFERROR(INDEX(tbl_Finance[Ex GST],$A286),"")</f>
        <v/>
      </c>
      <c r="H286" s="48">
        <f>IFERROR(INDEX(tbl_Finance[Defer Start],$A286),"")</f>
        <v/>
      </c>
      <c r="I286" s="48">
        <f>IFERROR(INDEX(tbl_Finance[Defer End],$A286),"")</f>
        <v/>
      </c>
      <c r="J286" s="47">
        <f>IF(OR($H286="",$I286="",$G286=""),"",MAX(1,(YEAR($I286)-YEAR($H286))*12+MONTH($I286)-MONTH($H286)+1))</f>
        <v/>
      </c>
      <c r="K286" s="50">
        <f>IF($J286="","",$G286/$J286)</f>
        <v/>
      </c>
      <c r="L286" s="50">
        <f>IF($J286="",0,$K286*MAX(0,MIN(YEAR($C$3)*12+MONTH($C$3),YEAR($I286)*12+MONTH($I286))-(YEAR($H286)*12+MONTH($H286))+1))</f>
        <v/>
      </c>
      <c r="M286" s="50">
        <f>IF($J286="",0,$K286*MAX(0,MIN(YEAR($C$3)*12+MONTH($C$3)-1,YEAR($I286)*12+MONTH($I286))-(YEAR($H286)*12+MONTH($H286))+1))</f>
        <v/>
      </c>
      <c r="N286" s="50">
        <f>IF(OR($J286="",$B286=""),0,IF(YEAR($B286)*12+MONTH($B286)&lt;=YEAR($C$3)*12+MONTH($C$3),$G286,0))</f>
        <v/>
      </c>
      <c r="O286" s="50">
        <f>IF(OR($J286="",$B286=""),0,IF(YEAR($B286)*12+MONTH($B286)&lt;=YEAR($C$3)*12+MONTH($C$3)-1,$G286,0))</f>
        <v/>
      </c>
      <c r="P286" s="50">
        <f>$M286-$O286</f>
        <v/>
      </c>
      <c r="Q286" s="50">
        <f>($L286-$M286)-($N286-$O286)</f>
        <v/>
      </c>
      <c r="R286" s="50">
        <f>$L286-$N286</f>
        <v/>
      </c>
    </row>
    <row r="287">
      <c r="A287" s="47">
        <f>ROW()-5</f>
        <v/>
      </c>
      <c r="B287" s="48">
        <f>IFERROR(INDEX(tbl_Finance[Date],$A287),"")</f>
        <v/>
      </c>
      <c r="C287" s="49">
        <f>IFERROR(INDEX(tbl_Finance[Xero Invoice No],$A287),"")</f>
        <v/>
      </c>
      <c r="D287" s="49">
        <f>IFERROR(INDEX(tbl_Finance[Client],$A287),"")</f>
        <v/>
      </c>
      <c r="E287" s="49">
        <f>IFERROR(INDEX(tbl_Finance[Job Number],$A287),"")</f>
        <v/>
      </c>
      <c r="F287" s="49">
        <f>IFERROR(INDEX(tbl_Finance[Cost Centre],$A287),"")</f>
        <v/>
      </c>
      <c r="G287" s="50">
        <f>IFERROR(INDEX(tbl_Finance[Ex GST],$A287),"")</f>
        <v/>
      </c>
      <c r="H287" s="48">
        <f>IFERROR(INDEX(tbl_Finance[Defer Start],$A287),"")</f>
        <v/>
      </c>
      <c r="I287" s="48">
        <f>IFERROR(INDEX(tbl_Finance[Defer End],$A287),"")</f>
        <v/>
      </c>
      <c r="J287" s="47">
        <f>IF(OR($H287="",$I287="",$G287=""),"",MAX(1,(YEAR($I287)-YEAR($H287))*12+MONTH($I287)-MONTH($H287)+1))</f>
        <v/>
      </c>
      <c r="K287" s="50">
        <f>IF($J287="","",$G287/$J287)</f>
        <v/>
      </c>
      <c r="L287" s="50">
        <f>IF($J287="",0,$K287*MAX(0,MIN(YEAR($C$3)*12+MONTH($C$3),YEAR($I287)*12+MONTH($I287))-(YEAR($H287)*12+MONTH($H287))+1))</f>
        <v/>
      </c>
      <c r="M287" s="50">
        <f>IF($J287="",0,$K287*MAX(0,MIN(YEAR($C$3)*12+MONTH($C$3)-1,YEAR($I287)*12+MONTH($I287))-(YEAR($H287)*12+MONTH($H287))+1))</f>
        <v/>
      </c>
      <c r="N287" s="50">
        <f>IF(OR($J287="",$B287=""),0,IF(YEAR($B287)*12+MONTH($B287)&lt;=YEAR($C$3)*12+MONTH($C$3),$G287,0))</f>
        <v/>
      </c>
      <c r="O287" s="50">
        <f>IF(OR($J287="",$B287=""),0,IF(YEAR($B287)*12+MONTH($B287)&lt;=YEAR($C$3)*12+MONTH($C$3)-1,$G287,0))</f>
        <v/>
      </c>
      <c r="P287" s="50">
        <f>$M287-$O287</f>
        <v/>
      </c>
      <c r="Q287" s="50">
        <f>($L287-$M287)-($N287-$O287)</f>
        <v/>
      </c>
      <c r="R287" s="50">
        <f>$L287-$N287</f>
        <v/>
      </c>
    </row>
    <row r="288">
      <c r="A288" s="47">
        <f>ROW()-5</f>
        <v/>
      </c>
      <c r="B288" s="48">
        <f>IFERROR(INDEX(tbl_Finance[Date],$A288),"")</f>
        <v/>
      </c>
      <c r="C288" s="49">
        <f>IFERROR(INDEX(tbl_Finance[Xero Invoice No],$A288),"")</f>
        <v/>
      </c>
      <c r="D288" s="49">
        <f>IFERROR(INDEX(tbl_Finance[Client],$A288),"")</f>
        <v/>
      </c>
      <c r="E288" s="49">
        <f>IFERROR(INDEX(tbl_Finance[Job Number],$A288),"")</f>
        <v/>
      </c>
      <c r="F288" s="49">
        <f>IFERROR(INDEX(tbl_Finance[Cost Centre],$A288),"")</f>
        <v/>
      </c>
      <c r="G288" s="50">
        <f>IFERROR(INDEX(tbl_Finance[Ex GST],$A288),"")</f>
        <v/>
      </c>
      <c r="H288" s="48">
        <f>IFERROR(INDEX(tbl_Finance[Defer Start],$A288),"")</f>
        <v/>
      </c>
      <c r="I288" s="48">
        <f>IFERROR(INDEX(tbl_Finance[Defer End],$A288),"")</f>
        <v/>
      </c>
      <c r="J288" s="47">
        <f>IF(OR($H288="",$I288="",$G288=""),"",MAX(1,(YEAR($I288)-YEAR($H288))*12+MONTH($I288)-MONTH($H288)+1))</f>
        <v/>
      </c>
      <c r="K288" s="50">
        <f>IF($J288="","",$G288/$J288)</f>
        <v/>
      </c>
      <c r="L288" s="50">
        <f>IF($J288="",0,$K288*MAX(0,MIN(YEAR($C$3)*12+MONTH($C$3),YEAR($I288)*12+MONTH($I288))-(YEAR($H288)*12+MONTH($H288))+1))</f>
        <v/>
      </c>
      <c r="M288" s="50">
        <f>IF($J288="",0,$K288*MAX(0,MIN(YEAR($C$3)*12+MONTH($C$3)-1,YEAR($I288)*12+MONTH($I288))-(YEAR($H288)*12+MONTH($H288))+1))</f>
        <v/>
      </c>
      <c r="N288" s="50">
        <f>IF(OR($J288="",$B288=""),0,IF(YEAR($B288)*12+MONTH($B288)&lt;=YEAR($C$3)*12+MONTH($C$3),$G288,0))</f>
        <v/>
      </c>
      <c r="O288" s="50">
        <f>IF(OR($J288="",$B288=""),0,IF(YEAR($B288)*12+MONTH($B288)&lt;=YEAR($C$3)*12+MONTH($C$3)-1,$G288,0))</f>
        <v/>
      </c>
      <c r="P288" s="50">
        <f>$M288-$O288</f>
        <v/>
      </c>
      <c r="Q288" s="50">
        <f>($L288-$M288)-($N288-$O288)</f>
        <v/>
      </c>
      <c r="R288" s="50">
        <f>$L288-$N288</f>
        <v/>
      </c>
    </row>
    <row r="289">
      <c r="A289" s="47">
        <f>ROW()-5</f>
        <v/>
      </c>
      <c r="B289" s="48">
        <f>IFERROR(INDEX(tbl_Finance[Date],$A289),"")</f>
        <v/>
      </c>
      <c r="C289" s="49">
        <f>IFERROR(INDEX(tbl_Finance[Xero Invoice No],$A289),"")</f>
        <v/>
      </c>
      <c r="D289" s="49">
        <f>IFERROR(INDEX(tbl_Finance[Client],$A289),"")</f>
        <v/>
      </c>
      <c r="E289" s="49">
        <f>IFERROR(INDEX(tbl_Finance[Job Number],$A289),"")</f>
        <v/>
      </c>
      <c r="F289" s="49">
        <f>IFERROR(INDEX(tbl_Finance[Cost Centre],$A289),"")</f>
        <v/>
      </c>
      <c r="G289" s="50">
        <f>IFERROR(INDEX(tbl_Finance[Ex GST],$A289),"")</f>
        <v/>
      </c>
      <c r="H289" s="48">
        <f>IFERROR(INDEX(tbl_Finance[Defer Start],$A289),"")</f>
        <v/>
      </c>
      <c r="I289" s="48">
        <f>IFERROR(INDEX(tbl_Finance[Defer End],$A289),"")</f>
        <v/>
      </c>
      <c r="J289" s="47">
        <f>IF(OR($H289="",$I289="",$G289=""),"",MAX(1,(YEAR($I289)-YEAR($H289))*12+MONTH($I289)-MONTH($H289)+1))</f>
        <v/>
      </c>
      <c r="K289" s="50">
        <f>IF($J289="","",$G289/$J289)</f>
        <v/>
      </c>
      <c r="L289" s="50">
        <f>IF($J289="",0,$K289*MAX(0,MIN(YEAR($C$3)*12+MONTH($C$3),YEAR($I289)*12+MONTH($I289))-(YEAR($H289)*12+MONTH($H289))+1))</f>
        <v/>
      </c>
      <c r="M289" s="50">
        <f>IF($J289="",0,$K289*MAX(0,MIN(YEAR($C$3)*12+MONTH($C$3)-1,YEAR($I289)*12+MONTH($I289))-(YEAR($H289)*12+MONTH($H289))+1))</f>
        <v/>
      </c>
      <c r="N289" s="50">
        <f>IF(OR($J289="",$B289=""),0,IF(YEAR($B289)*12+MONTH($B289)&lt;=YEAR($C$3)*12+MONTH($C$3),$G289,0))</f>
        <v/>
      </c>
      <c r="O289" s="50">
        <f>IF(OR($J289="",$B289=""),0,IF(YEAR($B289)*12+MONTH($B289)&lt;=YEAR($C$3)*12+MONTH($C$3)-1,$G289,0))</f>
        <v/>
      </c>
      <c r="P289" s="50">
        <f>$M289-$O289</f>
        <v/>
      </c>
      <c r="Q289" s="50">
        <f>($L289-$M289)-($N289-$O289)</f>
        <v/>
      </c>
      <c r="R289" s="50">
        <f>$L289-$N289</f>
        <v/>
      </c>
    </row>
    <row r="290">
      <c r="A290" s="47">
        <f>ROW()-5</f>
        <v/>
      </c>
      <c r="B290" s="48">
        <f>IFERROR(INDEX(tbl_Finance[Date],$A290),"")</f>
        <v/>
      </c>
      <c r="C290" s="49">
        <f>IFERROR(INDEX(tbl_Finance[Xero Invoice No],$A290),"")</f>
        <v/>
      </c>
      <c r="D290" s="49">
        <f>IFERROR(INDEX(tbl_Finance[Client],$A290),"")</f>
        <v/>
      </c>
      <c r="E290" s="49">
        <f>IFERROR(INDEX(tbl_Finance[Job Number],$A290),"")</f>
        <v/>
      </c>
      <c r="F290" s="49">
        <f>IFERROR(INDEX(tbl_Finance[Cost Centre],$A290),"")</f>
        <v/>
      </c>
      <c r="G290" s="50">
        <f>IFERROR(INDEX(tbl_Finance[Ex GST],$A290),"")</f>
        <v/>
      </c>
      <c r="H290" s="48">
        <f>IFERROR(INDEX(tbl_Finance[Defer Start],$A290),"")</f>
        <v/>
      </c>
      <c r="I290" s="48">
        <f>IFERROR(INDEX(tbl_Finance[Defer End],$A290),"")</f>
        <v/>
      </c>
      <c r="J290" s="47">
        <f>IF(OR($H290="",$I290="",$G290=""),"",MAX(1,(YEAR($I290)-YEAR($H290))*12+MONTH($I290)-MONTH($H290)+1))</f>
        <v/>
      </c>
      <c r="K290" s="50">
        <f>IF($J290="","",$G290/$J290)</f>
        <v/>
      </c>
      <c r="L290" s="50">
        <f>IF($J290="",0,$K290*MAX(0,MIN(YEAR($C$3)*12+MONTH($C$3),YEAR($I290)*12+MONTH($I290))-(YEAR($H290)*12+MONTH($H290))+1))</f>
        <v/>
      </c>
      <c r="M290" s="50">
        <f>IF($J290="",0,$K290*MAX(0,MIN(YEAR($C$3)*12+MONTH($C$3)-1,YEAR($I290)*12+MONTH($I290))-(YEAR($H290)*12+MONTH($H290))+1))</f>
        <v/>
      </c>
      <c r="N290" s="50">
        <f>IF(OR($J290="",$B290=""),0,IF(YEAR($B290)*12+MONTH($B290)&lt;=YEAR($C$3)*12+MONTH($C$3),$G290,0))</f>
        <v/>
      </c>
      <c r="O290" s="50">
        <f>IF(OR($J290="",$B290=""),0,IF(YEAR($B290)*12+MONTH($B290)&lt;=YEAR($C$3)*12+MONTH($C$3)-1,$G290,0))</f>
        <v/>
      </c>
      <c r="P290" s="50">
        <f>$M290-$O290</f>
        <v/>
      </c>
      <c r="Q290" s="50">
        <f>($L290-$M290)-($N290-$O290)</f>
        <v/>
      </c>
      <c r="R290" s="50">
        <f>$L290-$N290</f>
        <v/>
      </c>
    </row>
    <row r="291">
      <c r="A291" s="47">
        <f>ROW()-5</f>
        <v/>
      </c>
      <c r="B291" s="48">
        <f>IFERROR(INDEX(tbl_Finance[Date],$A291),"")</f>
        <v/>
      </c>
      <c r="C291" s="49">
        <f>IFERROR(INDEX(tbl_Finance[Xero Invoice No],$A291),"")</f>
        <v/>
      </c>
      <c r="D291" s="49">
        <f>IFERROR(INDEX(tbl_Finance[Client],$A291),"")</f>
        <v/>
      </c>
      <c r="E291" s="49">
        <f>IFERROR(INDEX(tbl_Finance[Job Number],$A291),"")</f>
        <v/>
      </c>
      <c r="F291" s="49">
        <f>IFERROR(INDEX(tbl_Finance[Cost Centre],$A291),"")</f>
        <v/>
      </c>
      <c r="G291" s="50">
        <f>IFERROR(INDEX(tbl_Finance[Ex GST],$A291),"")</f>
        <v/>
      </c>
      <c r="H291" s="48">
        <f>IFERROR(INDEX(tbl_Finance[Defer Start],$A291),"")</f>
        <v/>
      </c>
      <c r="I291" s="48">
        <f>IFERROR(INDEX(tbl_Finance[Defer End],$A291),"")</f>
        <v/>
      </c>
      <c r="J291" s="47">
        <f>IF(OR($H291="",$I291="",$G291=""),"",MAX(1,(YEAR($I291)-YEAR($H291))*12+MONTH($I291)-MONTH($H291)+1))</f>
        <v/>
      </c>
      <c r="K291" s="50">
        <f>IF($J291="","",$G291/$J291)</f>
        <v/>
      </c>
      <c r="L291" s="50">
        <f>IF($J291="",0,$K291*MAX(0,MIN(YEAR($C$3)*12+MONTH($C$3),YEAR($I291)*12+MONTH($I291))-(YEAR($H291)*12+MONTH($H291))+1))</f>
        <v/>
      </c>
      <c r="M291" s="50">
        <f>IF($J291="",0,$K291*MAX(0,MIN(YEAR($C$3)*12+MONTH($C$3)-1,YEAR($I291)*12+MONTH($I291))-(YEAR($H291)*12+MONTH($H291))+1))</f>
        <v/>
      </c>
      <c r="N291" s="50">
        <f>IF(OR($J291="",$B291=""),0,IF(YEAR($B291)*12+MONTH($B291)&lt;=YEAR($C$3)*12+MONTH($C$3),$G291,0))</f>
        <v/>
      </c>
      <c r="O291" s="50">
        <f>IF(OR($J291="",$B291=""),0,IF(YEAR($B291)*12+MONTH($B291)&lt;=YEAR($C$3)*12+MONTH($C$3)-1,$G291,0))</f>
        <v/>
      </c>
      <c r="P291" s="50">
        <f>$M291-$O291</f>
        <v/>
      </c>
      <c r="Q291" s="50">
        <f>($L291-$M291)-($N291-$O291)</f>
        <v/>
      </c>
      <c r="R291" s="50">
        <f>$L291-$N291</f>
        <v/>
      </c>
    </row>
    <row r="292">
      <c r="A292" s="47">
        <f>ROW()-5</f>
        <v/>
      </c>
      <c r="B292" s="48">
        <f>IFERROR(INDEX(tbl_Finance[Date],$A292),"")</f>
        <v/>
      </c>
      <c r="C292" s="49">
        <f>IFERROR(INDEX(tbl_Finance[Xero Invoice No],$A292),"")</f>
        <v/>
      </c>
      <c r="D292" s="49">
        <f>IFERROR(INDEX(tbl_Finance[Client],$A292),"")</f>
        <v/>
      </c>
      <c r="E292" s="49">
        <f>IFERROR(INDEX(tbl_Finance[Job Number],$A292),"")</f>
        <v/>
      </c>
      <c r="F292" s="49">
        <f>IFERROR(INDEX(tbl_Finance[Cost Centre],$A292),"")</f>
        <v/>
      </c>
      <c r="G292" s="50">
        <f>IFERROR(INDEX(tbl_Finance[Ex GST],$A292),"")</f>
        <v/>
      </c>
      <c r="H292" s="48">
        <f>IFERROR(INDEX(tbl_Finance[Defer Start],$A292),"")</f>
        <v/>
      </c>
      <c r="I292" s="48">
        <f>IFERROR(INDEX(tbl_Finance[Defer End],$A292),"")</f>
        <v/>
      </c>
      <c r="J292" s="47">
        <f>IF(OR($H292="",$I292="",$G292=""),"",MAX(1,(YEAR($I292)-YEAR($H292))*12+MONTH($I292)-MONTH($H292)+1))</f>
        <v/>
      </c>
      <c r="K292" s="50">
        <f>IF($J292="","",$G292/$J292)</f>
        <v/>
      </c>
      <c r="L292" s="50">
        <f>IF($J292="",0,$K292*MAX(0,MIN(YEAR($C$3)*12+MONTH($C$3),YEAR($I292)*12+MONTH($I292))-(YEAR($H292)*12+MONTH($H292))+1))</f>
        <v/>
      </c>
      <c r="M292" s="50">
        <f>IF($J292="",0,$K292*MAX(0,MIN(YEAR($C$3)*12+MONTH($C$3)-1,YEAR($I292)*12+MONTH($I292))-(YEAR($H292)*12+MONTH($H292))+1))</f>
        <v/>
      </c>
      <c r="N292" s="50">
        <f>IF(OR($J292="",$B292=""),0,IF(YEAR($B292)*12+MONTH($B292)&lt;=YEAR($C$3)*12+MONTH($C$3),$G292,0))</f>
        <v/>
      </c>
      <c r="O292" s="50">
        <f>IF(OR($J292="",$B292=""),0,IF(YEAR($B292)*12+MONTH($B292)&lt;=YEAR($C$3)*12+MONTH($C$3)-1,$G292,0))</f>
        <v/>
      </c>
      <c r="P292" s="50">
        <f>$M292-$O292</f>
        <v/>
      </c>
      <c r="Q292" s="50">
        <f>($L292-$M292)-($N292-$O292)</f>
        <v/>
      </c>
      <c r="R292" s="50">
        <f>$L292-$N292</f>
        <v/>
      </c>
    </row>
    <row r="293">
      <c r="A293" s="47">
        <f>ROW()-5</f>
        <v/>
      </c>
      <c r="B293" s="48">
        <f>IFERROR(INDEX(tbl_Finance[Date],$A293),"")</f>
        <v/>
      </c>
      <c r="C293" s="49">
        <f>IFERROR(INDEX(tbl_Finance[Xero Invoice No],$A293),"")</f>
        <v/>
      </c>
      <c r="D293" s="49">
        <f>IFERROR(INDEX(tbl_Finance[Client],$A293),"")</f>
        <v/>
      </c>
      <c r="E293" s="49">
        <f>IFERROR(INDEX(tbl_Finance[Job Number],$A293),"")</f>
        <v/>
      </c>
      <c r="F293" s="49">
        <f>IFERROR(INDEX(tbl_Finance[Cost Centre],$A293),"")</f>
        <v/>
      </c>
      <c r="G293" s="50">
        <f>IFERROR(INDEX(tbl_Finance[Ex GST],$A293),"")</f>
        <v/>
      </c>
      <c r="H293" s="48">
        <f>IFERROR(INDEX(tbl_Finance[Defer Start],$A293),"")</f>
        <v/>
      </c>
      <c r="I293" s="48">
        <f>IFERROR(INDEX(tbl_Finance[Defer End],$A293),"")</f>
        <v/>
      </c>
      <c r="J293" s="47">
        <f>IF(OR($H293="",$I293="",$G293=""),"",MAX(1,(YEAR($I293)-YEAR($H293))*12+MONTH($I293)-MONTH($H293)+1))</f>
        <v/>
      </c>
      <c r="K293" s="50">
        <f>IF($J293="","",$G293/$J293)</f>
        <v/>
      </c>
      <c r="L293" s="50">
        <f>IF($J293="",0,$K293*MAX(0,MIN(YEAR($C$3)*12+MONTH($C$3),YEAR($I293)*12+MONTH($I293))-(YEAR($H293)*12+MONTH($H293))+1))</f>
        <v/>
      </c>
      <c r="M293" s="50">
        <f>IF($J293="",0,$K293*MAX(0,MIN(YEAR($C$3)*12+MONTH($C$3)-1,YEAR($I293)*12+MONTH($I293))-(YEAR($H293)*12+MONTH($H293))+1))</f>
        <v/>
      </c>
      <c r="N293" s="50">
        <f>IF(OR($J293="",$B293=""),0,IF(YEAR($B293)*12+MONTH($B293)&lt;=YEAR($C$3)*12+MONTH($C$3),$G293,0))</f>
        <v/>
      </c>
      <c r="O293" s="50">
        <f>IF(OR($J293="",$B293=""),0,IF(YEAR($B293)*12+MONTH($B293)&lt;=YEAR($C$3)*12+MONTH($C$3)-1,$G293,0))</f>
        <v/>
      </c>
      <c r="P293" s="50">
        <f>$M293-$O293</f>
        <v/>
      </c>
      <c r="Q293" s="50">
        <f>($L293-$M293)-($N293-$O293)</f>
        <v/>
      </c>
      <c r="R293" s="50">
        <f>$L293-$N293</f>
        <v/>
      </c>
    </row>
    <row r="294">
      <c r="A294" s="47">
        <f>ROW()-5</f>
        <v/>
      </c>
      <c r="B294" s="48">
        <f>IFERROR(INDEX(tbl_Finance[Date],$A294),"")</f>
        <v/>
      </c>
      <c r="C294" s="49">
        <f>IFERROR(INDEX(tbl_Finance[Xero Invoice No],$A294),"")</f>
        <v/>
      </c>
      <c r="D294" s="49">
        <f>IFERROR(INDEX(tbl_Finance[Client],$A294),"")</f>
        <v/>
      </c>
      <c r="E294" s="49">
        <f>IFERROR(INDEX(tbl_Finance[Job Number],$A294),"")</f>
        <v/>
      </c>
      <c r="F294" s="49">
        <f>IFERROR(INDEX(tbl_Finance[Cost Centre],$A294),"")</f>
        <v/>
      </c>
      <c r="G294" s="50">
        <f>IFERROR(INDEX(tbl_Finance[Ex GST],$A294),"")</f>
        <v/>
      </c>
      <c r="H294" s="48">
        <f>IFERROR(INDEX(tbl_Finance[Defer Start],$A294),"")</f>
        <v/>
      </c>
      <c r="I294" s="48">
        <f>IFERROR(INDEX(tbl_Finance[Defer End],$A294),"")</f>
        <v/>
      </c>
      <c r="J294" s="47">
        <f>IF(OR($H294="",$I294="",$G294=""),"",MAX(1,(YEAR($I294)-YEAR($H294))*12+MONTH($I294)-MONTH($H294)+1))</f>
        <v/>
      </c>
      <c r="K294" s="50">
        <f>IF($J294="","",$G294/$J294)</f>
        <v/>
      </c>
      <c r="L294" s="50">
        <f>IF($J294="",0,$K294*MAX(0,MIN(YEAR($C$3)*12+MONTH($C$3),YEAR($I294)*12+MONTH($I294))-(YEAR($H294)*12+MONTH($H294))+1))</f>
        <v/>
      </c>
      <c r="M294" s="50">
        <f>IF($J294="",0,$K294*MAX(0,MIN(YEAR($C$3)*12+MONTH($C$3)-1,YEAR($I294)*12+MONTH($I294))-(YEAR($H294)*12+MONTH($H294))+1))</f>
        <v/>
      </c>
      <c r="N294" s="50">
        <f>IF(OR($J294="",$B294=""),0,IF(YEAR($B294)*12+MONTH($B294)&lt;=YEAR($C$3)*12+MONTH($C$3),$G294,0))</f>
        <v/>
      </c>
      <c r="O294" s="50">
        <f>IF(OR($J294="",$B294=""),0,IF(YEAR($B294)*12+MONTH($B294)&lt;=YEAR($C$3)*12+MONTH($C$3)-1,$G294,0))</f>
        <v/>
      </c>
      <c r="P294" s="50">
        <f>$M294-$O294</f>
        <v/>
      </c>
      <c r="Q294" s="50">
        <f>($L294-$M294)-($N294-$O294)</f>
        <v/>
      </c>
      <c r="R294" s="50">
        <f>$L294-$N294</f>
        <v/>
      </c>
    </row>
    <row r="295">
      <c r="A295" s="47">
        <f>ROW()-5</f>
        <v/>
      </c>
      <c r="B295" s="48">
        <f>IFERROR(INDEX(tbl_Finance[Date],$A295),"")</f>
        <v/>
      </c>
      <c r="C295" s="49">
        <f>IFERROR(INDEX(tbl_Finance[Xero Invoice No],$A295),"")</f>
        <v/>
      </c>
      <c r="D295" s="49">
        <f>IFERROR(INDEX(tbl_Finance[Client],$A295),"")</f>
        <v/>
      </c>
      <c r="E295" s="49">
        <f>IFERROR(INDEX(tbl_Finance[Job Number],$A295),"")</f>
        <v/>
      </c>
      <c r="F295" s="49">
        <f>IFERROR(INDEX(tbl_Finance[Cost Centre],$A295),"")</f>
        <v/>
      </c>
      <c r="G295" s="50">
        <f>IFERROR(INDEX(tbl_Finance[Ex GST],$A295),"")</f>
        <v/>
      </c>
      <c r="H295" s="48">
        <f>IFERROR(INDEX(tbl_Finance[Defer Start],$A295),"")</f>
        <v/>
      </c>
      <c r="I295" s="48">
        <f>IFERROR(INDEX(tbl_Finance[Defer End],$A295),"")</f>
        <v/>
      </c>
      <c r="J295" s="47">
        <f>IF(OR($H295="",$I295="",$G295=""),"",MAX(1,(YEAR($I295)-YEAR($H295))*12+MONTH($I295)-MONTH($H295)+1))</f>
        <v/>
      </c>
      <c r="K295" s="50">
        <f>IF($J295="","",$G295/$J295)</f>
        <v/>
      </c>
      <c r="L295" s="50">
        <f>IF($J295="",0,$K295*MAX(0,MIN(YEAR($C$3)*12+MONTH($C$3),YEAR($I295)*12+MONTH($I295))-(YEAR($H295)*12+MONTH($H295))+1))</f>
        <v/>
      </c>
      <c r="M295" s="50">
        <f>IF($J295="",0,$K295*MAX(0,MIN(YEAR($C$3)*12+MONTH($C$3)-1,YEAR($I295)*12+MONTH($I295))-(YEAR($H295)*12+MONTH($H295))+1))</f>
        <v/>
      </c>
      <c r="N295" s="50">
        <f>IF(OR($J295="",$B295=""),0,IF(YEAR($B295)*12+MONTH($B295)&lt;=YEAR($C$3)*12+MONTH($C$3),$G295,0))</f>
        <v/>
      </c>
      <c r="O295" s="50">
        <f>IF(OR($J295="",$B295=""),0,IF(YEAR($B295)*12+MONTH($B295)&lt;=YEAR($C$3)*12+MONTH($C$3)-1,$G295,0))</f>
        <v/>
      </c>
      <c r="P295" s="50">
        <f>$M295-$O295</f>
        <v/>
      </c>
      <c r="Q295" s="50">
        <f>($L295-$M295)-($N295-$O295)</f>
        <v/>
      </c>
      <c r="R295" s="50">
        <f>$L295-$N295</f>
        <v/>
      </c>
    </row>
    <row r="296">
      <c r="A296" s="47">
        <f>ROW()-5</f>
        <v/>
      </c>
      <c r="B296" s="48">
        <f>IFERROR(INDEX(tbl_Finance[Date],$A296),"")</f>
        <v/>
      </c>
      <c r="C296" s="49">
        <f>IFERROR(INDEX(tbl_Finance[Xero Invoice No],$A296),"")</f>
        <v/>
      </c>
      <c r="D296" s="49">
        <f>IFERROR(INDEX(tbl_Finance[Client],$A296),"")</f>
        <v/>
      </c>
      <c r="E296" s="49">
        <f>IFERROR(INDEX(tbl_Finance[Job Number],$A296),"")</f>
        <v/>
      </c>
      <c r="F296" s="49">
        <f>IFERROR(INDEX(tbl_Finance[Cost Centre],$A296),"")</f>
        <v/>
      </c>
      <c r="G296" s="50">
        <f>IFERROR(INDEX(tbl_Finance[Ex GST],$A296),"")</f>
        <v/>
      </c>
      <c r="H296" s="48">
        <f>IFERROR(INDEX(tbl_Finance[Defer Start],$A296),"")</f>
        <v/>
      </c>
      <c r="I296" s="48">
        <f>IFERROR(INDEX(tbl_Finance[Defer End],$A296),"")</f>
        <v/>
      </c>
      <c r="J296" s="47">
        <f>IF(OR($H296="",$I296="",$G296=""),"",MAX(1,(YEAR($I296)-YEAR($H296))*12+MONTH($I296)-MONTH($H296)+1))</f>
        <v/>
      </c>
      <c r="K296" s="50">
        <f>IF($J296="","",$G296/$J296)</f>
        <v/>
      </c>
      <c r="L296" s="50">
        <f>IF($J296="",0,$K296*MAX(0,MIN(YEAR($C$3)*12+MONTH($C$3),YEAR($I296)*12+MONTH($I296))-(YEAR($H296)*12+MONTH($H296))+1))</f>
        <v/>
      </c>
      <c r="M296" s="50">
        <f>IF($J296="",0,$K296*MAX(0,MIN(YEAR($C$3)*12+MONTH($C$3)-1,YEAR($I296)*12+MONTH($I296))-(YEAR($H296)*12+MONTH($H296))+1))</f>
        <v/>
      </c>
      <c r="N296" s="50">
        <f>IF(OR($J296="",$B296=""),0,IF(YEAR($B296)*12+MONTH($B296)&lt;=YEAR($C$3)*12+MONTH($C$3),$G296,0))</f>
        <v/>
      </c>
      <c r="O296" s="50">
        <f>IF(OR($J296="",$B296=""),0,IF(YEAR($B296)*12+MONTH($B296)&lt;=YEAR($C$3)*12+MONTH($C$3)-1,$G296,0))</f>
        <v/>
      </c>
      <c r="P296" s="50">
        <f>$M296-$O296</f>
        <v/>
      </c>
      <c r="Q296" s="50">
        <f>($L296-$M296)-($N296-$O296)</f>
        <v/>
      </c>
      <c r="R296" s="50">
        <f>$L296-$N296</f>
        <v/>
      </c>
    </row>
    <row r="297">
      <c r="A297" s="47">
        <f>ROW()-5</f>
        <v/>
      </c>
      <c r="B297" s="48">
        <f>IFERROR(INDEX(tbl_Finance[Date],$A297),"")</f>
        <v/>
      </c>
      <c r="C297" s="49">
        <f>IFERROR(INDEX(tbl_Finance[Xero Invoice No],$A297),"")</f>
        <v/>
      </c>
      <c r="D297" s="49">
        <f>IFERROR(INDEX(tbl_Finance[Client],$A297),"")</f>
        <v/>
      </c>
      <c r="E297" s="49">
        <f>IFERROR(INDEX(tbl_Finance[Job Number],$A297),"")</f>
        <v/>
      </c>
      <c r="F297" s="49">
        <f>IFERROR(INDEX(tbl_Finance[Cost Centre],$A297),"")</f>
        <v/>
      </c>
      <c r="G297" s="50">
        <f>IFERROR(INDEX(tbl_Finance[Ex GST],$A297),"")</f>
        <v/>
      </c>
      <c r="H297" s="48">
        <f>IFERROR(INDEX(tbl_Finance[Defer Start],$A297),"")</f>
        <v/>
      </c>
      <c r="I297" s="48">
        <f>IFERROR(INDEX(tbl_Finance[Defer End],$A297),"")</f>
        <v/>
      </c>
      <c r="J297" s="47">
        <f>IF(OR($H297="",$I297="",$G297=""),"",MAX(1,(YEAR($I297)-YEAR($H297))*12+MONTH($I297)-MONTH($H297)+1))</f>
        <v/>
      </c>
      <c r="K297" s="50">
        <f>IF($J297="","",$G297/$J297)</f>
        <v/>
      </c>
      <c r="L297" s="50">
        <f>IF($J297="",0,$K297*MAX(0,MIN(YEAR($C$3)*12+MONTH($C$3),YEAR($I297)*12+MONTH($I297))-(YEAR($H297)*12+MONTH($H297))+1))</f>
        <v/>
      </c>
      <c r="M297" s="50">
        <f>IF($J297="",0,$K297*MAX(0,MIN(YEAR($C$3)*12+MONTH($C$3)-1,YEAR($I297)*12+MONTH($I297))-(YEAR($H297)*12+MONTH($H297))+1))</f>
        <v/>
      </c>
      <c r="N297" s="50">
        <f>IF(OR($J297="",$B297=""),0,IF(YEAR($B297)*12+MONTH($B297)&lt;=YEAR($C$3)*12+MONTH($C$3),$G297,0))</f>
        <v/>
      </c>
      <c r="O297" s="50">
        <f>IF(OR($J297="",$B297=""),0,IF(YEAR($B297)*12+MONTH($B297)&lt;=YEAR($C$3)*12+MONTH($C$3)-1,$G297,0))</f>
        <v/>
      </c>
      <c r="P297" s="50">
        <f>$M297-$O297</f>
        <v/>
      </c>
      <c r="Q297" s="50">
        <f>($L297-$M297)-($N297-$O297)</f>
        <v/>
      </c>
      <c r="R297" s="50">
        <f>$L297-$N297</f>
        <v/>
      </c>
    </row>
    <row r="298">
      <c r="A298" s="47">
        <f>ROW()-5</f>
        <v/>
      </c>
      <c r="B298" s="48">
        <f>IFERROR(INDEX(tbl_Finance[Date],$A298),"")</f>
        <v/>
      </c>
      <c r="C298" s="49">
        <f>IFERROR(INDEX(tbl_Finance[Xero Invoice No],$A298),"")</f>
        <v/>
      </c>
      <c r="D298" s="49">
        <f>IFERROR(INDEX(tbl_Finance[Client],$A298),"")</f>
        <v/>
      </c>
      <c r="E298" s="49">
        <f>IFERROR(INDEX(tbl_Finance[Job Number],$A298),"")</f>
        <v/>
      </c>
      <c r="F298" s="49">
        <f>IFERROR(INDEX(tbl_Finance[Cost Centre],$A298),"")</f>
        <v/>
      </c>
      <c r="G298" s="50">
        <f>IFERROR(INDEX(tbl_Finance[Ex GST],$A298),"")</f>
        <v/>
      </c>
      <c r="H298" s="48">
        <f>IFERROR(INDEX(tbl_Finance[Defer Start],$A298),"")</f>
        <v/>
      </c>
      <c r="I298" s="48">
        <f>IFERROR(INDEX(tbl_Finance[Defer End],$A298),"")</f>
        <v/>
      </c>
      <c r="J298" s="47">
        <f>IF(OR($H298="",$I298="",$G298=""),"",MAX(1,(YEAR($I298)-YEAR($H298))*12+MONTH($I298)-MONTH($H298)+1))</f>
        <v/>
      </c>
      <c r="K298" s="50">
        <f>IF($J298="","",$G298/$J298)</f>
        <v/>
      </c>
      <c r="L298" s="50">
        <f>IF($J298="",0,$K298*MAX(0,MIN(YEAR($C$3)*12+MONTH($C$3),YEAR($I298)*12+MONTH($I298))-(YEAR($H298)*12+MONTH($H298))+1))</f>
        <v/>
      </c>
      <c r="M298" s="50">
        <f>IF($J298="",0,$K298*MAX(0,MIN(YEAR($C$3)*12+MONTH($C$3)-1,YEAR($I298)*12+MONTH($I298))-(YEAR($H298)*12+MONTH($H298))+1))</f>
        <v/>
      </c>
      <c r="N298" s="50">
        <f>IF(OR($J298="",$B298=""),0,IF(YEAR($B298)*12+MONTH($B298)&lt;=YEAR($C$3)*12+MONTH($C$3),$G298,0))</f>
        <v/>
      </c>
      <c r="O298" s="50">
        <f>IF(OR($J298="",$B298=""),0,IF(YEAR($B298)*12+MONTH($B298)&lt;=YEAR($C$3)*12+MONTH($C$3)-1,$G298,0))</f>
        <v/>
      </c>
      <c r="P298" s="50">
        <f>$M298-$O298</f>
        <v/>
      </c>
      <c r="Q298" s="50">
        <f>($L298-$M298)-($N298-$O298)</f>
        <v/>
      </c>
      <c r="R298" s="50">
        <f>$L298-$N298</f>
        <v/>
      </c>
    </row>
    <row r="299">
      <c r="A299" s="47">
        <f>ROW()-5</f>
        <v/>
      </c>
      <c r="B299" s="48">
        <f>IFERROR(INDEX(tbl_Finance[Date],$A299),"")</f>
        <v/>
      </c>
      <c r="C299" s="49">
        <f>IFERROR(INDEX(tbl_Finance[Xero Invoice No],$A299),"")</f>
        <v/>
      </c>
      <c r="D299" s="49">
        <f>IFERROR(INDEX(tbl_Finance[Client],$A299),"")</f>
        <v/>
      </c>
      <c r="E299" s="49">
        <f>IFERROR(INDEX(tbl_Finance[Job Number],$A299),"")</f>
        <v/>
      </c>
      <c r="F299" s="49">
        <f>IFERROR(INDEX(tbl_Finance[Cost Centre],$A299),"")</f>
        <v/>
      </c>
      <c r="G299" s="50">
        <f>IFERROR(INDEX(tbl_Finance[Ex GST],$A299),"")</f>
        <v/>
      </c>
      <c r="H299" s="48">
        <f>IFERROR(INDEX(tbl_Finance[Defer Start],$A299),"")</f>
        <v/>
      </c>
      <c r="I299" s="48">
        <f>IFERROR(INDEX(tbl_Finance[Defer End],$A299),"")</f>
        <v/>
      </c>
      <c r="J299" s="47">
        <f>IF(OR($H299="",$I299="",$G299=""),"",MAX(1,(YEAR($I299)-YEAR($H299))*12+MONTH($I299)-MONTH($H299)+1))</f>
        <v/>
      </c>
      <c r="K299" s="50">
        <f>IF($J299="","",$G299/$J299)</f>
        <v/>
      </c>
      <c r="L299" s="50">
        <f>IF($J299="",0,$K299*MAX(0,MIN(YEAR($C$3)*12+MONTH($C$3),YEAR($I299)*12+MONTH($I299))-(YEAR($H299)*12+MONTH($H299))+1))</f>
        <v/>
      </c>
      <c r="M299" s="50">
        <f>IF($J299="",0,$K299*MAX(0,MIN(YEAR($C$3)*12+MONTH($C$3)-1,YEAR($I299)*12+MONTH($I299))-(YEAR($H299)*12+MONTH($H299))+1))</f>
        <v/>
      </c>
      <c r="N299" s="50">
        <f>IF(OR($J299="",$B299=""),0,IF(YEAR($B299)*12+MONTH($B299)&lt;=YEAR($C$3)*12+MONTH($C$3),$G299,0))</f>
        <v/>
      </c>
      <c r="O299" s="50">
        <f>IF(OR($J299="",$B299=""),0,IF(YEAR($B299)*12+MONTH($B299)&lt;=YEAR($C$3)*12+MONTH($C$3)-1,$G299,0))</f>
        <v/>
      </c>
      <c r="P299" s="50">
        <f>$M299-$O299</f>
        <v/>
      </c>
      <c r="Q299" s="50">
        <f>($L299-$M299)-($N299-$O299)</f>
        <v/>
      </c>
      <c r="R299" s="50">
        <f>$L299-$N299</f>
        <v/>
      </c>
    </row>
    <row r="300">
      <c r="A300" s="47">
        <f>ROW()-5</f>
        <v/>
      </c>
      <c r="B300" s="48">
        <f>IFERROR(INDEX(tbl_Finance[Date],$A300),"")</f>
        <v/>
      </c>
      <c r="C300" s="49">
        <f>IFERROR(INDEX(tbl_Finance[Xero Invoice No],$A300),"")</f>
        <v/>
      </c>
      <c r="D300" s="49">
        <f>IFERROR(INDEX(tbl_Finance[Client],$A300),"")</f>
        <v/>
      </c>
      <c r="E300" s="49">
        <f>IFERROR(INDEX(tbl_Finance[Job Number],$A300),"")</f>
        <v/>
      </c>
      <c r="F300" s="49">
        <f>IFERROR(INDEX(tbl_Finance[Cost Centre],$A300),"")</f>
        <v/>
      </c>
      <c r="G300" s="50">
        <f>IFERROR(INDEX(tbl_Finance[Ex GST],$A300),"")</f>
        <v/>
      </c>
      <c r="H300" s="48">
        <f>IFERROR(INDEX(tbl_Finance[Defer Start],$A300),"")</f>
        <v/>
      </c>
      <c r="I300" s="48">
        <f>IFERROR(INDEX(tbl_Finance[Defer End],$A300),"")</f>
        <v/>
      </c>
      <c r="J300" s="47">
        <f>IF(OR($H300="",$I300="",$G300=""),"",MAX(1,(YEAR($I300)-YEAR($H300))*12+MONTH($I300)-MONTH($H300)+1))</f>
        <v/>
      </c>
      <c r="K300" s="50">
        <f>IF($J300="","",$G300/$J300)</f>
        <v/>
      </c>
      <c r="L300" s="50">
        <f>IF($J300="",0,$K300*MAX(0,MIN(YEAR($C$3)*12+MONTH($C$3),YEAR($I300)*12+MONTH($I300))-(YEAR($H300)*12+MONTH($H300))+1))</f>
        <v/>
      </c>
      <c r="M300" s="50">
        <f>IF($J300="",0,$K300*MAX(0,MIN(YEAR($C$3)*12+MONTH($C$3)-1,YEAR($I300)*12+MONTH($I300))-(YEAR($H300)*12+MONTH($H300))+1))</f>
        <v/>
      </c>
      <c r="N300" s="50">
        <f>IF(OR($J300="",$B300=""),0,IF(YEAR($B300)*12+MONTH($B300)&lt;=YEAR($C$3)*12+MONTH($C$3),$G300,0))</f>
        <v/>
      </c>
      <c r="O300" s="50">
        <f>IF(OR($J300="",$B300=""),0,IF(YEAR($B300)*12+MONTH($B300)&lt;=YEAR($C$3)*12+MONTH($C$3)-1,$G300,0))</f>
        <v/>
      </c>
      <c r="P300" s="50">
        <f>$M300-$O300</f>
        <v/>
      </c>
      <c r="Q300" s="50">
        <f>($L300-$M300)-($N300-$O300)</f>
        <v/>
      </c>
      <c r="R300" s="50">
        <f>$L300-$N300</f>
        <v/>
      </c>
    </row>
    <row r="301">
      <c r="A301" s="47">
        <f>ROW()-5</f>
        <v/>
      </c>
      <c r="B301" s="48">
        <f>IFERROR(INDEX(tbl_Finance[Date],$A301),"")</f>
        <v/>
      </c>
      <c r="C301" s="49">
        <f>IFERROR(INDEX(tbl_Finance[Xero Invoice No],$A301),"")</f>
        <v/>
      </c>
      <c r="D301" s="49">
        <f>IFERROR(INDEX(tbl_Finance[Client],$A301),"")</f>
        <v/>
      </c>
      <c r="E301" s="49">
        <f>IFERROR(INDEX(tbl_Finance[Job Number],$A301),"")</f>
        <v/>
      </c>
      <c r="F301" s="49">
        <f>IFERROR(INDEX(tbl_Finance[Cost Centre],$A301),"")</f>
        <v/>
      </c>
      <c r="G301" s="50">
        <f>IFERROR(INDEX(tbl_Finance[Ex GST],$A301),"")</f>
        <v/>
      </c>
      <c r="H301" s="48">
        <f>IFERROR(INDEX(tbl_Finance[Defer Start],$A301),"")</f>
        <v/>
      </c>
      <c r="I301" s="48">
        <f>IFERROR(INDEX(tbl_Finance[Defer End],$A301),"")</f>
        <v/>
      </c>
      <c r="J301" s="47">
        <f>IF(OR($H301="",$I301="",$G301=""),"",MAX(1,(YEAR($I301)-YEAR($H301))*12+MONTH($I301)-MONTH($H301)+1))</f>
        <v/>
      </c>
      <c r="K301" s="50">
        <f>IF($J301="","",$G301/$J301)</f>
        <v/>
      </c>
      <c r="L301" s="50">
        <f>IF($J301="",0,$K301*MAX(0,MIN(YEAR($C$3)*12+MONTH($C$3),YEAR($I301)*12+MONTH($I301))-(YEAR($H301)*12+MONTH($H301))+1))</f>
        <v/>
      </c>
      <c r="M301" s="50">
        <f>IF($J301="",0,$K301*MAX(0,MIN(YEAR($C$3)*12+MONTH($C$3)-1,YEAR($I301)*12+MONTH($I301))-(YEAR($H301)*12+MONTH($H301))+1))</f>
        <v/>
      </c>
      <c r="N301" s="50">
        <f>IF(OR($J301="",$B301=""),0,IF(YEAR($B301)*12+MONTH($B301)&lt;=YEAR($C$3)*12+MONTH($C$3),$G301,0))</f>
        <v/>
      </c>
      <c r="O301" s="50">
        <f>IF(OR($J301="",$B301=""),0,IF(YEAR($B301)*12+MONTH($B301)&lt;=YEAR($C$3)*12+MONTH($C$3)-1,$G301,0))</f>
        <v/>
      </c>
      <c r="P301" s="50">
        <f>$M301-$O301</f>
        <v/>
      </c>
      <c r="Q301" s="50">
        <f>($L301-$M301)-($N301-$O301)</f>
        <v/>
      </c>
      <c r="R301" s="50">
        <f>$L301-$N301</f>
        <v/>
      </c>
    </row>
    <row r="302">
      <c r="A302" s="47">
        <f>ROW()-5</f>
        <v/>
      </c>
      <c r="B302" s="48">
        <f>IFERROR(INDEX(tbl_Finance[Date],$A302),"")</f>
        <v/>
      </c>
      <c r="C302" s="49">
        <f>IFERROR(INDEX(tbl_Finance[Xero Invoice No],$A302),"")</f>
        <v/>
      </c>
      <c r="D302" s="49">
        <f>IFERROR(INDEX(tbl_Finance[Client],$A302),"")</f>
        <v/>
      </c>
      <c r="E302" s="49">
        <f>IFERROR(INDEX(tbl_Finance[Job Number],$A302),"")</f>
        <v/>
      </c>
      <c r="F302" s="49">
        <f>IFERROR(INDEX(tbl_Finance[Cost Centre],$A302),"")</f>
        <v/>
      </c>
      <c r="G302" s="50">
        <f>IFERROR(INDEX(tbl_Finance[Ex GST],$A302),"")</f>
        <v/>
      </c>
      <c r="H302" s="48">
        <f>IFERROR(INDEX(tbl_Finance[Defer Start],$A302),"")</f>
        <v/>
      </c>
      <c r="I302" s="48">
        <f>IFERROR(INDEX(tbl_Finance[Defer End],$A302),"")</f>
        <v/>
      </c>
      <c r="J302" s="47">
        <f>IF(OR($H302="",$I302="",$G302=""),"",MAX(1,(YEAR($I302)-YEAR($H302))*12+MONTH($I302)-MONTH($H302)+1))</f>
        <v/>
      </c>
      <c r="K302" s="50">
        <f>IF($J302="","",$G302/$J302)</f>
        <v/>
      </c>
      <c r="L302" s="50">
        <f>IF($J302="",0,$K302*MAX(0,MIN(YEAR($C$3)*12+MONTH($C$3),YEAR($I302)*12+MONTH($I302))-(YEAR($H302)*12+MONTH($H302))+1))</f>
        <v/>
      </c>
      <c r="M302" s="50">
        <f>IF($J302="",0,$K302*MAX(0,MIN(YEAR($C$3)*12+MONTH($C$3)-1,YEAR($I302)*12+MONTH($I302))-(YEAR($H302)*12+MONTH($H302))+1))</f>
        <v/>
      </c>
      <c r="N302" s="50">
        <f>IF(OR($J302="",$B302=""),0,IF(YEAR($B302)*12+MONTH($B302)&lt;=YEAR($C$3)*12+MONTH($C$3),$G302,0))</f>
        <v/>
      </c>
      <c r="O302" s="50">
        <f>IF(OR($J302="",$B302=""),0,IF(YEAR($B302)*12+MONTH($B302)&lt;=YEAR($C$3)*12+MONTH($C$3)-1,$G302,0))</f>
        <v/>
      </c>
      <c r="P302" s="50">
        <f>$M302-$O302</f>
        <v/>
      </c>
      <c r="Q302" s="50">
        <f>($L302-$M302)-($N302-$O302)</f>
        <v/>
      </c>
      <c r="R302" s="50">
        <f>$L302-$N302</f>
        <v/>
      </c>
    </row>
    <row r="303">
      <c r="A303" s="47">
        <f>ROW()-5</f>
        <v/>
      </c>
      <c r="B303" s="48">
        <f>IFERROR(INDEX(tbl_Finance[Date],$A303),"")</f>
        <v/>
      </c>
      <c r="C303" s="49">
        <f>IFERROR(INDEX(tbl_Finance[Xero Invoice No],$A303),"")</f>
        <v/>
      </c>
      <c r="D303" s="49">
        <f>IFERROR(INDEX(tbl_Finance[Client],$A303),"")</f>
        <v/>
      </c>
      <c r="E303" s="49">
        <f>IFERROR(INDEX(tbl_Finance[Job Number],$A303),"")</f>
        <v/>
      </c>
      <c r="F303" s="49">
        <f>IFERROR(INDEX(tbl_Finance[Cost Centre],$A303),"")</f>
        <v/>
      </c>
      <c r="G303" s="50">
        <f>IFERROR(INDEX(tbl_Finance[Ex GST],$A303),"")</f>
        <v/>
      </c>
      <c r="H303" s="48">
        <f>IFERROR(INDEX(tbl_Finance[Defer Start],$A303),"")</f>
        <v/>
      </c>
      <c r="I303" s="48">
        <f>IFERROR(INDEX(tbl_Finance[Defer End],$A303),"")</f>
        <v/>
      </c>
      <c r="J303" s="47">
        <f>IF(OR($H303="",$I303="",$G303=""),"",MAX(1,(YEAR($I303)-YEAR($H303))*12+MONTH($I303)-MONTH($H303)+1))</f>
        <v/>
      </c>
      <c r="K303" s="50">
        <f>IF($J303="","",$G303/$J303)</f>
        <v/>
      </c>
      <c r="L303" s="50">
        <f>IF($J303="",0,$K303*MAX(0,MIN(YEAR($C$3)*12+MONTH($C$3),YEAR($I303)*12+MONTH($I303))-(YEAR($H303)*12+MONTH($H303))+1))</f>
        <v/>
      </c>
      <c r="M303" s="50">
        <f>IF($J303="",0,$K303*MAX(0,MIN(YEAR($C$3)*12+MONTH($C$3)-1,YEAR($I303)*12+MONTH($I303))-(YEAR($H303)*12+MONTH($H303))+1))</f>
        <v/>
      </c>
      <c r="N303" s="50">
        <f>IF(OR($J303="",$B303=""),0,IF(YEAR($B303)*12+MONTH($B303)&lt;=YEAR($C$3)*12+MONTH($C$3),$G303,0))</f>
        <v/>
      </c>
      <c r="O303" s="50">
        <f>IF(OR($J303="",$B303=""),0,IF(YEAR($B303)*12+MONTH($B303)&lt;=YEAR($C$3)*12+MONTH($C$3)-1,$G303,0))</f>
        <v/>
      </c>
      <c r="P303" s="50">
        <f>$M303-$O303</f>
        <v/>
      </c>
      <c r="Q303" s="50">
        <f>($L303-$M303)-($N303-$O303)</f>
        <v/>
      </c>
      <c r="R303" s="50">
        <f>$L303-$N303</f>
        <v/>
      </c>
    </row>
    <row r="304">
      <c r="A304" s="47">
        <f>ROW()-5</f>
        <v/>
      </c>
      <c r="B304" s="48">
        <f>IFERROR(INDEX(tbl_Finance[Date],$A304),"")</f>
        <v/>
      </c>
      <c r="C304" s="49">
        <f>IFERROR(INDEX(tbl_Finance[Xero Invoice No],$A304),"")</f>
        <v/>
      </c>
      <c r="D304" s="49">
        <f>IFERROR(INDEX(tbl_Finance[Client],$A304),"")</f>
        <v/>
      </c>
      <c r="E304" s="49">
        <f>IFERROR(INDEX(tbl_Finance[Job Number],$A304),"")</f>
        <v/>
      </c>
      <c r="F304" s="49">
        <f>IFERROR(INDEX(tbl_Finance[Cost Centre],$A304),"")</f>
        <v/>
      </c>
      <c r="G304" s="50">
        <f>IFERROR(INDEX(tbl_Finance[Ex GST],$A304),"")</f>
        <v/>
      </c>
      <c r="H304" s="48">
        <f>IFERROR(INDEX(tbl_Finance[Defer Start],$A304),"")</f>
        <v/>
      </c>
      <c r="I304" s="48">
        <f>IFERROR(INDEX(tbl_Finance[Defer End],$A304),"")</f>
        <v/>
      </c>
      <c r="J304" s="47">
        <f>IF(OR($H304="",$I304="",$G304=""),"",MAX(1,(YEAR($I304)-YEAR($H304))*12+MONTH($I304)-MONTH($H304)+1))</f>
        <v/>
      </c>
      <c r="K304" s="50">
        <f>IF($J304="","",$G304/$J304)</f>
        <v/>
      </c>
      <c r="L304" s="50">
        <f>IF($J304="",0,$K304*MAX(0,MIN(YEAR($C$3)*12+MONTH($C$3),YEAR($I304)*12+MONTH($I304))-(YEAR($H304)*12+MONTH($H304))+1))</f>
        <v/>
      </c>
      <c r="M304" s="50">
        <f>IF($J304="",0,$K304*MAX(0,MIN(YEAR($C$3)*12+MONTH($C$3)-1,YEAR($I304)*12+MONTH($I304))-(YEAR($H304)*12+MONTH($H304))+1))</f>
        <v/>
      </c>
      <c r="N304" s="50">
        <f>IF(OR($J304="",$B304=""),0,IF(YEAR($B304)*12+MONTH($B304)&lt;=YEAR($C$3)*12+MONTH($C$3),$G304,0))</f>
        <v/>
      </c>
      <c r="O304" s="50">
        <f>IF(OR($J304="",$B304=""),0,IF(YEAR($B304)*12+MONTH($B304)&lt;=YEAR($C$3)*12+MONTH($C$3)-1,$G304,0))</f>
        <v/>
      </c>
      <c r="P304" s="50">
        <f>$M304-$O304</f>
        <v/>
      </c>
      <c r="Q304" s="50">
        <f>($L304-$M304)-($N304-$O304)</f>
        <v/>
      </c>
      <c r="R304" s="50">
        <f>$L304-$N304</f>
        <v/>
      </c>
    </row>
    <row r="305">
      <c r="A305" s="47">
        <f>ROW()-5</f>
        <v/>
      </c>
      <c r="B305" s="48">
        <f>IFERROR(INDEX(tbl_Finance[Date],$A305),"")</f>
        <v/>
      </c>
      <c r="C305" s="49">
        <f>IFERROR(INDEX(tbl_Finance[Xero Invoice No],$A305),"")</f>
        <v/>
      </c>
      <c r="D305" s="49">
        <f>IFERROR(INDEX(tbl_Finance[Client],$A305),"")</f>
        <v/>
      </c>
      <c r="E305" s="49">
        <f>IFERROR(INDEX(tbl_Finance[Job Number],$A305),"")</f>
        <v/>
      </c>
      <c r="F305" s="49">
        <f>IFERROR(INDEX(tbl_Finance[Cost Centre],$A305),"")</f>
        <v/>
      </c>
      <c r="G305" s="50">
        <f>IFERROR(INDEX(tbl_Finance[Ex GST],$A305),"")</f>
        <v/>
      </c>
      <c r="H305" s="48">
        <f>IFERROR(INDEX(tbl_Finance[Defer Start],$A305),"")</f>
        <v/>
      </c>
      <c r="I305" s="48">
        <f>IFERROR(INDEX(tbl_Finance[Defer End],$A305),"")</f>
        <v/>
      </c>
      <c r="J305" s="47">
        <f>IF(OR($H305="",$I305="",$G305=""),"",MAX(1,(YEAR($I305)-YEAR($H305))*12+MONTH($I305)-MONTH($H305)+1))</f>
        <v/>
      </c>
      <c r="K305" s="50">
        <f>IF($J305="","",$G305/$J305)</f>
        <v/>
      </c>
      <c r="L305" s="50">
        <f>IF($J305="",0,$K305*MAX(0,MIN(YEAR($C$3)*12+MONTH($C$3),YEAR($I305)*12+MONTH($I305))-(YEAR($H305)*12+MONTH($H305))+1))</f>
        <v/>
      </c>
      <c r="M305" s="50">
        <f>IF($J305="",0,$K305*MAX(0,MIN(YEAR($C$3)*12+MONTH($C$3)-1,YEAR($I305)*12+MONTH($I305))-(YEAR($H305)*12+MONTH($H305))+1))</f>
        <v/>
      </c>
      <c r="N305" s="50">
        <f>IF(OR($J305="",$B305=""),0,IF(YEAR($B305)*12+MONTH($B305)&lt;=YEAR($C$3)*12+MONTH($C$3),$G305,0))</f>
        <v/>
      </c>
      <c r="O305" s="50">
        <f>IF(OR($J305="",$B305=""),0,IF(YEAR($B305)*12+MONTH($B305)&lt;=YEAR($C$3)*12+MONTH($C$3)-1,$G305,0))</f>
        <v/>
      </c>
      <c r="P305" s="50">
        <f>$M305-$O305</f>
        <v/>
      </c>
      <c r="Q305" s="50">
        <f>($L305-$M305)-($N305-$O305)</f>
        <v/>
      </c>
      <c r="R305" s="50">
        <f>$L305-$N305</f>
        <v/>
      </c>
    </row>
    <row r="306">
      <c r="A306" s="47">
        <f>ROW()-5</f>
        <v/>
      </c>
      <c r="B306" s="48">
        <f>IFERROR(INDEX(tbl_Finance[Date],$A306),"")</f>
        <v/>
      </c>
      <c r="C306" s="49">
        <f>IFERROR(INDEX(tbl_Finance[Xero Invoice No],$A306),"")</f>
        <v/>
      </c>
      <c r="D306" s="49">
        <f>IFERROR(INDEX(tbl_Finance[Client],$A306),"")</f>
        <v/>
      </c>
      <c r="E306" s="49">
        <f>IFERROR(INDEX(tbl_Finance[Job Number],$A306),"")</f>
        <v/>
      </c>
      <c r="F306" s="49">
        <f>IFERROR(INDEX(tbl_Finance[Cost Centre],$A306),"")</f>
        <v/>
      </c>
      <c r="G306" s="50">
        <f>IFERROR(INDEX(tbl_Finance[Ex GST],$A306),"")</f>
        <v/>
      </c>
      <c r="H306" s="48">
        <f>IFERROR(INDEX(tbl_Finance[Defer Start],$A306),"")</f>
        <v/>
      </c>
      <c r="I306" s="48">
        <f>IFERROR(INDEX(tbl_Finance[Defer End],$A306),"")</f>
        <v/>
      </c>
      <c r="J306" s="47">
        <f>IF(OR($H306="",$I306="",$G306=""),"",MAX(1,(YEAR($I306)-YEAR($H306))*12+MONTH($I306)-MONTH($H306)+1))</f>
        <v/>
      </c>
      <c r="K306" s="50">
        <f>IF($J306="","",$G306/$J306)</f>
        <v/>
      </c>
      <c r="L306" s="50">
        <f>IF($J306="",0,$K306*MAX(0,MIN(YEAR($C$3)*12+MONTH($C$3),YEAR($I306)*12+MONTH($I306))-(YEAR($H306)*12+MONTH($H306))+1))</f>
        <v/>
      </c>
      <c r="M306" s="50">
        <f>IF($J306="",0,$K306*MAX(0,MIN(YEAR($C$3)*12+MONTH($C$3)-1,YEAR($I306)*12+MONTH($I306))-(YEAR($H306)*12+MONTH($H306))+1))</f>
        <v/>
      </c>
      <c r="N306" s="50">
        <f>IF(OR($J306="",$B306=""),0,IF(YEAR($B306)*12+MONTH($B306)&lt;=YEAR($C$3)*12+MONTH($C$3),$G306,0))</f>
        <v/>
      </c>
      <c r="O306" s="50">
        <f>IF(OR($J306="",$B306=""),0,IF(YEAR($B306)*12+MONTH($B306)&lt;=YEAR($C$3)*12+MONTH($C$3)-1,$G306,0))</f>
        <v/>
      </c>
      <c r="P306" s="50">
        <f>$M306-$O306</f>
        <v/>
      </c>
      <c r="Q306" s="50">
        <f>($L306-$M306)-($N306-$O306)</f>
        <v/>
      </c>
      <c r="R306" s="50">
        <f>$L306-$N306</f>
        <v/>
      </c>
    </row>
    <row r="307">
      <c r="A307" s="47">
        <f>ROW()-5</f>
        <v/>
      </c>
      <c r="B307" s="48">
        <f>IFERROR(INDEX(tbl_Finance[Date],$A307),"")</f>
        <v/>
      </c>
      <c r="C307" s="49">
        <f>IFERROR(INDEX(tbl_Finance[Xero Invoice No],$A307),"")</f>
        <v/>
      </c>
      <c r="D307" s="49">
        <f>IFERROR(INDEX(tbl_Finance[Client],$A307),"")</f>
        <v/>
      </c>
      <c r="E307" s="49">
        <f>IFERROR(INDEX(tbl_Finance[Job Number],$A307),"")</f>
        <v/>
      </c>
      <c r="F307" s="49">
        <f>IFERROR(INDEX(tbl_Finance[Cost Centre],$A307),"")</f>
        <v/>
      </c>
      <c r="G307" s="50">
        <f>IFERROR(INDEX(tbl_Finance[Ex GST],$A307),"")</f>
        <v/>
      </c>
      <c r="H307" s="48">
        <f>IFERROR(INDEX(tbl_Finance[Defer Start],$A307),"")</f>
        <v/>
      </c>
      <c r="I307" s="48">
        <f>IFERROR(INDEX(tbl_Finance[Defer End],$A307),"")</f>
        <v/>
      </c>
      <c r="J307" s="47">
        <f>IF(OR($H307="",$I307="",$G307=""),"",MAX(1,(YEAR($I307)-YEAR($H307))*12+MONTH($I307)-MONTH($H307)+1))</f>
        <v/>
      </c>
      <c r="K307" s="50">
        <f>IF($J307="","",$G307/$J307)</f>
        <v/>
      </c>
      <c r="L307" s="50">
        <f>IF($J307="",0,$K307*MAX(0,MIN(YEAR($C$3)*12+MONTH($C$3),YEAR($I307)*12+MONTH($I307))-(YEAR($H307)*12+MONTH($H307))+1))</f>
        <v/>
      </c>
      <c r="M307" s="50">
        <f>IF($J307="",0,$K307*MAX(0,MIN(YEAR($C$3)*12+MONTH($C$3)-1,YEAR($I307)*12+MONTH($I307))-(YEAR($H307)*12+MONTH($H307))+1))</f>
        <v/>
      </c>
      <c r="N307" s="50">
        <f>IF(OR($J307="",$B307=""),0,IF(YEAR($B307)*12+MONTH($B307)&lt;=YEAR($C$3)*12+MONTH($C$3),$G307,0))</f>
        <v/>
      </c>
      <c r="O307" s="50">
        <f>IF(OR($J307="",$B307=""),0,IF(YEAR($B307)*12+MONTH($B307)&lt;=YEAR($C$3)*12+MONTH($C$3)-1,$G307,0))</f>
        <v/>
      </c>
      <c r="P307" s="50">
        <f>$M307-$O307</f>
        <v/>
      </c>
      <c r="Q307" s="50">
        <f>($L307-$M307)-($N307-$O307)</f>
        <v/>
      </c>
      <c r="R307" s="50">
        <f>$L307-$N307</f>
        <v/>
      </c>
    </row>
    <row r="308">
      <c r="A308" s="47">
        <f>ROW()-5</f>
        <v/>
      </c>
      <c r="B308" s="48">
        <f>IFERROR(INDEX(tbl_Finance[Date],$A308),"")</f>
        <v/>
      </c>
      <c r="C308" s="49">
        <f>IFERROR(INDEX(tbl_Finance[Xero Invoice No],$A308),"")</f>
        <v/>
      </c>
      <c r="D308" s="49">
        <f>IFERROR(INDEX(tbl_Finance[Client],$A308),"")</f>
        <v/>
      </c>
      <c r="E308" s="49">
        <f>IFERROR(INDEX(tbl_Finance[Job Number],$A308),"")</f>
        <v/>
      </c>
      <c r="F308" s="49">
        <f>IFERROR(INDEX(tbl_Finance[Cost Centre],$A308),"")</f>
        <v/>
      </c>
      <c r="G308" s="50">
        <f>IFERROR(INDEX(tbl_Finance[Ex GST],$A308),"")</f>
        <v/>
      </c>
      <c r="H308" s="48">
        <f>IFERROR(INDEX(tbl_Finance[Defer Start],$A308),"")</f>
        <v/>
      </c>
      <c r="I308" s="48">
        <f>IFERROR(INDEX(tbl_Finance[Defer End],$A308),"")</f>
        <v/>
      </c>
      <c r="J308" s="47">
        <f>IF(OR($H308="",$I308="",$G308=""),"",MAX(1,(YEAR($I308)-YEAR($H308))*12+MONTH($I308)-MONTH($H308)+1))</f>
        <v/>
      </c>
      <c r="K308" s="50">
        <f>IF($J308="","",$G308/$J308)</f>
        <v/>
      </c>
      <c r="L308" s="50">
        <f>IF($J308="",0,$K308*MAX(0,MIN(YEAR($C$3)*12+MONTH($C$3),YEAR($I308)*12+MONTH($I308))-(YEAR($H308)*12+MONTH($H308))+1))</f>
        <v/>
      </c>
      <c r="M308" s="50">
        <f>IF($J308="",0,$K308*MAX(0,MIN(YEAR($C$3)*12+MONTH($C$3)-1,YEAR($I308)*12+MONTH($I308))-(YEAR($H308)*12+MONTH($H308))+1))</f>
        <v/>
      </c>
      <c r="N308" s="50">
        <f>IF(OR($J308="",$B308=""),0,IF(YEAR($B308)*12+MONTH($B308)&lt;=YEAR($C$3)*12+MONTH($C$3),$G308,0))</f>
        <v/>
      </c>
      <c r="O308" s="50">
        <f>IF(OR($J308="",$B308=""),0,IF(YEAR($B308)*12+MONTH($B308)&lt;=YEAR($C$3)*12+MONTH($C$3)-1,$G308,0))</f>
        <v/>
      </c>
      <c r="P308" s="50">
        <f>$M308-$O308</f>
        <v/>
      </c>
      <c r="Q308" s="50">
        <f>($L308-$M308)-($N308-$O308)</f>
        <v/>
      </c>
      <c r="R308" s="50">
        <f>$L308-$N308</f>
        <v/>
      </c>
    </row>
    <row r="309">
      <c r="A309" s="47">
        <f>ROW()-5</f>
        <v/>
      </c>
      <c r="B309" s="48">
        <f>IFERROR(INDEX(tbl_Finance[Date],$A309),"")</f>
        <v/>
      </c>
      <c r="C309" s="49">
        <f>IFERROR(INDEX(tbl_Finance[Xero Invoice No],$A309),"")</f>
        <v/>
      </c>
      <c r="D309" s="49">
        <f>IFERROR(INDEX(tbl_Finance[Client],$A309),"")</f>
        <v/>
      </c>
      <c r="E309" s="49">
        <f>IFERROR(INDEX(tbl_Finance[Job Number],$A309),"")</f>
        <v/>
      </c>
      <c r="F309" s="49">
        <f>IFERROR(INDEX(tbl_Finance[Cost Centre],$A309),"")</f>
        <v/>
      </c>
      <c r="G309" s="50">
        <f>IFERROR(INDEX(tbl_Finance[Ex GST],$A309),"")</f>
        <v/>
      </c>
      <c r="H309" s="48">
        <f>IFERROR(INDEX(tbl_Finance[Defer Start],$A309),"")</f>
        <v/>
      </c>
      <c r="I309" s="48">
        <f>IFERROR(INDEX(tbl_Finance[Defer End],$A309),"")</f>
        <v/>
      </c>
      <c r="J309" s="47">
        <f>IF(OR($H309="",$I309="",$G309=""),"",MAX(1,(YEAR($I309)-YEAR($H309))*12+MONTH($I309)-MONTH($H309)+1))</f>
        <v/>
      </c>
      <c r="K309" s="50">
        <f>IF($J309="","",$G309/$J309)</f>
        <v/>
      </c>
      <c r="L309" s="50">
        <f>IF($J309="",0,$K309*MAX(0,MIN(YEAR($C$3)*12+MONTH($C$3),YEAR($I309)*12+MONTH($I309))-(YEAR($H309)*12+MONTH($H309))+1))</f>
        <v/>
      </c>
      <c r="M309" s="50">
        <f>IF($J309="",0,$K309*MAX(0,MIN(YEAR($C$3)*12+MONTH($C$3)-1,YEAR($I309)*12+MONTH($I309))-(YEAR($H309)*12+MONTH($H309))+1))</f>
        <v/>
      </c>
      <c r="N309" s="50">
        <f>IF(OR($J309="",$B309=""),0,IF(YEAR($B309)*12+MONTH($B309)&lt;=YEAR($C$3)*12+MONTH($C$3),$G309,0))</f>
        <v/>
      </c>
      <c r="O309" s="50">
        <f>IF(OR($J309="",$B309=""),0,IF(YEAR($B309)*12+MONTH($B309)&lt;=YEAR($C$3)*12+MONTH($C$3)-1,$G309,0))</f>
        <v/>
      </c>
      <c r="P309" s="50">
        <f>$M309-$O309</f>
        <v/>
      </c>
      <c r="Q309" s="50">
        <f>($L309-$M309)-($N309-$O309)</f>
        <v/>
      </c>
      <c r="R309" s="50">
        <f>$L309-$N309</f>
        <v/>
      </c>
    </row>
    <row r="310">
      <c r="A310" s="47">
        <f>ROW()-5</f>
        <v/>
      </c>
      <c r="B310" s="48">
        <f>IFERROR(INDEX(tbl_Finance[Date],$A310),"")</f>
        <v/>
      </c>
      <c r="C310" s="49">
        <f>IFERROR(INDEX(tbl_Finance[Xero Invoice No],$A310),"")</f>
        <v/>
      </c>
      <c r="D310" s="49">
        <f>IFERROR(INDEX(tbl_Finance[Client],$A310),"")</f>
        <v/>
      </c>
      <c r="E310" s="49">
        <f>IFERROR(INDEX(tbl_Finance[Job Number],$A310),"")</f>
        <v/>
      </c>
      <c r="F310" s="49">
        <f>IFERROR(INDEX(tbl_Finance[Cost Centre],$A310),"")</f>
        <v/>
      </c>
      <c r="G310" s="50">
        <f>IFERROR(INDEX(tbl_Finance[Ex GST],$A310),"")</f>
        <v/>
      </c>
      <c r="H310" s="48">
        <f>IFERROR(INDEX(tbl_Finance[Defer Start],$A310),"")</f>
        <v/>
      </c>
      <c r="I310" s="48">
        <f>IFERROR(INDEX(tbl_Finance[Defer End],$A310),"")</f>
        <v/>
      </c>
      <c r="J310" s="47">
        <f>IF(OR($H310="",$I310="",$G310=""),"",MAX(1,(YEAR($I310)-YEAR($H310))*12+MONTH($I310)-MONTH($H310)+1))</f>
        <v/>
      </c>
      <c r="K310" s="50">
        <f>IF($J310="","",$G310/$J310)</f>
        <v/>
      </c>
      <c r="L310" s="50">
        <f>IF($J310="",0,$K310*MAX(0,MIN(YEAR($C$3)*12+MONTH($C$3),YEAR($I310)*12+MONTH($I310))-(YEAR($H310)*12+MONTH($H310))+1))</f>
        <v/>
      </c>
      <c r="M310" s="50">
        <f>IF($J310="",0,$K310*MAX(0,MIN(YEAR($C$3)*12+MONTH($C$3)-1,YEAR($I310)*12+MONTH($I310))-(YEAR($H310)*12+MONTH($H310))+1))</f>
        <v/>
      </c>
      <c r="N310" s="50">
        <f>IF(OR($J310="",$B310=""),0,IF(YEAR($B310)*12+MONTH($B310)&lt;=YEAR($C$3)*12+MONTH($C$3),$G310,0))</f>
        <v/>
      </c>
      <c r="O310" s="50">
        <f>IF(OR($J310="",$B310=""),0,IF(YEAR($B310)*12+MONTH($B310)&lt;=YEAR($C$3)*12+MONTH($C$3)-1,$G310,0))</f>
        <v/>
      </c>
      <c r="P310" s="50">
        <f>$M310-$O310</f>
        <v/>
      </c>
      <c r="Q310" s="50">
        <f>($L310-$M310)-($N310-$O310)</f>
        <v/>
      </c>
      <c r="R310" s="50">
        <f>$L310-$N310</f>
        <v/>
      </c>
    </row>
    <row r="311">
      <c r="A311" s="47">
        <f>ROW()-5</f>
        <v/>
      </c>
      <c r="B311" s="48">
        <f>IFERROR(INDEX(tbl_Finance[Date],$A311),"")</f>
        <v/>
      </c>
      <c r="C311" s="49">
        <f>IFERROR(INDEX(tbl_Finance[Xero Invoice No],$A311),"")</f>
        <v/>
      </c>
      <c r="D311" s="49">
        <f>IFERROR(INDEX(tbl_Finance[Client],$A311),"")</f>
        <v/>
      </c>
      <c r="E311" s="49">
        <f>IFERROR(INDEX(tbl_Finance[Job Number],$A311),"")</f>
        <v/>
      </c>
      <c r="F311" s="49">
        <f>IFERROR(INDEX(tbl_Finance[Cost Centre],$A311),"")</f>
        <v/>
      </c>
      <c r="G311" s="50">
        <f>IFERROR(INDEX(tbl_Finance[Ex GST],$A311),"")</f>
        <v/>
      </c>
      <c r="H311" s="48">
        <f>IFERROR(INDEX(tbl_Finance[Defer Start],$A311),"")</f>
        <v/>
      </c>
      <c r="I311" s="48">
        <f>IFERROR(INDEX(tbl_Finance[Defer End],$A311),"")</f>
        <v/>
      </c>
      <c r="J311" s="47">
        <f>IF(OR($H311="",$I311="",$G311=""),"",MAX(1,(YEAR($I311)-YEAR($H311))*12+MONTH($I311)-MONTH($H311)+1))</f>
        <v/>
      </c>
      <c r="K311" s="50">
        <f>IF($J311="","",$G311/$J311)</f>
        <v/>
      </c>
      <c r="L311" s="50">
        <f>IF($J311="",0,$K311*MAX(0,MIN(YEAR($C$3)*12+MONTH($C$3),YEAR($I311)*12+MONTH($I311))-(YEAR($H311)*12+MONTH($H311))+1))</f>
        <v/>
      </c>
      <c r="M311" s="50">
        <f>IF($J311="",0,$K311*MAX(0,MIN(YEAR($C$3)*12+MONTH($C$3)-1,YEAR($I311)*12+MONTH($I311))-(YEAR($H311)*12+MONTH($H311))+1))</f>
        <v/>
      </c>
      <c r="N311" s="50">
        <f>IF(OR($J311="",$B311=""),0,IF(YEAR($B311)*12+MONTH($B311)&lt;=YEAR($C$3)*12+MONTH($C$3),$G311,0))</f>
        <v/>
      </c>
      <c r="O311" s="50">
        <f>IF(OR($J311="",$B311=""),0,IF(YEAR($B311)*12+MONTH($B311)&lt;=YEAR($C$3)*12+MONTH($C$3)-1,$G311,0))</f>
        <v/>
      </c>
      <c r="P311" s="50">
        <f>$M311-$O311</f>
        <v/>
      </c>
      <c r="Q311" s="50">
        <f>($L311-$M311)-($N311-$O311)</f>
        <v/>
      </c>
      <c r="R311" s="50">
        <f>$L311-$N311</f>
        <v/>
      </c>
    </row>
    <row r="312">
      <c r="A312" s="47">
        <f>ROW()-5</f>
        <v/>
      </c>
      <c r="B312" s="48">
        <f>IFERROR(INDEX(tbl_Finance[Date],$A312),"")</f>
        <v/>
      </c>
      <c r="C312" s="49">
        <f>IFERROR(INDEX(tbl_Finance[Xero Invoice No],$A312),"")</f>
        <v/>
      </c>
      <c r="D312" s="49">
        <f>IFERROR(INDEX(tbl_Finance[Client],$A312),"")</f>
        <v/>
      </c>
      <c r="E312" s="49">
        <f>IFERROR(INDEX(tbl_Finance[Job Number],$A312),"")</f>
        <v/>
      </c>
      <c r="F312" s="49">
        <f>IFERROR(INDEX(tbl_Finance[Cost Centre],$A312),"")</f>
        <v/>
      </c>
      <c r="G312" s="50">
        <f>IFERROR(INDEX(tbl_Finance[Ex GST],$A312),"")</f>
        <v/>
      </c>
      <c r="H312" s="48">
        <f>IFERROR(INDEX(tbl_Finance[Defer Start],$A312),"")</f>
        <v/>
      </c>
      <c r="I312" s="48">
        <f>IFERROR(INDEX(tbl_Finance[Defer End],$A312),"")</f>
        <v/>
      </c>
      <c r="J312" s="47">
        <f>IF(OR($H312="",$I312="",$G312=""),"",MAX(1,(YEAR($I312)-YEAR($H312))*12+MONTH($I312)-MONTH($H312)+1))</f>
        <v/>
      </c>
      <c r="K312" s="50">
        <f>IF($J312="","",$G312/$J312)</f>
        <v/>
      </c>
      <c r="L312" s="50">
        <f>IF($J312="",0,$K312*MAX(0,MIN(YEAR($C$3)*12+MONTH($C$3),YEAR($I312)*12+MONTH($I312))-(YEAR($H312)*12+MONTH($H312))+1))</f>
        <v/>
      </c>
      <c r="M312" s="50">
        <f>IF($J312="",0,$K312*MAX(0,MIN(YEAR($C$3)*12+MONTH($C$3)-1,YEAR($I312)*12+MONTH($I312))-(YEAR($H312)*12+MONTH($H312))+1))</f>
        <v/>
      </c>
      <c r="N312" s="50">
        <f>IF(OR($J312="",$B312=""),0,IF(YEAR($B312)*12+MONTH($B312)&lt;=YEAR($C$3)*12+MONTH($C$3),$G312,0))</f>
        <v/>
      </c>
      <c r="O312" s="50">
        <f>IF(OR($J312="",$B312=""),0,IF(YEAR($B312)*12+MONTH($B312)&lt;=YEAR($C$3)*12+MONTH($C$3)-1,$G312,0))</f>
        <v/>
      </c>
      <c r="P312" s="50">
        <f>$M312-$O312</f>
        <v/>
      </c>
      <c r="Q312" s="50">
        <f>($L312-$M312)-($N312-$O312)</f>
        <v/>
      </c>
      <c r="R312" s="50">
        <f>$L312-$N312</f>
        <v/>
      </c>
    </row>
    <row r="313">
      <c r="A313" s="47">
        <f>ROW()-5</f>
        <v/>
      </c>
      <c r="B313" s="48">
        <f>IFERROR(INDEX(tbl_Finance[Date],$A313),"")</f>
        <v/>
      </c>
      <c r="C313" s="49">
        <f>IFERROR(INDEX(tbl_Finance[Xero Invoice No],$A313),"")</f>
        <v/>
      </c>
      <c r="D313" s="49">
        <f>IFERROR(INDEX(tbl_Finance[Client],$A313),"")</f>
        <v/>
      </c>
      <c r="E313" s="49">
        <f>IFERROR(INDEX(tbl_Finance[Job Number],$A313),"")</f>
        <v/>
      </c>
      <c r="F313" s="49">
        <f>IFERROR(INDEX(tbl_Finance[Cost Centre],$A313),"")</f>
        <v/>
      </c>
      <c r="G313" s="50">
        <f>IFERROR(INDEX(tbl_Finance[Ex GST],$A313),"")</f>
        <v/>
      </c>
      <c r="H313" s="48">
        <f>IFERROR(INDEX(tbl_Finance[Defer Start],$A313),"")</f>
        <v/>
      </c>
      <c r="I313" s="48">
        <f>IFERROR(INDEX(tbl_Finance[Defer End],$A313),"")</f>
        <v/>
      </c>
      <c r="J313" s="47">
        <f>IF(OR($H313="",$I313="",$G313=""),"",MAX(1,(YEAR($I313)-YEAR($H313))*12+MONTH($I313)-MONTH($H313)+1))</f>
        <v/>
      </c>
      <c r="K313" s="50">
        <f>IF($J313="","",$G313/$J313)</f>
        <v/>
      </c>
      <c r="L313" s="50">
        <f>IF($J313="",0,$K313*MAX(0,MIN(YEAR($C$3)*12+MONTH($C$3),YEAR($I313)*12+MONTH($I313))-(YEAR($H313)*12+MONTH($H313))+1))</f>
        <v/>
      </c>
      <c r="M313" s="50">
        <f>IF($J313="",0,$K313*MAX(0,MIN(YEAR($C$3)*12+MONTH($C$3)-1,YEAR($I313)*12+MONTH($I313))-(YEAR($H313)*12+MONTH($H313))+1))</f>
        <v/>
      </c>
      <c r="N313" s="50">
        <f>IF(OR($J313="",$B313=""),0,IF(YEAR($B313)*12+MONTH($B313)&lt;=YEAR($C$3)*12+MONTH($C$3),$G313,0))</f>
        <v/>
      </c>
      <c r="O313" s="50">
        <f>IF(OR($J313="",$B313=""),0,IF(YEAR($B313)*12+MONTH($B313)&lt;=YEAR($C$3)*12+MONTH($C$3)-1,$G313,0))</f>
        <v/>
      </c>
      <c r="P313" s="50">
        <f>$M313-$O313</f>
        <v/>
      </c>
      <c r="Q313" s="50">
        <f>($L313-$M313)-($N313-$O313)</f>
        <v/>
      </c>
      <c r="R313" s="50">
        <f>$L313-$N313</f>
        <v/>
      </c>
    </row>
    <row r="314">
      <c r="A314" s="47">
        <f>ROW()-5</f>
        <v/>
      </c>
      <c r="B314" s="48">
        <f>IFERROR(INDEX(tbl_Finance[Date],$A314),"")</f>
        <v/>
      </c>
      <c r="C314" s="49">
        <f>IFERROR(INDEX(tbl_Finance[Xero Invoice No],$A314),"")</f>
        <v/>
      </c>
      <c r="D314" s="49">
        <f>IFERROR(INDEX(tbl_Finance[Client],$A314),"")</f>
        <v/>
      </c>
      <c r="E314" s="49">
        <f>IFERROR(INDEX(tbl_Finance[Job Number],$A314),"")</f>
        <v/>
      </c>
      <c r="F314" s="49">
        <f>IFERROR(INDEX(tbl_Finance[Cost Centre],$A314),"")</f>
        <v/>
      </c>
      <c r="G314" s="50">
        <f>IFERROR(INDEX(tbl_Finance[Ex GST],$A314),"")</f>
        <v/>
      </c>
      <c r="H314" s="48">
        <f>IFERROR(INDEX(tbl_Finance[Defer Start],$A314),"")</f>
        <v/>
      </c>
      <c r="I314" s="48">
        <f>IFERROR(INDEX(tbl_Finance[Defer End],$A314),"")</f>
        <v/>
      </c>
      <c r="J314" s="47">
        <f>IF(OR($H314="",$I314="",$G314=""),"",MAX(1,(YEAR($I314)-YEAR($H314))*12+MONTH($I314)-MONTH($H314)+1))</f>
        <v/>
      </c>
      <c r="K314" s="50">
        <f>IF($J314="","",$G314/$J314)</f>
        <v/>
      </c>
      <c r="L314" s="50">
        <f>IF($J314="",0,$K314*MAX(0,MIN(YEAR($C$3)*12+MONTH($C$3),YEAR($I314)*12+MONTH($I314))-(YEAR($H314)*12+MONTH($H314))+1))</f>
        <v/>
      </c>
      <c r="M314" s="50">
        <f>IF($J314="",0,$K314*MAX(0,MIN(YEAR($C$3)*12+MONTH($C$3)-1,YEAR($I314)*12+MONTH($I314))-(YEAR($H314)*12+MONTH($H314))+1))</f>
        <v/>
      </c>
      <c r="N314" s="50">
        <f>IF(OR($J314="",$B314=""),0,IF(YEAR($B314)*12+MONTH($B314)&lt;=YEAR($C$3)*12+MONTH($C$3),$G314,0))</f>
        <v/>
      </c>
      <c r="O314" s="50">
        <f>IF(OR($J314="",$B314=""),0,IF(YEAR($B314)*12+MONTH($B314)&lt;=YEAR($C$3)*12+MONTH($C$3)-1,$G314,0))</f>
        <v/>
      </c>
      <c r="P314" s="50">
        <f>$M314-$O314</f>
        <v/>
      </c>
      <c r="Q314" s="50">
        <f>($L314-$M314)-($N314-$O314)</f>
        <v/>
      </c>
      <c r="R314" s="50">
        <f>$L314-$N314</f>
        <v/>
      </c>
    </row>
    <row r="315">
      <c r="A315" s="47">
        <f>ROW()-5</f>
        <v/>
      </c>
      <c r="B315" s="48">
        <f>IFERROR(INDEX(tbl_Finance[Date],$A315),"")</f>
        <v/>
      </c>
      <c r="C315" s="49">
        <f>IFERROR(INDEX(tbl_Finance[Xero Invoice No],$A315),"")</f>
        <v/>
      </c>
      <c r="D315" s="49">
        <f>IFERROR(INDEX(tbl_Finance[Client],$A315),"")</f>
        <v/>
      </c>
      <c r="E315" s="49">
        <f>IFERROR(INDEX(tbl_Finance[Job Number],$A315),"")</f>
        <v/>
      </c>
      <c r="F315" s="49">
        <f>IFERROR(INDEX(tbl_Finance[Cost Centre],$A315),"")</f>
        <v/>
      </c>
      <c r="G315" s="50">
        <f>IFERROR(INDEX(tbl_Finance[Ex GST],$A315),"")</f>
        <v/>
      </c>
      <c r="H315" s="48">
        <f>IFERROR(INDEX(tbl_Finance[Defer Start],$A315),"")</f>
        <v/>
      </c>
      <c r="I315" s="48">
        <f>IFERROR(INDEX(tbl_Finance[Defer End],$A315),"")</f>
        <v/>
      </c>
      <c r="J315" s="47">
        <f>IF(OR($H315="",$I315="",$G315=""),"",MAX(1,(YEAR($I315)-YEAR($H315))*12+MONTH($I315)-MONTH($H315)+1))</f>
        <v/>
      </c>
      <c r="K315" s="50">
        <f>IF($J315="","",$G315/$J315)</f>
        <v/>
      </c>
      <c r="L315" s="50">
        <f>IF($J315="",0,$K315*MAX(0,MIN(YEAR($C$3)*12+MONTH($C$3),YEAR($I315)*12+MONTH($I315))-(YEAR($H315)*12+MONTH($H315))+1))</f>
        <v/>
      </c>
      <c r="M315" s="50">
        <f>IF($J315="",0,$K315*MAX(0,MIN(YEAR($C$3)*12+MONTH($C$3)-1,YEAR($I315)*12+MONTH($I315))-(YEAR($H315)*12+MONTH($H315))+1))</f>
        <v/>
      </c>
      <c r="N315" s="50">
        <f>IF(OR($J315="",$B315=""),0,IF(YEAR($B315)*12+MONTH($B315)&lt;=YEAR($C$3)*12+MONTH($C$3),$G315,0))</f>
        <v/>
      </c>
      <c r="O315" s="50">
        <f>IF(OR($J315="",$B315=""),0,IF(YEAR($B315)*12+MONTH($B315)&lt;=YEAR($C$3)*12+MONTH($C$3)-1,$G315,0))</f>
        <v/>
      </c>
      <c r="P315" s="50">
        <f>$M315-$O315</f>
        <v/>
      </c>
      <c r="Q315" s="50">
        <f>($L315-$M315)-($N315-$O315)</f>
        <v/>
      </c>
      <c r="R315" s="50">
        <f>$L315-$N315</f>
        <v/>
      </c>
    </row>
    <row r="316">
      <c r="A316" s="47">
        <f>ROW()-5</f>
        <v/>
      </c>
      <c r="B316" s="48">
        <f>IFERROR(INDEX(tbl_Finance[Date],$A316),"")</f>
        <v/>
      </c>
      <c r="C316" s="49">
        <f>IFERROR(INDEX(tbl_Finance[Xero Invoice No],$A316),"")</f>
        <v/>
      </c>
      <c r="D316" s="49">
        <f>IFERROR(INDEX(tbl_Finance[Client],$A316),"")</f>
        <v/>
      </c>
      <c r="E316" s="49">
        <f>IFERROR(INDEX(tbl_Finance[Job Number],$A316),"")</f>
        <v/>
      </c>
      <c r="F316" s="49">
        <f>IFERROR(INDEX(tbl_Finance[Cost Centre],$A316),"")</f>
        <v/>
      </c>
      <c r="G316" s="50">
        <f>IFERROR(INDEX(tbl_Finance[Ex GST],$A316),"")</f>
        <v/>
      </c>
      <c r="H316" s="48">
        <f>IFERROR(INDEX(tbl_Finance[Defer Start],$A316),"")</f>
        <v/>
      </c>
      <c r="I316" s="48">
        <f>IFERROR(INDEX(tbl_Finance[Defer End],$A316),"")</f>
        <v/>
      </c>
      <c r="J316" s="47">
        <f>IF(OR($H316="",$I316="",$G316=""),"",MAX(1,(YEAR($I316)-YEAR($H316))*12+MONTH($I316)-MONTH($H316)+1))</f>
        <v/>
      </c>
      <c r="K316" s="50">
        <f>IF($J316="","",$G316/$J316)</f>
        <v/>
      </c>
      <c r="L316" s="50">
        <f>IF($J316="",0,$K316*MAX(0,MIN(YEAR($C$3)*12+MONTH($C$3),YEAR($I316)*12+MONTH($I316))-(YEAR($H316)*12+MONTH($H316))+1))</f>
        <v/>
      </c>
      <c r="M316" s="50">
        <f>IF($J316="",0,$K316*MAX(0,MIN(YEAR($C$3)*12+MONTH($C$3)-1,YEAR($I316)*12+MONTH($I316))-(YEAR($H316)*12+MONTH($H316))+1))</f>
        <v/>
      </c>
      <c r="N316" s="50">
        <f>IF(OR($J316="",$B316=""),0,IF(YEAR($B316)*12+MONTH($B316)&lt;=YEAR($C$3)*12+MONTH($C$3),$G316,0))</f>
        <v/>
      </c>
      <c r="O316" s="50">
        <f>IF(OR($J316="",$B316=""),0,IF(YEAR($B316)*12+MONTH($B316)&lt;=YEAR($C$3)*12+MONTH($C$3)-1,$G316,0))</f>
        <v/>
      </c>
      <c r="P316" s="50">
        <f>$M316-$O316</f>
        <v/>
      </c>
      <c r="Q316" s="50">
        <f>($L316-$M316)-($N316-$O316)</f>
        <v/>
      </c>
      <c r="R316" s="50">
        <f>$L316-$N316</f>
        <v/>
      </c>
    </row>
    <row r="317">
      <c r="A317" s="47">
        <f>ROW()-5</f>
        <v/>
      </c>
      <c r="B317" s="48">
        <f>IFERROR(INDEX(tbl_Finance[Date],$A317),"")</f>
        <v/>
      </c>
      <c r="C317" s="49">
        <f>IFERROR(INDEX(tbl_Finance[Xero Invoice No],$A317),"")</f>
        <v/>
      </c>
      <c r="D317" s="49">
        <f>IFERROR(INDEX(tbl_Finance[Client],$A317),"")</f>
        <v/>
      </c>
      <c r="E317" s="49">
        <f>IFERROR(INDEX(tbl_Finance[Job Number],$A317),"")</f>
        <v/>
      </c>
      <c r="F317" s="49">
        <f>IFERROR(INDEX(tbl_Finance[Cost Centre],$A317),"")</f>
        <v/>
      </c>
      <c r="G317" s="50">
        <f>IFERROR(INDEX(tbl_Finance[Ex GST],$A317),"")</f>
        <v/>
      </c>
      <c r="H317" s="48">
        <f>IFERROR(INDEX(tbl_Finance[Defer Start],$A317),"")</f>
        <v/>
      </c>
      <c r="I317" s="48">
        <f>IFERROR(INDEX(tbl_Finance[Defer End],$A317),"")</f>
        <v/>
      </c>
      <c r="J317" s="47">
        <f>IF(OR($H317="",$I317="",$G317=""),"",MAX(1,(YEAR($I317)-YEAR($H317))*12+MONTH($I317)-MONTH($H317)+1))</f>
        <v/>
      </c>
      <c r="K317" s="50">
        <f>IF($J317="","",$G317/$J317)</f>
        <v/>
      </c>
      <c r="L317" s="50">
        <f>IF($J317="",0,$K317*MAX(0,MIN(YEAR($C$3)*12+MONTH($C$3),YEAR($I317)*12+MONTH($I317))-(YEAR($H317)*12+MONTH($H317))+1))</f>
        <v/>
      </c>
      <c r="M317" s="50">
        <f>IF($J317="",0,$K317*MAX(0,MIN(YEAR($C$3)*12+MONTH($C$3)-1,YEAR($I317)*12+MONTH($I317))-(YEAR($H317)*12+MONTH($H317))+1))</f>
        <v/>
      </c>
      <c r="N317" s="50">
        <f>IF(OR($J317="",$B317=""),0,IF(YEAR($B317)*12+MONTH($B317)&lt;=YEAR($C$3)*12+MONTH($C$3),$G317,0))</f>
        <v/>
      </c>
      <c r="O317" s="50">
        <f>IF(OR($J317="",$B317=""),0,IF(YEAR($B317)*12+MONTH($B317)&lt;=YEAR($C$3)*12+MONTH($C$3)-1,$G317,0))</f>
        <v/>
      </c>
      <c r="P317" s="50">
        <f>$M317-$O317</f>
        <v/>
      </c>
      <c r="Q317" s="50">
        <f>($L317-$M317)-($N317-$O317)</f>
        <v/>
      </c>
      <c r="R317" s="50">
        <f>$L317-$N317</f>
        <v/>
      </c>
    </row>
    <row r="318">
      <c r="A318" s="47">
        <f>ROW()-5</f>
        <v/>
      </c>
      <c r="B318" s="48">
        <f>IFERROR(INDEX(tbl_Finance[Date],$A318),"")</f>
        <v/>
      </c>
      <c r="C318" s="49">
        <f>IFERROR(INDEX(tbl_Finance[Xero Invoice No],$A318),"")</f>
        <v/>
      </c>
      <c r="D318" s="49">
        <f>IFERROR(INDEX(tbl_Finance[Client],$A318),"")</f>
        <v/>
      </c>
      <c r="E318" s="49">
        <f>IFERROR(INDEX(tbl_Finance[Job Number],$A318),"")</f>
        <v/>
      </c>
      <c r="F318" s="49">
        <f>IFERROR(INDEX(tbl_Finance[Cost Centre],$A318),"")</f>
        <v/>
      </c>
      <c r="G318" s="50">
        <f>IFERROR(INDEX(tbl_Finance[Ex GST],$A318),"")</f>
        <v/>
      </c>
      <c r="H318" s="48">
        <f>IFERROR(INDEX(tbl_Finance[Defer Start],$A318),"")</f>
        <v/>
      </c>
      <c r="I318" s="48">
        <f>IFERROR(INDEX(tbl_Finance[Defer End],$A318),"")</f>
        <v/>
      </c>
      <c r="J318" s="47">
        <f>IF(OR($H318="",$I318="",$G318=""),"",MAX(1,(YEAR($I318)-YEAR($H318))*12+MONTH($I318)-MONTH($H318)+1))</f>
        <v/>
      </c>
      <c r="K318" s="50">
        <f>IF($J318="","",$G318/$J318)</f>
        <v/>
      </c>
      <c r="L318" s="50">
        <f>IF($J318="",0,$K318*MAX(0,MIN(YEAR($C$3)*12+MONTH($C$3),YEAR($I318)*12+MONTH($I318))-(YEAR($H318)*12+MONTH($H318))+1))</f>
        <v/>
      </c>
      <c r="M318" s="50">
        <f>IF($J318="",0,$K318*MAX(0,MIN(YEAR($C$3)*12+MONTH($C$3)-1,YEAR($I318)*12+MONTH($I318))-(YEAR($H318)*12+MONTH($H318))+1))</f>
        <v/>
      </c>
      <c r="N318" s="50">
        <f>IF(OR($J318="",$B318=""),0,IF(YEAR($B318)*12+MONTH($B318)&lt;=YEAR($C$3)*12+MONTH($C$3),$G318,0))</f>
        <v/>
      </c>
      <c r="O318" s="50">
        <f>IF(OR($J318="",$B318=""),0,IF(YEAR($B318)*12+MONTH($B318)&lt;=YEAR($C$3)*12+MONTH($C$3)-1,$G318,0))</f>
        <v/>
      </c>
      <c r="P318" s="50">
        <f>$M318-$O318</f>
        <v/>
      </c>
      <c r="Q318" s="50">
        <f>($L318-$M318)-($N318-$O318)</f>
        <v/>
      </c>
      <c r="R318" s="50">
        <f>$L318-$N318</f>
        <v/>
      </c>
    </row>
    <row r="319">
      <c r="A319" s="47">
        <f>ROW()-5</f>
        <v/>
      </c>
      <c r="B319" s="48">
        <f>IFERROR(INDEX(tbl_Finance[Date],$A319),"")</f>
        <v/>
      </c>
      <c r="C319" s="49">
        <f>IFERROR(INDEX(tbl_Finance[Xero Invoice No],$A319),"")</f>
        <v/>
      </c>
      <c r="D319" s="49">
        <f>IFERROR(INDEX(tbl_Finance[Client],$A319),"")</f>
        <v/>
      </c>
      <c r="E319" s="49">
        <f>IFERROR(INDEX(tbl_Finance[Job Number],$A319),"")</f>
        <v/>
      </c>
      <c r="F319" s="49">
        <f>IFERROR(INDEX(tbl_Finance[Cost Centre],$A319),"")</f>
        <v/>
      </c>
      <c r="G319" s="50">
        <f>IFERROR(INDEX(tbl_Finance[Ex GST],$A319),"")</f>
        <v/>
      </c>
      <c r="H319" s="48">
        <f>IFERROR(INDEX(tbl_Finance[Defer Start],$A319),"")</f>
        <v/>
      </c>
      <c r="I319" s="48">
        <f>IFERROR(INDEX(tbl_Finance[Defer End],$A319),"")</f>
        <v/>
      </c>
      <c r="J319" s="47">
        <f>IF(OR($H319="",$I319="",$G319=""),"",MAX(1,(YEAR($I319)-YEAR($H319))*12+MONTH($I319)-MONTH($H319)+1))</f>
        <v/>
      </c>
      <c r="K319" s="50">
        <f>IF($J319="","",$G319/$J319)</f>
        <v/>
      </c>
      <c r="L319" s="50">
        <f>IF($J319="",0,$K319*MAX(0,MIN(YEAR($C$3)*12+MONTH($C$3),YEAR($I319)*12+MONTH($I319))-(YEAR($H319)*12+MONTH($H319))+1))</f>
        <v/>
      </c>
      <c r="M319" s="50">
        <f>IF($J319="",0,$K319*MAX(0,MIN(YEAR($C$3)*12+MONTH($C$3)-1,YEAR($I319)*12+MONTH($I319))-(YEAR($H319)*12+MONTH($H319))+1))</f>
        <v/>
      </c>
      <c r="N319" s="50">
        <f>IF(OR($J319="",$B319=""),0,IF(YEAR($B319)*12+MONTH($B319)&lt;=YEAR($C$3)*12+MONTH($C$3),$G319,0))</f>
        <v/>
      </c>
      <c r="O319" s="50">
        <f>IF(OR($J319="",$B319=""),0,IF(YEAR($B319)*12+MONTH($B319)&lt;=YEAR($C$3)*12+MONTH($C$3)-1,$G319,0))</f>
        <v/>
      </c>
      <c r="P319" s="50">
        <f>$M319-$O319</f>
        <v/>
      </c>
      <c r="Q319" s="50">
        <f>($L319-$M319)-($N319-$O319)</f>
        <v/>
      </c>
      <c r="R319" s="50">
        <f>$L319-$N319</f>
        <v/>
      </c>
    </row>
    <row r="320">
      <c r="A320" s="47">
        <f>ROW()-5</f>
        <v/>
      </c>
      <c r="B320" s="48">
        <f>IFERROR(INDEX(tbl_Finance[Date],$A320),"")</f>
        <v/>
      </c>
      <c r="C320" s="49">
        <f>IFERROR(INDEX(tbl_Finance[Xero Invoice No],$A320),"")</f>
        <v/>
      </c>
      <c r="D320" s="49">
        <f>IFERROR(INDEX(tbl_Finance[Client],$A320),"")</f>
        <v/>
      </c>
      <c r="E320" s="49">
        <f>IFERROR(INDEX(tbl_Finance[Job Number],$A320),"")</f>
        <v/>
      </c>
      <c r="F320" s="49">
        <f>IFERROR(INDEX(tbl_Finance[Cost Centre],$A320),"")</f>
        <v/>
      </c>
      <c r="G320" s="50">
        <f>IFERROR(INDEX(tbl_Finance[Ex GST],$A320),"")</f>
        <v/>
      </c>
      <c r="H320" s="48">
        <f>IFERROR(INDEX(tbl_Finance[Defer Start],$A320),"")</f>
        <v/>
      </c>
      <c r="I320" s="48">
        <f>IFERROR(INDEX(tbl_Finance[Defer End],$A320),"")</f>
        <v/>
      </c>
      <c r="J320" s="47">
        <f>IF(OR($H320="",$I320="",$G320=""),"",MAX(1,(YEAR($I320)-YEAR($H320))*12+MONTH($I320)-MONTH($H320)+1))</f>
        <v/>
      </c>
      <c r="K320" s="50">
        <f>IF($J320="","",$G320/$J320)</f>
        <v/>
      </c>
      <c r="L320" s="50">
        <f>IF($J320="",0,$K320*MAX(0,MIN(YEAR($C$3)*12+MONTH($C$3),YEAR($I320)*12+MONTH($I320))-(YEAR($H320)*12+MONTH($H320))+1))</f>
        <v/>
      </c>
      <c r="M320" s="50">
        <f>IF($J320="",0,$K320*MAX(0,MIN(YEAR($C$3)*12+MONTH($C$3)-1,YEAR($I320)*12+MONTH($I320))-(YEAR($H320)*12+MONTH($H320))+1))</f>
        <v/>
      </c>
      <c r="N320" s="50">
        <f>IF(OR($J320="",$B320=""),0,IF(YEAR($B320)*12+MONTH($B320)&lt;=YEAR($C$3)*12+MONTH($C$3),$G320,0))</f>
        <v/>
      </c>
      <c r="O320" s="50">
        <f>IF(OR($J320="",$B320=""),0,IF(YEAR($B320)*12+MONTH($B320)&lt;=YEAR($C$3)*12+MONTH($C$3)-1,$G320,0))</f>
        <v/>
      </c>
      <c r="P320" s="50">
        <f>$M320-$O320</f>
        <v/>
      </c>
      <c r="Q320" s="50">
        <f>($L320-$M320)-($N320-$O320)</f>
        <v/>
      </c>
      <c r="R320" s="50">
        <f>$L320-$N320</f>
        <v/>
      </c>
    </row>
    <row r="321">
      <c r="A321" s="47">
        <f>ROW()-5</f>
        <v/>
      </c>
      <c r="B321" s="48">
        <f>IFERROR(INDEX(tbl_Finance[Date],$A321),"")</f>
        <v/>
      </c>
      <c r="C321" s="49">
        <f>IFERROR(INDEX(tbl_Finance[Xero Invoice No],$A321),"")</f>
        <v/>
      </c>
      <c r="D321" s="49">
        <f>IFERROR(INDEX(tbl_Finance[Client],$A321),"")</f>
        <v/>
      </c>
      <c r="E321" s="49">
        <f>IFERROR(INDEX(tbl_Finance[Job Number],$A321),"")</f>
        <v/>
      </c>
      <c r="F321" s="49">
        <f>IFERROR(INDEX(tbl_Finance[Cost Centre],$A321),"")</f>
        <v/>
      </c>
      <c r="G321" s="50">
        <f>IFERROR(INDEX(tbl_Finance[Ex GST],$A321),"")</f>
        <v/>
      </c>
      <c r="H321" s="48">
        <f>IFERROR(INDEX(tbl_Finance[Defer Start],$A321),"")</f>
        <v/>
      </c>
      <c r="I321" s="48">
        <f>IFERROR(INDEX(tbl_Finance[Defer End],$A321),"")</f>
        <v/>
      </c>
      <c r="J321" s="47">
        <f>IF(OR($H321="",$I321="",$G321=""),"",MAX(1,(YEAR($I321)-YEAR($H321))*12+MONTH($I321)-MONTH($H321)+1))</f>
        <v/>
      </c>
      <c r="K321" s="50">
        <f>IF($J321="","",$G321/$J321)</f>
        <v/>
      </c>
      <c r="L321" s="50">
        <f>IF($J321="",0,$K321*MAX(0,MIN(YEAR($C$3)*12+MONTH($C$3),YEAR($I321)*12+MONTH($I321))-(YEAR($H321)*12+MONTH($H321))+1))</f>
        <v/>
      </c>
      <c r="M321" s="50">
        <f>IF($J321="",0,$K321*MAX(0,MIN(YEAR($C$3)*12+MONTH($C$3)-1,YEAR($I321)*12+MONTH($I321))-(YEAR($H321)*12+MONTH($H321))+1))</f>
        <v/>
      </c>
      <c r="N321" s="50">
        <f>IF(OR($J321="",$B321=""),0,IF(YEAR($B321)*12+MONTH($B321)&lt;=YEAR($C$3)*12+MONTH($C$3),$G321,0))</f>
        <v/>
      </c>
      <c r="O321" s="50">
        <f>IF(OR($J321="",$B321=""),0,IF(YEAR($B321)*12+MONTH($B321)&lt;=YEAR($C$3)*12+MONTH($C$3)-1,$G321,0))</f>
        <v/>
      </c>
      <c r="P321" s="50">
        <f>$M321-$O321</f>
        <v/>
      </c>
      <c r="Q321" s="50">
        <f>($L321-$M321)-($N321-$O321)</f>
        <v/>
      </c>
      <c r="R321" s="50">
        <f>$L321-$N321</f>
        <v/>
      </c>
    </row>
    <row r="322">
      <c r="A322" s="47">
        <f>ROW()-5</f>
        <v/>
      </c>
      <c r="B322" s="48">
        <f>IFERROR(INDEX(tbl_Finance[Date],$A322),"")</f>
        <v/>
      </c>
      <c r="C322" s="49">
        <f>IFERROR(INDEX(tbl_Finance[Xero Invoice No],$A322),"")</f>
        <v/>
      </c>
      <c r="D322" s="49">
        <f>IFERROR(INDEX(tbl_Finance[Client],$A322),"")</f>
        <v/>
      </c>
      <c r="E322" s="49">
        <f>IFERROR(INDEX(tbl_Finance[Job Number],$A322),"")</f>
        <v/>
      </c>
      <c r="F322" s="49">
        <f>IFERROR(INDEX(tbl_Finance[Cost Centre],$A322),"")</f>
        <v/>
      </c>
      <c r="G322" s="50">
        <f>IFERROR(INDEX(tbl_Finance[Ex GST],$A322),"")</f>
        <v/>
      </c>
      <c r="H322" s="48">
        <f>IFERROR(INDEX(tbl_Finance[Defer Start],$A322),"")</f>
        <v/>
      </c>
      <c r="I322" s="48">
        <f>IFERROR(INDEX(tbl_Finance[Defer End],$A322),"")</f>
        <v/>
      </c>
      <c r="J322" s="47">
        <f>IF(OR($H322="",$I322="",$G322=""),"",MAX(1,(YEAR($I322)-YEAR($H322))*12+MONTH($I322)-MONTH($H322)+1))</f>
        <v/>
      </c>
      <c r="K322" s="50">
        <f>IF($J322="","",$G322/$J322)</f>
        <v/>
      </c>
      <c r="L322" s="50">
        <f>IF($J322="",0,$K322*MAX(0,MIN(YEAR($C$3)*12+MONTH($C$3),YEAR($I322)*12+MONTH($I322))-(YEAR($H322)*12+MONTH($H322))+1))</f>
        <v/>
      </c>
      <c r="M322" s="50">
        <f>IF($J322="",0,$K322*MAX(0,MIN(YEAR($C$3)*12+MONTH($C$3)-1,YEAR($I322)*12+MONTH($I322))-(YEAR($H322)*12+MONTH($H322))+1))</f>
        <v/>
      </c>
      <c r="N322" s="50">
        <f>IF(OR($J322="",$B322=""),0,IF(YEAR($B322)*12+MONTH($B322)&lt;=YEAR($C$3)*12+MONTH($C$3),$G322,0))</f>
        <v/>
      </c>
      <c r="O322" s="50">
        <f>IF(OR($J322="",$B322=""),0,IF(YEAR($B322)*12+MONTH($B322)&lt;=YEAR($C$3)*12+MONTH($C$3)-1,$G322,0))</f>
        <v/>
      </c>
      <c r="P322" s="50">
        <f>$M322-$O322</f>
        <v/>
      </c>
      <c r="Q322" s="50">
        <f>($L322-$M322)-($N322-$O322)</f>
        <v/>
      </c>
      <c r="R322" s="50">
        <f>$L322-$N322</f>
        <v/>
      </c>
    </row>
    <row r="323">
      <c r="A323" s="47">
        <f>ROW()-5</f>
        <v/>
      </c>
      <c r="B323" s="48">
        <f>IFERROR(INDEX(tbl_Finance[Date],$A323),"")</f>
        <v/>
      </c>
      <c r="C323" s="49">
        <f>IFERROR(INDEX(tbl_Finance[Xero Invoice No],$A323),"")</f>
        <v/>
      </c>
      <c r="D323" s="49">
        <f>IFERROR(INDEX(tbl_Finance[Client],$A323),"")</f>
        <v/>
      </c>
      <c r="E323" s="49">
        <f>IFERROR(INDEX(tbl_Finance[Job Number],$A323),"")</f>
        <v/>
      </c>
      <c r="F323" s="49">
        <f>IFERROR(INDEX(tbl_Finance[Cost Centre],$A323),"")</f>
        <v/>
      </c>
      <c r="G323" s="50">
        <f>IFERROR(INDEX(tbl_Finance[Ex GST],$A323),"")</f>
        <v/>
      </c>
      <c r="H323" s="48">
        <f>IFERROR(INDEX(tbl_Finance[Defer Start],$A323),"")</f>
        <v/>
      </c>
      <c r="I323" s="48">
        <f>IFERROR(INDEX(tbl_Finance[Defer End],$A323),"")</f>
        <v/>
      </c>
      <c r="J323" s="47">
        <f>IF(OR($H323="",$I323="",$G323=""),"",MAX(1,(YEAR($I323)-YEAR($H323))*12+MONTH($I323)-MONTH($H323)+1))</f>
        <v/>
      </c>
      <c r="K323" s="50">
        <f>IF($J323="","",$G323/$J323)</f>
        <v/>
      </c>
      <c r="L323" s="50">
        <f>IF($J323="",0,$K323*MAX(0,MIN(YEAR($C$3)*12+MONTH($C$3),YEAR($I323)*12+MONTH($I323))-(YEAR($H323)*12+MONTH($H323))+1))</f>
        <v/>
      </c>
      <c r="M323" s="50">
        <f>IF($J323="",0,$K323*MAX(0,MIN(YEAR($C$3)*12+MONTH($C$3)-1,YEAR($I323)*12+MONTH($I323))-(YEAR($H323)*12+MONTH($H323))+1))</f>
        <v/>
      </c>
      <c r="N323" s="50">
        <f>IF(OR($J323="",$B323=""),0,IF(YEAR($B323)*12+MONTH($B323)&lt;=YEAR($C$3)*12+MONTH($C$3),$G323,0))</f>
        <v/>
      </c>
      <c r="O323" s="50">
        <f>IF(OR($J323="",$B323=""),0,IF(YEAR($B323)*12+MONTH($B323)&lt;=YEAR($C$3)*12+MONTH($C$3)-1,$G323,0))</f>
        <v/>
      </c>
      <c r="P323" s="50">
        <f>$M323-$O323</f>
        <v/>
      </c>
      <c r="Q323" s="50">
        <f>($L323-$M323)-($N323-$O323)</f>
        <v/>
      </c>
      <c r="R323" s="50">
        <f>$L323-$N323</f>
        <v/>
      </c>
    </row>
    <row r="324">
      <c r="A324" s="47">
        <f>ROW()-5</f>
        <v/>
      </c>
      <c r="B324" s="48">
        <f>IFERROR(INDEX(tbl_Finance[Date],$A324),"")</f>
        <v/>
      </c>
      <c r="C324" s="49">
        <f>IFERROR(INDEX(tbl_Finance[Xero Invoice No],$A324),"")</f>
        <v/>
      </c>
      <c r="D324" s="49">
        <f>IFERROR(INDEX(tbl_Finance[Client],$A324),"")</f>
        <v/>
      </c>
      <c r="E324" s="49">
        <f>IFERROR(INDEX(tbl_Finance[Job Number],$A324),"")</f>
        <v/>
      </c>
      <c r="F324" s="49">
        <f>IFERROR(INDEX(tbl_Finance[Cost Centre],$A324),"")</f>
        <v/>
      </c>
      <c r="G324" s="50">
        <f>IFERROR(INDEX(tbl_Finance[Ex GST],$A324),"")</f>
        <v/>
      </c>
      <c r="H324" s="48">
        <f>IFERROR(INDEX(tbl_Finance[Defer Start],$A324),"")</f>
        <v/>
      </c>
      <c r="I324" s="48">
        <f>IFERROR(INDEX(tbl_Finance[Defer End],$A324),"")</f>
        <v/>
      </c>
      <c r="J324" s="47">
        <f>IF(OR($H324="",$I324="",$G324=""),"",MAX(1,(YEAR($I324)-YEAR($H324))*12+MONTH($I324)-MONTH($H324)+1))</f>
        <v/>
      </c>
      <c r="K324" s="50">
        <f>IF($J324="","",$G324/$J324)</f>
        <v/>
      </c>
      <c r="L324" s="50">
        <f>IF($J324="",0,$K324*MAX(0,MIN(YEAR($C$3)*12+MONTH($C$3),YEAR($I324)*12+MONTH($I324))-(YEAR($H324)*12+MONTH($H324))+1))</f>
        <v/>
      </c>
      <c r="M324" s="50">
        <f>IF($J324="",0,$K324*MAX(0,MIN(YEAR($C$3)*12+MONTH($C$3)-1,YEAR($I324)*12+MONTH($I324))-(YEAR($H324)*12+MONTH($H324))+1))</f>
        <v/>
      </c>
      <c r="N324" s="50">
        <f>IF(OR($J324="",$B324=""),0,IF(YEAR($B324)*12+MONTH($B324)&lt;=YEAR($C$3)*12+MONTH($C$3),$G324,0))</f>
        <v/>
      </c>
      <c r="O324" s="50">
        <f>IF(OR($J324="",$B324=""),0,IF(YEAR($B324)*12+MONTH($B324)&lt;=YEAR($C$3)*12+MONTH($C$3)-1,$G324,0))</f>
        <v/>
      </c>
      <c r="P324" s="50">
        <f>$M324-$O324</f>
        <v/>
      </c>
      <c r="Q324" s="50">
        <f>($L324-$M324)-($N324-$O324)</f>
        <v/>
      </c>
      <c r="R324" s="50">
        <f>$L324-$N324</f>
        <v/>
      </c>
    </row>
    <row r="325">
      <c r="A325" s="47">
        <f>ROW()-5</f>
        <v/>
      </c>
      <c r="B325" s="48">
        <f>IFERROR(INDEX(tbl_Finance[Date],$A325),"")</f>
        <v/>
      </c>
      <c r="C325" s="49">
        <f>IFERROR(INDEX(tbl_Finance[Xero Invoice No],$A325),"")</f>
        <v/>
      </c>
      <c r="D325" s="49">
        <f>IFERROR(INDEX(tbl_Finance[Client],$A325),"")</f>
        <v/>
      </c>
      <c r="E325" s="49">
        <f>IFERROR(INDEX(tbl_Finance[Job Number],$A325),"")</f>
        <v/>
      </c>
      <c r="F325" s="49">
        <f>IFERROR(INDEX(tbl_Finance[Cost Centre],$A325),"")</f>
        <v/>
      </c>
      <c r="G325" s="50">
        <f>IFERROR(INDEX(tbl_Finance[Ex GST],$A325),"")</f>
        <v/>
      </c>
      <c r="H325" s="48">
        <f>IFERROR(INDEX(tbl_Finance[Defer Start],$A325),"")</f>
        <v/>
      </c>
      <c r="I325" s="48">
        <f>IFERROR(INDEX(tbl_Finance[Defer End],$A325),"")</f>
        <v/>
      </c>
      <c r="J325" s="47">
        <f>IF(OR($H325="",$I325="",$G325=""),"",MAX(1,(YEAR($I325)-YEAR($H325))*12+MONTH($I325)-MONTH($H325)+1))</f>
        <v/>
      </c>
      <c r="K325" s="50">
        <f>IF($J325="","",$G325/$J325)</f>
        <v/>
      </c>
      <c r="L325" s="50">
        <f>IF($J325="",0,$K325*MAX(0,MIN(YEAR($C$3)*12+MONTH($C$3),YEAR($I325)*12+MONTH($I325))-(YEAR($H325)*12+MONTH($H325))+1))</f>
        <v/>
      </c>
      <c r="M325" s="50">
        <f>IF($J325="",0,$K325*MAX(0,MIN(YEAR($C$3)*12+MONTH($C$3)-1,YEAR($I325)*12+MONTH($I325))-(YEAR($H325)*12+MONTH($H325))+1))</f>
        <v/>
      </c>
      <c r="N325" s="50">
        <f>IF(OR($J325="",$B325=""),0,IF(YEAR($B325)*12+MONTH($B325)&lt;=YEAR($C$3)*12+MONTH($C$3),$G325,0))</f>
        <v/>
      </c>
      <c r="O325" s="50">
        <f>IF(OR($J325="",$B325=""),0,IF(YEAR($B325)*12+MONTH($B325)&lt;=YEAR($C$3)*12+MONTH($C$3)-1,$G325,0))</f>
        <v/>
      </c>
      <c r="P325" s="50">
        <f>$M325-$O325</f>
        <v/>
      </c>
      <c r="Q325" s="50">
        <f>($L325-$M325)-($N325-$O325)</f>
        <v/>
      </c>
      <c r="R325" s="50">
        <f>$L325-$N325</f>
        <v/>
      </c>
    </row>
    <row r="326">
      <c r="A326" s="47">
        <f>ROW()-5</f>
        <v/>
      </c>
      <c r="B326" s="48">
        <f>IFERROR(INDEX(tbl_Finance[Date],$A326),"")</f>
        <v/>
      </c>
      <c r="C326" s="49">
        <f>IFERROR(INDEX(tbl_Finance[Xero Invoice No],$A326),"")</f>
        <v/>
      </c>
      <c r="D326" s="49">
        <f>IFERROR(INDEX(tbl_Finance[Client],$A326),"")</f>
        <v/>
      </c>
      <c r="E326" s="49">
        <f>IFERROR(INDEX(tbl_Finance[Job Number],$A326),"")</f>
        <v/>
      </c>
      <c r="F326" s="49">
        <f>IFERROR(INDEX(tbl_Finance[Cost Centre],$A326),"")</f>
        <v/>
      </c>
      <c r="G326" s="50">
        <f>IFERROR(INDEX(tbl_Finance[Ex GST],$A326),"")</f>
        <v/>
      </c>
      <c r="H326" s="48">
        <f>IFERROR(INDEX(tbl_Finance[Defer Start],$A326),"")</f>
        <v/>
      </c>
      <c r="I326" s="48">
        <f>IFERROR(INDEX(tbl_Finance[Defer End],$A326),"")</f>
        <v/>
      </c>
      <c r="J326" s="47">
        <f>IF(OR($H326="",$I326="",$G326=""),"",MAX(1,(YEAR($I326)-YEAR($H326))*12+MONTH($I326)-MONTH($H326)+1))</f>
        <v/>
      </c>
      <c r="K326" s="50">
        <f>IF($J326="","",$G326/$J326)</f>
        <v/>
      </c>
      <c r="L326" s="50">
        <f>IF($J326="",0,$K326*MAX(0,MIN(YEAR($C$3)*12+MONTH($C$3),YEAR($I326)*12+MONTH($I326))-(YEAR($H326)*12+MONTH($H326))+1))</f>
        <v/>
      </c>
      <c r="M326" s="50">
        <f>IF($J326="",0,$K326*MAX(0,MIN(YEAR($C$3)*12+MONTH($C$3)-1,YEAR($I326)*12+MONTH($I326))-(YEAR($H326)*12+MONTH($H326))+1))</f>
        <v/>
      </c>
      <c r="N326" s="50">
        <f>IF(OR($J326="",$B326=""),0,IF(YEAR($B326)*12+MONTH($B326)&lt;=YEAR($C$3)*12+MONTH($C$3),$G326,0))</f>
        <v/>
      </c>
      <c r="O326" s="50">
        <f>IF(OR($J326="",$B326=""),0,IF(YEAR($B326)*12+MONTH($B326)&lt;=YEAR($C$3)*12+MONTH($C$3)-1,$G326,0))</f>
        <v/>
      </c>
      <c r="P326" s="50">
        <f>$M326-$O326</f>
        <v/>
      </c>
      <c r="Q326" s="50">
        <f>($L326-$M326)-($N326-$O326)</f>
        <v/>
      </c>
      <c r="R326" s="50">
        <f>$L326-$N326</f>
        <v/>
      </c>
    </row>
    <row r="327">
      <c r="A327" s="47">
        <f>ROW()-5</f>
        <v/>
      </c>
      <c r="B327" s="48">
        <f>IFERROR(INDEX(tbl_Finance[Date],$A327),"")</f>
        <v/>
      </c>
      <c r="C327" s="49">
        <f>IFERROR(INDEX(tbl_Finance[Xero Invoice No],$A327),"")</f>
        <v/>
      </c>
      <c r="D327" s="49">
        <f>IFERROR(INDEX(tbl_Finance[Client],$A327),"")</f>
        <v/>
      </c>
      <c r="E327" s="49">
        <f>IFERROR(INDEX(tbl_Finance[Job Number],$A327),"")</f>
        <v/>
      </c>
      <c r="F327" s="49">
        <f>IFERROR(INDEX(tbl_Finance[Cost Centre],$A327),"")</f>
        <v/>
      </c>
      <c r="G327" s="50">
        <f>IFERROR(INDEX(tbl_Finance[Ex GST],$A327),"")</f>
        <v/>
      </c>
      <c r="H327" s="48">
        <f>IFERROR(INDEX(tbl_Finance[Defer Start],$A327),"")</f>
        <v/>
      </c>
      <c r="I327" s="48">
        <f>IFERROR(INDEX(tbl_Finance[Defer End],$A327),"")</f>
        <v/>
      </c>
      <c r="J327" s="47">
        <f>IF(OR($H327="",$I327="",$G327=""),"",MAX(1,(YEAR($I327)-YEAR($H327))*12+MONTH($I327)-MONTH($H327)+1))</f>
        <v/>
      </c>
      <c r="K327" s="50">
        <f>IF($J327="","",$G327/$J327)</f>
        <v/>
      </c>
      <c r="L327" s="50">
        <f>IF($J327="",0,$K327*MAX(0,MIN(YEAR($C$3)*12+MONTH($C$3),YEAR($I327)*12+MONTH($I327))-(YEAR($H327)*12+MONTH($H327))+1))</f>
        <v/>
      </c>
      <c r="M327" s="50">
        <f>IF($J327="",0,$K327*MAX(0,MIN(YEAR($C$3)*12+MONTH($C$3)-1,YEAR($I327)*12+MONTH($I327))-(YEAR($H327)*12+MONTH($H327))+1))</f>
        <v/>
      </c>
      <c r="N327" s="50">
        <f>IF(OR($J327="",$B327=""),0,IF(YEAR($B327)*12+MONTH($B327)&lt;=YEAR($C$3)*12+MONTH($C$3),$G327,0))</f>
        <v/>
      </c>
      <c r="O327" s="50">
        <f>IF(OR($J327="",$B327=""),0,IF(YEAR($B327)*12+MONTH($B327)&lt;=YEAR($C$3)*12+MONTH($C$3)-1,$G327,0))</f>
        <v/>
      </c>
      <c r="P327" s="50">
        <f>$M327-$O327</f>
        <v/>
      </c>
      <c r="Q327" s="50">
        <f>($L327-$M327)-($N327-$O327)</f>
        <v/>
      </c>
      <c r="R327" s="50">
        <f>$L327-$N327</f>
        <v/>
      </c>
    </row>
    <row r="328">
      <c r="A328" s="47">
        <f>ROW()-5</f>
        <v/>
      </c>
      <c r="B328" s="48">
        <f>IFERROR(INDEX(tbl_Finance[Date],$A328),"")</f>
        <v/>
      </c>
      <c r="C328" s="49">
        <f>IFERROR(INDEX(tbl_Finance[Xero Invoice No],$A328),"")</f>
        <v/>
      </c>
      <c r="D328" s="49">
        <f>IFERROR(INDEX(tbl_Finance[Client],$A328),"")</f>
        <v/>
      </c>
      <c r="E328" s="49">
        <f>IFERROR(INDEX(tbl_Finance[Job Number],$A328),"")</f>
        <v/>
      </c>
      <c r="F328" s="49">
        <f>IFERROR(INDEX(tbl_Finance[Cost Centre],$A328),"")</f>
        <v/>
      </c>
      <c r="G328" s="50">
        <f>IFERROR(INDEX(tbl_Finance[Ex GST],$A328),"")</f>
        <v/>
      </c>
      <c r="H328" s="48">
        <f>IFERROR(INDEX(tbl_Finance[Defer Start],$A328),"")</f>
        <v/>
      </c>
      <c r="I328" s="48">
        <f>IFERROR(INDEX(tbl_Finance[Defer End],$A328),"")</f>
        <v/>
      </c>
      <c r="J328" s="47">
        <f>IF(OR($H328="",$I328="",$G328=""),"",MAX(1,(YEAR($I328)-YEAR($H328))*12+MONTH($I328)-MONTH($H328)+1))</f>
        <v/>
      </c>
      <c r="K328" s="50">
        <f>IF($J328="","",$G328/$J328)</f>
        <v/>
      </c>
      <c r="L328" s="50">
        <f>IF($J328="",0,$K328*MAX(0,MIN(YEAR($C$3)*12+MONTH($C$3),YEAR($I328)*12+MONTH($I328))-(YEAR($H328)*12+MONTH($H328))+1))</f>
        <v/>
      </c>
      <c r="M328" s="50">
        <f>IF($J328="",0,$K328*MAX(0,MIN(YEAR($C$3)*12+MONTH($C$3)-1,YEAR($I328)*12+MONTH($I328))-(YEAR($H328)*12+MONTH($H328))+1))</f>
        <v/>
      </c>
      <c r="N328" s="50">
        <f>IF(OR($J328="",$B328=""),0,IF(YEAR($B328)*12+MONTH($B328)&lt;=YEAR($C$3)*12+MONTH($C$3),$G328,0))</f>
        <v/>
      </c>
      <c r="O328" s="50">
        <f>IF(OR($J328="",$B328=""),0,IF(YEAR($B328)*12+MONTH($B328)&lt;=YEAR($C$3)*12+MONTH($C$3)-1,$G328,0))</f>
        <v/>
      </c>
      <c r="P328" s="50">
        <f>$M328-$O328</f>
        <v/>
      </c>
      <c r="Q328" s="50">
        <f>($L328-$M328)-($N328-$O328)</f>
        <v/>
      </c>
      <c r="R328" s="50">
        <f>$L328-$N328</f>
        <v/>
      </c>
    </row>
    <row r="329">
      <c r="A329" s="47">
        <f>ROW()-5</f>
        <v/>
      </c>
      <c r="B329" s="48">
        <f>IFERROR(INDEX(tbl_Finance[Date],$A329),"")</f>
        <v/>
      </c>
      <c r="C329" s="49">
        <f>IFERROR(INDEX(tbl_Finance[Xero Invoice No],$A329),"")</f>
        <v/>
      </c>
      <c r="D329" s="49">
        <f>IFERROR(INDEX(tbl_Finance[Client],$A329),"")</f>
        <v/>
      </c>
      <c r="E329" s="49">
        <f>IFERROR(INDEX(tbl_Finance[Job Number],$A329),"")</f>
        <v/>
      </c>
      <c r="F329" s="49">
        <f>IFERROR(INDEX(tbl_Finance[Cost Centre],$A329),"")</f>
        <v/>
      </c>
      <c r="G329" s="50">
        <f>IFERROR(INDEX(tbl_Finance[Ex GST],$A329),"")</f>
        <v/>
      </c>
      <c r="H329" s="48">
        <f>IFERROR(INDEX(tbl_Finance[Defer Start],$A329),"")</f>
        <v/>
      </c>
      <c r="I329" s="48">
        <f>IFERROR(INDEX(tbl_Finance[Defer End],$A329),"")</f>
        <v/>
      </c>
      <c r="J329" s="47">
        <f>IF(OR($H329="",$I329="",$G329=""),"",MAX(1,(YEAR($I329)-YEAR($H329))*12+MONTH($I329)-MONTH($H329)+1))</f>
        <v/>
      </c>
      <c r="K329" s="50">
        <f>IF($J329="","",$G329/$J329)</f>
        <v/>
      </c>
      <c r="L329" s="50">
        <f>IF($J329="",0,$K329*MAX(0,MIN(YEAR($C$3)*12+MONTH($C$3),YEAR($I329)*12+MONTH($I329))-(YEAR($H329)*12+MONTH($H329))+1))</f>
        <v/>
      </c>
      <c r="M329" s="50">
        <f>IF($J329="",0,$K329*MAX(0,MIN(YEAR($C$3)*12+MONTH($C$3)-1,YEAR($I329)*12+MONTH($I329))-(YEAR($H329)*12+MONTH($H329))+1))</f>
        <v/>
      </c>
      <c r="N329" s="50">
        <f>IF(OR($J329="",$B329=""),0,IF(YEAR($B329)*12+MONTH($B329)&lt;=YEAR($C$3)*12+MONTH($C$3),$G329,0))</f>
        <v/>
      </c>
      <c r="O329" s="50">
        <f>IF(OR($J329="",$B329=""),0,IF(YEAR($B329)*12+MONTH($B329)&lt;=YEAR($C$3)*12+MONTH($C$3)-1,$G329,0))</f>
        <v/>
      </c>
      <c r="P329" s="50">
        <f>$M329-$O329</f>
        <v/>
      </c>
      <c r="Q329" s="50">
        <f>($L329-$M329)-($N329-$O329)</f>
        <v/>
      </c>
      <c r="R329" s="50">
        <f>$L329-$N329</f>
        <v/>
      </c>
    </row>
    <row r="330">
      <c r="A330" s="47">
        <f>ROW()-5</f>
        <v/>
      </c>
      <c r="B330" s="48">
        <f>IFERROR(INDEX(tbl_Finance[Date],$A330),"")</f>
        <v/>
      </c>
      <c r="C330" s="49">
        <f>IFERROR(INDEX(tbl_Finance[Xero Invoice No],$A330),"")</f>
        <v/>
      </c>
      <c r="D330" s="49">
        <f>IFERROR(INDEX(tbl_Finance[Client],$A330),"")</f>
        <v/>
      </c>
      <c r="E330" s="49">
        <f>IFERROR(INDEX(tbl_Finance[Job Number],$A330),"")</f>
        <v/>
      </c>
      <c r="F330" s="49">
        <f>IFERROR(INDEX(tbl_Finance[Cost Centre],$A330),"")</f>
        <v/>
      </c>
      <c r="G330" s="50">
        <f>IFERROR(INDEX(tbl_Finance[Ex GST],$A330),"")</f>
        <v/>
      </c>
      <c r="H330" s="48">
        <f>IFERROR(INDEX(tbl_Finance[Defer Start],$A330),"")</f>
        <v/>
      </c>
      <c r="I330" s="48">
        <f>IFERROR(INDEX(tbl_Finance[Defer End],$A330),"")</f>
        <v/>
      </c>
      <c r="J330" s="47">
        <f>IF(OR($H330="",$I330="",$G330=""),"",MAX(1,(YEAR($I330)-YEAR($H330))*12+MONTH($I330)-MONTH($H330)+1))</f>
        <v/>
      </c>
      <c r="K330" s="50">
        <f>IF($J330="","",$G330/$J330)</f>
        <v/>
      </c>
      <c r="L330" s="50">
        <f>IF($J330="",0,$K330*MAX(0,MIN(YEAR($C$3)*12+MONTH($C$3),YEAR($I330)*12+MONTH($I330))-(YEAR($H330)*12+MONTH($H330))+1))</f>
        <v/>
      </c>
      <c r="M330" s="50">
        <f>IF($J330="",0,$K330*MAX(0,MIN(YEAR($C$3)*12+MONTH($C$3)-1,YEAR($I330)*12+MONTH($I330))-(YEAR($H330)*12+MONTH($H330))+1))</f>
        <v/>
      </c>
      <c r="N330" s="50">
        <f>IF(OR($J330="",$B330=""),0,IF(YEAR($B330)*12+MONTH($B330)&lt;=YEAR($C$3)*12+MONTH($C$3),$G330,0))</f>
        <v/>
      </c>
      <c r="O330" s="50">
        <f>IF(OR($J330="",$B330=""),0,IF(YEAR($B330)*12+MONTH($B330)&lt;=YEAR($C$3)*12+MONTH($C$3)-1,$G330,0))</f>
        <v/>
      </c>
      <c r="P330" s="50">
        <f>$M330-$O330</f>
        <v/>
      </c>
      <c r="Q330" s="50">
        <f>($L330-$M330)-($N330-$O330)</f>
        <v/>
      </c>
      <c r="R330" s="50">
        <f>$L330-$N330</f>
        <v/>
      </c>
    </row>
    <row r="331">
      <c r="A331" s="47">
        <f>ROW()-5</f>
        <v/>
      </c>
      <c r="B331" s="48">
        <f>IFERROR(INDEX(tbl_Finance[Date],$A331),"")</f>
        <v/>
      </c>
      <c r="C331" s="49">
        <f>IFERROR(INDEX(tbl_Finance[Xero Invoice No],$A331),"")</f>
        <v/>
      </c>
      <c r="D331" s="49">
        <f>IFERROR(INDEX(tbl_Finance[Client],$A331),"")</f>
        <v/>
      </c>
      <c r="E331" s="49">
        <f>IFERROR(INDEX(tbl_Finance[Job Number],$A331),"")</f>
        <v/>
      </c>
      <c r="F331" s="49">
        <f>IFERROR(INDEX(tbl_Finance[Cost Centre],$A331),"")</f>
        <v/>
      </c>
      <c r="G331" s="50">
        <f>IFERROR(INDEX(tbl_Finance[Ex GST],$A331),"")</f>
        <v/>
      </c>
      <c r="H331" s="48">
        <f>IFERROR(INDEX(tbl_Finance[Defer Start],$A331),"")</f>
        <v/>
      </c>
      <c r="I331" s="48">
        <f>IFERROR(INDEX(tbl_Finance[Defer End],$A331),"")</f>
        <v/>
      </c>
      <c r="J331" s="47">
        <f>IF(OR($H331="",$I331="",$G331=""),"",MAX(1,(YEAR($I331)-YEAR($H331))*12+MONTH($I331)-MONTH($H331)+1))</f>
        <v/>
      </c>
      <c r="K331" s="50">
        <f>IF($J331="","",$G331/$J331)</f>
        <v/>
      </c>
      <c r="L331" s="50">
        <f>IF($J331="",0,$K331*MAX(0,MIN(YEAR($C$3)*12+MONTH($C$3),YEAR($I331)*12+MONTH($I331))-(YEAR($H331)*12+MONTH($H331))+1))</f>
        <v/>
      </c>
      <c r="M331" s="50">
        <f>IF($J331="",0,$K331*MAX(0,MIN(YEAR($C$3)*12+MONTH($C$3)-1,YEAR($I331)*12+MONTH($I331))-(YEAR($H331)*12+MONTH($H331))+1))</f>
        <v/>
      </c>
      <c r="N331" s="50">
        <f>IF(OR($J331="",$B331=""),0,IF(YEAR($B331)*12+MONTH($B331)&lt;=YEAR($C$3)*12+MONTH($C$3),$G331,0))</f>
        <v/>
      </c>
      <c r="O331" s="50">
        <f>IF(OR($J331="",$B331=""),0,IF(YEAR($B331)*12+MONTH($B331)&lt;=YEAR($C$3)*12+MONTH($C$3)-1,$G331,0))</f>
        <v/>
      </c>
      <c r="P331" s="50">
        <f>$M331-$O331</f>
        <v/>
      </c>
      <c r="Q331" s="50">
        <f>($L331-$M331)-($N331-$O331)</f>
        <v/>
      </c>
      <c r="R331" s="50">
        <f>$L331-$N331</f>
        <v/>
      </c>
    </row>
    <row r="332">
      <c r="A332" s="47">
        <f>ROW()-5</f>
        <v/>
      </c>
      <c r="B332" s="48">
        <f>IFERROR(INDEX(tbl_Finance[Date],$A332),"")</f>
        <v/>
      </c>
      <c r="C332" s="49">
        <f>IFERROR(INDEX(tbl_Finance[Xero Invoice No],$A332),"")</f>
        <v/>
      </c>
      <c r="D332" s="49">
        <f>IFERROR(INDEX(tbl_Finance[Client],$A332),"")</f>
        <v/>
      </c>
      <c r="E332" s="49">
        <f>IFERROR(INDEX(tbl_Finance[Job Number],$A332),"")</f>
        <v/>
      </c>
      <c r="F332" s="49">
        <f>IFERROR(INDEX(tbl_Finance[Cost Centre],$A332),"")</f>
        <v/>
      </c>
      <c r="G332" s="50">
        <f>IFERROR(INDEX(tbl_Finance[Ex GST],$A332),"")</f>
        <v/>
      </c>
      <c r="H332" s="48">
        <f>IFERROR(INDEX(tbl_Finance[Defer Start],$A332),"")</f>
        <v/>
      </c>
      <c r="I332" s="48">
        <f>IFERROR(INDEX(tbl_Finance[Defer End],$A332),"")</f>
        <v/>
      </c>
      <c r="J332" s="47">
        <f>IF(OR($H332="",$I332="",$G332=""),"",MAX(1,(YEAR($I332)-YEAR($H332))*12+MONTH($I332)-MONTH($H332)+1))</f>
        <v/>
      </c>
      <c r="K332" s="50">
        <f>IF($J332="","",$G332/$J332)</f>
        <v/>
      </c>
      <c r="L332" s="50">
        <f>IF($J332="",0,$K332*MAX(0,MIN(YEAR($C$3)*12+MONTH($C$3),YEAR($I332)*12+MONTH($I332))-(YEAR($H332)*12+MONTH($H332))+1))</f>
        <v/>
      </c>
      <c r="M332" s="50">
        <f>IF($J332="",0,$K332*MAX(0,MIN(YEAR($C$3)*12+MONTH($C$3)-1,YEAR($I332)*12+MONTH($I332))-(YEAR($H332)*12+MONTH($H332))+1))</f>
        <v/>
      </c>
      <c r="N332" s="50">
        <f>IF(OR($J332="",$B332=""),0,IF(YEAR($B332)*12+MONTH($B332)&lt;=YEAR($C$3)*12+MONTH($C$3),$G332,0))</f>
        <v/>
      </c>
      <c r="O332" s="50">
        <f>IF(OR($J332="",$B332=""),0,IF(YEAR($B332)*12+MONTH($B332)&lt;=YEAR($C$3)*12+MONTH($C$3)-1,$G332,0))</f>
        <v/>
      </c>
      <c r="P332" s="50">
        <f>$M332-$O332</f>
        <v/>
      </c>
      <c r="Q332" s="50">
        <f>($L332-$M332)-($N332-$O332)</f>
        <v/>
      </c>
      <c r="R332" s="50">
        <f>$L332-$N332</f>
        <v/>
      </c>
    </row>
    <row r="333">
      <c r="A333" s="47">
        <f>ROW()-5</f>
        <v/>
      </c>
      <c r="B333" s="48">
        <f>IFERROR(INDEX(tbl_Finance[Date],$A333),"")</f>
        <v/>
      </c>
      <c r="C333" s="49">
        <f>IFERROR(INDEX(tbl_Finance[Xero Invoice No],$A333),"")</f>
        <v/>
      </c>
      <c r="D333" s="49">
        <f>IFERROR(INDEX(tbl_Finance[Client],$A333),"")</f>
        <v/>
      </c>
      <c r="E333" s="49">
        <f>IFERROR(INDEX(tbl_Finance[Job Number],$A333),"")</f>
        <v/>
      </c>
      <c r="F333" s="49">
        <f>IFERROR(INDEX(tbl_Finance[Cost Centre],$A333),"")</f>
        <v/>
      </c>
      <c r="G333" s="50">
        <f>IFERROR(INDEX(tbl_Finance[Ex GST],$A333),"")</f>
        <v/>
      </c>
      <c r="H333" s="48">
        <f>IFERROR(INDEX(tbl_Finance[Defer Start],$A333),"")</f>
        <v/>
      </c>
      <c r="I333" s="48">
        <f>IFERROR(INDEX(tbl_Finance[Defer End],$A333),"")</f>
        <v/>
      </c>
      <c r="J333" s="47">
        <f>IF(OR($H333="",$I333="",$G333=""),"",MAX(1,(YEAR($I333)-YEAR($H333))*12+MONTH($I333)-MONTH($H333)+1))</f>
        <v/>
      </c>
      <c r="K333" s="50">
        <f>IF($J333="","",$G333/$J333)</f>
        <v/>
      </c>
      <c r="L333" s="50">
        <f>IF($J333="",0,$K333*MAX(0,MIN(YEAR($C$3)*12+MONTH($C$3),YEAR($I333)*12+MONTH($I333))-(YEAR($H333)*12+MONTH($H333))+1))</f>
        <v/>
      </c>
      <c r="M333" s="50">
        <f>IF($J333="",0,$K333*MAX(0,MIN(YEAR($C$3)*12+MONTH($C$3)-1,YEAR($I333)*12+MONTH($I333))-(YEAR($H333)*12+MONTH($H333))+1))</f>
        <v/>
      </c>
      <c r="N333" s="50">
        <f>IF(OR($J333="",$B333=""),0,IF(YEAR($B333)*12+MONTH($B333)&lt;=YEAR($C$3)*12+MONTH($C$3),$G333,0))</f>
        <v/>
      </c>
      <c r="O333" s="50">
        <f>IF(OR($J333="",$B333=""),0,IF(YEAR($B333)*12+MONTH($B333)&lt;=YEAR($C$3)*12+MONTH($C$3)-1,$G333,0))</f>
        <v/>
      </c>
      <c r="P333" s="50">
        <f>$M333-$O333</f>
        <v/>
      </c>
      <c r="Q333" s="50">
        <f>($L333-$M333)-($N333-$O333)</f>
        <v/>
      </c>
      <c r="R333" s="50">
        <f>$L333-$N333</f>
        <v/>
      </c>
    </row>
    <row r="334">
      <c r="A334" s="47">
        <f>ROW()-5</f>
        <v/>
      </c>
      <c r="B334" s="48">
        <f>IFERROR(INDEX(tbl_Finance[Date],$A334),"")</f>
        <v/>
      </c>
      <c r="C334" s="49">
        <f>IFERROR(INDEX(tbl_Finance[Xero Invoice No],$A334),"")</f>
        <v/>
      </c>
      <c r="D334" s="49">
        <f>IFERROR(INDEX(tbl_Finance[Client],$A334),"")</f>
        <v/>
      </c>
      <c r="E334" s="49">
        <f>IFERROR(INDEX(tbl_Finance[Job Number],$A334),"")</f>
        <v/>
      </c>
      <c r="F334" s="49">
        <f>IFERROR(INDEX(tbl_Finance[Cost Centre],$A334),"")</f>
        <v/>
      </c>
      <c r="G334" s="50">
        <f>IFERROR(INDEX(tbl_Finance[Ex GST],$A334),"")</f>
        <v/>
      </c>
      <c r="H334" s="48">
        <f>IFERROR(INDEX(tbl_Finance[Defer Start],$A334),"")</f>
        <v/>
      </c>
      <c r="I334" s="48">
        <f>IFERROR(INDEX(tbl_Finance[Defer End],$A334),"")</f>
        <v/>
      </c>
      <c r="J334" s="47">
        <f>IF(OR($H334="",$I334="",$G334=""),"",MAX(1,(YEAR($I334)-YEAR($H334))*12+MONTH($I334)-MONTH($H334)+1))</f>
        <v/>
      </c>
      <c r="K334" s="50">
        <f>IF($J334="","",$G334/$J334)</f>
        <v/>
      </c>
      <c r="L334" s="50">
        <f>IF($J334="",0,$K334*MAX(0,MIN(YEAR($C$3)*12+MONTH($C$3),YEAR($I334)*12+MONTH($I334))-(YEAR($H334)*12+MONTH($H334))+1))</f>
        <v/>
      </c>
      <c r="M334" s="50">
        <f>IF($J334="",0,$K334*MAX(0,MIN(YEAR($C$3)*12+MONTH($C$3)-1,YEAR($I334)*12+MONTH($I334))-(YEAR($H334)*12+MONTH($H334))+1))</f>
        <v/>
      </c>
      <c r="N334" s="50">
        <f>IF(OR($J334="",$B334=""),0,IF(YEAR($B334)*12+MONTH($B334)&lt;=YEAR($C$3)*12+MONTH($C$3),$G334,0))</f>
        <v/>
      </c>
      <c r="O334" s="50">
        <f>IF(OR($J334="",$B334=""),0,IF(YEAR($B334)*12+MONTH($B334)&lt;=YEAR($C$3)*12+MONTH($C$3)-1,$G334,0))</f>
        <v/>
      </c>
      <c r="P334" s="50">
        <f>$M334-$O334</f>
        <v/>
      </c>
      <c r="Q334" s="50">
        <f>($L334-$M334)-($N334-$O334)</f>
        <v/>
      </c>
      <c r="R334" s="50">
        <f>$L334-$N334</f>
        <v/>
      </c>
    </row>
    <row r="335">
      <c r="A335" s="47">
        <f>ROW()-5</f>
        <v/>
      </c>
      <c r="B335" s="48">
        <f>IFERROR(INDEX(tbl_Finance[Date],$A335),"")</f>
        <v/>
      </c>
      <c r="C335" s="49">
        <f>IFERROR(INDEX(tbl_Finance[Xero Invoice No],$A335),"")</f>
        <v/>
      </c>
      <c r="D335" s="49">
        <f>IFERROR(INDEX(tbl_Finance[Client],$A335),"")</f>
        <v/>
      </c>
      <c r="E335" s="49">
        <f>IFERROR(INDEX(tbl_Finance[Job Number],$A335),"")</f>
        <v/>
      </c>
      <c r="F335" s="49">
        <f>IFERROR(INDEX(tbl_Finance[Cost Centre],$A335),"")</f>
        <v/>
      </c>
      <c r="G335" s="50">
        <f>IFERROR(INDEX(tbl_Finance[Ex GST],$A335),"")</f>
        <v/>
      </c>
      <c r="H335" s="48">
        <f>IFERROR(INDEX(tbl_Finance[Defer Start],$A335),"")</f>
        <v/>
      </c>
      <c r="I335" s="48">
        <f>IFERROR(INDEX(tbl_Finance[Defer End],$A335),"")</f>
        <v/>
      </c>
      <c r="J335" s="47">
        <f>IF(OR($H335="",$I335="",$G335=""),"",MAX(1,(YEAR($I335)-YEAR($H335))*12+MONTH($I335)-MONTH($H335)+1))</f>
        <v/>
      </c>
      <c r="K335" s="50">
        <f>IF($J335="","",$G335/$J335)</f>
        <v/>
      </c>
      <c r="L335" s="50">
        <f>IF($J335="",0,$K335*MAX(0,MIN(YEAR($C$3)*12+MONTH($C$3),YEAR($I335)*12+MONTH($I335))-(YEAR($H335)*12+MONTH($H335))+1))</f>
        <v/>
      </c>
      <c r="M335" s="50">
        <f>IF($J335="",0,$K335*MAX(0,MIN(YEAR($C$3)*12+MONTH($C$3)-1,YEAR($I335)*12+MONTH($I335))-(YEAR($H335)*12+MONTH($H335))+1))</f>
        <v/>
      </c>
      <c r="N335" s="50">
        <f>IF(OR($J335="",$B335=""),0,IF(YEAR($B335)*12+MONTH($B335)&lt;=YEAR($C$3)*12+MONTH($C$3),$G335,0))</f>
        <v/>
      </c>
      <c r="O335" s="50">
        <f>IF(OR($J335="",$B335=""),0,IF(YEAR($B335)*12+MONTH($B335)&lt;=YEAR($C$3)*12+MONTH($C$3)-1,$G335,0))</f>
        <v/>
      </c>
      <c r="P335" s="50">
        <f>$M335-$O335</f>
        <v/>
      </c>
      <c r="Q335" s="50">
        <f>($L335-$M335)-($N335-$O335)</f>
        <v/>
      </c>
      <c r="R335" s="50">
        <f>$L335-$N335</f>
        <v/>
      </c>
    </row>
    <row r="336">
      <c r="A336" s="47">
        <f>ROW()-5</f>
        <v/>
      </c>
      <c r="B336" s="48">
        <f>IFERROR(INDEX(tbl_Finance[Date],$A336),"")</f>
        <v/>
      </c>
      <c r="C336" s="49">
        <f>IFERROR(INDEX(tbl_Finance[Xero Invoice No],$A336),"")</f>
        <v/>
      </c>
      <c r="D336" s="49">
        <f>IFERROR(INDEX(tbl_Finance[Client],$A336),"")</f>
        <v/>
      </c>
      <c r="E336" s="49">
        <f>IFERROR(INDEX(tbl_Finance[Job Number],$A336),"")</f>
        <v/>
      </c>
      <c r="F336" s="49">
        <f>IFERROR(INDEX(tbl_Finance[Cost Centre],$A336),"")</f>
        <v/>
      </c>
      <c r="G336" s="50">
        <f>IFERROR(INDEX(tbl_Finance[Ex GST],$A336),"")</f>
        <v/>
      </c>
      <c r="H336" s="48">
        <f>IFERROR(INDEX(tbl_Finance[Defer Start],$A336),"")</f>
        <v/>
      </c>
      <c r="I336" s="48">
        <f>IFERROR(INDEX(tbl_Finance[Defer End],$A336),"")</f>
        <v/>
      </c>
      <c r="J336" s="47">
        <f>IF(OR($H336="",$I336="",$G336=""),"",MAX(1,(YEAR($I336)-YEAR($H336))*12+MONTH($I336)-MONTH($H336)+1))</f>
        <v/>
      </c>
      <c r="K336" s="50">
        <f>IF($J336="","",$G336/$J336)</f>
        <v/>
      </c>
      <c r="L336" s="50">
        <f>IF($J336="",0,$K336*MAX(0,MIN(YEAR($C$3)*12+MONTH($C$3),YEAR($I336)*12+MONTH($I336))-(YEAR($H336)*12+MONTH($H336))+1))</f>
        <v/>
      </c>
      <c r="M336" s="50">
        <f>IF($J336="",0,$K336*MAX(0,MIN(YEAR($C$3)*12+MONTH($C$3)-1,YEAR($I336)*12+MONTH($I336))-(YEAR($H336)*12+MONTH($H336))+1))</f>
        <v/>
      </c>
      <c r="N336" s="50">
        <f>IF(OR($J336="",$B336=""),0,IF(YEAR($B336)*12+MONTH($B336)&lt;=YEAR($C$3)*12+MONTH($C$3),$G336,0))</f>
        <v/>
      </c>
      <c r="O336" s="50">
        <f>IF(OR($J336="",$B336=""),0,IF(YEAR($B336)*12+MONTH($B336)&lt;=YEAR($C$3)*12+MONTH($C$3)-1,$G336,0))</f>
        <v/>
      </c>
      <c r="P336" s="50">
        <f>$M336-$O336</f>
        <v/>
      </c>
      <c r="Q336" s="50">
        <f>($L336-$M336)-($N336-$O336)</f>
        <v/>
      </c>
      <c r="R336" s="50">
        <f>$L336-$N336</f>
        <v/>
      </c>
    </row>
    <row r="337">
      <c r="A337" s="47">
        <f>ROW()-5</f>
        <v/>
      </c>
      <c r="B337" s="48">
        <f>IFERROR(INDEX(tbl_Finance[Date],$A337),"")</f>
        <v/>
      </c>
      <c r="C337" s="49">
        <f>IFERROR(INDEX(tbl_Finance[Xero Invoice No],$A337),"")</f>
        <v/>
      </c>
      <c r="D337" s="49">
        <f>IFERROR(INDEX(tbl_Finance[Client],$A337),"")</f>
        <v/>
      </c>
      <c r="E337" s="49">
        <f>IFERROR(INDEX(tbl_Finance[Job Number],$A337),"")</f>
        <v/>
      </c>
      <c r="F337" s="49">
        <f>IFERROR(INDEX(tbl_Finance[Cost Centre],$A337),"")</f>
        <v/>
      </c>
      <c r="G337" s="50">
        <f>IFERROR(INDEX(tbl_Finance[Ex GST],$A337),"")</f>
        <v/>
      </c>
      <c r="H337" s="48">
        <f>IFERROR(INDEX(tbl_Finance[Defer Start],$A337),"")</f>
        <v/>
      </c>
      <c r="I337" s="48">
        <f>IFERROR(INDEX(tbl_Finance[Defer End],$A337),"")</f>
        <v/>
      </c>
      <c r="J337" s="47">
        <f>IF(OR($H337="",$I337="",$G337=""),"",MAX(1,(YEAR($I337)-YEAR($H337))*12+MONTH($I337)-MONTH($H337)+1))</f>
        <v/>
      </c>
      <c r="K337" s="50">
        <f>IF($J337="","",$G337/$J337)</f>
        <v/>
      </c>
      <c r="L337" s="50">
        <f>IF($J337="",0,$K337*MAX(0,MIN(YEAR($C$3)*12+MONTH($C$3),YEAR($I337)*12+MONTH($I337))-(YEAR($H337)*12+MONTH($H337))+1))</f>
        <v/>
      </c>
      <c r="M337" s="50">
        <f>IF($J337="",0,$K337*MAX(0,MIN(YEAR($C$3)*12+MONTH($C$3)-1,YEAR($I337)*12+MONTH($I337))-(YEAR($H337)*12+MONTH($H337))+1))</f>
        <v/>
      </c>
      <c r="N337" s="50">
        <f>IF(OR($J337="",$B337=""),0,IF(YEAR($B337)*12+MONTH($B337)&lt;=YEAR($C$3)*12+MONTH($C$3),$G337,0))</f>
        <v/>
      </c>
      <c r="O337" s="50">
        <f>IF(OR($J337="",$B337=""),0,IF(YEAR($B337)*12+MONTH($B337)&lt;=YEAR($C$3)*12+MONTH($C$3)-1,$G337,0))</f>
        <v/>
      </c>
      <c r="P337" s="50">
        <f>$M337-$O337</f>
        <v/>
      </c>
      <c r="Q337" s="50">
        <f>($L337-$M337)-($N337-$O337)</f>
        <v/>
      </c>
      <c r="R337" s="50">
        <f>$L337-$N337</f>
        <v/>
      </c>
    </row>
    <row r="338">
      <c r="A338" s="47">
        <f>ROW()-5</f>
        <v/>
      </c>
      <c r="B338" s="48">
        <f>IFERROR(INDEX(tbl_Finance[Date],$A338),"")</f>
        <v/>
      </c>
      <c r="C338" s="49">
        <f>IFERROR(INDEX(tbl_Finance[Xero Invoice No],$A338),"")</f>
        <v/>
      </c>
      <c r="D338" s="49">
        <f>IFERROR(INDEX(tbl_Finance[Client],$A338),"")</f>
        <v/>
      </c>
      <c r="E338" s="49">
        <f>IFERROR(INDEX(tbl_Finance[Job Number],$A338),"")</f>
        <v/>
      </c>
      <c r="F338" s="49">
        <f>IFERROR(INDEX(tbl_Finance[Cost Centre],$A338),"")</f>
        <v/>
      </c>
      <c r="G338" s="50">
        <f>IFERROR(INDEX(tbl_Finance[Ex GST],$A338),"")</f>
        <v/>
      </c>
      <c r="H338" s="48">
        <f>IFERROR(INDEX(tbl_Finance[Defer Start],$A338),"")</f>
        <v/>
      </c>
      <c r="I338" s="48">
        <f>IFERROR(INDEX(tbl_Finance[Defer End],$A338),"")</f>
        <v/>
      </c>
      <c r="J338" s="47">
        <f>IF(OR($H338="",$I338="",$G338=""),"",MAX(1,(YEAR($I338)-YEAR($H338))*12+MONTH($I338)-MONTH($H338)+1))</f>
        <v/>
      </c>
      <c r="K338" s="50">
        <f>IF($J338="","",$G338/$J338)</f>
        <v/>
      </c>
      <c r="L338" s="50">
        <f>IF($J338="",0,$K338*MAX(0,MIN(YEAR($C$3)*12+MONTH($C$3),YEAR($I338)*12+MONTH($I338))-(YEAR($H338)*12+MONTH($H338))+1))</f>
        <v/>
      </c>
      <c r="M338" s="50">
        <f>IF($J338="",0,$K338*MAX(0,MIN(YEAR($C$3)*12+MONTH($C$3)-1,YEAR($I338)*12+MONTH($I338))-(YEAR($H338)*12+MONTH($H338))+1))</f>
        <v/>
      </c>
      <c r="N338" s="50">
        <f>IF(OR($J338="",$B338=""),0,IF(YEAR($B338)*12+MONTH($B338)&lt;=YEAR($C$3)*12+MONTH($C$3),$G338,0))</f>
        <v/>
      </c>
      <c r="O338" s="50">
        <f>IF(OR($J338="",$B338=""),0,IF(YEAR($B338)*12+MONTH($B338)&lt;=YEAR($C$3)*12+MONTH($C$3)-1,$G338,0))</f>
        <v/>
      </c>
      <c r="P338" s="50">
        <f>$M338-$O338</f>
        <v/>
      </c>
      <c r="Q338" s="50">
        <f>($L338-$M338)-($N338-$O338)</f>
        <v/>
      </c>
      <c r="R338" s="50">
        <f>$L338-$N338</f>
        <v/>
      </c>
    </row>
    <row r="339">
      <c r="A339" s="47">
        <f>ROW()-5</f>
        <v/>
      </c>
      <c r="B339" s="48">
        <f>IFERROR(INDEX(tbl_Finance[Date],$A339),"")</f>
        <v/>
      </c>
      <c r="C339" s="49">
        <f>IFERROR(INDEX(tbl_Finance[Xero Invoice No],$A339),"")</f>
        <v/>
      </c>
      <c r="D339" s="49">
        <f>IFERROR(INDEX(tbl_Finance[Client],$A339),"")</f>
        <v/>
      </c>
      <c r="E339" s="49">
        <f>IFERROR(INDEX(tbl_Finance[Job Number],$A339),"")</f>
        <v/>
      </c>
      <c r="F339" s="49">
        <f>IFERROR(INDEX(tbl_Finance[Cost Centre],$A339),"")</f>
        <v/>
      </c>
      <c r="G339" s="50">
        <f>IFERROR(INDEX(tbl_Finance[Ex GST],$A339),"")</f>
        <v/>
      </c>
      <c r="H339" s="48">
        <f>IFERROR(INDEX(tbl_Finance[Defer Start],$A339),"")</f>
        <v/>
      </c>
      <c r="I339" s="48">
        <f>IFERROR(INDEX(tbl_Finance[Defer End],$A339),"")</f>
        <v/>
      </c>
      <c r="J339" s="47">
        <f>IF(OR($H339="",$I339="",$G339=""),"",MAX(1,(YEAR($I339)-YEAR($H339))*12+MONTH($I339)-MONTH($H339)+1))</f>
        <v/>
      </c>
      <c r="K339" s="50">
        <f>IF($J339="","",$G339/$J339)</f>
        <v/>
      </c>
      <c r="L339" s="50">
        <f>IF($J339="",0,$K339*MAX(0,MIN(YEAR($C$3)*12+MONTH($C$3),YEAR($I339)*12+MONTH($I339))-(YEAR($H339)*12+MONTH($H339))+1))</f>
        <v/>
      </c>
      <c r="M339" s="50">
        <f>IF($J339="",0,$K339*MAX(0,MIN(YEAR($C$3)*12+MONTH($C$3)-1,YEAR($I339)*12+MONTH($I339))-(YEAR($H339)*12+MONTH($H339))+1))</f>
        <v/>
      </c>
      <c r="N339" s="50">
        <f>IF(OR($J339="",$B339=""),0,IF(YEAR($B339)*12+MONTH($B339)&lt;=YEAR($C$3)*12+MONTH($C$3),$G339,0))</f>
        <v/>
      </c>
      <c r="O339" s="50">
        <f>IF(OR($J339="",$B339=""),0,IF(YEAR($B339)*12+MONTH($B339)&lt;=YEAR($C$3)*12+MONTH($C$3)-1,$G339,0))</f>
        <v/>
      </c>
      <c r="P339" s="50">
        <f>$M339-$O339</f>
        <v/>
      </c>
      <c r="Q339" s="50">
        <f>($L339-$M339)-($N339-$O339)</f>
        <v/>
      </c>
      <c r="R339" s="50">
        <f>$L339-$N339</f>
        <v/>
      </c>
    </row>
    <row r="340">
      <c r="A340" s="47">
        <f>ROW()-5</f>
        <v/>
      </c>
      <c r="B340" s="48">
        <f>IFERROR(INDEX(tbl_Finance[Date],$A340),"")</f>
        <v/>
      </c>
      <c r="C340" s="49">
        <f>IFERROR(INDEX(tbl_Finance[Xero Invoice No],$A340),"")</f>
        <v/>
      </c>
      <c r="D340" s="49">
        <f>IFERROR(INDEX(tbl_Finance[Client],$A340),"")</f>
        <v/>
      </c>
      <c r="E340" s="49">
        <f>IFERROR(INDEX(tbl_Finance[Job Number],$A340),"")</f>
        <v/>
      </c>
      <c r="F340" s="49">
        <f>IFERROR(INDEX(tbl_Finance[Cost Centre],$A340),"")</f>
        <v/>
      </c>
      <c r="G340" s="50">
        <f>IFERROR(INDEX(tbl_Finance[Ex GST],$A340),"")</f>
        <v/>
      </c>
      <c r="H340" s="48">
        <f>IFERROR(INDEX(tbl_Finance[Defer Start],$A340),"")</f>
        <v/>
      </c>
      <c r="I340" s="48">
        <f>IFERROR(INDEX(tbl_Finance[Defer End],$A340),"")</f>
        <v/>
      </c>
      <c r="J340" s="47">
        <f>IF(OR($H340="",$I340="",$G340=""),"",MAX(1,(YEAR($I340)-YEAR($H340))*12+MONTH($I340)-MONTH($H340)+1))</f>
        <v/>
      </c>
      <c r="K340" s="50">
        <f>IF($J340="","",$G340/$J340)</f>
        <v/>
      </c>
      <c r="L340" s="50">
        <f>IF($J340="",0,$K340*MAX(0,MIN(YEAR($C$3)*12+MONTH($C$3),YEAR($I340)*12+MONTH($I340))-(YEAR($H340)*12+MONTH($H340))+1))</f>
        <v/>
      </c>
      <c r="M340" s="50">
        <f>IF($J340="",0,$K340*MAX(0,MIN(YEAR($C$3)*12+MONTH($C$3)-1,YEAR($I340)*12+MONTH($I340))-(YEAR($H340)*12+MONTH($H340))+1))</f>
        <v/>
      </c>
      <c r="N340" s="50">
        <f>IF(OR($J340="",$B340=""),0,IF(YEAR($B340)*12+MONTH($B340)&lt;=YEAR($C$3)*12+MONTH($C$3),$G340,0))</f>
        <v/>
      </c>
      <c r="O340" s="50">
        <f>IF(OR($J340="",$B340=""),0,IF(YEAR($B340)*12+MONTH($B340)&lt;=YEAR($C$3)*12+MONTH($C$3)-1,$G340,0))</f>
        <v/>
      </c>
      <c r="P340" s="50">
        <f>$M340-$O340</f>
        <v/>
      </c>
      <c r="Q340" s="50">
        <f>($L340-$M340)-($N340-$O340)</f>
        <v/>
      </c>
      <c r="R340" s="50">
        <f>$L340-$N340</f>
        <v/>
      </c>
    </row>
    <row r="341">
      <c r="A341" s="47">
        <f>ROW()-5</f>
        <v/>
      </c>
      <c r="B341" s="48">
        <f>IFERROR(INDEX(tbl_Finance[Date],$A341),"")</f>
        <v/>
      </c>
      <c r="C341" s="49">
        <f>IFERROR(INDEX(tbl_Finance[Xero Invoice No],$A341),"")</f>
        <v/>
      </c>
      <c r="D341" s="49">
        <f>IFERROR(INDEX(tbl_Finance[Client],$A341),"")</f>
        <v/>
      </c>
      <c r="E341" s="49">
        <f>IFERROR(INDEX(tbl_Finance[Job Number],$A341),"")</f>
        <v/>
      </c>
      <c r="F341" s="49">
        <f>IFERROR(INDEX(tbl_Finance[Cost Centre],$A341),"")</f>
        <v/>
      </c>
      <c r="G341" s="50">
        <f>IFERROR(INDEX(tbl_Finance[Ex GST],$A341),"")</f>
        <v/>
      </c>
      <c r="H341" s="48">
        <f>IFERROR(INDEX(tbl_Finance[Defer Start],$A341),"")</f>
        <v/>
      </c>
      <c r="I341" s="48">
        <f>IFERROR(INDEX(tbl_Finance[Defer End],$A341),"")</f>
        <v/>
      </c>
      <c r="J341" s="47">
        <f>IF(OR($H341="",$I341="",$G341=""),"",MAX(1,(YEAR($I341)-YEAR($H341))*12+MONTH($I341)-MONTH($H341)+1))</f>
        <v/>
      </c>
      <c r="K341" s="50">
        <f>IF($J341="","",$G341/$J341)</f>
        <v/>
      </c>
      <c r="L341" s="50">
        <f>IF($J341="",0,$K341*MAX(0,MIN(YEAR($C$3)*12+MONTH($C$3),YEAR($I341)*12+MONTH($I341))-(YEAR($H341)*12+MONTH($H341))+1))</f>
        <v/>
      </c>
      <c r="M341" s="50">
        <f>IF($J341="",0,$K341*MAX(0,MIN(YEAR($C$3)*12+MONTH($C$3)-1,YEAR($I341)*12+MONTH($I341))-(YEAR($H341)*12+MONTH($H341))+1))</f>
        <v/>
      </c>
      <c r="N341" s="50">
        <f>IF(OR($J341="",$B341=""),0,IF(YEAR($B341)*12+MONTH($B341)&lt;=YEAR($C$3)*12+MONTH($C$3),$G341,0))</f>
        <v/>
      </c>
      <c r="O341" s="50">
        <f>IF(OR($J341="",$B341=""),0,IF(YEAR($B341)*12+MONTH($B341)&lt;=YEAR($C$3)*12+MONTH($C$3)-1,$G341,0))</f>
        <v/>
      </c>
      <c r="P341" s="50">
        <f>$M341-$O341</f>
        <v/>
      </c>
      <c r="Q341" s="50">
        <f>($L341-$M341)-($N341-$O341)</f>
        <v/>
      </c>
      <c r="R341" s="50">
        <f>$L341-$N341</f>
        <v/>
      </c>
    </row>
    <row r="342">
      <c r="A342" s="47">
        <f>ROW()-5</f>
        <v/>
      </c>
      <c r="B342" s="48">
        <f>IFERROR(INDEX(tbl_Finance[Date],$A342),"")</f>
        <v/>
      </c>
      <c r="C342" s="49">
        <f>IFERROR(INDEX(tbl_Finance[Xero Invoice No],$A342),"")</f>
        <v/>
      </c>
      <c r="D342" s="49">
        <f>IFERROR(INDEX(tbl_Finance[Client],$A342),"")</f>
        <v/>
      </c>
      <c r="E342" s="49">
        <f>IFERROR(INDEX(tbl_Finance[Job Number],$A342),"")</f>
        <v/>
      </c>
      <c r="F342" s="49">
        <f>IFERROR(INDEX(tbl_Finance[Cost Centre],$A342),"")</f>
        <v/>
      </c>
      <c r="G342" s="50">
        <f>IFERROR(INDEX(tbl_Finance[Ex GST],$A342),"")</f>
        <v/>
      </c>
      <c r="H342" s="48">
        <f>IFERROR(INDEX(tbl_Finance[Defer Start],$A342),"")</f>
        <v/>
      </c>
      <c r="I342" s="48">
        <f>IFERROR(INDEX(tbl_Finance[Defer End],$A342),"")</f>
        <v/>
      </c>
      <c r="J342" s="47">
        <f>IF(OR($H342="",$I342="",$G342=""),"",MAX(1,(YEAR($I342)-YEAR($H342))*12+MONTH($I342)-MONTH($H342)+1))</f>
        <v/>
      </c>
      <c r="K342" s="50">
        <f>IF($J342="","",$G342/$J342)</f>
        <v/>
      </c>
      <c r="L342" s="50">
        <f>IF($J342="",0,$K342*MAX(0,MIN(YEAR($C$3)*12+MONTH($C$3),YEAR($I342)*12+MONTH($I342))-(YEAR($H342)*12+MONTH($H342))+1))</f>
        <v/>
      </c>
      <c r="M342" s="50">
        <f>IF($J342="",0,$K342*MAX(0,MIN(YEAR($C$3)*12+MONTH($C$3)-1,YEAR($I342)*12+MONTH($I342))-(YEAR($H342)*12+MONTH($H342))+1))</f>
        <v/>
      </c>
      <c r="N342" s="50">
        <f>IF(OR($J342="",$B342=""),0,IF(YEAR($B342)*12+MONTH($B342)&lt;=YEAR($C$3)*12+MONTH($C$3),$G342,0))</f>
        <v/>
      </c>
      <c r="O342" s="50">
        <f>IF(OR($J342="",$B342=""),0,IF(YEAR($B342)*12+MONTH($B342)&lt;=YEAR($C$3)*12+MONTH($C$3)-1,$G342,0))</f>
        <v/>
      </c>
      <c r="P342" s="50">
        <f>$M342-$O342</f>
        <v/>
      </c>
      <c r="Q342" s="50">
        <f>($L342-$M342)-($N342-$O342)</f>
        <v/>
      </c>
      <c r="R342" s="50">
        <f>$L342-$N342</f>
        <v/>
      </c>
    </row>
    <row r="343">
      <c r="A343" s="47">
        <f>ROW()-5</f>
        <v/>
      </c>
      <c r="B343" s="48">
        <f>IFERROR(INDEX(tbl_Finance[Date],$A343),"")</f>
        <v/>
      </c>
      <c r="C343" s="49">
        <f>IFERROR(INDEX(tbl_Finance[Xero Invoice No],$A343),"")</f>
        <v/>
      </c>
      <c r="D343" s="49">
        <f>IFERROR(INDEX(tbl_Finance[Client],$A343),"")</f>
        <v/>
      </c>
      <c r="E343" s="49">
        <f>IFERROR(INDEX(tbl_Finance[Job Number],$A343),"")</f>
        <v/>
      </c>
      <c r="F343" s="49">
        <f>IFERROR(INDEX(tbl_Finance[Cost Centre],$A343),"")</f>
        <v/>
      </c>
      <c r="G343" s="50">
        <f>IFERROR(INDEX(tbl_Finance[Ex GST],$A343),"")</f>
        <v/>
      </c>
      <c r="H343" s="48">
        <f>IFERROR(INDEX(tbl_Finance[Defer Start],$A343),"")</f>
        <v/>
      </c>
      <c r="I343" s="48">
        <f>IFERROR(INDEX(tbl_Finance[Defer End],$A343),"")</f>
        <v/>
      </c>
      <c r="J343" s="47">
        <f>IF(OR($H343="",$I343="",$G343=""),"",MAX(1,(YEAR($I343)-YEAR($H343))*12+MONTH($I343)-MONTH($H343)+1))</f>
        <v/>
      </c>
      <c r="K343" s="50">
        <f>IF($J343="","",$G343/$J343)</f>
        <v/>
      </c>
      <c r="L343" s="50">
        <f>IF($J343="",0,$K343*MAX(0,MIN(YEAR($C$3)*12+MONTH($C$3),YEAR($I343)*12+MONTH($I343))-(YEAR($H343)*12+MONTH($H343))+1))</f>
        <v/>
      </c>
      <c r="M343" s="50">
        <f>IF($J343="",0,$K343*MAX(0,MIN(YEAR($C$3)*12+MONTH($C$3)-1,YEAR($I343)*12+MONTH($I343))-(YEAR($H343)*12+MONTH($H343))+1))</f>
        <v/>
      </c>
      <c r="N343" s="50">
        <f>IF(OR($J343="",$B343=""),0,IF(YEAR($B343)*12+MONTH($B343)&lt;=YEAR($C$3)*12+MONTH($C$3),$G343,0))</f>
        <v/>
      </c>
      <c r="O343" s="50">
        <f>IF(OR($J343="",$B343=""),0,IF(YEAR($B343)*12+MONTH($B343)&lt;=YEAR($C$3)*12+MONTH($C$3)-1,$G343,0))</f>
        <v/>
      </c>
      <c r="P343" s="50">
        <f>$M343-$O343</f>
        <v/>
      </c>
      <c r="Q343" s="50">
        <f>($L343-$M343)-($N343-$O343)</f>
        <v/>
      </c>
      <c r="R343" s="50">
        <f>$L343-$N343</f>
        <v/>
      </c>
    </row>
    <row r="344">
      <c r="A344" s="47">
        <f>ROW()-5</f>
        <v/>
      </c>
      <c r="B344" s="48">
        <f>IFERROR(INDEX(tbl_Finance[Date],$A344),"")</f>
        <v/>
      </c>
      <c r="C344" s="49">
        <f>IFERROR(INDEX(tbl_Finance[Xero Invoice No],$A344),"")</f>
        <v/>
      </c>
      <c r="D344" s="49">
        <f>IFERROR(INDEX(tbl_Finance[Client],$A344),"")</f>
        <v/>
      </c>
      <c r="E344" s="49">
        <f>IFERROR(INDEX(tbl_Finance[Job Number],$A344),"")</f>
        <v/>
      </c>
      <c r="F344" s="49">
        <f>IFERROR(INDEX(tbl_Finance[Cost Centre],$A344),"")</f>
        <v/>
      </c>
      <c r="G344" s="50">
        <f>IFERROR(INDEX(tbl_Finance[Ex GST],$A344),"")</f>
        <v/>
      </c>
      <c r="H344" s="48">
        <f>IFERROR(INDEX(tbl_Finance[Defer Start],$A344),"")</f>
        <v/>
      </c>
      <c r="I344" s="48">
        <f>IFERROR(INDEX(tbl_Finance[Defer End],$A344),"")</f>
        <v/>
      </c>
      <c r="J344" s="47">
        <f>IF(OR($H344="",$I344="",$G344=""),"",MAX(1,(YEAR($I344)-YEAR($H344))*12+MONTH($I344)-MONTH($H344)+1))</f>
        <v/>
      </c>
      <c r="K344" s="50">
        <f>IF($J344="","",$G344/$J344)</f>
        <v/>
      </c>
      <c r="L344" s="50">
        <f>IF($J344="",0,$K344*MAX(0,MIN(YEAR($C$3)*12+MONTH($C$3),YEAR($I344)*12+MONTH($I344))-(YEAR($H344)*12+MONTH($H344))+1))</f>
        <v/>
      </c>
      <c r="M344" s="50">
        <f>IF($J344="",0,$K344*MAX(0,MIN(YEAR($C$3)*12+MONTH($C$3)-1,YEAR($I344)*12+MONTH($I344))-(YEAR($H344)*12+MONTH($H344))+1))</f>
        <v/>
      </c>
      <c r="N344" s="50">
        <f>IF(OR($J344="",$B344=""),0,IF(YEAR($B344)*12+MONTH($B344)&lt;=YEAR($C$3)*12+MONTH($C$3),$G344,0))</f>
        <v/>
      </c>
      <c r="O344" s="50">
        <f>IF(OR($J344="",$B344=""),0,IF(YEAR($B344)*12+MONTH($B344)&lt;=YEAR($C$3)*12+MONTH($C$3)-1,$G344,0))</f>
        <v/>
      </c>
      <c r="P344" s="50">
        <f>$M344-$O344</f>
        <v/>
      </c>
      <c r="Q344" s="50">
        <f>($L344-$M344)-($N344-$O344)</f>
        <v/>
      </c>
      <c r="R344" s="50">
        <f>$L344-$N344</f>
        <v/>
      </c>
    </row>
    <row r="345">
      <c r="A345" s="47">
        <f>ROW()-5</f>
        <v/>
      </c>
      <c r="B345" s="48">
        <f>IFERROR(INDEX(tbl_Finance[Date],$A345),"")</f>
        <v/>
      </c>
      <c r="C345" s="49">
        <f>IFERROR(INDEX(tbl_Finance[Xero Invoice No],$A345),"")</f>
        <v/>
      </c>
      <c r="D345" s="49">
        <f>IFERROR(INDEX(tbl_Finance[Client],$A345),"")</f>
        <v/>
      </c>
      <c r="E345" s="49">
        <f>IFERROR(INDEX(tbl_Finance[Job Number],$A345),"")</f>
        <v/>
      </c>
      <c r="F345" s="49">
        <f>IFERROR(INDEX(tbl_Finance[Cost Centre],$A345),"")</f>
        <v/>
      </c>
      <c r="G345" s="50">
        <f>IFERROR(INDEX(tbl_Finance[Ex GST],$A345),"")</f>
        <v/>
      </c>
      <c r="H345" s="48">
        <f>IFERROR(INDEX(tbl_Finance[Defer Start],$A345),"")</f>
        <v/>
      </c>
      <c r="I345" s="48">
        <f>IFERROR(INDEX(tbl_Finance[Defer End],$A345),"")</f>
        <v/>
      </c>
      <c r="J345" s="47">
        <f>IF(OR($H345="",$I345="",$G345=""),"",MAX(1,(YEAR($I345)-YEAR($H345))*12+MONTH($I345)-MONTH($H345)+1))</f>
        <v/>
      </c>
      <c r="K345" s="50">
        <f>IF($J345="","",$G345/$J345)</f>
        <v/>
      </c>
      <c r="L345" s="50">
        <f>IF($J345="",0,$K345*MAX(0,MIN(YEAR($C$3)*12+MONTH($C$3),YEAR($I345)*12+MONTH($I345))-(YEAR($H345)*12+MONTH($H345))+1))</f>
        <v/>
      </c>
      <c r="M345" s="50">
        <f>IF($J345="",0,$K345*MAX(0,MIN(YEAR($C$3)*12+MONTH($C$3)-1,YEAR($I345)*12+MONTH($I345))-(YEAR($H345)*12+MONTH($H345))+1))</f>
        <v/>
      </c>
      <c r="N345" s="50">
        <f>IF(OR($J345="",$B345=""),0,IF(YEAR($B345)*12+MONTH($B345)&lt;=YEAR($C$3)*12+MONTH($C$3),$G345,0))</f>
        <v/>
      </c>
      <c r="O345" s="50">
        <f>IF(OR($J345="",$B345=""),0,IF(YEAR($B345)*12+MONTH($B345)&lt;=YEAR($C$3)*12+MONTH($C$3)-1,$G345,0))</f>
        <v/>
      </c>
      <c r="P345" s="50">
        <f>$M345-$O345</f>
        <v/>
      </c>
      <c r="Q345" s="50">
        <f>($L345-$M345)-($N345-$O345)</f>
        <v/>
      </c>
      <c r="R345" s="50">
        <f>$L345-$N345</f>
        <v/>
      </c>
    </row>
    <row r="346">
      <c r="A346" s="47">
        <f>ROW()-5</f>
        <v/>
      </c>
      <c r="B346" s="48">
        <f>IFERROR(INDEX(tbl_Finance[Date],$A346),"")</f>
        <v/>
      </c>
      <c r="C346" s="49">
        <f>IFERROR(INDEX(tbl_Finance[Xero Invoice No],$A346),"")</f>
        <v/>
      </c>
      <c r="D346" s="49">
        <f>IFERROR(INDEX(tbl_Finance[Client],$A346),"")</f>
        <v/>
      </c>
      <c r="E346" s="49">
        <f>IFERROR(INDEX(tbl_Finance[Job Number],$A346),"")</f>
        <v/>
      </c>
      <c r="F346" s="49">
        <f>IFERROR(INDEX(tbl_Finance[Cost Centre],$A346),"")</f>
        <v/>
      </c>
      <c r="G346" s="50">
        <f>IFERROR(INDEX(tbl_Finance[Ex GST],$A346),"")</f>
        <v/>
      </c>
      <c r="H346" s="48">
        <f>IFERROR(INDEX(tbl_Finance[Defer Start],$A346),"")</f>
        <v/>
      </c>
      <c r="I346" s="48">
        <f>IFERROR(INDEX(tbl_Finance[Defer End],$A346),"")</f>
        <v/>
      </c>
      <c r="J346" s="47">
        <f>IF(OR($H346="",$I346="",$G346=""),"",MAX(1,(YEAR($I346)-YEAR($H346))*12+MONTH($I346)-MONTH($H346)+1))</f>
        <v/>
      </c>
      <c r="K346" s="50">
        <f>IF($J346="","",$G346/$J346)</f>
        <v/>
      </c>
      <c r="L346" s="50">
        <f>IF($J346="",0,$K346*MAX(0,MIN(YEAR($C$3)*12+MONTH($C$3),YEAR($I346)*12+MONTH($I346))-(YEAR($H346)*12+MONTH($H346))+1))</f>
        <v/>
      </c>
      <c r="M346" s="50">
        <f>IF($J346="",0,$K346*MAX(0,MIN(YEAR($C$3)*12+MONTH($C$3)-1,YEAR($I346)*12+MONTH($I346))-(YEAR($H346)*12+MONTH($H346))+1))</f>
        <v/>
      </c>
      <c r="N346" s="50">
        <f>IF(OR($J346="",$B346=""),0,IF(YEAR($B346)*12+MONTH($B346)&lt;=YEAR($C$3)*12+MONTH($C$3),$G346,0))</f>
        <v/>
      </c>
      <c r="O346" s="50">
        <f>IF(OR($J346="",$B346=""),0,IF(YEAR($B346)*12+MONTH($B346)&lt;=YEAR($C$3)*12+MONTH($C$3)-1,$G346,0))</f>
        <v/>
      </c>
      <c r="P346" s="50">
        <f>$M346-$O346</f>
        <v/>
      </c>
      <c r="Q346" s="50">
        <f>($L346-$M346)-($N346-$O346)</f>
        <v/>
      </c>
      <c r="R346" s="50">
        <f>$L346-$N346</f>
        <v/>
      </c>
    </row>
    <row r="347">
      <c r="A347" s="47">
        <f>ROW()-5</f>
        <v/>
      </c>
      <c r="B347" s="48">
        <f>IFERROR(INDEX(tbl_Finance[Date],$A347),"")</f>
        <v/>
      </c>
      <c r="C347" s="49">
        <f>IFERROR(INDEX(tbl_Finance[Xero Invoice No],$A347),"")</f>
        <v/>
      </c>
      <c r="D347" s="49">
        <f>IFERROR(INDEX(tbl_Finance[Client],$A347),"")</f>
        <v/>
      </c>
      <c r="E347" s="49">
        <f>IFERROR(INDEX(tbl_Finance[Job Number],$A347),"")</f>
        <v/>
      </c>
      <c r="F347" s="49">
        <f>IFERROR(INDEX(tbl_Finance[Cost Centre],$A347),"")</f>
        <v/>
      </c>
      <c r="G347" s="50">
        <f>IFERROR(INDEX(tbl_Finance[Ex GST],$A347),"")</f>
        <v/>
      </c>
      <c r="H347" s="48">
        <f>IFERROR(INDEX(tbl_Finance[Defer Start],$A347),"")</f>
        <v/>
      </c>
      <c r="I347" s="48">
        <f>IFERROR(INDEX(tbl_Finance[Defer End],$A347),"")</f>
        <v/>
      </c>
      <c r="J347" s="47">
        <f>IF(OR($H347="",$I347="",$G347=""),"",MAX(1,(YEAR($I347)-YEAR($H347))*12+MONTH($I347)-MONTH($H347)+1))</f>
        <v/>
      </c>
      <c r="K347" s="50">
        <f>IF($J347="","",$G347/$J347)</f>
        <v/>
      </c>
      <c r="L347" s="50">
        <f>IF($J347="",0,$K347*MAX(0,MIN(YEAR($C$3)*12+MONTH($C$3),YEAR($I347)*12+MONTH($I347))-(YEAR($H347)*12+MONTH($H347))+1))</f>
        <v/>
      </c>
      <c r="M347" s="50">
        <f>IF($J347="",0,$K347*MAX(0,MIN(YEAR($C$3)*12+MONTH($C$3)-1,YEAR($I347)*12+MONTH($I347))-(YEAR($H347)*12+MONTH($H347))+1))</f>
        <v/>
      </c>
      <c r="N347" s="50">
        <f>IF(OR($J347="",$B347=""),0,IF(YEAR($B347)*12+MONTH($B347)&lt;=YEAR($C$3)*12+MONTH($C$3),$G347,0))</f>
        <v/>
      </c>
      <c r="O347" s="50">
        <f>IF(OR($J347="",$B347=""),0,IF(YEAR($B347)*12+MONTH($B347)&lt;=YEAR($C$3)*12+MONTH($C$3)-1,$G347,0))</f>
        <v/>
      </c>
      <c r="P347" s="50">
        <f>$M347-$O347</f>
        <v/>
      </c>
      <c r="Q347" s="50">
        <f>($L347-$M347)-($N347-$O347)</f>
        <v/>
      </c>
      <c r="R347" s="50">
        <f>$L347-$N347</f>
        <v/>
      </c>
    </row>
    <row r="348">
      <c r="A348" s="47">
        <f>ROW()-5</f>
        <v/>
      </c>
      <c r="B348" s="48">
        <f>IFERROR(INDEX(tbl_Finance[Date],$A348),"")</f>
        <v/>
      </c>
      <c r="C348" s="49">
        <f>IFERROR(INDEX(tbl_Finance[Xero Invoice No],$A348),"")</f>
        <v/>
      </c>
      <c r="D348" s="49">
        <f>IFERROR(INDEX(tbl_Finance[Client],$A348),"")</f>
        <v/>
      </c>
      <c r="E348" s="49">
        <f>IFERROR(INDEX(tbl_Finance[Job Number],$A348),"")</f>
        <v/>
      </c>
      <c r="F348" s="49">
        <f>IFERROR(INDEX(tbl_Finance[Cost Centre],$A348),"")</f>
        <v/>
      </c>
      <c r="G348" s="50">
        <f>IFERROR(INDEX(tbl_Finance[Ex GST],$A348),"")</f>
        <v/>
      </c>
      <c r="H348" s="48">
        <f>IFERROR(INDEX(tbl_Finance[Defer Start],$A348),"")</f>
        <v/>
      </c>
      <c r="I348" s="48">
        <f>IFERROR(INDEX(tbl_Finance[Defer End],$A348),"")</f>
        <v/>
      </c>
      <c r="J348" s="47">
        <f>IF(OR($H348="",$I348="",$G348=""),"",MAX(1,(YEAR($I348)-YEAR($H348))*12+MONTH($I348)-MONTH($H348)+1))</f>
        <v/>
      </c>
      <c r="K348" s="50">
        <f>IF($J348="","",$G348/$J348)</f>
        <v/>
      </c>
      <c r="L348" s="50">
        <f>IF($J348="",0,$K348*MAX(0,MIN(YEAR($C$3)*12+MONTH($C$3),YEAR($I348)*12+MONTH($I348))-(YEAR($H348)*12+MONTH($H348))+1))</f>
        <v/>
      </c>
      <c r="M348" s="50">
        <f>IF($J348="",0,$K348*MAX(0,MIN(YEAR($C$3)*12+MONTH($C$3)-1,YEAR($I348)*12+MONTH($I348))-(YEAR($H348)*12+MONTH($H348))+1))</f>
        <v/>
      </c>
      <c r="N348" s="50">
        <f>IF(OR($J348="",$B348=""),0,IF(YEAR($B348)*12+MONTH($B348)&lt;=YEAR($C$3)*12+MONTH($C$3),$G348,0))</f>
        <v/>
      </c>
      <c r="O348" s="50">
        <f>IF(OR($J348="",$B348=""),0,IF(YEAR($B348)*12+MONTH($B348)&lt;=YEAR($C$3)*12+MONTH($C$3)-1,$G348,0))</f>
        <v/>
      </c>
      <c r="P348" s="50">
        <f>$M348-$O348</f>
        <v/>
      </c>
      <c r="Q348" s="50">
        <f>($L348-$M348)-($N348-$O348)</f>
        <v/>
      </c>
      <c r="R348" s="50">
        <f>$L348-$N348</f>
        <v/>
      </c>
    </row>
    <row r="349">
      <c r="A349" s="47">
        <f>ROW()-5</f>
        <v/>
      </c>
      <c r="B349" s="48">
        <f>IFERROR(INDEX(tbl_Finance[Date],$A349),"")</f>
        <v/>
      </c>
      <c r="C349" s="49">
        <f>IFERROR(INDEX(tbl_Finance[Xero Invoice No],$A349),"")</f>
        <v/>
      </c>
      <c r="D349" s="49">
        <f>IFERROR(INDEX(tbl_Finance[Client],$A349),"")</f>
        <v/>
      </c>
      <c r="E349" s="49">
        <f>IFERROR(INDEX(tbl_Finance[Job Number],$A349),"")</f>
        <v/>
      </c>
      <c r="F349" s="49">
        <f>IFERROR(INDEX(tbl_Finance[Cost Centre],$A349),"")</f>
        <v/>
      </c>
      <c r="G349" s="50">
        <f>IFERROR(INDEX(tbl_Finance[Ex GST],$A349),"")</f>
        <v/>
      </c>
      <c r="H349" s="48">
        <f>IFERROR(INDEX(tbl_Finance[Defer Start],$A349),"")</f>
        <v/>
      </c>
      <c r="I349" s="48">
        <f>IFERROR(INDEX(tbl_Finance[Defer End],$A349),"")</f>
        <v/>
      </c>
      <c r="J349" s="47">
        <f>IF(OR($H349="",$I349="",$G349=""),"",MAX(1,(YEAR($I349)-YEAR($H349))*12+MONTH($I349)-MONTH($H349)+1))</f>
        <v/>
      </c>
      <c r="K349" s="50">
        <f>IF($J349="","",$G349/$J349)</f>
        <v/>
      </c>
      <c r="L349" s="50">
        <f>IF($J349="",0,$K349*MAX(0,MIN(YEAR($C$3)*12+MONTH($C$3),YEAR($I349)*12+MONTH($I349))-(YEAR($H349)*12+MONTH($H349))+1))</f>
        <v/>
      </c>
      <c r="M349" s="50">
        <f>IF($J349="",0,$K349*MAX(0,MIN(YEAR($C$3)*12+MONTH($C$3)-1,YEAR($I349)*12+MONTH($I349))-(YEAR($H349)*12+MONTH($H349))+1))</f>
        <v/>
      </c>
      <c r="N349" s="50">
        <f>IF(OR($J349="",$B349=""),0,IF(YEAR($B349)*12+MONTH($B349)&lt;=YEAR($C$3)*12+MONTH($C$3),$G349,0))</f>
        <v/>
      </c>
      <c r="O349" s="50">
        <f>IF(OR($J349="",$B349=""),0,IF(YEAR($B349)*12+MONTH($B349)&lt;=YEAR($C$3)*12+MONTH($C$3)-1,$G349,0))</f>
        <v/>
      </c>
      <c r="P349" s="50">
        <f>$M349-$O349</f>
        <v/>
      </c>
      <c r="Q349" s="50">
        <f>($L349-$M349)-($N349-$O349)</f>
        <v/>
      </c>
      <c r="R349" s="50">
        <f>$L349-$N349</f>
        <v/>
      </c>
    </row>
    <row r="350">
      <c r="A350" s="47">
        <f>ROW()-5</f>
        <v/>
      </c>
      <c r="B350" s="48">
        <f>IFERROR(INDEX(tbl_Finance[Date],$A350),"")</f>
        <v/>
      </c>
      <c r="C350" s="49">
        <f>IFERROR(INDEX(tbl_Finance[Xero Invoice No],$A350),"")</f>
        <v/>
      </c>
      <c r="D350" s="49">
        <f>IFERROR(INDEX(tbl_Finance[Client],$A350),"")</f>
        <v/>
      </c>
      <c r="E350" s="49">
        <f>IFERROR(INDEX(tbl_Finance[Job Number],$A350),"")</f>
        <v/>
      </c>
      <c r="F350" s="49">
        <f>IFERROR(INDEX(tbl_Finance[Cost Centre],$A350),"")</f>
        <v/>
      </c>
      <c r="G350" s="50">
        <f>IFERROR(INDEX(tbl_Finance[Ex GST],$A350),"")</f>
        <v/>
      </c>
      <c r="H350" s="48">
        <f>IFERROR(INDEX(tbl_Finance[Defer Start],$A350),"")</f>
        <v/>
      </c>
      <c r="I350" s="48">
        <f>IFERROR(INDEX(tbl_Finance[Defer End],$A350),"")</f>
        <v/>
      </c>
      <c r="J350" s="47">
        <f>IF(OR($H350="",$I350="",$G350=""),"",MAX(1,(YEAR($I350)-YEAR($H350))*12+MONTH($I350)-MONTH($H350)+1))</f>
        <v/>
      </c>
      <c r="K350" s="50">
        <f>IF($J350="","",$G350/$J350)</f>
        <v/>
      </c>
      <c r="L350" s="50">
        <f>IF($J350="",0,$K350*MAX(0,MIN(YEAR($C$3)*12+MONTH($C$3),YEAR($I350)*12+MONTH($I350))-(YEAR($H350)*12+MONTH($H350))+1))</f>
        <v/>
      </c>
      <c r="M350" s="50">
        <f>IF($J350="",0,$K350*MAX(0,MIN(YEAR($C$3)*12+MONTH($C$3)-1,YEAR($I350)*12+MONTH($I350))-(YEAR($H350)*12+MONTH($H350))+1))</f>
        <v/>
      </c>
      <c r="N350" s="50">
        <f>IF(OR($J350="",$B350=""),0,IF(YEAR($B350)*12+MONTH($B350)&lt;=YEAR($C$3)*12+MONTH($C$3),$G350,0))</f>
        <v/>
      </c>
      <c r="O350" s="50">
        <f>IF(OR($J350="",$B350=""),0,IF(YEAR($B350)*12+MONTH($B350)&lt;=YEAR($C$3)*12+MONTH($C$3)-1,$G350,0))</f>
        <v/>
      </c>
      <c r="P350" s="50">
        <f>$M350-$O350</f>
        <v/>
      </c>
      <c r="Q350" s="50">
        <f>($L350-$M350)-($N350-$O350)</f>
        <v/>
      </c>
      <c r="R350" s="50">
        <f>$L350-$N350</f>
        <v/>
      </c>
    </row>
    <row r="351">
      <c r="A351" s="47">
        <f>ROW()-5</f>
        <v/>
      </c>
      <c r="B351" s="48">
        <f>IFERROR(INDEX(tbl_Finance[Date],$A351),"")</f>
        <v/>
      </c>
      <c r="C351" s="49">
        <f>IFERROR(INDEX(tbl_Finance[Xero Invoice No],$A351),"")</f>
        <v/>
      </c>
      <c r="D351" s="49">
        <f>IFERROR(INDEX(tbl_Finance[Client],$A351),"")</f>
        <v/>
      </c>
      <c r="E351" s="49">
        <f>IFERROR(INDEX(tbl_Finance[Job Number],$A351),"")</f>
        <v/>
      </c>
      <c r="F351" s="49">
        <f>IFERROR(INDEX(tbl_Finance[Cost Centre],$A351),"")</f>
        <v/>
      </c>
      <c r="G351" s="50">
        <f>IFERROR(INDEX(tbl_Finance[Ex GST],$A351),"")</f>
        <v/>
      </c>
      <c r="H351" s="48">
        <f>IFERROR(INDEX(tbl_Finance[Defer Start],$A351),"")</f>
        <v/>
      </c>
      <c r="I351" s="48">
        <f>IFERROR(INDEX(tbl_Finance[Defer End],$A351),"")</f>
        <v/>
      </c>
      <c r="J351" s="47">
        <f>IF(OR($H351="",$I351="",$G351=""),"",MAX(1,(YEAR($I351)-YEAR($H351))*12+MONTH($I351)-MONTH($H351)+1))</f>
        <v/>
      </c>
      <c r="K351" s="50">
        <f>IF($J351="","",$G351/$J351)</f>
        <v/>
      </c>
      <c r="L351" s="50">
        <f>IF($J351="",0,$K351*MAX(0,MIN(YEAR($C$3)*12+MONTH($C$3),YEAR($I351)*12+MONTH($I351))-(YEAR($H351)*12+MONTH($H351))+1))</f>
        <v/>
      </c>
      <c r="M351" s="50">
        <f>IF($J351="",0,$K351*MAX(0,MIN(YEAR($C$3)*12+MONTH($C$3)-1,YEAR($I351)*12+MONTH($I351))-(YEAR($H351)*12+MONTH($H351))+1))</f>
        <v/>
      </c>
      <c r="N351" s="50">
        <f>IF(OR($J351="",$B351=""),0,IF(YEAR($B351)*12+MONTH($B351)&lt;=YEAR($C$3)*12+MONTH($C$3),$G351,0))</f>
        <v/>
      </c>
      <c r="O351" s="50">
        <f>IF(OR($J351="",$B351=""),0,IF(YEAR($B351)*12+MONTH($B351)&lt;=YEAR($C$3)*12+MONTH($C$3)-1,$G351,0))</f>
        <v/>
      </c>
      <c r="P351" s="50">
        <f>$M351-$O351</f>
        <v/>
      </c>
      <c r="Q351" s="50">
        <f>($L351-$M351)-($N351-$O351)</f>
        <v/>
      </c>
      <c r="R351" s="50">
        <f>$L351-$N351</f>
        <v/>
      </c>
    </row>
    <row r="352">
      <c r="A352" s="47">
        <f>ROW()-5</f>
        <v/>
      </c>
      <c r="B352" s="48">
        <f>IFERROR(INDEX(tbl_Finance[Date],$A352),"")</f>
        <v/>
      </c>
      <c r="C352" s="49">
        <f>IFERROR(INDEX(tbl_Finance[Xero Invoice No],$A352),"")</f>
        <v/>
      </c>
      <c r="D352" s="49">
        <f>IFERROR(INDEX(tbl_Finance[Client],$A352),"")</f>
        <v/>
      </c>
      <c r="E352" s="49">
        <f>IFERROR(INDEX(tbl_Finance[Job Number],$A352),"")</f>
        <v/>
      </c>
      <c r="F352" s="49">
        <f>IFERROR(INDEX(tbl_Finance[Cost Centre],$A352),"")</f>
        <v/>
      </c>
      <c r="G352" s="50">
        <f>IFERROR(INDEX(tbl_Finance[Ex GST],$A352),"")</f>
        <v/>
      </c>
      <c r="H352" s="48">
        <f>IFERROR(INDEX(tbl_Finance[Defer Start],$A352),"")</f>
        <v/>
      </c>
      <c r="I352" s="48">
        <f>IFERROR(INDEX(tbl_Finance[Defer End],$A352),"")</f>
        <v/>
      </c>
      <c r="J352" s="47">
        <f>IF(OR($H352="",$I352="",$G352=""),"",MAX(1,(YEAR($I352)-YEAR($H352))*12+MONTH($I352)-MONTH($H352)+1))</f>
        <v/>
      </c>
      <c r="K352" s="50">
        <f>IF($J352="","",$G352/$J352)</f>
        <v/>
      </c>
      <c r="L352" s="50">
        <f>IF($J352="",0,$K352*MAX(0,MIN(YEAR($C$3)*12+MONTH($C$3),YEAR($I352)*12+MONTH($I352))-(YEAR($H352)*12+MONTH($H352))+1))</f>
        <v/>
      </c>
      <c r="M352" s="50">
        <f>IF($J352="",0,$K352*MAX(0,MIN(YEAR($C$3)*12+MONTH($C$3)-1,YEAR($I352)*12+MONTH($I352))-(YEAR($H352)*12+MONTH($H352))+1))</f>
        <v/>
      </c>
      <c r="N352" s="50">
        <f>IF(OR($J352="",$B352=""),0,IF(YEAR($B352)*12+MONTH($B352)&lt;=YEAR($C$3)*12+MONTH($C$3),$G352,0))</f>
        <v/>
      </c>
      <c r="O352" s="50">
        <f>IF(OR($J352="",$B352=""),0,IF(YEAR($B352)*12+MONTH($B352)&lt;=YEAR($C$3)*12+MONTH($C$3)-1,$G352,0))</f>
        <v/>
      </c>
      <c r="P352" s="50">
        <f>$M352-$O352</f>
        <v/>
      </c>
      <c r="Q352" s="50">
        <f>($L352-$M352)-($N352-$O352)</f>
        <v/>
      </c>
      <c r="R352" s="50">
        <f>$L352-$N352</f>
        <v/>
      </c>
    </row>
    <row r="353">
      <c r="A353" s="47">
        <f>ROW()-5</f>
        <v/>
      </c>
      <c r="B353" s="48">
        <f>IFERROR(INDEX(tbl_Finance[Date],$A353),"")</f>
        <v/>
      </c>
      <c r="C353" s="49">
        <f>IFERROR(INDEX(tbl_Finance[Xero Invoice No],$A353),"")</f>
        <v/>
      </c>
      <c r="D353" s="49">
        <f>IFERROR(INDEX(tbl_Finance[Client],$A353),"")</f>
        <v/>
      </c>
      <c r="E353" s="49">
        <f>IFERROR(INDEX(tbl_Finance[Job Number],$A353),"")</f>
        <v/>
      </c>
      <c r="F353" s="49">
        <f>IFERROR(INDEX(tbl_Finance[Cost Centre],$A353),"")</f>
        <v/>
      </c>
      <c r="G353" s="50">
        <f>IFERROR(INDEX(tbl_Finance[Ex GST],$A353),"")</f>
        <v/>
      </c>
      <c r="H353" s="48">
        <f>IFERROR(INDEX(tbl_Finance[Defer Start],$A353),"")</f>
        <v/>
      </c>
      <c r="I353" s="48">
        <f>IFERROR(INDEX(tbl_Finance[Defer End],$A353),"")</f>
        <v/>
      </c>
      <c r="J353" s="47">
        <f>IF(OR($H353="",$I353="",$G353=""),"",MAX(1,(YEAR($I353)-YEAR($H353))*12+MONTH($I353)-MONTH($H353)+1))</f>
        <v/>
      </c>
      <c r="K353" s="50">
        <f>IF($J353="","",$G353/$J353)</f>
        <v/>
      </c>
      <c r="L353" s="50">
        <f>IF($J353="",0,$K353*MAX(0,MIN(YEAR($C$3)*12+MONTH($C$3),YEAR($I353)*12+MONTH($I353))-(YEAR($H353)*12+MONTH($H353))+1))</f>
        <v/>
      </c>
      <c r="M353" s="50">
        <f>IF($J353="",0,$K353*MAX(0,MIN(YEAR($C$3)*12+MONTH($C$3)-1,YEAR($I353)*12+MONTH($I353))-(YEAR($H353)*12+MONTH($H353))+1))</f>
        <v/>
      </c>
      <c r="N353" s="50">
        <f>IF(OR($J353="",$B353=""),0,IF(YEAR($B353)*12+MONTH($B353)&lt;=YEAR($C$3)*12+MONTH($C$3),$G353,0))</f>
        <v/>
      </c>
      <c r="O353" s="50">
        <f>IF(OR($J353="",$B353=""),0,IF(YEAR($B353)*12+MONTH($B353)&lt;=YEAR($C$3)*12+MONTH($C$3)-1,$G353,0))</f>
        <v/>
      </c>
      <c r="P353" s="50">
        <f>$M353-$O353</f>
        <v/>
      </c>
      <c r="Q353" s="50">
        <f>($L353-$M353)-($N353-$O353)</f>
        <v/>
      </c>
      <c r="R353" s="50">
        <f>$L353-$N353</f>
        <v/>
      </c>
    </row>
    <row r="354">
      <c r="A354" s="47">
        <f>ROW()-5</f>
        <v/>
      </c>
      <c r="B354" s="48">
        <f>IFERROR(INDEX(tbl_Finance[Date],$A354),"")</f>
        <v/>
      </c>
      <c r="C354" s="49">
        <f>IFERROR(INDEX(tbl_Finance[Xero Invoice No],$A354),"")</f>
        <v/>
      </c>
      <c r="D354" s="49">
        <f>IFERROR(INDEX(tbl_Finance[Client],$A354),"")</f>
        <v/>
      </c>
      <c r="E354" s="49">
        <f>IFERROR(INDEX(tbl_Finance[Job Number],$A354),"")</f>
        <v/>
      </c>
      <c r="F354" s="49">
        <f>IFERROR(INDEX(tbl_Finance[Cost Centre],$A354),"")</f>
        <v/>
      </c>
      <c r="G354" s="50">
        <f>IFERROR(INDEX(tbl_Finance[Ex GST],$A354),"")</f>
        <v/>
      </c>
      <c r="H354" s="48">
        <f>IFERROR(INDEX(tbl_Finance[Defer Start],$A354),"")</f>
        <v/>
      </c>
      <c r="I354" s="48">
        <f>IFERROR(INDEX(tbl_Finance[Defer End],$A354),"")</f>
        <v/>
      </c>
      <c r="J354" s="47">
        <f>IF(OR($H354="",$I354="",$G354=""),"",MAX(1,(YEAR($I354)-YEAR($H354))*12+MONTH($I354)-MONTH($H354)+1))</f>
        <v/>
      </c>
      <c r="K354" s="50">
        <f>IF($J354="","",$G354/$J354)</f>
        <v/>
      </c>
      <c r="L354" s="50">
        <f>IF($J354="",0,$K354*MAX(0,MIN(YEAR($C$3)*12+MONTH($C$3),YEAR($I354)*12+MONTH($I354))-(YEAR($H354)*12+MONTH($H354))+1))</f>
        <v/>
      </c>
      <c r="M354" s="50">
        <f>IF($J354="",0,$K354*MAX(0,MIN(YEAR($C$3)*12+MONTH($C$3)-1,YEAR($I354)*12+MONTH($I354))-(YEAR($H354)*12+MONTH($H354))+1))</f>
        <v/>
      </c>
      <c r="N354" s="50">
        <f>IF(OR($J354="",$B354=""),0,IF(YEAR($B354)*12+MONTH($B354)&lt;=YEAR($C$3)*12+MONTH($C$3),$G354,0))</f>
        <v/>
      </c>
      <c r="O354" s="50">
        <f>IF(OR($J354="",$B354=""),0,IF(YEAR($B354)*12+MONTH($B354)&lt;=YEAR($C$3)*12+MONTH($C$3)-1,$G354,0))</f>
        <v/>
      </c>
      <c r="P354" s="50">
        <f>$M354-$O354</f>
        <v/>
      </c>
      <c r="Q354" s="50">
        <f>($L354-$M354)-($N354-$O354)</f>
        <v/>
      </c>
      <c r="R354" s="50">
        <f>$L354-$N354</f>
        <v/>
      </c>
    </row>
    <row r="355">
      <c r="A355" s="47">
        <f>ROW()-5</f>
        <v/>
      </c>
      <c r="B355" s="48">
        <f>IFERROR(INDEX(tbl_Finance[Date],$A355),"")</f>
        <v/>
      </c>
      <c r="C355" s="49">
        <f>IFERROR(INDEX(tbl_Finance[Xero Invoice No],$A355),"")</f>
        <v/>
      </c>
      <c r="D355" s="49">
        <f>IFERROR(INDEX(tbl_Finance[Client],$A355),"")</f>
        <v/>
      </c>
      <c r="E355" s="49">
        <f>IFERROR(INDEX(tbl_Finance[Job Number],$A355),"")</f>
        <v/>
      </c>
      <c r="F355" s="49">
        <f>IFERROR(INDEX(tbl_Finance[Cost Centre],$A355),"")</f>
        <v/>
      </c>
      <c r="G355" s="50">
        <f>IFERROR(INDEX(tbl_Finance[Ex GST],$A355),"")</f>
        <v/>
      </c>
      <c r="H355" s="48">
        <f>IFERROR(INDEX(tbl_Finance[Defer Start],$A355),"")</f>
        <v/>
      </c>
      <c r="I355" s="48">
        <f>IFERROR(INDEX(tbl_Finance[Defer End],$A355),"")</f>
        <v/>
      </c>
      <c r="J355" s="47">
        <f>IF(OR($H355="",$I355="",$G355=""),"",MAX(1,(YEAR($I355)-YEAR($H355))*12+MONTH($I355)-MONTH($H355)+1))</f>
        <v/>
      </c>
      <c r="K355" s="50">
        <f>IF($J355="","",$G355/$J355)</f>
        <v/>
      </c>
      <c r="L355" s="50">
        <f>IF($J355="",0,$K355*MAX(0,MIN(YEAR($C$3)*12+MONTH($C$3),YEAR($I355)*12+MONTH($I355))-(YEAR($H355)*12+MONTH($H355))+1))</f>
        <v/>
      </c>
      <c r="M355" s="50">
        <f>IF($J355="",0,$K355*MAX(0,MIN(YEAR($C$3)*12+MONTH($C$3)-1,YEAR($I355)*12+MONTH($I355))-(YEAR($H355)*12+MONTH($H355))+1))</f>
        <v/>
      </c>
      <c r="N355" s="50">
        <f>IF(OR($J355="",$B355=""),0,IF(YEAR($B355)*12+MONTH($B355)&lt;=YEAR($C$3)*12+MONTH($C$3),$G355,0))</f>
        <v/>
      </c>
      <c r="O355" s="50">
        <f>IF(OR($J355="",$B355=""),0,IF(YEAR($B355)*12+MONTH($B355)&lt;=YEAR($C$3)*12+MONTH($C$3)-1,$G355,0))</f>
        <v/>
      </c>
      <c r="P355" s="50">
        <f>$M355-$O355</f>
        <v/>
      </c>
      <c r="Q355" s="50">
        <f>($L355-$M355)-($N355-$O355)</f>
        <v/>
      </c>
      <c r="R355" s="50">
        <f>$L355-$N355</f>
        <v/>
      </c>
    </row>
    <row r="356">
      <c r="A356" s="47">
        <f>ROW()-5</f>
        <v/>
      </c>
      <c r="B356" s="48">
        <f>IFERROR(INDEX(tbl_Finance[Date],$A356),"")</f>
        <v/>
      </c>
      <c r="C356" s="49">
        <f>IFERROR(INDEX(tbl_Finance[Xero Invoice No],$A356),"")</f>
        <v/>
      </c>
      <c r="D356" s="49">
        <f>IFERROR(INDEX(tbl_Finance[Client],$A356),"")</f>
        <v/>
      </c>
      <c r="E356" s="49">
        <f>IFERROR(INDEX(tbl_Finance[Job Number],$A356),"")</f>
        <v/>
      </c>
      <c r="F356" s="49">
        <f>IFERROR(INDEX(tbl_Finance[Cost Centre],$A356),"")</f>
        <v/>
      </c>
      <c r="G356" s="50">
        <f>IFERROR(INDEX(tbl_Finance[Ex GST],$A356),"")</f>
        <v/>
      </c>
      <c r="H356" s="48">
        <f>IFERROR(INDEX(tbl_Finance[Defer Start],$A356),"")</f>
        <v/>
      </c>
      <c r="I356" s="48">
        <f>IFERROR(INDEX(tbl_Finance[Defer End],$A356),"")</f>
        <v/>
      </c>
      <c r="J356" s="47">
        <f>IF(OR($H356="",$I356="",$G356=""),"",MAX(1,(YEAR($I356)-YEAR($H356))*12+MONTH($I356)-MONTH($H356)+1))</f>
        <v/>
      </c>
      <c r="K356" s="50">
        <f>IF($J356="","",$G356/$J356)</f>
        <v/>
      </c>
      <c r="L356" s="50">
        <f>IF($J356="",0,$K356*MAX(0,MIN(YEAR($C$3)*12+MONTH($C$3),YEAR($I356)*12+MONTH($I356))-(YEAR($H356)*12+MONTH($H356))+1))</f>
        <v/>
      </c>
      <c r="M356" s="50">
        <f>IF($J356="",0,$K356*MAX(0,MIN(YEAR($C$3)*12+MONTH($C$3)-1,YEAR($I356)*12+MONTH($I356))-(YEAR($H356)*12+MONTH($H356))+1))</f>
        <v/>
      </c>
      <c r="N356" s="50">
        <f>IF(OR($J356="",$B356=""),0,IF(YEAR($B356)*12+MONTH($B356)&lt;=YEAR($C$3)*12+MONTH($C$3),$G356,0))</f>
        <v/>
      </c>
      <c r="O356" s="50">
        <f>IF(OR($J356="",$B356=""),0,IF(YEAR($B356)*12+MONTH($B356)&lt;=YEAR($C$3)*12+MONTH($C$3)-1,$G356,0))</f>
        <v/>
      </c>
      <c r="P356" s="50">
        <f>$M356-$O356</f>
        <v/>
      </c>
      <c r="Q356" s="50">
        <f>($L356-$M356)-($N356-$O356)</f>
        <v/>
      </c>
      <c r="R356" s="50">
        <f>$L356-$N356</f>
        <v/>
      </c>
    </row>
    <row r="357">
      <c r="A357" s="47">
        <f>ROW()-5</f>
        <v/>
      </c>
      <c r="B357" s="48">
        <f>IFERROR(INDEX(tbl_Finance[Date],$A357),"")</f>
        <v/>
      </c>
      <c r="C357" s="49">
        <f>IFERROR(INDEX(tbl_Finance[Xero Invoice No],$A357),"")</f>
        <v/>
      </c>
      <c r="D357" s="49">
        <f>IFERROR(INDEX(tbl_Finance[Client],$A357),"")</f>
        <v/>
      </c>
      <c r="E357" s="49">
        <f>IFERROR(INDEX(tbl_Finance[Job Number],$A357),"")</f>
        <v/>
      </c>
      <c r="F357" s="49">
        <f>IFERROR(INDEX(tbl_Finance[Cost Centre],$A357),"")</f>
        <v/>
      </c>
      <c r="G357" s="50">
        <f>IFERROR(INDEX(tbl_Finance[Ex GST],$A357),"")</f>
        <v/>
      </c>
      <c r="H357" s="48">
        <f>IFERROR(INDEX(tbl_Finance[Defer Start],$A357),"")</f>
        <v/>
      </c>
      <c r="I357" s="48">
        <f>IFERROR(INDEX(tbl_Finance[Defer End],$A357),"")</f>
        <v/>
      </c>
      <c r="J357" s="47">
        <f>IF(OR($H357="",$I357="",$G357=""),"",MAX(1,(YEAR($I357)-YEAR($H357))*12+MONTH($I357)-MONTH($H357)+1))</f>
        <v/>
      </c>
      <c r="K357" s="50">
        <f>IF($J357="","",$G357/$J357)</f>
        <v/>
      </c>
      <c r="L357" s="50">
        <f>IF($J357="",0,$K357*MAX(0,MIN(YEAR($C$3)*12+MONTH($C$3),YEAR($I357)*12+MONTH($I357))-(YEAR($H357)*12+MONTH($H357))+1))</f>
        <v/>
      </c>
      <c r="M357" s="50">
        <f>IF($J357="",0,$K357*MAX(0,MIN(YEAR($C$3)*12+MONTH($C$3)-1,YEAR($I357)*12+MONTH($I357))-(YEAR($H357)*12+MONTH($H357))+1))</f>
        <v/>
      </c>
      <c r="N357" s="50">
        <f>IF(OR($J357="",$B357=""),0,IF(YEAR($B357)*12+MONTH($B357)&lt;=YEAR($C$3)*12+MONTH($C$3),$G357,0))</f>
        <v/>
      </c>
      <c r="O357" s="50">
        <f>IF(OR($J357="",$B357=""),0,IF(YEAR($B357)*12+MONTH($B357)&lt;=YEAR($C$3)*12+MONTH($C$3)-1,$G357,0))</f>
        <v/>
      </c>
      <c r="P357" s="50">
        <f>$M357-$O357</f>
        <v/>
      </c>
      <c r="Q357" s="50">
        <f>($L357-$M357)-($N357-$O357)</f>
        <v/>
      </c>
      <c r="R357" s="50">
        <f>$L357-$N357</f>
        <v/>
      </c>
    </row>
    <row r="358">
      <c r="A358" s="47">
        <f>ROW()-5</f>
        <v/>
      </c>
      <c r="B358" s="48">
        <f>IFERROR(INDEX(tbl_Finance[Date],$A358),"")</f>
        <v/>
      </c>
      <c r="C358" s="49">
        <f>IFERROR(INDEX(tbl_Finance[Xero Invoice No],$A358),"")</f>
        <v/>
      </c>
      <c r="D358" s="49">
        <f>IFERROR(INDEX(tbl_Finance[Client],$A358),"")</f>
        <v/>
      </c>
      <c r="E358" s="49">
        <f>IFERROR(INDEX(tbl_Finance[Job Number],$A358),"")</f>
        <v/>
      </c>
      <c r="F358" s="49">
        <f>IFERROR(INDEX(tbl_Finance[Cost Centre],$A358),"")</f>
        <v/>
      </c>
      <c r="G358" s="50">
        <f>IFERROR(INDEX(tbl_Finance[Ex GST],$A358),"")</f>
        <v/>
      </c>
      <c r="H358" s="48">
        <f>IFERROR(INDEX(tbl_Finance[Defer Start],$A358),"")</f>
        <v/>
      </c>
      <c r="I358" s="48">
        <f>IFERROR(INDEX(tbl_Finance[Defer End],$A358),"")</f>
        <v/>
      </c>
      <c r="J358" s="47">
        <f>IF(OR($H358="",$I358="",$G358=""),"",MAX(1,(YEAR($I358)-YEAR($H358))*12+MONTH($I358)-MONTH($H358)+1))</f>
        <v/>
      </c>
      <c r="K358" s="50">
        <f>IF($J358="","",$G358/$J358)</f>
        <v/>
      </c>
      <c r="L358" s="50">
        <f>IF($J358="",0,$K358*MAX(0,MIN(YEAR($C$3)*12+MONTH($C$3),YEAR($I358)*12+MONTH($I358))-(YEAR($H358)*12+MONTH($H358))+1))</f>
        <v/>
      </c>
      <c r="M358" s="50">
        <f>IF($J358="",0,$K358*MAX(0,MIN(YEAR($C$3)*12+MONTH($C$3)-1,YEAR($I358)*12+MONTH($I358))-(YEAR($H358)*12+MONTH($H358))+1))</f>
        <v/>
      </c>
      <c r="N358" s="50">
        <f>IF(OR($J358="",$B358=""),0,IF(YEAR($B358)*12+MONTH($B358)&lt;=YEAR($C$3)*12+MONTH($C$3),$G358,0))</f>
        <v/>
      </c>
      <c r="O358" s="50">
        <f>IF(OR($J358="",$B358=""),0,IF(YEAR($B358)*12+MONTH($B358)&lt;=YEAR($C$3)*12+MONTH($C$3)-1,$G358,0))</f>
        <v/>
      </c>
      <c r="P358" s="50">
        <f>$M358-$O358</f>
        <v/>
      </c>
      <c r="Q358" s="50">
        <f>($L358-$M358)-($N358-$O358)</f>
        <v/>
      </c>
      <c r="R358" s="50">
        <f>$L358-$N358</f>
        <v/>
      </c>
    </row>
    <row r="359">
      <c r="A359" s="47">
        <f>ROW()-5</f>
        <v/>
      </c>
      <c r="B359" s="48">
        <f>IFERROR(INDEX(tbl_Finance[Date],$A359),"")</f>
        <v/>
      </c>
      <c r="C359" s="49">
        <f>IFERROR(INDEX(tbl_Finance[Xero Invoice No],$A359),"")</f>
        <v/>
      </c>
      <c r="D359" s="49">
        <f>IFERROR(INDEX(tbl_Finance[Client],$A359),"")</f>
        <v/>
      </c>
      <c r="E359" s="49">
        <f>IFERROR(INDEX(tbl_Finance[Job Number],$A359),"")</f>
        <v/>
      </c>
      <c r="F359" s="49">
        <f>IFERROR(INDEX(tbl_Finance[Cost Centre],$A359),"")</f>
        <v/>
      </c>
      <c r="G359" s="50">
        <f>IFERROR(INDEX(tbl_Finance[Ex GST],$A359),"")</f>
        <v/>
      </c>
      <c r="H359" s="48">
        <f>IFERROR(INDEX(tbl_Finance[Defer Start],$A359),"")</f>
        <v/>
      </c>
      <c r="I359" s="48">
        <f>IFERROR(INDEX(tbl_Finance[Defer End],$A359),"")</f>
        <v/>
      </c>
      <c r="J359" s="47">
        <f>IF(OR($H359="",$I359="",$G359=""),"",MAX(1,(YEAR($I359)-YEAR($H359))*12+MONTH($I359)-MONTH($H359)+1))</f>
        <v/>
      </c>
      <c r="K359" s="50">
        <f>IF($J359="","",$G359/$J359)</f>
        <v/>
      </c>
      <c r="L359" s="50">
        <f>IF($J359="",0,$K359*MAX(0,MIN(YEAR($C$3)*12+MONTH($C$3),YEAR($I359)*12+MONTH($I359))-(YEAR($H359)*12+MONTH($H359))+1))</f>
        <v/>
      </c>
      <c r="M359" s="50">
        <f>IF($J359="",0,$K359*MAX(0,MIN(YEAR($C$3)*12+MONTH($C$3)-1,YEAR($I359)*12+MONTH($I359))-(YEAR($H359)*12+MONTH($H359))+1))</f>
        <v/>
      </c>
      <c r="N359" s="50">
        <f>IF(OR($J359="",$B359=""),0,IF(YEAR($B359)*12+MONTH($B359)&lt;=YEAR($C$3)*12+MONTH($C$3),$G359,0))</f>
        <v/>
      </c>
      <c r="O359" s="50">
        <f>IF(OR($J359="",$B359=""),0,IF(YEAR($B359)*12+MONTH($B359)&lt;=YEAR($C$3)*12+MONTH($C$3)-1,$G359,0))</f>
        <v/>
      </c>
      <c r="P359" s="50">
        <f>$M359-$O359</f>
        <v/>
      </c>
      <c r="Q359" s="50">
        <f>($L359-$M359)-($N359-$O359)</f>
        <v/>
      </c>
      <c r="R359" s="50">
        <f>$L359-$N359</f>
        <v/>
      </c>
    </row>
    <row r="360">
      <c r="A360" s="47">
        <f>ROW()-5</f>
        <v/>
      </c>
      <c r="B360" s="48">
        <f>IFERROR(INDEX(tbl_Finance[Date],$A360),"")</f>
        <v/>
      </c>
      <c r="C360" s="49">
        <f>IFERROR(INDEX(tbl_Finance[Xero Invoice No],$A360),"")</f>
        <v/>
      </c>
      <c r="D360" s="49">
        <f>IFERROR(INDEX(tbl_Finance[Client],$A360),"")</f>
        <v/>
      </c>
      <c r="E360" s="49">
        <f>IFERROR(INDEX(tbl_Finance[Job Number],$A360),"")</f>
        <v/>
      </c>
      <c r="F360" s="49">
        <f>IFERROR(INDEX(tbl_Finance[Cost Centre],$A360),"")</f>
        <v/>
      </c>
      <c r="G360" s="50">
        <f>IFERROR(INDEX(tbl_Finance[Ex GST],$A360),"")</f>
        <v/>
      </c>
      <c r="H360" s="48">
        <f>IFERROR(INDEX(tbl_Finance[Defer Start],$A360),"")</f>
        <v/>
      </c>
      <c r="I360" s="48">
        <f>IFERROR(INDEX(tbl_Finance[Defer End],$A360),"")</f>
        <v/>
      </c>
      <c r="J360" s="47">
        <f>IF(OR($H360="",$I360="",$G360=""),"",MAX(1,(YEAR($I360)-YEAR($H360))*12+MONTH($I360)-MONTH($H360)+1))</f>
        <v/>
      </c>
      <c r="K360" s="50">
        <f>IF($J360="","",$G360/$J360)</f>
        <v/>
      </c>
      <c r="L360" s="50">
        <f>IF($J360="",0,$K360*MAX(0,MIN(YEAR($C$3)*12+MONTH($C$3),YEAR($I360)*12+MONTH($I360))-(YEAR($H360)*12+MONTH($H360))+1))</f>
        <v/>
      </c>
      <c r="M360" s="50">
        <f>IF($J360="",0,$K360*MAX(0,MIN(YEAR($C$3)*12+MONTH($C$3)-1,YEAR($I360)*12+MONTH($I360))-(YEAR($H360)*12+MONTH($H360))+1))</f>
        <v/>
      </c>
      <c r="N360" s="50">
        <f>IF(OR($J360="",$B360=""),0,IF(YEAR($B360)*12+MONTH($B360)&lt;=YEAR($C$3)*12+MONTH($C$3),$G360,0))</f>
        <v/>
      </c>
      <c r="O360" s="50">
        <f>IF(OR($J360="",$B360=""),0,IF(YEAR($B360)*12+MONTH($B360)&lt;=YEAR($C$3)*12+MONTH($C$3)-1,$G360,0))</f>
        <v/>
      </c>
      <c r="P360" s="50">
        <f>$M360-$O360</f>
        <v/>
      </c>
      <c r="Q360" s="50">
        <f>($L360-$M360)-($N360-$O360)</f>
        <v/>
      </c>
      <c r="R360" s="50">
        <f>$L360-$N360</f>
        <v/>
      </c>
    </row>
    <row r="361">
      <c r="A361" s="47">
        <f>ROW()-5</f>
        <v/>
      </c>
      <c r="B361" s="48">
        <f>IFERROR(INDEX(tbl_Finance[Date],$A361),"")</f>
        <v/>
      </c>
      <c r="C361" s="49">
        <f>IFERROR(INDEX(tbl_Finance[Xero Invoice No],$A361),"")</f>
        <v/>
      </c>
      <c r="D361" s="49">
        <f>IFERROR(INDEX(tbl_Finance[Client],$A361),"")</f>
        <v/>
      </c>
      <c r="E361" s="49">
        <f>IFERROR(INDEX(tbl_Finance[Job Number],$A361),"")</f>
        <v/>
      </c>
      <c r="F361" s="49">
        <f>IFERROR(INDEX(tbl_Finance[Cost Centre],$A361),"")</f>
        <v/>
      </c>
      <c r="G361" s="50">
        <f>IFERROR(INDEX(tbl_Finance[Ex GST],$A361),"")</f>
        <v/>
      </c>
      <c r="H361" s="48">
        <f>IFERROR(INDEX(tbl_Finance[Defer Start],$A361),"")</f>
        <v/>
      </c>
      <c r="I361" s="48">
        <f>IFERROR(INDEX(tbl_Finance[Defer End],$A361),"")</f>
        <v/>
      </c>
      <c r="J361" s="47">
        <f>IF(OR($H361="",$I361="",$G361=""),"",MAX(1,(YEAR($I361)-YEAR($H361))*12+MONTH($I361)-MONTH($H361)+1))</f>
        <v/>
      </c>
      <c r="K361" s="50">
        <f>IF($J361="","",$G361/$J361)</f>
        <v/>
      </c>
      <c r="L361" s="50">
        <f>IF($J361="",0,$K361*MAX(0,MIN(YEAR($C$3)*12+MONTH($C$3),YEAR($I361)*12+MONTH($I361))-(YEAR($H361)*12+MONTH($H361))+1))</f>
        <v/>
      </c>
      <c r="M361" s="50">
        <f>IF($J361="",0,$K361*MAX(0,MIN(YEAR($C$3)*12+MONTH($C$3)-1,YEAR($I361)*12+MONTH($I361))-(YEAR($H361)*12+MONTH($H361))+1))</f>
        <v/>
      </c>
      <c r="N361" s="50">
        <f>IF(OR($J361="",$B361=""),0,IF(YEAR($B361)*12+MONTH($B361)&lt;=YEAR($C$3)*12+MONTH($C$3),$G361,0))</f>
        <v/>
      </c>
      <c r="O361" s="50">
        <f>IF(OR($J361="",$B361=""),0,IF(YEAR($B361)*12+MONTH($B361)&lt;=YEAR($C$3)*12+MONTH($C$3)-1,$G361,0))</f>
        <v/>
      </c>
      <c r="P361" s="50">
        <f>$M361-$O361</f>
        <v/>
      </c>
      <c r="Q361" s="50">
        <f>($L361-$M361)-($N361-$O361)</f>
        <v/>
      </c>
      <c r="R361" s="50">
        <f>$L361-$N361</f>
        <v/>
      </c>
    </row>
    <row r="362">
      <c r="A362" s="47">
        <f>ROW()-5</f>
        <v/>
      </c>
      <c r="B362" s="48">
        <f>IFERROR(INDEX(tbl_Finance[Date],$A362),"")</f>
        <v/>
      </c>
      <c r="C362" s="49">
        <f>IFERROR(INDEX(tbl_Finance[Xero Invoice No],$A362),"")</f>
        <v/>
      </c>
      <c r="D362" s="49">
        <f>IFERROR(INDEX(tbl_Finance[Client],$A362),"")</f>
        <v/>
      </c>
      <c r="E362" s="49">
        <f>IFERROR(INDEX(tbl_Finance[Job Number],$A362),"")</f>
        <v/>
      </c>
      <c r="F362" s="49">
        <f>IFERROR(INDEX(tbl_Finance[Cost Centre],$A362),"")</f>
        <v/>
      </c>
      <c r="G362" s="50">
        <f>IFERROR(INDEX(tbl_Finance[Ex GST],$A362),"")</f>
        <v/>
      </c>
      <c r="H362" s="48">
        <f>IFERROR(INDEX(tbl_Finance[Defer Start],$A362),"")</f>
        <v/>
      </c>
      <c r="I362" s="48">
        <f>IFERROR(INDEX(tbl_Finance[Defer End],$A362),"")</f>
        <v/>
      </c>
      <c r="J362" s="47">
        <f>IF(OR($H362="",$I362="",$G362=""),"",MAX(1,(YEAR($I362)-YEAR($H362))*12+MONTH($I362)-MONTH($H362)+1))</f>
        <v/>
      </c>
      <c r="K362" s="50">
        <f>IF($J362="","",$G362/$J362)</f>
        <v/>
      </c>
      <c r="L362" s="50">
        <f>IF($J362="",0,$K362*MAX(0,MIN(YEAR($C$3)*12+MONTH($C$3),YEAR($I362)*12+MONTH($I362))-(YEAR($H362)*12+MONTH($H362))+1))</f>
        <v/>
      </c>
      <c r="M362" s="50">
        <f>IF($J362="",0,$K362*MAX(0,MIN(YEAR($C$3)*12+MONTH($C$3)-1,YEAR($I362)*12+MONTH($I362))-(YEAR($H362)*12+MONTH($H362))+1))</f>
        <v/>
      </c>
      <c r="N362" s="50">
        <f>IF(OR($J362="",$B362=""),0,IF(YEAR($B362)*12+MONTH($B362)&lt;=YEAR($C$3)*12+MONTH($C$3),$G362,0))</f>
        <v/>
      </c>
      <c r="O362" s="50">
        <f>IF(OR($J362="",$B362=""),0,IF(YEAR($B362)*12+MONTH($B362)&lt;=YEAR($C$3)*12+MONTH($C$3)-1,$G362,0))</f>
        <v/>
      </c>
      <c r="P362" s="50">
        <f>$M362-$O362</f>
        <v/>
      </c>
      <c r="Q362" s="50">
        <f>($L362-$M362)-($N362-$O362)</f>
        <v/>
      </c>
      <c r="R362" s="50">
        <f>$L362-$N362</f>
        <v/>
      </c>
    </row>
    <row r="363">
      <c r="A363" s="47">
        <f>ROW()-5</f>
        <v/>
      </c>
      <c r="B363" s="48">
        <f>IFERROR(INDEX(tbl_Finance[Date],$A363),"")</f>
        <v/>
      </c>
      <c r="C363" s="49">
        <f>IFERROR(INDEX(tbl_Finance[Xero Invoice No],$A363),"")</f>
        <v/>
      </c>
      <c r="D363" s="49">
        <f>IFERROR(INDEX(tbl_Finance[Client],$A363),"")</f>
        <v/>
      </c>
      <c r="E363" s="49">
        <f>IFERROR(INDEX(tbl_Finance[Job Number],$A363),"")</f>
        <v/>
      </c>
      <c r="F363" s="49">
        <f>IFERROR(INDEX(tbl_Finance[Cost Centre],$A363),"")</f>
        <v/>
      </c>
      <c r="G363" s="50">
        <f>IFERROR(INDEX(tbl_Finance[Ex GST],$A363),"")</f>
        <v/>
      </c>
      <c r="H363" s="48">
        <f>IFERROR(INDEX(tbl_Finance[Defer Start],$A363),"")</f>
        <v/>
      </c>
      <c r="I363" s="48">
        <f>IFERROR(INDEX(tbl_Finance[Defer End],$A363),"")</f>
        <v/>
      </c>
      <c r="J363" s="47">
        <f>IF(OR($H363="",$I363="",$G363=""),"",MAX(1,(YEAR($I363)-YEAR($H363))*12+MONTH($I363)-MONTH($H363)+1))</f>
        <v/>
      </c>
      <c r="K363" s="50">
        <f>IF($J363="","",$G363/$J363)</f>
        <v/>
      </c>
      <c r="L363" s="50">
        <f>IF($J363="",0,$K363*MAX(0,MIN(YEAR($C$3)*12+MONTH($C$3),YEAR($I363)*12+MONTH($I363))-(YEAR($H363)*12+MONTH($H363))+1))</f>
        <v/>
      </c>
      <c r="M363" s="50">
        <f>IF($J363="",0,$K363*MAX(0,MIN(YEAR($C$3)*12+MONTH($C$3)-1,YEAR($I363)*12+MONTH($I363))-(YEAR($H363)*12+MONTH($H363))+1))</f>
        <v/>
      </c>
      <c r="N363" s="50">
        <f>IF(OR($J363="",$B363=""),0,IF(YEAR($B363)*12+MONTH($B363)&lt;=YEAR($C$3)*12+MONTH($C$3),$G363,0))</f>
        <v/>
      </c>
      <c r="O363" s="50">
        <f>IF(OR($J363="",$B363=""),0,IF(YEAR($B363)*12+MONTH($B363)&lt;=YEAR($C$3)*12+MONTH($C$3)-1,$G363,0))</f>
        <v/>
      </c>
      <c r="P363" s="50">
        <f>$M363-$O363</f>
        <v/>
      </c>
      <c r="Q363" s="50">
        <f>($L363-$M363)-($N363-$O363)</f>
        <v/>
      </c>
      <c r="R363" s="50">
        <f>$L363-$N363</f>
        <v/>
      </c>
    </row>
    <row r="364">
      <c r="A364" s="47">
        <f>ROW()-5</f>
        <v/>
      </c>
      <c r="B364" s="48">
        <f>IFERROR(INDEX(tbl_Finance[Date],$A364),"")</f>
        <v/>
      </c>
      <c r="C364" s="49">
        <f>IFERROR(INDEX(tbl_Finance[Xero Invoice No],$A364),"")</f>
        <v/>
      </c>
      <c r="D364" s="49">
        <f>IFERROR(INDEX(tbl_Finance[Client],$A364),"")</f>
        <v/>
      </c>
      <c r="E364" s="49">
        <f>IFERROR(INDEX(tbl_Finance[Job Number],$A364),"")</f>
        <v/>
      </c>
      <c r="F364" s="49">
        <f>IFERROR(INDEX(tbl_Finance[Cost Centre],$A364),"")</f>
        <v/>
      </c>
      <c r="G364" s="50">
        <f>IFERROR(INDEX(tbl_Finance[Ex GST],$A364),"")</f>
        <v/>
      </c>
      <c r="H364" s="48">
        <f>IFERROR(INDEX(tbl_Finance[Defer Start],$A364),"")</f>
        <v/>
      </c>
      <c r="I364" s="48">
        <f>IFERROR(INDEX(tbl_Finance[Defer End],$A364),"")</f>
        <v/>
      </c>
      <c r="J364" s="47">
        <f>IF(OR($H364="",$I364="",$G364=""),"",MAX(1,(YEAR($I364)-YEAR($H364))*12+MONTH($I364)-MONTH($H364)+1))</f>
        <v/>
      </c>
      <c r="K364" s="50">
        <f>IF($J364="","",$G364/$J364)</f>
        <v/>
      </c>
      <c r="L364" s="50">
        <f>IF($J364="",0,$K364*MAX(0,MIN(YEAR($C$3)*12+MONTH($C$3),YEAR($I364)*12+MONTH($I364))-(YEAR($H364)*12+MONTH($H364))+1))</f>
        <v/>
      </c>
      <c r="M364" s="50">
        <f>IF($J364="",0,$K364*MAX(0,MIN(YEAR($C$3)*12+MONTH($C$3)-1,YEAR($I364)*12+MONTH($I364))-(YEAR($H364)*12+MONTH($H364))+1))</f>
        <v/>
      </c>
      <c r="N364" s="50">
        <f>IF(OR($J364="",$B364=""),0,IF(YEAR($B364)*12+MONTH($B364)&lt;=YEAR($C$3)*12+MONTH($C$3),$G364,0))</f>
        <v/>
      </c>
      <c r="O364" s="50">
        <f>IF(OR($J364="",$B364=""),0,IF(YEAR($B364)*12+MONTH($B364)&lt;=YEAR($C$3)*12+MONTH($C$3)-1,$G364,0))</f>
        <v/>
      </c>
      <c r="P364" s="50">
        <f>$M364-$O364</f>
        <v/>
      </c>
      <c r="Q364" s="50">
        <f>($L364-$M364)-($N364-$O364)</f>
        <v/>
      </c>
      <c r="R364" s="50">
        <f>$L364-$N364</f>
        <v/>
      </c>
    </row>
    <row r="365">
      <c r="A365" s="47">
        <f>ROW()-5</f>
        <v/>
      </c>
      <c r="B365" s="48">
        <f>IFERROR(INDEX(tbl_Finance[Date],$A365),"")</f>
        <v/>
      </c>
      <c r="C365" s="49">
        <f>IFERROR(INDEX(tbl_Finance[Xero Invoice No],$A365),"")</f>
        <v/>
      </c>
      <c r="D365" s="49">
        <f>IFERROR(INDEX(tbl_Finance[Client],$A365),"")</f>
        <v/>
      </c>
      <c r="E365" s="49">
        <f>IFERROR(INDEX(tbl_Finance[Job Number],$A365),"")</f>
        <v/>
      </c>
      <c r="F365" s="49">
        <f>IFERROR(INDEX(tbl_Finance[Cost Centre],$A365),"")</f>
        <v/>
      </c>
      <c r="G365" s="50">
        <f>IFERROR(INDEX(tbl_Finance[Ex GST],$A365),"")</f>
        <v/>
      </c>
      <c r="H365" s="48">
        <f>IFERROR(INDEX(tbl_Finance[Defer Start],$A365),"")</f>
        <v/>
      </c>
      <c r="I365" s="48">
        <f>IFERROR(INDEX(tbl_Finance[Defer End],$A365),"")</f>
        <v/>
      </c>
      <c r="J365" s="47">
        <f>IF(OR($H365="",$I365="",$G365=""),"",MAX(1,(YEAR($I365)-YEAR($H365))*12+MONTH($I365)-MONTH($H365)+1))</f>
        <v/>
      </c>
      <c r="K365" s="50">
        <f>IF($J365="","",$G365/$J365)</f>
        <v/>
      </c>
      <c r="L365" s="50">
        <f>IF($J365="",0,$K365*MAX(0,MIN(YEAR($C$3)*12+MONTH($C$3),YEAR($I365)*12+MONTH($I365))-(YEAR($H365)*12+MONTH($H365))+1))</f>
        <v/>
      </c>
      <c r="M365" s="50">
        <f>IF($J365="",0,$K365*MAX(0,MIN(YEAR($C$3)*12+MONTH($C$3)-1,YEAR($I365)*12+MONTH($I365))-(YEAR($H365)*12+MONTH($H365))+1))</f>
        <v/>
      </c>
      <c r="N365" s="50">
        <f>IF(OR($J365="",$B365=""),0,IF(YEAR($B365)*12+MONTH($B365)&lt;=YEAR($C$3)*12+MONTH($C$3),$G365,0))</f>
        <v/>
      </c>
      <c r="O365" s="50">
        <f>IF(OR($J365="",$B365=""),0,IF(YEAR($B365)*12+MONTH($B365)&lt;=YEAR($C$3)*12+MONTH($C$3)-1,$G365,0))</f>
        <v/>
      </c>
      <c r="P365" s="50">
        <f>$M365-$O365</f>
        <v/>
      </c>
      <c r="Q365" s="50">
        <f>($L365-$M365)-($N365-$O365)</f>
        <v/>
      </c>
      <c r="R365" s="50">
        <f>$L365-$N365</f>
        <v/>
      </c>
    </row>
    <row r="366">
      <c r="A366" s="47">
        <f>ROW()-5</f>
        <v/>
      </c>
      <c r="B366" s="48">
        <f>IFERROR(INDEX(tbl_Finance[Date],$A366),"")</f>
        <v/>
      </c>
      <c r="C366" s="49">
        <f>IFERROR(INDEX(tbl_Finance[Xero Invoice No],$A366),"")</f>
        <v/>
      </c>
      <c r="D366" s="49">
        <f>IFERROR(INDEX(tbl_Finance[Client],$A366),"")</f>
        <v/>
      </c>
      <c r="E366" s="49">
        <f>IFERROR(INDEX(tbl_Finance[Job Number],$A366),"")</f>
        <v/>
      </c>
      <c r="F366" s="49">
        <f>IFERROR(INDEX(tbl_Finance[Cost Centre],$A366),"")</f>
        <v/>
      </c>
      <c r="G366" s="50">
        <f>IFERROR(INDEX(tbl_Finance[Ex GST],$A366),"")</f>
        <v/>
      </c>
      <c r="H366" s="48">
        <f>IFERROR(INDEX(tbl_Finance[Defer Start],$A366),"")</f>
        <v/>
      </c>
      <c r="I366" s="48">
        <f>IFERROR(INDEX(tbl_Finance[Defer End],$A366),"")</f>
        <v/>
      </c>
      <c r="J366" s="47">
        <f>IF(OR($H366="",$I366="",$G366=""),"",MAX(1,(YEAR($I366)-YEAR($H366))*12+MONTH($I366)-MONTH($H366)+1))</f>
        <v/>
      </c>
      <c r="K366" s="50">
        <f>IF($J366="","",$G366/$J366)</f>
        <v/>
      </c>
      <c r="L366" s="50">
        <f>IF($J366="",0,$K366*MAX(0,MIN(YEAR($C$3)*12+MONTH($C$3),YEAR($I366)*12+MONTH($I366))-(YEAR($H366)*12+MONTH($H366))+1))</f>
        <v/>
      </c>
      <c r="M366" s="50">
        <f>IF($J366="",0,$K366*MAX(0,MIN(YEAR($C$3)*12+MONTH($C$3)-1,YEAR($I366)*12+MONTH($I366))-(YEAR($H366)*12+MONTH($H366))+1))</f>
        <v/>
      </c>
      <c r="N366" s="50">
        <f>IF(OR($J366="",$B366=""),0,IF(YEAR($B366)*12+MONTH($B366)&lt;=YEAR($C$3)*12+MONTH($C$3),$G366,0))</f>
        <v/>
      </c>
      <c r="O366" s="50">
        <f>IF(OR($J366="",$B366=""),0,IF(YEAR($B366)*12+MONTH($B366)&lt;=YEAR($C$3)*12+MONTH($C$3)-1,$G366,0))</f>
        <v/>
      </c>
      <c r="P366" s="50">
        <f>$M366-$O366</f>
        <v/>
      </c>
      <c r="Q366" s="50">
        <f>($L366-$M366)-($N366-$O366)</f>
        <v/>
      </c>
      <c r="R366" s="50">
        <f>$L366-$N366</f>
        <v/>
      </c>
    </row>
    <row r="367">
      <c r="A367" s="47">
        <f>ROW()-5</f>
        <v/>
      </c>
      <c r="B367" s="48">
        <f>IFERROR(INDEX(tbl_Finance[Date],$A367),"")</f>
        <v/>
      </c>
      <c r="C367" s="49">
        <f>IFERROR(INDEX(tbl_Finance[Xero Invoice No],$A367),"")</f>
        <v/>
      </c>
      <c r="D367" s="49">
        <f>IFERROR(INDEX(tbl_Finance[Client],$A367),"")</f>
        <v/>
      </c>
      <c r="E367" s="49">
        <f>IFERROR(INDEX(tbl_Finance[Job Number],$A367),"")</f>
        <v/>
      </c>
      <c r="F367" s="49">
        <f>IFERROR(INDEX(tbl_Finance[Cost Centre],$A367),"")</f>
        <v/>
      </c>
      <c r="G367" s="50">
        <f>IFERROR(INDEX(tbl_Finance[Ex GST],$A367),"")</f>
        <v/>
      </c>
      <c r="H367" s="48">
        <f>IFERROR(INDEX(tbl_Finance[Defer Start],$A367),"")</f>
        <v/>
      </c>
      <c r="I367" s="48">
        <f>IFERROR(INDEX(tbl_Finance[Defer End],$A367),"")</f>
        <v/>
      </c>
      <c r="J367" s="47">
        <f>IF(OR($H367="",$I367="",$G367=""),"",MAX(1,(YEAR($I367)-YEAR($H367))*12+MONTH($I367)-MONTH($H367)+1))</f>
        <v/>
      </c>
      <c r="K367" s="50">
        <f>IF($J367="","",$G367/$J367)</f>
        <v/>
      </c>
      <c r="L367" s="50">
        <f>IF($J367="",0,$K367*MAX(0,MIN(YEAR($C$3)*12+MONTH($C$3),YEAR($I367)*12+MONTH($I367))-(YEAR($H367)*12+MONTH($H367))+1))</f>
        <v/>
      </c>
      <c r="M367" s="50">
        <f>IF($J367="",0,$K367*MAX(0,MIN(YEAR($C$3)*12+MONTH($C$3)-1,YEAR($I367)*12+MONTH($I367))-(YEAR($H367)*12+MONTH($H367))+1))</f>
        <v/>
      </c>
      <c r="N367" s="50">
        <f>IF(OR($J367="",$B367=""),0,IF(YEAR($B367)*12+MONTH($B367)&lt;=YEAR($C$3)*12+MONTH($C$3),$G367,0))</f>
        <v/>
      </c>
      <c r="O367" s="50">
        <f>IF(OR($J367="",$B367=""),0,IF(YEAR($B367)*12+MONTH($B367)&lt;=YEAR($C$3)*12+MONTH($C$3)-1,$G367,0))</f>
        <v/>
      </c>
      <c r="P367" s="50">
        <f>$M367-$O367</f>
        <v/>
      </c>
      <c r="Q367" s="50">
        <f>($L367-$M367)-($N367-$O367)</f>
        <v/>
      </c>
      <c r="R367" s="50">
        <f>$L367-$N367</f>
        <v/>
      </c>
    </row>
    <row r="368">
      <c r="A368" s="47">
        <f>ROW()-5</f>
        <v/>
      </c>
      <c r="B368" s="48">
        <f>IFERROR(INDEX(tbl_Finance[Date],$A368),"")</f>
        <v/>
      </c>
      <c r="C368" s="49">
        <f>IFERROR(INDEX(tbl_Finance[Xero Invoice No],$A368),"")</f>
        <v/>
      </c>
      <c r="D368" s="49">
        <f>IFERROR(INDEX(tbl_Finance[Client],$A368),"")</f>
        <v/>
      </c>
      <c r="E368" s="49">
        <f>IFERROR(INDEX(tbl_Finance[Job Number],$A368),"")</f>
        <v/>
      </c>
      <c r="F368" s="49">
        <f>IFERROR(INDEX(tbl_Finance[Cost Centre],$A368),"")</f>
        <v/>
      </c>
      <c r="G368" s="50">
        <f>IFERROR(INDEX(tbl_Finance[Ex GST],$A368),"")</f>
        <v/>
      </c>
      <c r="H368" s="48">
        <f>IFERROR(INDEX(tbl_Finance[Defer Start],$A368),"")</f>
        <v/>
      </c>
      <c r="I368" s="48">
        <f>IFERROR(INDEX(tbl_Finance[Defer End],$A368),"")</f>
        <v/>
      </c>
      <c r="J368" s="47">
        <f>IF(OR($H368="",$I368="",$G368=""),"",MAX(1,(YEAR($I368)-YEAR($H368))*12+MONTH($I368)-MONTH($H368)+1))</f>
        <v/>
      </c>
      <c r="K368" s="50">
        <f>IF($J368="","",$G368/$J368)</f>
        <v/>
      </c>
      <c r="L368" s="50">
        <f>IF($J368="",0,$K368*MAX(0,MIN(YEAR($C$3)*12+MONTH($C$3),YEAR($I368)*12+MONTH($I368))-(YEAR($H368)*12+MONTH($H368))+1))</f>
        <v/>
      </c>
      <c r="M368" s="50">
        <f>IF($J368="",0,$K368*MAX(0,MIN(YEAR($C$3)*12+MONTH($C$3)-1,YEAR($I368)*12+MONTH($I368))-(YEAR($H368)*12+MONTH($H368))+1))</f>
        <v/>
      </c>
      <c r="N368" s="50">
        <f>IF(OR($J368="",$B368=""),0,IF(YEAR($B368)*12+MONTH($B368)&lt;=YEAR($C$3)*12+MONTH($C$3),$G368,0))</f>
        <v/>
      </c>
      <c r="O368" s="50">
        <f>IF(OR($J368="",$B368=""),0,IF(YEAR($B368)*12+MONTH($B368)&lt;=YEAR($C$3)*12+MONTH($C$3)-1,$G368,0))</f>
        <v/>
      </c>
      <c r="P368" s="50">
        <f>$M368-$O368</f>
        <v/>
      </c>
      <c r="Q368" s="50">
        <f>($L368-$M368)-($N368-$O368)</f>
        <v/>
      </c>
      <c r="R368" s="50">
        <f>$L368-$N368</f>
        <v/>
      </c>
    </row>
    <row r="369">
      <c r="A369" s="47">
        <f>ROW()-5</f>
        <v/>
      </c>
      <c r="B369" s="48">
        <f>IFERROR(INDEX(tbl_Finance[Date],$A369),"")</f>
        <v/>
      </c>
      <c r="C369" s="49">
        <f>IFERROR(INDEX(tbl_Finance[Xero Invoice No],$A369),"")</f>
        <v/>
      </c>
      <c r="D369" s="49">
        <f>IFERROR(INDEX(tbl_Finance[Client],$A369),"")</f>
        <v/>
      </c>
      <c r="E369" s="49">
        <f>IFERROR(INDEX(tbl_Finance[Job Number],$A369),"")</f>
        <v/>
      </c>
      <c r="F369" s="49">
        <f>IFERROR(INDEX(tbl_Finance[Cost Centre],$A369),"")</f>
        <v/>
      </c>
      <c r="G369" s="50">
        <f>IFERROR(INDEX(tbl_Finance[Ex GST],$A369),"")</f>
        <v/>
      </c>
      <c r="H369" s="48">
        <f>IFERROR(INDEX(tbl_Finance[Defer Start],$A369),"")</f>
        <v/>
      </c>
      <c r="I369" s="48">
        <f>IFERROR(INDEX(tbl_Finance[Defer End],$A369),"")</f>
        <v/>
      </c>
      <c r="J369" s="47">
        <f>IF(OR($H369="",$I369="",$G369=""),"",MAX(1,(YEAR($I369)-YEAR($H369))*12+MONTH($I369)-MONTH($H369)+1))</f>
        <v/>
      </c>
      <c r="K369" s="50">
        <f>IF($J369="","",$G369/$J369)</f>
        <v/>
      </c>
      <c r="L369" s="50">
        <f>IF($J369="",0,$K369*MAX(0,MIN(YEAR($C$3)*12+MONTH($C$3),YEAR($I369)*12+MONTH($I369))-(YEAR($H369)*12+MONTH($H369))+1))</f>
        <v/>
      </c>
      <c r="M369" s="50">
        <f>IF($J369="",0,$K369*MAX(0,MIN(YEAR($C$3)*12+MONTH($C$3)-1,YEAR($I369)*12+MONTH($I369))-(YEAR($H369)*12+MONTH($H369))+1))</f>
        <v/>
      </c>
      <c r="N369" s="50">
        <f>IF(OR($J369="",$B369=""),0,IF(YEAR($B369)*12+MONTH($B369)&lt;=YEAR($C$3)*12+MONTH($C$3),$G369,0))</f>
        <v/>
      </c>
      <c r="O369" s="50">
        <f>IF(OR($J369="",$B369=""),0,IF(YEAR($B369)*12+MONTH($B369)&lt;=YEAR($C$3)*12+MONTH($C$3)-1,$G369,0))</f>
        <v/>
      </c>
      <c r="P369" s="50">
        <f>$M369-$O369</f>
        <v/>
      </c>
      <c r="Q369" s="50">
        <f>($L369-$M369)-($N369-$O369)</f>
        <v/>
      </c>
      <c r="R369" s="50">
        <f>$L369-$N369</f>
        <v/>
      </c>
    </row>
    <row r="370">
      <c r="A370" s="47">
        <f>ROW()-5</f>
        <v/>
      </c>
      <c r="B370" s="48">
        <f>IFERROR(INDEX(tbl_Finance[Date],$A370),"")</f>
        <v/>
      </c>
      <c r="C370" s="49">
        <f>IFERROR(INDEX(tbl_Finance[Xero Invoice No],$A370),"")</f>
        <v/>
      </c>
      <c r="D370" s="49">
        <f>IFERROR(INDEX(tbl_Finance[Client],$A370),"")</f>
        <v/>
      </c>
      <c r="E370" s="49">
        <f>IFERROR(INDEX(tbl_Finance[Job Number],$A370),"")</f>
        <v/>
      </c>
      <c r="F370" s="49">
        <f>IFERROR(INDEX(tbl_Finance[Cost Centre],$A370),"")</f>
        <v/>
      </c>
      <c r="G370" s="50">
        <f>IFERROR(INDEX(tbl_Finance[Ex GST],$A370),"")</f>
        <v/>
      </c>
      <c r="H370" s="48">
        <f>IFERROR(INDEX(tbl_Finance[Defer Start],$A370),"")</f>
        <v/>
      </c>
      <c r="I370" s="48">
        <f>IFERROR(INDEX(tbl_Finance[Defer End],$A370),"")</f>
        <v/>
      </c>
      <c r="J370" s="47">
        <f>IF(OR($H370="",$I370="",$G370=""),"",MAX(1,(YEAR($I370)-YEAR($H370))*12+MONTH($I370)-MONTH($H370)+1))</f>
        <v/>
      </c>
      <c r="K370" s="50">
        <f>IF($J370="","",$G370/$J370)</f>
        <v/>
      </c>
      <c r="L370" s="50">
        <f>IF($J370="",0,$K370*MAX(0,MIN(YEAR($C$3)*12+MONTH($C$3),YEAR($I370)*12+MONTH($I370))-(YEAR($H370)*12+MONTH($H370))+1))</f>
        <v/>
      </c>
      <c r="M370" s="50">
        <f>IF($J370="",0,$K370*MAX(0,MIN(YEAR($C$3)*12+MONTH($C$3)-1,YEAR($I370)*12+MONTH($I370))-(YEAR($H370)*12+MONTH($H370))+1))</f>
        <v/>
      </c>
      <c r="N370" s="50">
        <f>IF(OR($J370="",$B370=""),0,IF(YEAR($B370)*12+MONTH($B370)&lt;=YEAR($C$3)*12+MONTH($C$3),$G370,0))</f>
        <v/>
      </c>
      <c r="O370" s="50">
        <f>IF(OR($J370="",$B370=""),0,IF(YEAR($B370)*12+MONTH($B370)&lt;=YEAR($C$3)*12+MONTH($C$3)-1,$G370,0))</f>
        <v/>
      </c>
      <c r="P370" s="50">
        <f>$M370-$O370</f>
        <v/>
      </c>
      <c r="Q370" s="50">
        <f>($L370-$M370)-($N370-$O370)</f>
        <v/>
      </c>
      <c r="R370" s="50">
        <f>$L370-$N370</f>
        <v/>
      </c>
    </row>
    <row r="371">
      <c r="A371" s="47">
        <f>ROW()-5</f>
        <v/>
      </c>
      <c r="B371" s="48">
        <f>IFERROR(INDEX(tbl_Finance[Date],$A371),"")</f>
        <v/>
      </c>
      <c r="C371" s="49">
        <f>IFERROR(INDEX(tbl_Finance[Xero Invoice No],$A371),"")</f>
        <v/>
      </c>
      <c r="D371" s="49">
        <f>IFERROR(INDEX(tbl_Finance[Client],$A371),"")</f>
        <v/>
      </c>
      <c r="E371" s="49">
        <f>IFERROR(INDEX(tbl_Finance[Job Number],$A371),"")</f>
        <v/>
      </c>
      <c r="F371" s="49">
        <f>IFERROR(INDEX(tbl_Finance[Cost Centre],$A371),"")</f>
        <v/>
      </c>
      <c r="G371" s="50">
        <f>IFERROR(INDEX(tbl_Finance[Ex GST],$A371),"")</f>
        <v/>
      </c>
      <c r="H371" s="48">
        <f>IFERROR(INDEX(tbl_Finance[Defer Start],$A371),"")</f>
        <v/>
      </c>
      <c r="I371" s="48">
        <f>IFERROR(INDEX(tbl_Finance[Defer End],$A371),"")</f>
        <v/>
      </c>
      <c r="J371" s="47">
        <f>IF(OR($H371="",$I371="",$G371=""),"",MAX(1,(YEAR($I371)-YEAR($H371))*12+MONTH($I371)-MONTH($H371)+1))</f>
        <v/>
      </c>
      <c r="K371" s="50">
        <f>IF($J371="","",$G371/$J371)</f>
        <v/>
      </c>
      <c r="L371" s="50">
        <f>IF($J371="",0,$K371*MAX(0,MIN(YEAR($C$3)*12+MONTH($C$3),YEAR($I371)*12+MONTH($I371))-(YEAR($H371)*12+MONTH($H371))+1))</f>
        <v/>
      </c>
      <c r="M371" s="50">
        <f>IF($J371="",0,$K371*MAX(0,MIN(YEAR($C$3)*12+MONTH($C$3)-1,YEAR($I371)*12+MONTH($I371))-(YEAR($H371)*12+MONTH($H371))+1))</f>
        <v/>
      </c>
      <c r="N371" s="50">
        <f>IF(OR($J371="",$B371=""),0,IF(YEAR($B371)*12+MONTH($B371)&lt;=YEAR($C$3)*12+MONTH($C$3),$G371,0))</f>
        <v/>
      </c>
      <c r="O371" s="50">
        <f>IF(OR($J371="",$B371=""),0,IF(YEAR($B371)*12+MONTH($B371)&lt;=YEAR($C$3)*12+MONTH($C$3)-1,$G371,0))</f>
        <v/>
      </c>
      <c r="P371" s="50">
        <f>$M371-$O371</f>
        <v/>
      </c>
      <c r="Q371" s="50">
        <f>($L371-$M371)-($N371-$O371)</f>
        <v/>
      </c>
      <c r="R371" s="50">
        <f>$L371-$N371</f>
        <v/>
      </c>
    </row>
    <row r="372">
      <c r="A372" s="47">
        <f>ROW()-5</f>
        <v/>
      </c>
      <c r="B372" s="48">
        <f>IFERROR(INDEX(tbl_Finance[Date],$A372),"")</f>
        <v/>
      </c>
      <c r="C372" s="49">
        <f>IFERROR(INDEX(tbl_Finance[Xero Invoice No],$A372),"")</f>
        <v/>
      </c>
      <c r="D372" s="49">
        <f>IFERROR(INDEX(tbl_Finance[Client],$A372),"")</f>
        <v/>
      </c>
      <c r="E372" s="49">
        <f>IFERROR(INDEX(tbl_Finance[Job Number],$A372),"")</f>
        <v/>
      </c>
      <c r="F372" s="49">
        <f>IFERROR(INDEX(tbl_Finance[Cost Centre],$A372),"")</f>
        <v/>
      </c>
      <c r="G372" s="50">
        <f>IFERROR(INDEX(tbl_Finance[Ex GST],$A372),"")</f>
        <v/>
      </c>
      <c r="H372" s="48">
        <f>IFERROR(INDEX(tbl_Finance[Defer Start],$A372),"")</f>
        <v/>
      </c>
      <c r="I372" s="48">
        <f>IFERROR(INDEX(tbl_Finance[Defer End],$A372),"")</f>
        <v/>
      </c>
      <c r="J372" s="47">
        <f>IF(OR($H372="",$I372="",$G372=""),"",MAX(1,(YEAR($I372)-YEAR($H372))*12+MONTH($I372)-MONTH($H372)+1))</f>
        <v/>
      </c>
      <c r="K372" s="50">
        <f>IF($J372="","",$G372/$J372)</f>
        <v/>
      </c>
      <c r="L372" s="50">
        <f>IF($J372="",0,$K372*MAX(0,MIN(YEAR($C$3)*12+MONTH($C$3),YEAR($I372)*12+MONTH($I372))-(YEAR($H372)*12+MONTH($H372))+1))</f>
        <v/>
      </c>
      <c r="M372" s="50">
        <f>IF($J372="",0,$K372*MAX(0,MIN(YEAR($C$3)*12+MONTH($C$3)-1,YEAR($I372)*12+MONTH($I372))-(YEAR($H372)*12+MONTH($H372))+1))</f>
        <v/>
      </c>
      <c r="N372" s="50">
        <f>IF(OR($J372="",$B372=""),0,IF(YEAR($B372)*12+MONTH($B372)&lt;=YEAR($C$3)*12+MONTH($C$3),$G372,0))</f>
        <v/>
      </c>
      <c r="O372" s="50">
        <f>IF(OR($J372="",$B372=""),0,IF(YEAR($B372)*12+MONTH($B372)&lt;=YEAR($C$3)*12+MONTH($C$3)-1,$G372,0))</f>
        <v/>
      </c>
      <c r="P372" s="50">
        <f>$M372-$O372</f>
        <v/>
      </c>
      <c r="Q372" s="50">
        <f>($L372-$M372)-($N372-$O372)</f>
        <v/>
      </c>
      <c r="R372" s="50">
        <f>$L372-$N372</f>
        <v/>
      </c>
    </row>
    <row r="373">
      <c r="A373" s="47">
        <f>ROW()-5</f>
        <v/>
      </c>
      <c r="B373" s="48">
        <f>IFERROR(INDEX(tbl_Finance[Date],$A373),"")</f>
        <v/>
      </c>
      <c r="C373" s="49">
        <f>IFERROR(INDEX(tbl_Finance[Xero Invoice No],$A373),"")</f>
        <v/>
      </c>
      <c r="D373" s="49">
        <f>IFERROR(INDEX(tbl_Finance[Client],$A373),"")</f>
        <v/>
      </c>
      <c r="E373" s="49">
        <f>IFERROR(INDEX(tbl_Finance[Job Number],$A373),"")</f>
        <v/>
      </c>
      <c r="F373" s="49">
        <f>IFERROR(INDEX(tbl_Finance[Cost Centre],$A373),"")</f>
        <v/>
      </c>
      <c r="G373" s="50">
        <f>IFERROR(INDEX(tbl_Finance[Ex GST],$A373),"")</f>
        <v/>
      </c>
      <c r="H373" s="48">
        <f>IFERROR(INDEX(tbl_Finance[Defer Start],$A373),"")</f>
        <v/>
      </c>
      <c r="I373" s="48">
        <f>IFERROR(INDEX(tbl_Finance[Defer End],$A373),"")</f>
        <v/>
      </c>
      <c r="J373" s="47">
        <f>IF(OR($H373="",$I373="",$G373=""),"",MAX(1,(YEAR($I373)-YEAR($H373))*12+MONTH($I373)-MONTH($H373)+1))</f>
        <v/>
      </c>
      <c r="K373" s="50">
        <f>IF($J373="","",$G373/$J373)</f>
        <v/>
      </c>
      <c r="L373" s="50">
        <f>IF($J373="",0,$K373*MAX(0,MIN(YEAR($C$3)*12+MONTH($C$3),YEAR($I373)*12+MONTH($I373))-(YEAR($H373)*12+MONTH($H373))+1))</f>
        <v/>
      </c>
      <c r="M373" s="50">
        <f>IF($J373="",0,$K373*MAX(0,MIN(YEAR($C$3)*12+MONTH($C$3)-1,YEAR($I373)*12+MONTH($I373))-(YEAR($H373)*12+MONTH($H373))+1))</f>
        <v/>
      </c>
      <c r="N373" s="50">
        <f>IF(OR($J373="",$B373=""),0,IF(YEAR($B373)*12+MONTH($B373)&lt;=YEAR($C$3)*12+MONTH($C$3),$G373,0))</f>
        <v/>
      </c>
      <c r="O373" s="50">
        <f>IF(OR($J373="",$B373=""),0,IF(YEAR($B373)*12+MONTH($B373)&lt;=YEAR($C$3)*12+MONTH($C$3)-1,$G373,0))</f>
        <v/>
      </c>
      <c r="P373" s="50">
        <f>$M373-$O373</f>
        <v/>
      </c>
      <c r="Q373" s="50">
        <f>($L373-$M373)-($N373-$O373)</f>
        <v/>
      </c>
      <c r="R373" s="50">
        <f>$L373-$N373</f>
        <v/>
      </c>
    </row>
    <row r="374">
      <c r="A374" s="47">
        <f>ROW()-5</f>
        <v/>
      </c>
      <c r="B374" s="48">
        <f>IFERROR(INDEX(tbl_Finance[Date],$A374),"")</f>
        <v/>
      </c>
      <c r="C374" s="49">
        <f>IFERROR(INDEX(tbl_Finance[Xero Invoice No],$A374),"")</f>
        <v/>
      </c>
      <c r="D374" s="49">
        <f>IFERROR(INDEX(tbl_Finance[Client],$A374),"")</f>
        <v/>
      </c>
      <c r="E374" s="49">
        <f>IFERROR(INDEX(tbl_Finance[Job Number],$A374),"")</f>
        <v/>
      </c>
      <c r="F374" s="49">
        <f>IFERROR(INDEX(tbl_Finance[Cost Centre],$A374),"")</f>
        <v/>
      </c>
      <c r="G374" s="50">
        <f>IFERROR(INDEX(tbl_Finance[Ex GST],$A374),"")</f>
        <v/>
      </c>
      <c r="H374" s="48">
        <f>IFERROR(INDEX(tbl_Finance[Defer Start],$A374),"")</f>
        <v/>
      </c>
      <c r="I374" s="48">
        <f>IFERROR(INDEX(tbl_Finance[Defer End],$A374),"")</f>
        <v/>
      </c>
      <c r="J374" s="47">
        <f>IF(OR($H374="",$I374="",$G374=""),"",MAX(1,(YEAR($I374)-YEAR($H374))*12+MONTH($I374)-MONTH($H374)+1))</f>
        <v/>
      </c>
      <c r="K374" s="50">
        <f>IF($J374="","",$G374/$J374)</f>
        <v/>
      </c>
      <c r="L374" s="50">
        <f>IF($J374="",0,$K374*MAX(0,MIN(YEAR($C$3)*12+MONTH($C$3),YEAR($I374)*12+MONTH($I374))-(YEAR($H374)*12+MONTH($H374))+1))</f>
        <v/>
      </c>
      <c r="M374" s="50">
        <f>IF($J374="",0,$K374*MAX(0,MIN(YEAR($C$3)*12+MONTH($C$3)-1,YEAR($I374)*12+MONTH($I374))-(YEAR($H374)*12+MONTH($H374))+1))</f>
        <v/>
      </c>
      <c r="N374" s="50">
        <f>IF(OR($J374="",$B374=""),0,IF(YEAR($B374)*12+MONTH($B374)&lt;=YEAR($C$3)*12+MONTH($C$3),$G374,0))</f>
        <v/>
      </c>
      <c r="O374" s="50">
        <f>IF(OR($J374="",$B374=""),0,IF(YEAR($B374)*12+MONTH($B374)&lt;=YEAR($C$3)*12+MONTH($C$3)-1,$G374,0))</f>
        <v/>
      </c>
      <c r="P374" s="50">
        <f>$M374-$O374</f>
        <v/>
      </c>
      <c r="Q374" s="50">
        <f>($L374-$M374)-($N374-$O374)</f>
        <v/>
      </c>
      <c r="R374" s="50">
        <f>$L374-$N374</f>
        <v/>
      </c>
    </row>
    <row r="375">
      <c r="A375" s="47">
        <f>ROW()-5</f>
        <v/>
      </c>
      <c r="B375" s="48">
        <f>IFERROR(INDEX(tbl_Finance[Date],$A375),"")</f>
        <v/>
      </c>
      <c r="C375" s="49">
        <f>IFERROR(INDEX(tbl_Finance[Xero Invoice No],$A375),"")</f>
        <v/>
      </c>
      <c r="D375" s="49">
        <f>IFERROR(INDEX(tbl_Finance[Client],$A375),"")</f>
        <v/>
      </c>
      <c r="E375" s="49">
        <f>IFERROR(INDEX(tbl_Finance[Job Number],$A375),"")</f>
        <v/>
      </c>
      <c r="F375" s="49">
        <f>IFERROR(INDEX(tbl_Finance[Cost Centre],$A375),"")</f>
        <v/>
      </c>
      <c r="G375" s="50">
        <f>IFERROR(INDEX(tbl_Finance[Ex GST],$A375),"")</f>
        <v/>
      </c>
      <c r="H375" s="48">
        <f>IFERROR(INDEX(tbl_Finance[Defer Start],$A375),"")</f>
        <v/>
      </c>
      <c r="I375" s="48">
        <f>IFERROR(INDEX(tbl_Finance[Defer End],$A375),"")</f>
        <v/>
      </c>
      <c r="J375" s="47">
        <f>IF(OR($H375="",$I375="",$G375=""),"",MAX(1,(YEAR($I375)-YEAR($H375))*12+MONTH($I375)-MONTH($H375)+1))</f>
        <v/>
      </c>
      <c r="K375" s="50">
        <f>IF($J375="","",$G375/$J375)</f>
        <v/>
      </c>
      <c r="L375" s="50">
        <f>IF($J375="",0,$K375*MAX(0,MIN(YEAR($C$3)*12+MONTH($C$3),YEAR($I375)*12+MONTH($I375))-(YEAR($H375)*12+MONTH($H375))+1))</f>
        <v/>
      </c>
      <c r="M375" s="50">
        <f>IF($J375="",0,$K375*MAX(0,MIN(YEAR($C$3)*12+MONTH($C$3)-1,YEAR($I375)*12+MONTH($I375))-(YEAR($H375)*12+MONTH($H375))+1))</f>
        <v/>
      </c>
      <c r="N375" s="50">
        <f>IF(OR($J375="",$B375=""),0,IF(YEAR($B375)*12+MONTH($B375)&lt;=YEAR($C$3)*12+MONTH($C$3),$G375,0))</f>
        <v/>
      </c>
      <c r="O375" s="50">
        <f>IF(OR($J375="",$B375=""),0,IF(YEAR($B375)*12+MONTH($B375)&lt;=YEAR($C$3)*12+MONTH($C$3)-1,$G375,0))</f>
        <v/>
      </c>
      <c r="P375" s="50">
        <f>$M375-$O375</f>
        <v/>
      </c>
      <c r="Q375" s="50">
        <f>($L375-$M375)-($N375-$O375)</f>
        <v/>
      </c>
      <c r="R375" s="50">
        <f>$L375-$N375</f>
        <v/>
      </c>
    </row>
    <row r="376">
      <c r="A376" s="47">
        <f>ROW()-5</f>
        <v/>
      </c>
      <c r="B376" s="48">
        <f>IFERROR(INDEX(tbl_Finance[Date],$A376),"")</f>
        <v/>
      </c>
      <c r="C376" s="49">
        <f>IFERROR(INDEX(tbl_Finance[Xero Invoice No],$A376),"")</f>
        <v/>
      </c>
      <c r="D376" s="49">
        <f>IFERROR(INDEX(tbl_Finance[Client],$A376),"")</f>
        <v/>
      </c>
      <c r="E376" s="49">
        <f>IFERROR(INDEX(tbl_Finance[Job Number],$A376),"")</f>
        <v/>
      </c>
      <c r="F376" s="49">
        <f>IFERROR(INDEX(tbl_Finance[Cost Centre],$A376),"")</f>
        <v/>
      </c>
      <c r="G376" s="50">
        <f>IFERROR(INDEX(tbl_Finance[Ex GST],$A376),"")</f>
        <v/>
      </c>
      <c r="H376" s="48">
        <f>IFERROR(INDEX(tbl_Finance[Defer Start],$A376),"")</f>
        <v/>
      </c>
      <c r="I376" s="48">
        <f>IFERROR(INDEX(tbl_Finance[Defer End],$A376),"")</f>
        <v/>
      </c>
      <c r="J376" s="47">
        <f>IF(OR($H376="",$I376="",$G376=""),"",MAX(1,(YEAR($I376)-YEAR($H376))*12+MONTH($I376)-MONTH($H376)+1))</f>
        <v/>
      </c>
      <c r="K376" s="50">
        <f>IF($J376="","",$G376/$J376)</f>
        <v/>
      </c>
      <c r="L376" s="50">
        <f>IF($J376="",0,$K376*MAX(0,MIN(YEAR($C$3)*12+MONTH($C$3),YEAR($I376)*12+MONTH($I376))-(YEAR($H376)*12+MONTH($H376))+1))</f>
        <v/>
      </c>
      <c r="M376" s="50">
        <f>IF($J376="",0,$K376*MAX(0,MIN(YEAR($C$3)*12+MONTH($C$3)-1,YEAR($I376)*12+MONTH($I376))-(YEAR($H376)*12+MONTH($H376))+1))</f>
        <v/>
      </c>
      <c r="N376" s="50">
        <f>IF(OR($J376="",$B376=""),0,IF(YEAR($B376)*12+MONTH($B376)&lt;=YEAR($C$3)*12+MONTH($C$3),$G376,0))</f>
        <v/>
      </c>
      <c r="O376" s="50">
        <f>IF(OR($J376="",$B376=""),0,IF(YEAR($B376)*12+MONTH($B376)&lt;=YEAR($C$3)*12+MONTH($C$3)-1,$G376,0))</f>
        <v/>
      </c>
      <c r="P376" s="50">
        <f>$M376-$O376</f>
        <v/>
      </c>
      <c r="Q376" s="50">
        <f>($L376-$M376)-($N376-$O376)</f>
        <v/>
      </c>
      <c r="R376" s="50">
        <f>$L376-$N376</f>
        <v/>
      </c>
    </row>
    <row r="377">
      <c r="A377" s="47">
        <f>ROW()-5</f>
        <v/>
      </c>
      <c r="B377" s="48">
        <f>IFERROR(INDEX(tbl_Finance[Date],$A377),"")</f>
        <v/>
      </c>
      <c r="C377" s="49">
        <f>IFERROR(INDEX(tbl_Finance[Xero Invoice No],$A377),"")</f>
        <v/>
      </c>
      <c r="D377" s="49">
        <f>IFERROR(INDEX(tbl_Finance[Client],$A377),"")</f>
        <v/>
      </c>
      <c r="E377" s="49">
        <f>IFERROR(INDEX(tbl_Finance[Job Number],$A377),"")</f>
        <v/>
      </c>
      <c r="F377" s="49">
        <f>IFERROR(INDEX(tbl_Finance[Cost Centre],$A377),"")</f>
        <v/>
      </c>
      <c r="G377" s="50">
        <f>IFERROR(INDEX(tbl_Finance[Ex GST],$A377),"")</f>
        <v/>
      </c>
      <c r="H377" s="48">
        <f>IFERROR(INDEX(tbl_Finance[Defer Start],$A377),"")</f>
        <v/>
      </c>
      <c r="I377" s="48">
        <f>IFERROR(INDEX(tbl_Finance[Defer End],$A377),"")</f>
        <v/>
      </c>
      <c r="J377" s="47">
        <f>IF(OR($H377="",$I377="",$G377=""),"",MAX(1,(YEAR($I377)-YEAR($H377))*12+MONTH($I377)-MONTH($H377)+1))</f>
        <v/>
      </c>
      <c r="K377" s="50">
        <f>IF($J377="","",$G377/$J377)</f>
        <v/>
      </c>
      <c r="L377" s="50">
        <f>IF($J377="",0,$K377*MAX(0,MIN(YEAR($C$3)*12+MONTH($C$3),YEAR($I377)*12+MONTH($I377))-(YEAR($H377)*12+MONTH($H377))+1))</f>
        <v/>
      </c>
      <c r="M377" s="50">
        <f>IF($J377="",0,$K377*MAX(0,MIN(YEAR($C$3)*12+MONTH($C$3)-1,YEAR($I377)*12+MONTH($I377))-(YEAR($H377)*12+MONTH($H377))+1))</f>
        <v/>
      </c>
      <c r="N377" s="50">
        <f>IF(OR($J377="",$B377=""),0,IF(YEAR($B377)*12+MONTH($B377)&lt;=YEAR($C$3)*12+MONTH($C$3),$G377,0))</f>
        <v/>
      </c>
      <c r="O377" s="50">
        <f>IF(OR($J377="",$B377=""),0,IF(YEAR($B377)*12+MONTH($B377)&lt;=YEAR($C$3)*12+MONTH($C$3)-1,$G377,0))</f>
        <v/>
      </c>
      <c r="P377" s="50">
        <f>$M377-$O377</f>
        <v/>
      </c>
      <c r="Q377" s="50">
        <f>($L377-$M377)-($N377-$O377)</f>
        <v/>
      </c>
      <c r="R377" s="50">
        <f>$L377-$N377</f>
        <v/>
      </c>
    </row>
    <row r="378">
      <c r="A378" s="47">
        <f>ROW()-5</f>
        <v/>
      </c>
      <c r="B378" s="48">
        <f>IFERROR(INDEX(tbl_Finance[Date],$A378),"")</f>
        <v/>
      </c>
      <c r="C378" s="49">
        <f>IFERROR(INDEX(tbl_Finance[Xero Invoice No],$A378),"")</f>
        <v/>
      </c>
      <c r="D378" s="49">
        <f>IFERROR(INDEX(tbl_Finance[Client],$A378),"")</f>
        <v/>
      </c>
      <c r="E378" s="49">
        <f>IFERROR(INDEX(tbl_Finance[Job Number],$A378),"")</f>
        <v/>
      </c>
      <c r="F378" s="49">
        <f>IFERROR(INDEX(tbl_Finance[Cost Centre],$A378),"")</f>
        <v/>
      </c>
      <c r="G378" s="50">
        <f>IFERROR(INDEX(tbl_Finance[Ex GST],$A378),"")</f>
        <v/>
      </c>
      <c r="H378" s="48">
        <f>IFERROR(INDEX(tbl_Finance[Defer Start],$A378),"")</f>
        <v/>
      </c>
      <c r="I378" s="48">
        <f>IFERROR(INDEX(tbl_Finance[Defer End],$A378),"")</f>
        <v/>
      </c>
      <c r="J378" s="47">
        <f>IF(OR($H378="",$I378="",$G378=""),"",MAX(1,(YEAR($I378)-YEAR($H378))*12+MONTH($I378)-MONTH($H378)+1))</f>
        <v/>
      </c>
      <c r="K378" s="50">
        <f>IF($J378="","",$G378/$J378)</f>
        <v/>
      </c>
      <c r="L378" s="50">
        <f>IF($J378="",0,$K378*MAX(0,MIN(YEAR($C$3)*12+MONTH($C$3),YEAR($I378)*12+MONTH($I378))-(YEAR($H378)*12+MONTH($H378))+1))</f>
        <v/>
      </c>
      <c r="M378" s="50">
        <f>IF($J378="",0,$K378*MAX(0,MIN(YEAR($C$3)*12+MONTH($C$3)-1,YEAR($I378)*12+MONTH($I378))-(YEAR($H378)*12+MONTH($H378))+1))</f>
        <v/>
      </c>
      <c r="N378" s="50">
        <f>IF(OR($J378="",$B378=""),0,IF(YEAR($B378)*12+MONTH($B378)&lt;=YEAR($C$3)*12+MONTH($C$3),$G378,0))</f>
        <v/>
      </c>
      <c r="O378" s="50">
        <f>IF(OR($J378="",$B378=""),0,IF(YEAR($B378)*12+MONTH($B378)&lt;=YEAR($C$3)*12+MONTH($C$3)-1,$G378,0))</f>
        <v/>
      </c>
      <c r="P378" s="50">
        <f>$M378-$O378</f>
        <v/>
      </c>
      <c r="Q378" s="50">
        <f>($L378-$M378)-($N378-$O378)</f>
        <v/>
      </c>
      <c r="R378" s="50">
        <f>$L378-$N378</f>
        <v/>
      </c>
    </row>
    <row r="379">
      <c r="A379" s="47">
        <f>ROW()-5</f>
        <v/>
      </c>
      <c r="B379" s="48">
        <f>IFERROR(INDEX(tbl_Finance[Date],$A379),"")</f>
        <v/>
      </c>
      <c r="C379" s="49">
        <f>IFERROR(INDEX(tbl_Finance[Xero Invoice No],$A379),"")</f>
        <v/>
      </c>
      <c r="D379" s="49">
        <f>IFERROR(INDEX(tbl_Finance[Client],$A379),"")</f>
        <v/>
      </c>
      <c r="E379" s="49">
        <f>IFERROR(INDEX(tbl_Finance[Job Number],$A379),"")</f>
        <v/>
      </c>
      <c r="F379" s="49">
        <f>IFERROR(INDEX(tbl_Finance[Cost Centre],$A379),"")</f>
        <v/>
      </c>
      <c r="G379" s="50">
        <f>IFERROR(INDEX(tbl_Finance[Ex GST],$A379),"")</f>
        <v/>
      </c>
      <c r="H379" s="48">
        <f>IFERROR(INDEX(tbl_Finance[Defer Start],$A379),"")</f>
        <v/>
      </c>
      <c r="I379" s="48">
        <f>IFERROR(INDEX(tbl_Finance[Defer End],$A379),"")</f>
        <v/>
      </c>
      <c r="J379" s="47">
        <f>IF(OR($H379="",$I379="",$G379=""),"",MAX(1,(YEAR($I379)-YEAR($H379))*12+MONTH($I379)-MONTH($H379)+1))</f>
        <v/>
      </c>
      <c r="K379" s="50">
        <f>IF($J379="","",$G379/$J379)</f>
        <v/>
      </c>
      <c r="L379" s="50">
        <f>IF($J379="",0,$K379*MAX(0,MIN(YEAR($C$3)*12+MONTH($C$3),YEAR($I379)*12+MONTH($I379))-(YEAR($H379)*12+MONTH($H379))+1))</f>
        <v/>
      </c>
      <c r="M379" s="50">
        <f>IF($J379="",0,$K379*MAX(0,MIN(YEAR($C$3)*12+MONTH($C$3)-1,YEAR($I379)*12+MONTH($I379))-(YEAR($H379)*12+MONTH($H379))+1))</f>
        <v/>
      </c>
      <c r="N379" s="50">
        <f>IF(OR($J379="",$B379=""),0,IF(YEAR($B379)*12+MONTH($B379)&lt;=YEAR($C$3)*12+MONTH($C$3),$G379,0))</f>
        <v/>
      </c>
      <c r="O379" s="50">
        <f>IF(OR($J379="",$B379=""),0,IF(YEAR($B379)*12+MONTH($B379)&lt;=YEAR($C$3)*12+MONTH($C$3)-1,$G379,0))</f>
        <v/>
      </c>
      <c r="P379" s="50">
        <f>$M379-$O379</f>
        <v/>
      </c>
      <c r="Q379" s="50">
        <f>($L379-$M379)-($N379-$O379)</f>
        <v/>
      </c>
      <c r="R379" s="50">
        <f>$L379-$N379</f>
        <v/>
      </c>
    </row>
    <row r="380">
      <c r="A380" s="47">
        <f>ROW()-5</f>
        <v/>
      </c>
      <c r="B380" s="48">
        <f>IFERROR(INDEX(tbl_Finance[Date],$A380),"")</f>
        <v/>
      </c>
      <c r="C380" s="49">
        <f>IFERROR(INDEX(tbl_Finance[Xero Invoice No],$A380),"")</f>
        <v/>
      </c>
      <c r="D380" s="49">
        <f>IFERROR(INDEX(tbl_Finance[Client],$A380),"")</f>
        <v/>
      </c>
      <c r="E380" s="49">
        <f>IFERROR(INDEX(tbl_Finance[Job Number],$A380),"")</f>
        <v/>
      </c>
      <c r="F380" s="49">
        <f>IFERROR(INDEX(tbl_Finance[Cost Centre],$A380),"")</f>
        <v/>
      </c>
      <c r="G380" s="50">
        <f>IFERROR(INDEX(tbl_Finance[Ex GST],$A380),"")</f>
        <v/>
      </c>
      <c r="H380" s="48">
        <f>IFERROR(INDEX(tbl_Finance[Defer Start],$A380),"")</f>
        <v/>
      </c>
      <c r="I380" s="48">
        <f>IFERROR(INDEX(tbl_Finance[Defer End],$A380),"")</f>
        <v/>
      </c>
      <c r="J380" s="47">
        <f>IF(OR($H380="",$I380="",$G380=""),"",MAX(1,(YEAR($I380)-YEAR($H380))*12+MONTH($I380)-MONTH($H380)+1))</f>
        <v/>
      </c>
      <c r="K380" s="50">
        <f>IF($J380="","",$G380/$J380)</f>
        <v/>
      </c>
      <c r="L380" s="50">
        <f>IF($J380="",0,$K380*MAX(0,MIN(YEAR($C$3)*12+MONTH($C$3),YEAR($I380)*12+MONTH($I380))-(YEAR($H380)*12+MONTH($H380))+1))</f>
        <v/>
      </c>
      <c r="M380" s="50">
        <f>IF($J380="",0,$K380*MAX(0,MIN(YEAR($C$3)*12+MONTH($C$3)-1,YEAR($I380)*12+MONTH($I380))-(YEAR($H380)*12+MONTH($H380))+1))</f>
        <v/>
      </c>
      <c r="N380" s="50">
        <f>IF(OR($J380="",$B380=""),0,IF(YEAR($B380)*12+MONTH($B380)&lt;=YEAR($C$3)*12+MONTH($C$3),$G380,0))</f>
        <v/>
      </c>
      <c r="O380" s="50">
        <f>IF(OR($J380="",$B380=""),0,IF(YEAR($B380)*12+MONTH($B380)&lt;=YEAR($C$3)*12+MONTH($C$3)-1,$G380,0))</f>
        <v/>
      </c>
      <c r="P380" s="50">
        <f>$M380-$O380</f>
        <v/>
      </c>
      <c r="Q380" s="50">
        <f>($L380-$M380)-($N380-$O380)</f>
        <v/>
      </c>
      <c r="R380" s="50">
        <f>$L380-$N380</f>
        <v/>
      </c>
    </row>
    <row r="381">
      <c r="A381" s="47">
        <f>ROW()-5</f>
        <v/>
      </c>
      <c r="B381" s="48">
        <f>IFERROR(INDEX(tbl_Finance[Date],$A381),"")</f>
        <v/>
      </c>
      <c r="C381" s="49">
        <f>IFERROR(INDEX(tbl_Finance[Xero Invoice No],$A381),"")</f>
        <v/>
      </c>
      <c r="D381" s="49">
        <f>IFERROR(INDEX(tbl_Finance[Client],$A381),"")</f>
        <v/>
      </c>
      <c r="E381" s="49">
        <f>IFERROR(INDEX(tbl_Finance[Job Number],$A381),"")</f>
        <v/>
      </c>
      <c r="F381" s="49">
        <f>IFERROR(INDEX(tbl_Finance[Cost Centre],$A381),"")</f>
        <v/>
      </c>
      <c r="G381" s="50">
        <f>IFERROR(INDEX(tbl_Finance[Ex GST],$A381),"")</f>
        <v/>
      </c>
      <c r="H381" s="48">
        <f>IFERROR(INDEX(tbl_Finance[Defer Start],$A381),"")</f>
        <v/>
      </c>
      <c r="I381" s="48">
        <f>IFERROR(INDEX(tbl_Finance[Defer End],$A381),"")</f>
        <v/>
      </c>
      <c r="J381" s="47">
        <f>IF(OR($H381="",$I381="",$G381=""),"",MAX(1,(YEAR($I381)-YEAR($H381))*12+MONTH($I381)-MONTH($H381)+1))</f>
        <v/>
      </c>
      <c r="K381" s="50">
        <f>IF($J381="","",$G381/$J381)</f>
        <v/>
      </c>
      <c r="L381" s="50">
        <f>IF($J381="",0,$K381*MAX(0,MIN(YEAR($C$3)*12+MONTH($C$3),YEAR($I381)*12+MONTH($I381))-(YEAR($H381)*12+MONTH($H381))+1))</f>
        <v/>
      </c>
      <c r="M381" s="50">
        <f>IF($J381="",0,$K381*MAX(0,MIN(YEAR($C$3)*12+MONTH($C$3)-1,YEAR($I381)*12+MONTH($I381))-(YEAR($H381)*12+MONTH($H381))+1))</f>
        <v/>
      </c>
      <c r="N381" s="50">
        <f>IF(OR($J381="",$B381=""),0,IF(YEAR($B381)*12+MONTH($B381)&lt;=YEAR($C$3)*12+MONTH($C$3),$G381,0))</f>
        <v/>
      </c>
      <c r="O381" s="50">
        <f>IF(OR($J381="",$B381=""),0,IF(YEAR($B381)*12+MONTH($B381)&lt;=YEAR($C$3)*12+MONTH($C$3)-1,$G381,0))</f>
        <v/>
      </c>
      <c r="P381" s="50">
        <f>$M381-$O381</f>
        <v/>
      </c>
      <c r="Q381" s="50">
        <f>($L381-$M381)-($N381-$O381)</f>
        <v/>
      </c>
      <c r="R381" s="50">
        <f>$L381-$N381</f>
        <v/>
      </c>
    </row>
    <row r="382">
      <c r="A382" s="47">
        <f>ROW()-5</f>
        <v/>
      </c>
      <c r="B382" s="48">
        <f>IFERROR(INDEX(tbl_Finance[Date],$A382),"")</f>
        <v/>
      </c>
      <c r="C382" s="49">
        <f>IFERROR(INDEX(tbl_Finance[Xero Invoice No],$A382),"")</f>
        <v/>
      </c>
      <c r="D382" s="49">
        <f>IFERROR(INDEX(tbl_Finance[Client],$A382),"")</f>
        <v/>
      </c>
      <c r="E382" s="49">
        <f>IFERROR(INDEX(tbl_Finance[Job Number],$A382),"")</f>
        <v/>
      </c>
      <c r="F382" s="49">
        <f>IFERROR(INDEX(tbl_Finance[Cost Centre],$A382),"")</f>
        <v/>
      </c>
      <c r="G382" s="50">
        <f>IFERROR(INDEX(tbl_Finance[Ex GST],$A382),"")</f>
        <v/>
      </c>
      <c r="H382" s="48">
        <f>IFERROR(INDEX(tbl_Finance[Defer Start],$A382),"")</f>
        <v/>
      </c>
      <c r="I382" s="48">
        <f>IFERROR(INDEX(tbl_Finance[Defer End],$A382),"")</f>
        <v/>
      </c>
      <c r="J382" s="47">
        <f>IF(OR($H382="",$I382="",$G382=""),"",MAX(1,(YEAR($I382)-YEAR($H382))*12+MONTH($I382)-MONTH($H382)+1))</f>
        <v/>
      </c>
      <c r="K382" s="50">
        <f>IF($J382="","",$G382/$J382)</f>
        <v/>
      </c>
      <c r="L382" s="50">
        <f>IF($J382="",0,$K382*MAX(0,MIN(YEAR($C$3)*12+MONTH($C$3),YEAR($I382)*12+MONTH($I382))-(YEAR($H382)*12+MONTH($H382))+1))</f>
        <v/>
      </c>
      <c r="M382" s="50">
        <f>IF($J382="",0,$K382*MAX(0,MIN(YEAR($C$3)*12+MONTH($C$3)-1,YEAR($I382)*12+MONTH($I382))-(YEAR($H382)*12+MONTH($H382))+1))</f>
        <v/>
      </c>
      <c r="N382" s="50">
        <f>IF(OR($J382="",$B382=""),0,IF(YEAR($B382)*12+MONTH($B382)&lt;=YEAR($C$3)*12+MONTH($C$3),$G382,0))</f>
        <v/>
      </c>
      <c r="O382" s="50">
        <f>IF(OR($J382="",$B382=""),0,IF(YEAR($B382)*12+MONTH($B382)&lt;=YEAR($C$3)*12+MONTH($C$3)-1,$G382,0))</f>
        <v/>
      </c>
      <c r="P382" s="50">
        <f>$M382-$O382</f>
        <v/>
      </c>
      <c r="Q382" s="50">
        <f>($L382-$M382)-($N382-$O382)</f>
        <v/>
      </c>
      <c r="R382" s="50">
        <f>$L382-$N382</f>
        <v/>
      </c>
    </row>
    <row r="383">
      <c r="A383" s="47">
        <f>ROW()-5</f>
        <v/>
      </c>
      <c r="B383" s="48">
        <f>IFERROR(INDEX(tbl_Finance[Date],$A383),"")</f>
        <v/>
      </c>
      <c r="C383" s="49">
        <f>IFERROR(INDEX(tbl_Finance[Xero Invoice No],$A383),"")</f>
        <v/>
      </c>
      <c r="D383" s="49">
        <f>IFERROR(INDEX(tbl_Finance[Client],$A383),"")</f>
        <v/>
      </c>
      <c r="E383" s="49">
        <f>IFERROR(INDEX(tbl_Finance[Job Number],$A383),"")</f>
        <v/>
      </c>
      <c r="F383" s="49">
        <f>IFERROR(INDEX(tbl_Finance[Cost Centre],$A383),"")</f>
        <v/>
      </c>
      <c r="G383" s="50">
        <f>IFERROR(INDEX(tbl_Finance[Ex GST],$A383),"")</f>
        <v/>
      </c>
      <c r="H383" s="48">
        <f>IFERROR(INDEX(tbl_Finance[Defer Start],$A383),"")</f>
        <v/>
      </c>
      <c r="I383" s="48">
        <f>IFERROR(INDEX(tbl_Finance[Defer End],$A383),"")</f>
        <v/>
      </c>
      <c r="J383" s="47">
        <f>IF(OR($H383="",$I383="",$G383=""),"",MAX(1,(YEAR($I383)-YEAR($H383))*12+MONTH($I383)-MONTH($H383)+1))</f>
        <v/>
      </c>
      <c r="K383" s="50">
        <f>IF($J383="","",$G383/$J383)</f>
        <v/>
      </c>
      <c r="L383" s="50">
        <f>IF($J383="",0,$K383*MAX(0,MIN(YEAR($C$3)*12+MONTH($C$3),YEAR($I383)*12+MONTH($I383))-(YEAR($H383)*12+MONTH($H383))+1))</f>
        <v/>
      </c>
      <c r="M383" s="50">
        <f>IF($J383="",0,$K383*MAX(0,MIN(YEAR($C$3)*12+MONTH($C$3)-1,YEAR($I383)*12+MONTH($I383))-(YEAR($H383)*12+MONTH($H383))+1))</f>
        <v/>
      </c>
      <c r="N383" s="50">
        <f>IF(OR($J383="",$B383=""),0,IF(YEAR($B383)*12+MONTH($B383)&lt;=YEAR($C$3)*12+MONTH($C$3),$G383,0))</f>
        <v/>
      </c>
      <c r="O383" s="50">
        <f>IF(OR($J383="",$B383=""),0,IF(YEAR($B383)*12+MONTH($B383)&lt;=YEAR($C$3)*12+MONTH($C$3)-1,$G383,0))</f>
        <v/>
      </c>
      <c r="P383" s="50">
        <f>$M383-$O383</f>
        <v/>
      </c>
      <c r="Q383" s="50">
        <f>($L383-$M383)-($N383-$O383)</f>
        <v/>
      </c>
      <c r="R383" s="50">
        <f>$L383-$N383</f>
        <v/>
      </c>
    </row>
    <row r="384">
      <c r="A384" s="47">
        <f>ROW()-5</f>
        <v/>
      </c>
      <c r="B384" s="48">
        <f>IFERROR(INDEX(tbl_Finance[Date],$A384),"")</f>
        <v/>
      </c>
      <c r="C384" s="49">
        <f>IFERROR(INDEX(tbl_Finance[Xero Invoice No],$A384),"")</f>
        <v/>
      </c>
      <c r="D384" s="49">
        <f>IFERROR(INDEX(tbl_Finance[Client],$A384),"")</f>
        <v/>
      </c>
      <c r="E384" s="49">
        <f>IFERROR(INDEX(tbl_Finance[Job Number],$A384),"")</f>
        <v/>
      </c>
      <c r="F384" s="49">
        <f>IFERROR(INDEX(tbl_Finance[Cost Centre],$A384),"")</f>
        <v/>
      </c>
      <c r="G384" s="50">
        <f>IFERROR(INDEX(tbl_Finance[Ex GST],$A384),"")</f>
        <v/>
      </c>
      <c r="H384" s="48">
        <f>IFERROR(INDEX(tbl_Finance[Defer Start],$A384),"")</f>
        <v/>
      </c>
      <c r="I384" s="48">
        <f>IFERROR(INDEX(tbl_Finance[Defer End],$A384),"")</f>
        <v/>
      </c>
      <c r="J384" s="47">
        <f>IF(OR($H384="",$I384="",$G384=""),"",MAX(1,(YEAR($I384)-YEAR($H384))*12+MONTH($I384)-MONTH($H384)+1))</f>
        <v/>
      </c>
      <c r="K384" s="50">
        <f>IF($J384="","",$G384/$J384)</f>
        <v/>
      </c>
      <c r="L384" s="50">
        <f>IF($J384="",0,$K384*MAX(0,MIN(YEAR($C$3)*12+MONTH($C$3),YEAR($I384)*12+MONTH($I384))-(YEAR($H384)*12+MONTH($H384))+1))</f>
        <v/>
      </c>
      <c r="M384" s="50">
        <f>IF($J384="",0,$K384*MAX(0,MIN(YEAR($C$3)*12+MONTH($C$3)-1,YEAR($I384)*12+MONTH($I384))-(YEAR($H384)*12+MONTH($H384))+1))</f>
        <v/>
      </c>
      <c r="N384" s="50">
        <f>IF(OR($J384="",$B384=""),0,IF(YEAR($B384)*12+MONTH($B384)&lt;=YEAR($C$3)*12+MONTH($C$3),$G384,0))</f>
        <v/>
      </c>
      <c r="O384" s="50">
        <f>IF(OR($J384="",$B384=""),0,IF(YEAR($B384)*12+MONTH($B384)&lt;=YEAR($C$3)*12+MONTH($C$3)-1,$G384,0))</f>
        <v/>
      </c>
      <c r="P384" s="50">
        <f>$M384-$O384</f>
        <v/>
      </c>
      <c r="Q384" s="50">
        <f>($L384-$M384)-($N384-$O384)</f>
        <v/>
      </c>
      <c r="R384" s="50">
        <f>$L384-$N384</f>
        <v/>
      </c>
    </row>
    <row r="385">
      <c r="A385" s="47">
        <f>ROW()-5</f>
        <v/>
      </c>
      <c r="B385" s="48">
        <f>IFERROR(INDEX(tbl_Finance[Date],$A385),"")</f>
        <v/>
      </c>
      <c r="C385" s="49">
        <f>IFERROR(INDEX(tbl_Finance[Xero Invoice No],$A385),"")</f>
        <v/>
      </c>
      <c r="D385" s="49">
        <f>IFERROR(INDEX(tbl_Finance[Client],$A385),"")</f>
        <v/>
      </c>
      <c r="E385" s="49">
        <f>IFERROR(INDEX(tbl_Finance[Job Number],$A385),"")</f>
        <v/>
      </c>
      <c r="F385" s="49">
        <f>IFERROR(INDEX(tbl_Finance[Cost Centre],$A385),"")</f>
        <v/>
      </c>
      <c r="G385" s="50">
        <f>IFERROR(INDEX(tbl_Finance[Ex GST],$A385),"")</f>
        <v/>
      </c>
      <c r="H385" s="48">
        <f>IFERROR(INDEX(tbl_Finance[Defer Start],$A385),"")</f>
        <v/>
      </c>
      <c r="I385" s="48">
        <f>IFERROR(INDEX(tbl_Finance[Defer End],$A385),"")</f>
        <v/>
      </c>
      <c r="J385" s="47">
        <f>IF(OR($H385="",$I385="",$G385=""),"",MAX(1,(YEAR($I385)-YEAR($H385))*12+MONTH($I385)-MONTH($H385)+1))</f>
        <v/>
      </c>
      <c r="K385" s="50">
        <f>IF($J385="","",$G385/$J385)</f>
        <v/>
      </c>
      <c r="L385" s="50">
        <f>IF($J385="",0,$K385*MAX(0,MIN(YEAR($C$3)*12+MONTH($C$3),YEAR($I385)*12+MONTH($I385))-(YEAR($H385)*12+MONTH($H385))+1))</f>
        <v/>
      </c>
      <c r="M385" s="50">
        <f>IF($J385="",0,$K385*MAX(0,MIN(YEAR($C$3)*12+MONTH($C$3)-1,YEAR($I385)*12+MONTH($I385))-(YEAR($H385)*12+MONTH($H385))+1))</f>
        <v/>
      </c>
      <c r="N385" s="50">
        <f>IF(OR($J385="",$B385=""),0,IF(YEAR($B385)*12+MONTH($B385)&lt;=YEAR($C$3)*12+MONTH($C$3),$G385,0))</f>
        <v/>
      </c>
      <c r="O385" s="50">
        <f>IF(OR($J385="",$B385=""),0,IF(YEAR($B385)*12+MONTH($B385)&lt;=YEAR($C$3)*12+MONTH($C$3)-1,$G385,0))</f>
        <v/>
      </c>
      <c r="P385" s="50">
        <f>$M385-$O385</f>
        <v/>
      </c>
      <c r="Q385" s="50">
        <f>($L385-$M385)-($N385-$O385)</f>
        <v/>
      </c>
      <c r="R385" s="50">
        <f>$L385-$N385</f>
        <v/>
      </c>
    </row>
    <row r="386">
      <c r="A386" s="47">
        <f>ROW()-5</f>
        <v/>
      </c>
      <c r="B386" s="48">
        <f>IFERROR(INDEX(tbl_Finance[Date],$A386),"")</f>
        <v/>
      </c>
      <c r="C386" s="49">
        <f>IFERROR(INDEX(tbl_Finance[Xero Invoice No],$A386),"")</f>
        <v/>
      </c>
      <c r="D386" s="49">
        <f>IFERROR(INDEX(tbl_Finance[Client],$A386),"")</f>
        <v/>
      </c>
      <c r="E386" s="49">
        <f>IFERROR(INDEX(tbl_Finance[Job Number],$A386),"")</f>
        <v/>
      </c>
      <c r="F386" s="49">
        <f>IFERROR(INDEX(tbl_Finance[Cost Centre],$A386),"")</f>
        <v/>
      </c>
      <c r="G386" s="50">
        <f>IFERROR(INDEX(tbl_Finance[Ex GST],$A386),"")</f>
        <v/>
      </c>
      <c r="H386" s="48">
        <f>IFERROR(INDEX(tbl_Finance[Defer Start],$A386),"")</f>
        <v/>
      </c>
      <c r="I386" s="48">
        <f>IFERROR(INDEX(tbl_Finance[Defer End],$A386),"")</f>
        <v/>
      </c>
      <c r="J386" s="47">
        <f>IF(OR($H386="",$I386="",$G386=""),"",MAX(1,(YEAR($I386)-YEAR($H386))*12+MONTH($I386)-MONTH($H386)+1))</f>
        <v/>
      </c>
      <c r="K386" s="50">
        <f>IF($J386="","",$G386/$J386)</f>
        <v/>
      </c>
      <c r="L386" s="50">
        <f>IF($J386="",0,$K386*MAX(0,MIN(YEAR($C$3)*12+MONTH($C$3),YEAR($I386)*12+MONTH($I386))-(YEAR($H386)*12+MONTH($H386))+1))</f>
        <v/>
      </c>
      <c r="M386" s="50">
        <f>IF($J386="",0,$K386*MAX(0,MIN(YEAR($C$3)*12+MONTH($C$3)-1,YEAR($I386)*12+MONTH($I386))-(YEAR($H386)*12+MONTH($H386))+1))</f>
        <v/>
      </c>
      <c r="N386" s="50">
        <f>IF(OR($J386="",$B386=""),0,IF(YEAR($B386)*12+MONTH($B386)&lt;=YEAR($C$3)*12+MONTH($C$3),$G386,0))</f>
        <v/>
      </c>
      <c r="O386" s="50">
        <f>IF(OR($J386="",$B386=""),0,IF(YEAR($B386)*12+MONTH($B386)&lt;=YEAR($C$3)*12+MONTH($C$3)-1,$G386,0))</f>
        <v/>
      </c>
      <c r="P386" s="50">
        <f>$M386-$O386</f>
        <v/>
      </c>
      <c r="Q386" s="50">
        <f>($L386-$M386)-($N386-$O386)</f>
        <v/>
      </c>
      <c r="R386" s="50">
        <f>$L386-$N386</f>
        <v/>
      </c>
    </row>
    <row r="387">
      <c r="A387" s="47">
        <f>ROW()-5</f>
        <v/>
      </c>
      <c r="B387" s="48">
        <f>IFERROR(INDEX(tbl_Finance[Date],$A387),"")</f>
        <v/>
      </c>
      <c r="C387" s="49">
        <f>IFERROR(INDEX(tbl_Finance[Xero Invoice No],$A387),"")</f>
        <v/>
      </c>
      <c r="D387" s="49">
        <f>IFERROR(INDEX(tbl_Finance[Client],$A387),"")</f>
        <v/>
      </c>
      <c r="E387" s="49">
        <f>IFERROR(INDEX(tbl_Finance[Job Number],$A387),"")</f>
        <v/>
      </c>
      <c r="F387" s="49">
        <f>IFERROR(INDEX(tbl_Finance[Cost Centre],$A387),"")</f>
        <v/>
      </c>
      <c r="G387" s="50">
        <f>IFERROR(INDEX(tbl_Finance[Ex GST],$A387),"")</f>
        <v/>
      </c>
      <c r="H387" s="48">
        <f>IFERROR(INDEX(tbl_Finance[Defer Start],$A387),"")</f>
        <v/>
      </c>
      <c r="I387" s="48">
        <f>IFERROR(INDEX(tbl_Finance[Defer End],$A387),"")</f>
        <v/>
      </c>
      <c r="J387" s="47">
        <f>IF(OR($H387="",$I387="",$G387=""),"",MAX(1,(YEAR($I387)-YEAR($H387))*12+MONTH($I387)-MONTH($H387)+1))</f>
        <v/>
      </c>
      <c r="K387" s="50">
        <f>IF($J387="","",$G387/$J387)</f>
        <v/>
      </c>
      <c r="L387" s="50">
        <f>IF($J387="",0,$K387*MAX(0,MIN(YEAR($C$3)*12+MONTH($C$3),YEAR($I387)*12+MONTH($I387))-(YEAR($H387)*12+MONTH($H387))+1))</f>
        <v/>
      </c>
      <c r="M387" s="50">
        <f>IF($J387="",0,$K387*MAX(0,MIN(YEAR($C$3)*12+MONTH($C$3)-1,YEAR($I387)*12+MONTH($I387))-(YEAR($H387)*12+MONTH($H387))+1))</f>
        <v/>
      </c>
      <c r="N387" s="50">
        <f>IF(OR($J387="",$B387=""),0,IF(YEAR($B387)*12+MONTH($B387)&lt;=YEAR($C$3)*12+MONTH($C$3),$G387,0))</f>
        <v/>
      </c>
      <c r="O387" s="50">
        <f>IF(OR($J387="",$B387=""),0,IF(YEAR($B387)*12+MONTH($B387)&lt;=YEAR($C$3)*12+MONTH($C$3)-1,$G387,0))</f>
        <v/>
      </c>
      <c r="P387" s="50">
        <f>$M387-$O387</f>
        <v/>
      </c>
      <c r="Q387" s="50">
        <f>($L387-$M387)-($N387-$O387)</f>
        <v/>
      </c>
      <c r="R387" s="50">
        <f>$L387-$N387</f>
        <v/>
      </c>
    </row>
    <row r="388">
      <c r="A388" s="47">
        <f>ROW()-5</f>
        <v/>
      </c>
      <c r="B388" s="48">
        <f>IFERROR(INDEX(tbl_Finance[Date],$A388),"")</f>
        <v/>
      </c>
      <c r="C388" s="49">
        <f>IFERROR(INDEX(tbl_Finance[Xero Invoice No],$A388),"")</f>
        <v/>
      </c>
      <c r="D388" s="49">
        <f>IFERROR(INDEX(tbl_Finance[Client],$A388),"")</f>
        <v/>
      </c>
      <c r="E388" s="49">
        <f>IFERROR(INDEX(tbl_Finance[Job Number],$A388),"")</f>
        <v/>
      </c>
      <c r="F388" s="49">
        <f>IFERROR(INDEX(tbl_Finance[Cost Centre],$A388),"")</f>
        <v/>
      </c>
      <c r="G388" s="50">
        <f>IFERROR(INDEX(tbl_Finance[Ex GST],$A388),"")</f>
        <v/>
      </c>
      <c r="H388" s="48">
        <f>IFERROR(INDEX(tbl_Finance[Defer Start],$A388),"")</f>
        <v/>
      </c>
      <c r="I388" s="48">
        <f>IFERROR(INDEX(tbl_Finance[Defer End],$A388),"")</f>
        <v/>
      </c>
      <c r="J388" s="47">
        <f>IF(OR($H388="",$I388="",$G388=""),"",MAX(1,(YEAR($I388)-YEAR($H388))*12+MONTH($I388)-MONTH($H388)+1))</f>
        <v/>
      </c>
      <c r="K388" s="50">
        <f>IF($J388="","",$G388/$J388)</f>
        <v/>
      </c>
      <c r="L388" s="50">
        <f>IF($J388="",0,$K388*MAX(0,MIN(YEAR($C$3)*12+MONTH($C$3),YEAR($I388)*12+MONTH($I388))-(YEAR($H388)*12+MONTH($H388))+1))</f>
        <v/>
      </c>
      <c r="M388" s="50">
        <f>IF($J388="",0,$K388*MAX(0,MIN(YEAR($C$3)*12+MONTH($C$3)-1,YEAR($I388)*12+MONTH($I388))-(YEAR($H388)*12+MONTH($H388))+1))</f>
        <v/>
      </c>
      <c r="N388" s="50">
        <f>IF(OR($J388="",$B388=""),0,IF(YEAR($B388)*12+MONTH($B388)&lt;=YEAR($C$3)*12+MONTH($C$3),$G388,0))</f>
        <v/>
      </c>
      <c r="O388" s="50">
        <f>IF(OR($J388="",$B388=""),0,IF(YEAR($B388)*12+MONTH($B388)&lt;=YEAR($C$3)*12+MONTH($C$3)-1,$G388,0))</f>
        <v/>
      </c>
      <c r="P388" s="50">
        <f>$M388-$O388</f>
        <v/>
      </c>
      <c r="Q388" s="50">
        <f>($L388-$M388)-($N388-$O388)</f>
        <v/>
      </c>
      <c r="R388" s="50">
        <f>$L388-$N388</f>
        <v/>
      </c>
    </row>
    <row r="389">
      <c r="A389" s="47">
        <f>ROW()-5</f>
        <v/>
      </c>
      <c r="B389" s="48">
        <f>IFERROR(INDEX(tbl_Finance[Date],$A389),"")</f>
        <v/>
      </c>
      <c r="C389" s="49">
        <f>IFERROR(INDEX(tbl_Finance[Xero Invoice No],$A389),"")</f>
        <v/>
      </c>
      <c r="D389" s="49">
        <f>IFERROR(INDEX(tbl_Finance[Client],$A389),"")</f>
        <v/>
      </c>
      <c r="E389" s="49">
        <f>IFERROR(INDEX(tbl_Finance[Job Number],$A389),"")</f>
        <v/>
      </c>
      <c r="F389" s="49">
        <f>IFERROR(INDEX(tbl_Finance[Cost Centre],$A389),"")</f>
        <v/>
      </c>
      <c r="G389" s="50">
        <f>IFERROR(INDEX(tbl_Finance[Ex GST],$A389),"")</f>
        <v/>
      </c>
      <c r="H389" s="48">
        <f>IFERROR(INDEX(tbl_Finance[Defer Start],$A389),"")</f>
        <v/>
      </c>
      <c r="I389" s="48">
        <f>IFERROR(INDEX(tbl_Finance[Defer End],$A389),"")</f>
        <v/>
      </c>
      <c r="J389" s="47">
        <f>IF(OR($H389="",$I389="",$G389=""),"",MAX(1,(YEAR($I389)-YEAR($H389))*12+MONTH($I389)-MONTH($H389)+1))</f>
        <v/>
      </c>
      <c r="K389" s="50">
        <f>IF($J389="","",$G389/$J389)</f>
        <v/>
      </c>
      <c r="L389" s="50">
        <f>IF($J389="",0,$K389*MAX(0,MIN(YEAR($C$3)*12+MONTH($C$3),YEAR($I389)*12+MONTH($I389))-(YEAR($H389)*12+MONTH($H389))+1))</f>
        <v/>
      </c>
      <c r="M389" s="50">
        <f>IF($J389="",0,$K389*MAX(0,MIN(YEAR($C$3)*12+MONTH($C$3)-1,YEAR($I389)*12+MONTH($I389))-(YEAR($H389)*12+MONTH($H389))+1))</f>
        <v/>
      </c>
      <c r="N389" s="50">
        <f>IF(OR($J389="",$B389=""),0,IF(YEAR($B389)*12+MONTH($B389)&lt;=YEAR($C$3)*12+MONTH($C$3),$G389,0))</f>
        <v/>
      </c>
      <c r="O389" s="50">
        <f>IF(OR($J389="",$B389=""),0,IF(YEAR($B389)*12+MONTH($B389)&lt;=YEAR($C$3)*12+MONTH($C$3)-1,$G389,0))</f>
        <v/>
      </c>
      <c r="P389" s="50">
        <f>$M389-$O389</f>
        <v/>
      </c>
      <c r="Q389" s="50">
        <f>($L389-$M389)-($N389-$O389)</f>
        <v/>
      </c>
      <c r="R389" s="50">
        <f>$L389-$N389</f>
        <v/>
      </c>
    </row>
    <row r="390">
      <c r="A390" s="47">
        <f>ROW()-5</f>
        <v/>
      </c>
      <c r="B390" s="48">
        <f>IFERROR(INDEX(tbl_Finance[Date],$A390),"")</f>
        <v/>
      </c>
      <c r="C390" s="49">
        <f>IFERROR(INDEX(tbl_Finance[Xero Invoice No],$A390),"")</f>
        <v/>
      </c>
      <c r="D390" s="49">
        <f>IFERROR(INDEX(tbl_Finance[Client],$A390),"")</f>
        <v/>
      </c>
      <c r="E390" s="49">
        <f>IFERROR(INDEX(tbl_Finance[Job Number],$A390),"")</f>
        <v/>
      </c>
      <c r="F390" s="49">
        <f>IFERROR(INDEX(tbl_Finance[Cost Centre],$A390),"")</f>
        <v/>
      </c>
      <c r="G390" s="50">
        <f>IFERROR(INDEX(tbl_Finance[Ex GST],$A390),"")</f>
        <v/>
      </c>
      <c r="H390" s="48">
        <f>IFERROR(INDEX(tbl_Finance[Defer Start],$A390),"")</f>
        <v/>
      </c>
      <c r="I390" s="48">
        <f>IFERROR(INDEX(tbl_Finance[Defer End],$A390),"")</f>
        <v/>
      </c>
      <c r="J390" s="47">
        <f>IF(OR($H390="",$I390="",$G390=""),"",MAX(1,(YEAR($I390)-YEAR($H390))*12+MONTH($I390)-MONTH($H390)+1))</f>
        <v/>
      </c>
      <c r="K390" s="50">
        <f>IF($J390="","",$G390/$J390)</f>
        <v/>
      </c>
      <c r="L390" s="50">
        <f>IF($J390="",0,$K390*MAX(0,MIN(YEAR($C$3)*12+MONTH($C$3),YEAR($I390)*12+MONTH($I390))-(YEAR($H390)*12+MONTH($H390))+1))</f>
        <v/>
      </c>
      <c r="M390" s="50">
        <f>IF($J390="",0,$K390*MAX(0,MIN(YEAR($C$3)*12+MONTH($C$3)-1,YEAR($I390)*12+MONTH($I390))-(YEAR($H390)*12+MONTH($H390))+1))</f>
        <v/>
      </c>
      <c r="N390" s="50">
        <f>IF(OR($J390="",$B390=""),0,IF(YEAR($B390)*12+MONTH($B390)&lt;=YEAR($C$3)*12+MONTH($C$3),$G390,0))</f>
        <v/>
      </c>
      <c r="O390" s="50">
        <f>IF(OR($J390="",$B390=""),0,IF(YEAR($B390)*12+MONTH($B390)&lt;=YEAR($C$3)*12+MONTH($C$3)-1,$G390,0))</f>
        <v/>
      </c>
      <c r="P390" s="50">
        <f>$M390-$O390</f>
        <v/>
      </c>
      <c r="Q390" s="50">
        <f>($L390-$M390)-($N390-$O390)</f>
        <v/>
      </c>
      <c r="R390" s="50">
        <f>$L390-$N390</f>
        <v/>
      </c>
    </row>
    <row r="391">
      <c r="A391" s="47">
        <f>ROW()-5</f>
        <v/>
      </c>
      <c r="B391" s="48">
        <f>IFERROR(INDEX(tbl_Finance[Date],$A391),"")</f>
        <v/>
      </c>
      <c r="C391" s="49">
        <f>IFERROR(INDEX(tbl_Finance[Xero Invoice No],$A391),"")</f>
        <v/>
      </c>
      <c r="D391" s="49">
        <f>IFERROR(INDEX(tbl_Finance[Client],$A391),"")</f>
        <v/>
      </c>
      <c r="E391" s="49">
        <f>IFERROR(INDEX(tbl_Finance[Job Number],$A391),"")</f>
        <v/>
      </c>
      <c r="F391" s="49">
        <f>IFERROR(INDEX(tbl_Finance[Cost Centre],$A391),"")</f>
        <v/>
      </c>
      <c r="G391" s="50">
        <f>IFERROR(INDEX(tbl_Finance[Ex GST],$A391),"")</f>
        <v/>
      </c>
      <c r="H391" s="48">
        <f>IFERROR(INDEX(tbl_Finance[Defer Start],$A391),"")</f>
        <v/>
      </c>
      <c r="I391" s="48">
        <f>IFERROR(INDEX(tbl_Finance[Defer End],$A391),"")</f>
        <v/>
      </c>
      <c r="J391" s="47">
        <f>IF(OR($H391="",$I391="",$G391=""),"",MAX(1,(YEAR($I391)-YEAR($H391))*12+MONTH($I391)-MONTH($H391)+1))</f>
        <v/>
      </c>
      <c r="K391" s="50">
        <f>IF($J391="","",$G391/$J391)</f>
        <v/>
      </c>
      <c r="L391" s="50">
        <f>IF($J391="",0,$K391*MAX(0,MIN(YEAR($C$3)*12+MONTH($C$3),YEAR($I391)*12+MONTH($I391))-(YEAR($H391)*12+MONTH($H391))+1))</f>
        <v/>
      </c>
      <c r="M391" s="50">
        <f>IF($J391="",0,$K391*MAX(0,MIN(YEAR($C$3)*12+MONTH($C$3)-1,YEAR($I391)*12+MONTH($I391))-(YEAR($H391)*12+MONTH($H391))+1))</f>
        <v/>
      </c>
      <c r="N391" s="50">
        <f>IF(OR($J391="",$B391=""),0,IF(YEAR($B391)*12+MONTH($B391)&lt;=YEAR($C$3)*12+MONTH($C$3),$G391,0))</f>
        <v/>
      </c>
      <c r="O391" s="50">
        <f>IF(OR($J391="",$B391=""),0,IF(YEAR($B391)*12+MONTH($B391)&lt;=YEAR($C$3)*12+MONTH($C$3)-1,$G391,0))</f>
        <v/>
      </c>
      <c r="P391" s="50">
        <f>$M391-$O391</f>
        <v/>
      </c>
      <c r="Q391" s="50">
        <f>($L391-$M391)-($N391-$O391)</f>
        <v/>
      </c>
      <c r="R391" s="50">
        <f>$L391-$N391</f>
        <v/>
      </c>
    </row>
    <row r="392">
      <c r="A392" s="47">
        <f>ROW()-5</f>
        <v/>
      </c>
      <c r="B392" s="48">
        <f>IFERROR(INDEX(tbl_Finance[Date],$A392),"")</f>
        <v/>
      </c>
      <c r="C392" s="49">
        <f>IFERROR(INDEX(tbl_Finance[Xero Invoice No],$A392),"")</f>
        <v/>
      </c>
      <c r="D392" s="49">
        <f>IFERROR(INDEX(tbl_Finance[Client],$A392),"")</f>
        <v/>
      </c>
      <c r="E392" s="49">
        <f>IFERROR(INDEX(tbl_Finance[Job Number],$A392),"")</f>
        <v/>
      </c>
      <c r="F392" s="49">
        <f>IFERROR(INDEX(tbl_Finance[Cost Centre],$A392),"")</f>
        <v/>
      </c>
      <c r="G392" s="50">
        <f>IFERROR(INDEX(tbl_Finance[Ex GST],$A392),"")</f>
        <v/>
      </c>
      <c r="H392" s="48">
        <f>IFERROR(INDEX(tbl_Finance[Defer Start],$A392),"")</f>
        <v/>
      </c>
      <c r="I392" s="48">
        <f>IFERROR(INDEX(tbl_Finance[Defer End],$A392),"")</f>
        <v/>
      </c>
      <c r="J392" s="47">
        <f>IF(OR($H392="",$I392="",$G392=""),"",MAX(1,(YEAR($I392)-YEAR($H392))*12+MONTH($I392)-MONTH($H392)+1))</f>
        <v/>
      </c>
      <c r="K392" s="50">
        <f>IF($J392="","",$G392/$J392)</f>
        <v/>
      </c>
      <c r="L392" s="50">
        <f>IF($J392="",0,$K392*MAX(0,MIN(YEAR($C$3)*12+MONTH($C$3),YEAR($I392)*12+MONTH($I392))-(YEAR($H392)*12+MONTH($H392))+1))</f>
        <v/>
      </c>
      <c r="M392" s="50">
        <f>IF($J392="",0,$K392*MAX(0,MIN(YEAR($C$3)*12+MONTH($C$3)-1,YEAR($I392)*12+MONTH($I392))-(YEAR($H392)*12+MONTH($H392))+1))</f>
        <v/>
      </c>
      <c r="N392" s="50">
        <f>IF(OR($J392="",$B392=""),0,IF(YEAR($B392)*12+MONTH($B392)&lt;=YEAR($C$3)*12+MONTH($C$3),$G392,0))</f>
        <v/>
      </c>
      <c r="O392" s="50">
        <f>IF(OR($J392="",$B392=""),0,IF(YEAR($B392)*12+MONTH($B392)&lt;=YEAR($C$3)*12+MONTH($C$3)-1,$G392,0))</f>
        <v/>
      </c>
      <c r="P392" s="50">
        <f>$M392-$O392</f>
        <v/>
      </c>
      <c r="Q392" s="50">
        <f>($L392-$M392)-($N392-$O392)</f>
        <v/>
      </c>
      <c r="R392" s="50">
        <f>$L392-$N392</f>
        <v/>
      </c>
    </row>
    <row r="393">
      <c r="A393" s="47">
        <f>ROW()-5</f>
        <v/>
      </c>
      <c r="B393" s="48">
        <f>IFERROR(INDEX(tbl_Finance[Date],$A393),"")</f>
        <v/>
      </c>
      <c r="C393" s="49">
        <f>IFERROR(INDEX(tbl_Finance[Xero Invoice No],$A393),"")</f>
        <v/>
      </c>
      <c r="D393" s="49">
        <f>IFERROR(INDEX(tbl_Finance[Client],$A393),"")</f>
        <v/>
      </c>
      <c r="E393" s="49">
        <f>IFERROR(INDEX(tbl_Finance[Job Number],$A393),"")</f>
        <v/>
      </c>
      <c r="F393" s="49">
        <f>IFERROR(INDEX(tbl_Finance[Cost Centre],$A393),"")</f>
        <v/>
      </c>
      <c r="G393" s="50">
        <f>IFERROR(INDEX(tbl_Finance[Ex GST],$A393),"")</f>
        <v/>
      </c>
      <c r="H393" s="48">
        <f>IFERROR(INDEX(tbl_Finance[Defer Start],$A393),"")</f>
        <v/>
      </c>
      <c r="I393" s="48">
        <f>IFERROR(INDEX(tbl_Finance[Defer End],$A393),"")</f>
        <v/>
      </c>
      <c r="J393" s="47">
        <f>IF(OR($H393="",$I393="",$G393=""),"",MAX(1,(YEAR($I393)-YEAR($H393))*12+MONTH($I393)-MONTH($H393)+1))</f>
        <v/>
      </c>
      <c r="K393" s="50">
        <f>IF($J393="","",$G393/$J393)</f>
        <v/>
      </c>
      <c r="L393" s="50">
        <f>IF($J393="",0,$K393*MAX(0,MIN(YEAR($C$3)*12+MONTH($C$3),YEAR($I393)*12+MONTH($I393))-(YEAR($H393)*12+MONTH($H393))+1))</f>
        <v/>
      </c>
      <c r="M393" s="50">
        <f>IF($J393="",0,$K393*MAX(0,MIN(YEAR($C$3)*12+MONTH($C$3)-1,YEAR($I393)*12+MONTH($I393))-(YEAR($H393)*12+MONTH($H393))+1))</f>
        <v/>
      </c>
      <c r="N393" s="50">
        <f>IF(OR($J393="",$B393=""),0,IF(YEAR($B393)*12+MONTH($B393)&lt;=YEAR($C$3)*12+MONTH($C$3),$G393,0))</f>
        <v/>
      </c>
      <c r="O393" s="50">
        <f>IF(OR($J393="",$B393=""),0,IF(YEAR($B393)*12+MONTH($B393)&lt;=YEAR($C$3)*12+MONTH($C$3)-1,$G393,0))</f>
        <v/>
      </c>
      <c r="P393" s="50">
        <f>$M393-$O393</f>
        <v/>
      </c>
      <c r="Q393" s="50">
        <f>($L393-$M393)-($N393-$O393)</f>
        <v/>
      </c>
      <c r="R393" s="50">
        <f>$L393-$N393</f>
        <v/>
      </c>
    </row>
    <row r="394">
      <c r="A394" s="47">
        <f>ROW()-5</f>
        <v/>
      </c>
      <c r="B394" s="48">
        <f>IFERROR(INDEX(tbl_Finance[Date],$A394),"")</f>
        <v/>
      </c>
      <c r="C394" s="49">
        <f>IFERROR(INDEX(tbl_Finance[Xero Invoice No],$A394),"")</f>
        <v/>
      </c>
      <c r="D394" s="49">
        <f>IFERROR(INDEX(tbl_Finance[Client],$A394),"")</f>
        <v/>
      </c>
      <c r="E394" s="49">
        <f>IFERROR(INDEX(tbl_Finance[Job Number],$A394),"")</f>
        <v/>
      </c>
      <c r="F394" s="49">
        <f>IFERROR(INDEX(tbl_Finance[Cost Centre],$A394),"")</f>
        <v/>
      </c>
      <c r="G394" s="50">
        <f>IFERROR(INDEX(tbl_Finance[Ex GST],$A394),"")</f>
        <v/>
      </c>
      <c r="H394" s="48">
        <f>IFERROR(INDEX(tbl_Finance[Defer Start],$A394),"")</f>
        <v/>
      </c>
      <c r="I394" s="48">
        <f>IFERROR(INDEX(tbl_Finance[Defer End],$A394),"")</f>
        <v/>
      </c>
      <c r="J394" s="47">
        <f>IF(OR($H394="",$I394="",$G394=""),"",MAX(1,(YEAR($I394)-YEAR($H394))*12+MONTH($I394)-MONTH($H394)+1))</f>
        <v/>
      </c>
      <c r="K394" s="50">
        <f>IF($J394="","",$G394/$J394)</f>
        <v/>
      </c>
      <c r="L394" s="50">
        <f>IF($J394="",0,$K394*MAX(0,MIN(YEAR($C$3)*12+MONTH($C$3),YEAR($I394)*12+MONTH($I394))-(YEAR($H394)*12+MONTH($H394))+1))</f>
        <v/>
      </c>
      <c r="M394" s="50">
        <f>IF($J394="",0,$K394*MAX(0,MIN(YEAR($C$3)*12+MONTH($C$3)-1,YEAR($I394)*12+MONTH($I394))-(YEAR($H394)*12+MONTH($H394))+1))</f>
        <v/>
      </c>
      <c r="N394" s="50">
        <f>IF(OR($J394="",$B394=""),0,IF(YEAR($B394)*12+MONTH($B394)&lt;=YEAR($C$3)*12+MONTH($C$3),$G394,0))</f>
        <v/>
      </c>
      <c r="O394" s="50">
        <f>IF(OR($J394="",$B394=""),0,IF(YEAR($B394)*12+MONTH($B394)&lt;=YEAR($C$3)*12+MONTH($C$3)-1,$G394,0))</f>
        <v/>
      </c>
      <c r="P394" s="50">
        <f>$M394-$O394</f>
        <v/>
      </c>
      <c r="Q394" s="50">
        <f>($L394-$M394)-($N394-$O394)</f>
        <v/>
      </c>
      <c r="R394" s="50">
        <f>$L394-$N394</f>
        <v/>
      </c>
    </row>
    <row r="395">
      <c r="A395" s="47">
        <f>ROW()-5</f>
        <v/>
      </c>
      <c r="B395" s="48">
        <f>IFERROR(INDEX(tbl_Finance[Date],$A395),"")</f>
        <v/>
      </c>
      <c r="C395" s="49">
        <f>IFERROR(INDEX(tbl_Finance[Xero Invoice No],$A395),"")</f>
        <v/>
      </c>
      <c r="D395" s="49">
        <f>IFERROR(INDEX(tbl_Finance[Client],$A395),"")</f>
        <v/>
      </c>
      <c r="E395" s="49">
        <f>IFERROR(INDEX(tbl_Finance[Job Number],$A395),"")</f>
        <v/>
      </c>
      <c r="F395" s="49">
        <f>IFERROR(INDEX(tbl_Finance[Cost Centre],$A395),"")</f>
        <v/>
      </c>
      <c r="G395" s="50">
        <f>IFERROR(INDEX(tbl_Finance[Ex GST],$A395),"")</f>
        <v/>
      </c>
      <c r="H395" s="48">
        <f>IFERROR(INDEX(tbl_Finance[Defer Start],$A395),"")</f>
        <v/>
      </c>
      <c r="I395" s="48">
        <f>IFERROR(INDEX(tbl_Finance[Defer End],$A395),"")</f>
        <v/>
      </c>
      <c r="J395" s="47">
        <f>IF(OR($H395="",$I395="",$G395=""),"",MAX(1,(YEAR($I395)-YEAR($H395))*12+MONTH($I395)-MONTH($H395)+1))</f>
        <v/>
      </c>
      <c r="K395" s="50">
        <f>IF($J395="","",$G395/$J395)</f>
        <v/>
      </c>
      <c r="L395" s="50">
        <f>IF($J395="",0,$K395*MAX(0,MIN(YEAR($C$3)*12+MONTH($C$3),YEAR($I395)*12+MONTH($I395))-(YEAR($H395)*12+MONTH($H395))+1))</f>
        <v/>
      </c>
      <c r="M395" s="50">
        <f>IF($J395="",0,$K395*MAX(0,MIN(YEAR($C$3)*12+MONTH($C$3)-1,YEAR($I395)*12+MONTH($I395))-(YEAR($H395)*12+MONTH($H395))+1))</f>
        <v/>
      </c>
      <c r="N395" s="50">
        <f>IF(OR($J395="",$B395=""),0,IF(YEAR($B395)*12+MONTH($B395)&lt;=YEAR($C$3)*12+MONTH($C$3),$G395,0))</f>
        <v/>
      </c>
      <c r="O395" s="50">
        <f>IF(OR($J395="",$B395=""),0,IF(YEAR($B395)*12+MONTH($B395)&lt;=YEAR($C$3)*12+MONTH($C$3)-1,$G395,0))</f>
        <v/>
      </c>
      <c r="P395" s="50">
        <f>$M395-$O395</f>
        <v/>
      </c>
      <c r="Q395" s="50">
        <f>($L395-$M395)-($N395-$O395)</f>
        <v/>
      </c>
      <c r="R395" s="50">
        <f>$L395-$N395</f>
        <v/>
      </c>
    </row>
    <row r="396">
      <c r="A396" s="47">
        <f>ROW()-5</f>
        <v/>
      </c>
      <c r="B396" s="48">
        <f>IFERROR(INDEX(tbl_Finance[Date],$A396),"")</f>
        <v/>
      </c>
      <c r="C396" s="49">
        <f>IFERROR(INDEX(tbl_Finance[Xero Invoice No],$A396),"")</f>
        <v/>
      </c>
      <c r="D396" s="49">
        <f>IFERROR(INDEX(tbl_Finance[Client],$A396),"")</f>
        <v/>
      </c>
      <c r="E396" s="49">
        <f>IFERROR(INDEX(tbl_Finance[Job Number],$A396),"")</f>
        <v/>
      </c>
      <c r="F396" s="49">
        <f>IFERROR(INDEX(tbl_Finance[Cost Centre],$A396),"")</f>
        <v/>
      </c>
      <c r="G396" s="50">
        <f>IFERROR(INDEX(tbl_Finance[Ex GST],$A396),"")</f>
        <v/>
      </c>
      <c r="H396" s="48">
        <f>IFERROR(INDEX(tbl_Finance[Defer Start],$A396),"")</f>
        <v/>
      </c>
      <c r="I396" s="48">
        <f>IFERROR(INDEX(tbl_Finance[Defer End],$A396),"")</f>
        <v/>
      </c>
      <c r="J396" s="47">
        <f>IF(OR($H396="",$I396="",$G396=""),"",MAX(1,(YEAR($I396)-YEAR($H396))*12+MONTH($I396)-MONTH($H396)+1))</f>
        <v/>
      </c>
      <c r="K396" s="50">
        <f>IF($J396="","",$G396/$J396)</f>
        <v/>
      </c>
      <c r="L396" s="50">
        <f>IF($J396="",0,$K396*MAX(0,MIN(YEAR($C$3)*12+MONTH($C$3),YEAR($I396)*12+MONTH($I396))-(YEAR($H396)*12+MONTH($H396))+1))</f>
        <v/>
      </c>
      <c r="M396" s="50">
        <f>IF($J396="",0,$K396*MAX(0,MIN(YEAR($C$3)*12+MONTH($C$3)-1,YEAR($I396)*12+MONTH($I396))-(YEAR($H396)*12+MONTH($H396))+1))</f>
        <v/>
      </c>
      <c r="N396" s="50">
        <f>IF(OR($J396="",$B396=""),0,IF(YEAR($B396)*12+MONTH($B396)&lt;=YEAR($C$3)*12+MONTH($C$3),$G396,0))</f>
        <v/>
      </c>
      <c r="O396" s="50">
        <f>IF(OR($J396="",$B396=""),0,IF(YEAR($B396)*12+MONTH($B396)&lt;=YEAR($C$3)*12+MONTH($C$3)-1,$G396,0))</f>
        <v/>
      </c>
      <c r="P396" s="50">
        <f>$M396-$O396</f>
        <v/>
      </c>
      <c r="Q396" s="50">
        <f>($L396-$M396)-($N396-$O396)</f>
        <v/>
      </c>
      <c r="R396" s="50">
        <f>$L396-$N396</f>
        <v/>
      </c>
    </row>
    <row r="397">
      <c r="A397" s="47">
        <f>ROW()-5</f>
        <v/>
      </c>
      <c r="B397" s="48">
        <f>IFERROR(INDEX(tbl_Finance[Date],$A397),"")</f>
        <v/>
      </c>
      <c r="C397" s="49">
        <f>IFERROR(INDEX(tbl_Finance[Xero Invoice No],$A397),"")</f>
        <v/>
      </c>
      <c r="D397" s="49">
        <f>IFERROR(INDEX(tbl_Finance[Client],$A397),"")</f>
        <v/>
      </c>
      <c r="E397" s="49">
        <f>IFERROR(INDEX(tbl_Finance[Job Number],$A397),"")</f>
        <v/>
      </c>
      <c r="F397" s="49">
        <f>IFERROR(INDEX(tbl_Finance[Cost Centre],$A397),"")</f>
        <v/>
      </c>
      <c r="G397" s="50">
        <f>IFERROR(INDEX(tbl_Finance[Ex GST],$A397),"")</f>
        <v/>
      </c>
      <c r="H397" s="48">
        <f>IFERROR(INDEX(tbl_Finance[Defer Start],$A397),"")</f>
        <v/>
      </c>
      <c r="I397" s="48">
        <f>IFERROR(INDEX(tbl_Finance[Defer End],$A397),"")</f>
        <v/>
      </c>
      <c r="J397" s="47">
        <f>IF(OR($H397="",$I397="",$G397=""),"",MAX(1,(YEAR($I397)-YEAR($H397))*12+MONTH($I397)-MONTH($H397)+1))</f>
        <v/>
      </c>
      <c r="K397" s="50">
        <f>IF($J397="","",$G397/$J397)</f>
        <v/>
      </c>
      <c r="L397" s="50">
        <f>IF($J397="",0,$K397*MAX(0,MIN(YEAR($C$3)*12+MONTH($C$3),YEAR($I397)*12+MONTH($I397))-(YEAR($H397)*12+MONTH($H397))+1))</f>
        <v/>
      </c>
      <c r="M397" s="50">
        <f>IF($J397="",0,$K397*MAX(0,MIN(YEAR($C$3)*12+MONTH($C$3)-1,YEAR($I397)*12+MONTH($I397))-(YEAR($H397)*12+MONTH($H397))+1))</f>
        <v/>
      </c>
      <c r="N397" s="50">
        <f>IF(OR($J397="",$B397=""),0,IF(YEAR($B397)*12+MONTH($B397)&lt;=YEAR($C$3)*12+MONTH($C$3),$G397,0))</f>
        <v/>
      </c>
      <c r="O397" s="50">
        <f>IF(OR($J397="",$B397=""),0,IF(YEAR($B397)*12+MONTH($B397)&lt;=YEAR($C$3)*12+MONTH($C$3)-1,$G397,0))</f>
        <v/>
      </c>
      <c r="P397" s="50">
        <f>$M397-$O397</f>
        <v/>
      </c>
      <c r="Q397" s="50">
        <f>($L397-$M397)-($N397-$O397)</f>
        <v/>
      </c>
      <c r="R397" s="50">
        <f>$L397-$N397</f>
        <v/>
      </c>
    </row>
    <row r="398">
      <c r="A398" s="47">
        <f>ROW()-5</f>
        <v/>
      </c>
      <c r="B398" s="48">
        <f>IFERROR(INDEX(tbl_Finance[Date],$A398),"")</f>
        <v/>
      </c>
      <c r="C398" s="49">
        <f>IFERROR(INDEX(tbl_Finance[Xero Invoice No],$A398),"")</f>
        <v/>
      </c>
      <c r="D398" s="49">
        <f>IFERROR(INDEX(tbl_Finance[Client],$A398),"")</f>
        <v/>
      </c>
      <c r="E398" s="49">
        <f>IFERROR(INDEX(tbl_Finance[Job Number],$A398),"")</f>
        <v/>
      </c>
      <c r="F398" s="49">
        <f>IFERROR(INDEX(tbl_Finance[Cost Centre],$A398),"")</f>
        <v/>
      </c>
      <c r="G398" s="50">
        <f>IFERROR(INDEX(tbl_Finance[Ex GST],$A398),"")</f>
        <v/>
      </c>
      <c r="H398" s="48">
        <f>IFERROR(INDEX(tbl_Finance[Defer Start],$A398),"")</f>
        <v/>
      </c>
      <c r="I398" s="48">
        <f>IFERROR(INDEX(tbl_Finance[Defer End],$A398),"")</f>
        <v/>
      </c>
      <c r="J398" s="47">
        <f>IF(OR($H398="",$I398="",$G398=""),"",MAX(1,(YEAR($I398)-YEAR($H398))*12+MONTH($I398)-MONTH($H398)+1))</f>
        <v/>
      </c>
      <c r="K398" s="50">
        <f>IF($J398="","",$G398/$J398)</f>
        <v/>
      </c>
      <c r="L398" s="50">
        <f>IF($J398="",0,$K398*MAX(0,MIN(YEAR($C$3)*12+MONTH($C$3),YEAR($I398)*12+MONTH($I398))-(YEAR($H398)*12+MONTH($H398))+1))</f>
        <v/>
      </c>
      <c r="M398" s="50">
        <f>IF($J398="",0,$K398*MAX(0,MIN(YEAR($C$3)*12+MONTH($C$3)-1,YEAR($I398)*12+MONTH($I398))-(YEAR($H398)*12+MONTH($H398))+1))</f>
        <v/>
      </c>
      <c r="N398" s="50">
        <f>IF(OR($J398="",$B398=""),0,IF(YEAR($B398)*12+MONTH($B398)&lt;=YEAR($C$3)*12+MONTH($C$3),$G398,0))</f>
        <v/>
      </c>
      <c r="O398" s="50">
        <f>IF(OR($J398="",$B398=""),0,IF(YEAR($B398)*12+MONTH($B398)&lt;=YEAR($C$3)*12+MONTH($C$3)-1,$G398,0))</f>
        <v/>
      </c>
      <c r="P398" s="50">
        <f>$M398-$O398</f>
        <v/>
      </c>
      <c r="Q398" s="50">
        <f>($L398-$M398)-($N398-$O398)</f>
        <v/>
      </c>
      <c r="R398" s="50">
        <f>$L398-$N398</f>
        <v/>
      </c>
    </row>
    <row r="399">
      <c r="A399" s="47">
        <f>ROW()-5</f>
        <v/>
      </c>
      <c r="B399" s="48">
        <f>IFERROR(INDEX(tbl_Finance[Date],$A399),"")</f>
        <v/>
      </c>
      <c r="C399" s="49">
        <f>IFERROR(INDEX(tbl_Finance[Xero Invoice No],$A399),"")</f>
        <v/>
      </c>
      <c r="D399" s="49">
        <f>IFERROR(INDEX(tbl_Finance[Client],$A399),"")</f>
        <v/>
      </c>
      <c r="E399" s="49">
        <f>IFERROR(INDEX(tbl_Finance[Job Number],$A399),"")</f>
        <v/>
      </c>
      <c r="F399" s="49">
        <f>IFERROR(INDEX(tbl_Finance[Cost Centre],$A399),"")</f>
        <v/>
      </c>
      <c r="G399" s="50">
        <f>IFERROR(INDEX(tbl_Finance[Ex GST],$A399),"")</f>
        <v/>
      </c>
      <c r="H399" s="48">
        <f>IFERROR(INDEX(tbl_Finance[Defer Start],$A399),"")</f>
        <v/>
      </c>
      <c r="I399" s="48">
        <f>IFERROR(INDEX(tbl_Finance[Defer End],$A399),"")</f>
        <v/>
      </c>
      <c r="J399" s="47">
        <f>IF(OR($H399="",$I399="",$G399=""),"",MAX(1,(YEAR($I399)-YEAR($H399))*12+MONTH($I399)-MONTH($H399)+1))</f>
        <v/>
      </c>
      <c r="K399" s="50">
        <f>IF($J399="","",$G399/$J399)</f>
        <v/>
      </c>
      <c r="L399" s="50">
        <f>IF($J399="",0,$K399*MAX(0,MIN(YEAR($C$3)*12+MONTH($C$3),YEAR($I399)*12+MONTH($I399))-(YEAR($H399)*12+MONTH($H399))+1))</f>
        <v/>
      </c>
      <c r="M399" s="50">
        <f>IF($J399="",0,$K399*MAX(0,MIN(YEAR($C$3)*12+MONTH($C$3)-1,YEAR($I399)*12+MONTH($I399))-(YEAR($H399)*12+MONTH($H399))+1))</f>
        <v/>
      </c>
      <c r="N399" s="50">
        <f>IF(OR($J399="",$B399=""),0,IF(YEAR($B399)*12+MONTH($B399)&lt;=YEAR($C$3)*12+MONTH($C$3),$G399,0))</f>
        <v/>
      </c>
      <c r="O399" s="50">
        <f>IF(OR($J399="",$B399=""),0,IF(YEAR($B399)*12+MONTH($B399)&lt;=YEAR($C$3)*12+MONTH($C$3)-1,$G399,0))</f>
        <v/>
      </c>
      <c r="P399" s="50">
        <f>$M399-$O399</f>
        <v/>
      </c>
      <c r="Q399" s="50">
        <f>($L399-$M399)-($N399-$O399)</f>
        <v/>
      </c>
      <c r="R399" s="50">
        <f>$L399-$N399</f>
        <v/>
      </c>
    </row>
    <row r="400">
      <c r="A400" s="47">
        <f>ROW()-5</f>
        <v/>
      </c>
      <c r="B400" s="48">
        <f>IFERROR(INDEX(tbl_Finance[Date],$A400),"")</f>
        <v/>
      </c>
      <c r="C400" s="49">
        <f>IFERROR(INDEX(tbl_Finance[Xero Invoice No],$A400),"")</f>
        <v/>
      </c>
      <c r="D400" s="49">
        <f>IFERROR(INDEX(tbl_Finance[Client],$A400),"")</f>
        <v/>
      </c>
      <c r="E400" s="49">
        <f>IFERROR(INDEX(tbl_Finance[Job Number],$A400),"")</f>
        <v/>
      </c>
      <c r="F400" s="49">
        <f>IFERROR(INDEX(tbl_Finance[Cost Centre],$A400),"")</f>
        <v/>
      </c>
      <c r="G400" s="50">
        <f>IFERROR(INDEX(tbl_Finance[Ex GST],$A400),"")</f>
        <v/>
      </c>
      <c r="H400" s="48">
        <f>IFERROR(INDEX(tbl_Finance[Defer Start],$A400),"")</f>
        <v/>
      </c>
      <c r="I400" s="48">
        <f>IFERROR(INDEX(tbl_Finance[Defer End],$A400),"")</f>
        <v/>
      </c>
      <c r="J400" s="47">
        <f>IF(OR($H400="",$I400="",$G400=""),"",MAX(1,(YEAR($I400)-YEAR($H400))*12+MONTH($I400)-MONTH($H400)+1))</f>
        <v/>
      </c>
      <c r="K400" s="50">
        <f>IF($J400="","",$G400/$J400)</f>
        <v/>
      </c>
      <c r="L400" s="50">
        <f>IF($J400="",0,$K400*MAX(0,MIN(YEAR($C$3)*12+MONTH($C$3),YEAR($I400)*12+MONTH($I400))-(YEAR($H400)*12+MONTH($H400))+1))</f>
        <v/>
      </c>
      <c r="M400" s="50">
        <f>IF($J400="",0,$K400*MAX(0,MIN(YEAR($C$3)*12+MONTH($C$3)-1,YEAR($I400)*12+MONTH($I400))-(YEAR($H400)*12+MONTH($H400))+1))</f>
        <v/>
      </c>
      <c r="N400" s="50">
        <f>IF(OR($J400="",$B400=""),0,IF(YEAR($B400)*12+MONTH($B400)&lt;=YEAR($C$3)*12+MONTH($C$3),$G400,0))</f>
        <v/>
      </c>
      <c r="O400" s="50">
        <f>IF(OR($J400="",$B400=""),0,IF(YEAR($B400)*12+MONTH($B400)&lt;=YEAR($C$3)*12+MONTH($C$3)-1,$G400,0))</f>
        <v/>
      </c>
      <c r="P400" s="50">
        <f>$M400-$O400</f>
        <v/>
      </c>
      <c r="Q400" s="50">
        <f>($L400-$M400)-($N400-$O400)</f>
        <v/>
      </c>
      <c r="R400" s="50">
        <f>$L400-$N400</f>
        <v/>
      </c>
    </row>
    <row r="401">
      <c r="A401" s="47">
        <f>ROW()-5</f>
        <v/>
      </c>
      <c r="B401" s="48">
        <f>IFERROR(INDEX(tbl_Finance[Date],$A401),"")</f>
        <v/>
      </c>
      <c r="C401" s="49">
        <f>IFERROR(INDEX(tbl_Finance[Xero Invoice No],$A401),"")</f>
        <v/>
      </c>
      <c r="D401" s="49">
        <f>IFERROR(INDEX(tbl_Finance[Client],$A401),"")</f>
        <v/>
      </c>
      <c r="E401" s="49">
        <f>IFERROR(INDEX(tbl_Finance[Job Number],$A401),"")</f>
        <v/>
      </c>
      <c r="F401" s="49">
        <f>IFERROR(INDEX(tbl_Finance[Cost Centre],$A401),"")</f>
        <v/>
      </c>
      <c r="G401" s="50">
        <f>IFERROR(INDEX(tbl_Finance[Ex GST],$A401),"")</f>
        <v/>
      </c>
      <c r="H401" s="48">
        <f>IFERROR(INDEX(tbl_Finance[Defer Start],$A401),"")</f>
        <v/>
      </c>
      <c r="I401" s="48">
        <f>IFERROR(INDEX(tbl_Finance[Defer End],$A401),"")</f>
        <v/>
      </c>
      <c r="J401" s="47">
        <f>IF(OR($H401="",$I401="",$G401=""),"",MAX(1,(YEAR($I401)-YEAR($H401))*12+MONTH($I401)-MONTH($H401)+1))</f>
        <v/>
      </c>
      <c r="K401" s="50">
        <f>IF($J401="","",$G401/$J401)</f>
        <v/>
      </c>
      <c r="L401" s="50">
        <f>IF($J401="",0,$K401*MAX(0,MIN(YEAR($C$3)*12+MONTH($C$3),YEAR($I401)*12+MONTH($I401))-(YEAR($H401)*12+MONTH($H401))+1))</f>
        <v/>
      </c>
      <c r="M401" s="50">
        <f>IF($J401="",0,$K401*MAX(0,MIN(YEAR($C$3)*12+MONTH($C$3)-1,YEAR($I401)*12+MONTH($I401))-(YEAR($H401)*12+MONTH($H401))+1))</f>
        <v/>
      </c>
      <c r="N401" s="50">
        <f>IF(OR($J401="",$B401=""),0,IF(YEAR($B401)*12+MONTH($B401)&lt;=YEAR($C$3)*12+MONTH($C$3),$G401,0))</f>
        <v/>
      </c>
      <c r="O401" s="50">
        <f>IF(OR($J401="",$B401=""),0,IF(YEAR($B401)*12+MONTH($B401)&lt;=YEAR($C$3)*12+MONTH($C$3)-1,$G401,0))</f>
        <v/>
      </c>
      <c r="P401" s="50">
        <f>$M401-$O401</f>
        <v/>
      </c>
      <c r="Q401" s="50">
        <f>($L401-$M401)-($N401-$O401)</f>
        <v/>
      </c>
      <c r="R401" s="50">
        <f>$L401-$N401</f>
        <v/>
      </c>
    </row>
    <row r="402">
      <c r="A402" s="47">
        <f>ROW()-5</f>
        <v/>
      </c>
      <c r="B402" s="48">
        <f>IFERROR(INDEX(tbl_Finance[Date],$A402),"")</f>
        <v/>
      </c>
      <c r="C402" s="49">
        <f>IFERROR(INDEX(tbl_Finance[Xero Invoice No],$A402),"")</f>
        <v/>
      </c>
      <c r="D402" s="49">
        <f>IFERROR(INDEX(tbl_Finance[Client],$A402),"")</f>
        <v/>
      </c>
      <c r="E402" s="49">
        <f>IFERROR(INDEX(tbl_Finance[Job Number],$A402),"")</f>
        <v/>
      </c>
      <c r="F402" s="49">
        <f>IFERROR(INDEX(tbl_Finance[Cost Centre],$A402),"")</f>
        <v/>
      </c>
      <c r="G402" s="50">
        <f>IFERROR(INDEX(tbl_Finance[Ex GST],$A402),"")</f>
        <v/>
      </c>
      <c r="H402" s="48">
        <f>IFERROR(INDEX(tbl_Finance[Defer Start],$A402),"")</f>
        <v/>
      </c>
      <c r="I402" s="48">
        <f>IFERROR(INDEX(tbl_Finance[Defer End],$A402),"")</f>
        <v/>
      </c>
      <c r="J402" s="47">
        <f>IF(OR($H402="",$I402="",$G402=""),"",MAX(1,(YEAR($I402)-YEAR($H402))*12+MONTH($I402)-MONTH($H402)+1))</f>
        <v/>
      </c>
      <c r="K402" s="50">
        <f>IF($J402="","",$G402/$J402)</f>
        <v/>
      </c>
      <c r="L402" s="50">
        <f>IF($J402="",0,$K402*MAX(0,MIN(YEAR($C$3)*12+MONTH($C$3),YEAR($I402)*12+MONTH($I402))-(YEAR($H402)*12+MONTH($H402))+1))</f>
        <v/>
      </c>
      <c r="M402" s="50">
        <f>IF($J402="",0,$K402*MAX(0,MIN(YEAR($C$3)*12+MONTH($C$3)-1,YEAR($I402)*12+MONTH($I402))-(YEAR($H402)*12+MONTH($H402))+1))</f>
        <v/>
      </c>
      <c r="N402" s="50">
        <f>IF(OR($J402="",$B402=""),0,IF(YEAR($B402)*12+MONTH($B402)&lt;=YEAR($C$3)*12+MONTH($C$3),$G402,0))</f>
        <v/>
      </c>
      <c r="O402" s="50">
        <f>IF(OR($J402="",$B402=""),0,IF(YEAR($B402)*12+MONTH($B402)&lt;=YEAR($C$3)*12+MONTH($C$3)-1,$G402,0))</f>
        <v/>
      </c>
      <c r="P402" s="50">
        <f>$M402-$O402</f>
        <v/>
      </c>
      <c r="Q402" s="50">
        <f>($L402-$M402)-($N402-$O402)</f>
        <v/>
      </c>
      <c r="R402" s="50">
        <f>$L402-$N402</f>
        <v/>
      </c>
    </row>
    <row r="403">
      <c r="A403" s="47">
        <f>ROW()-5</f>
        <v/>
      </c>
      <c r="B403" s="48">
        <f>IFERROR(INDEX(tbl_Finance[Date],$A403),"")</f>
        <v/>
      </c>
      <c r="C403" s="49">
        <f>IFERROR(INDEX(tbl_Finance[Xero Invoice No],$A403),"")</f>
        <v/>
      </c>
      <c r="D403" s="49">
        <f>IFERROR(INDEX(tbl_Finance[Client],$A403),"")</f>
        <v/>
      </c>
      <c r="E403" s="49">
        <f>IFERROR(INDEX(tbl_Finance[Job Number],$A403),"")</f>
        <v/>
      </c>
      <c r="F403" s="49">
        <f>IFERROR(INDEX(tbl_Finance[Cost Centre],$A403),"")</f>
        <v/>
      </c>
      <c r="G403" s="50">
        <f>IFERROR(INDEX(tbl_Finance[Ex GST],$A403),"")</f>
        <v/>
      </c>
      <c r="H403" s="48">
        <f>IFERROR(INDEX(tbl_Finance[Defer Start],$A403),"")</f>
        <v/>
      </c>
      <c r="I403" s="48">
        <f>IFERROR(INDEX(tbl_Finance[Defer End],$A403),"")</f>
        <v/>
      </c>
      <c r="J403" s="47">
        <f>IF(OR($H403="",$I403="",$G403=""),"",MAX(1,(YEAR($I403)-YEAR($H403))*12+MONTH($I403)-MONTH($H403)+1))</f>
        <v/>
      </c>
      <c r="K403" s="50">
        <f>IF($J403="","",$G403/$J403)</f>
        <v/>
      </c>
      <c r="L403" s="50">
        <f>IF($J403="",0,$K403*MAX(0,MIN(YEAR($C$3)*12+MONTH($C$3),YEAR($I403)*12+MONTH($I403))-(YEAR($H403)*12+MONTH($H403))+1))</f>
        <v/>
      </c>
      <c r="M403" s="50">
        <f>IF($J403="",0,$K403*MAX(0,MIN(YEAR($C$3)*12+MONTH($C$3)-1,YEAR($I403)*12+MONTH($I403))-(YEAR($H403)*12+MONTH($H403))+1))</f>
        <v/>
      </c>
      <c r="N403" s="50">
        <f>IF(OR($J403="",$B403=""),0,IF(YEAR($B403)*12+MONTH($B403)&lt;=YEAR($C$3)*12+MONTH($C$3),$G403,0))</f>
        <v/>
      </c>
      <c r="O403" s="50">
        <f>IF(OR($J403="",$B403=""),0,IF(YEAR($B403)*12+MONTH($B403)&lt;=YEAR($C$3)*12+MONTH($C$3)-1,$G403,0))</f>
        <v/>
      </c>
      <c r="P403" s="50">
        <f>$M403-$O403</f>
        <v/>
      </c>
      <c r="Q403" s="50">
        <f>($L403-$M403)-($N403-$O403)</f>
        <v/>
      </c>
      <c r="R403" s="50">
        <f>$L403-$N403</f>
        <v/>
      </c>
    </row>
    <row r="404">
      <c r="A404" s="47">
        <f>ROW()-5</f>
        <v/>
      </c>
      <c r="B404" s="48">
        <f>IFERROR(INDEX(tbl_Finance[Date],$A404),"")</f>
        <v/>
      </c>
      <c r="C404" s="49">
        <f>IFERROR(INDEX(tbl_Finance[Xero Invoice No],$A404),"")</f>
        <v/>
      </c>
      <c r="D404" s="49">
        <f>IFERROR(INDEX(tbl_Finance[Client],$A404),"")</f>
        <v/>
      </c>
      <c r="E404" s="49">
        <f>IFERROR(INDEX(tbl_Finance[Job Number],$A404),"")</f>
        <v/>
      </c>
      <c r="F404" s="49">
        <f>IFERROR(INDEX(tbl_Finance[Cost Centre],$A404),"")</f>
        <v/>
      </c>
      <c r="G404" s="50">
        <f>IFERROR(INDEX(tbl_Finance[Ex GST],$A404),"")</f>
        <v/>
      </c>
      <c r="H404" s="48">
        <f>IFERROR(INDEX(tbl_Finance[Defer Start],$A404),"")</f>
        <v/>
      </c>
      <c r="I404" s="48">
        <f>IFERROR(INDEX(tbl_Finance[Defer End],$A404),"")</f>
        <v/>
      </c>
      <c r="J404" s="47">
        <f>IF(OR($H404="",$I404="",$G404=""),"",MAX(1,(YEAR($I404)-YEAR($H404))*12+MONTH($I404)-MONTH($H404)+1))</f>
        <v/>
      </c>
      <c r="K404" s="50">
        <f>IF($J404="","",$G404/$J404)</f>
        <v/>
      </c>
      <c r="L404" s="50">
        <f>IF($J404="",0,$K404*MAX(0,MIN(YEAR($C$3)*12+MONTH($C$3),YEAR($I404)*12+MONTH($I404))-(YEAR($H404)*12+MONTH($H404))+1))</f>
        <v/>
      </c>
      <c r="M404" s="50">
        <f>IF($J404="",0,$K404*MAX(0,MIN(YEAR($C$3)*12+MONTH($C$3)-1,YEAR($I404)*12+MONTH($I404))-(YEAR($H404)*12+MONTH($H404))+1))</f>
        <v/>
      </c>
      <c r="N404" s="50">
        <f>IF(OR($J404="",$B404=""),0,IF(YEAR($B404)*12+MONTH($B404)&lt;=YEAR($C$3)*12+MONTH($C$3),$G404,0))</f>
        <v/>
      </c>
      <c r="O404" s="50">
        <f>IF(OR($J404="",$B404=""),0,IF(YEAR($B404)*12+MONTH($B404)&lt;=YEAR($C$3)*12+MONTH($C$3)-1,$G404,0))</f>
        <v/>
      </c>
      <c r="P404" s="50">
        <f>$M404-$O404</f>
        <v/>
      </c>
      <c r="Q404" s="50">
        <f>($L404-$M404)-($N404-$O404)</f>
        <v/>
      </c>
      <c r="R404" s="50">
        <f>$L404-$N404</f>
        <v/>
      </c>
    </row>
    <row r="405">
      <c r="A405" s="47">
        <f>ROW()-5</f>
        <v/>
      </c>
      <c r="B405" s="48">
        <f>IFERROR(INDEX(tbl_Finance[Date],$A405),"")</f>
        <v/>
      </c>
      <c r="C405" s="49">
        <f>IFERROR(INDEX(tbl_Finance[Xero Invoice No],$A405),"")</f>
        <v/>
      </c>
      <c r="D405" s="49">
        <f>IFERROR(INDEX(tbl_Finance[Client],$A405),"")</f>
        <v/>
      </c>
      <c r="E405" s="49">
        <f>IFERROR(INDEX(tbl_Finance[Job Number],$A405),"")</f>
        <v/>
      </c>
      <c r="F405" s="49">
        <f>IFERROR(INDEX(tbl_Finance[Cost Centre],$A405),"")</f>
        <v/>
      </c>
      <c r="G405" s="50">
        <f>IFERROR(INDEX(tbl_Finance[Ex GST],$A405),"")</f>
        <v/>
      </c>
      <c r="H405" s="48">
        <f>IFERROR(INDEX(tbl_Finance[Defer Start],$A405),"")</f>
        <v/>
      </c>
      <c r="I405" s="48">
        <f>IFERROR(INDEX(tbl_Finance[Defer End],$A405),"")</f>
        <v/>
      </c>
      <c r="J405" s="47">
        <f>IF(OR($H405="",$I405="",$G405=""),"",MAX(1,(YEAR($I405)-YEAR($H405))*12+MONTH($I405)-MONTH($H405)+1))</f>
        <v/>
      </c>
      <c r="K405" s="50">
        <f>IF($J405="","",$G405/$J405)</f>
        <v/>
      </c>
      <c r="L405" s="50">
        <f>IF($J405="",0,$K405*MAX(0,MIN(YEAR($C$3)*12+MONTH($C$3),YEAR($I405)*12+MONTH($I405))-(YEAR($H405)*12+MONTH($H405))+1))</f>
        <v/>
      </c>
      <c r="M405" s="50">
        <f>IF($J405="",0,$K405*MAX(0,MIN(YEAR($C$3)*12+MONTH($C$3)-1,YEAR($I405)*12+MONTH($I405))-(YEAR($H405)*12+MONTH($H405))+1))</f>
        <v/>
      </c>
      <c r="N405" s="50">
        <f>IF(OR($J405="",$B405=""),0,IF(YEAR($B405)*12+MONTH($B405)&lt;=YEAR($C$3)*12+MONTH($C$3),$G405,0))</f>
        <v/>
      </c>
      <c r="O405" s="50">
        <f>IF(OR($J405="",$B405=""),0,IF(YEAR($B405)*12+MONTH($B405)&lt;=YEAR($C$3)*12+MONTH($C$3)-1,$G405,0))</f>
        <v/>
      </c>
      <c r="P405" s="50">
        <f>$M405-$O405</f>
        <v/>
      </c>
      <c r="Q405" s="50">
        <f>($L405-$M405)-($N405-$O405)</f>
        <v/>
      </c>
      <c r="R405" s="50">
        <f>$L405-$N405</f>
        <v/>
      </c>
    </row>
    <row r="406">
      <c r="A406" s="47">
        <f>ROW()-5</f>
        <v/>
      </c>
      <c r="B406" s="48">
        <f>IFERROR(INDEX(tbl_Finance[Date],$A406),"")</f>
        <v/>
      </c>
      <c r="C406" s="49">
        <f>IFERROR(INDEX(tbl_Finance[Xero Invoice No],$A406),"")</f>
        <v/>
      </c>
      <c r="D406" s="49">
        <f>IFERROR(INDEX(tbl_Finance[Client],$A406),"")</f>
        <v/>
      </c>
      <c r="E406" s="49">
        <f>IFERROR(INDEX(tbl_Finance[Job Number],$A406),"")</f>
        <v/>
      </c>
      <c r="F406" s="49">
        <f>IFERROR(INDEX(tbl_Finance[Cost Centre],$A406),"")</f>
        <v/>
      </c>
      <c r="G406" s="50">
        <f>IFERROR(INDEX(tbl_Finance[Ex GST],$A406),"")</f>
        <v/>
      </c>
      <c r="H406" s="48">
        <f>IFERROR(INDEX(tbl_Finance[Defer Start],$A406),"")</f>
        <v/>
      </c>
      <c r="I406" s="48">
        <f>IFERROR(INDEX(tbl_Finance[Defer End],$A406),"")</f>
        <v/>
      </c>
      <c r="J406" s="47">
        <f>IF(OR($H406="",$I406="",$G406=""),"",MAX(1,(YEAR($I406)-YEAR($H406))*12+MONTH($I406)-MONTH($H406)+1))</f>
        <v/>
      </c>
      <c r="K406" s="50">
        <f>IF($J406="","",$G406/$J406)</f>
        <v/>
      </c>
      <c r="L406" s="50">
        <f>IF($J406="",0,$K406*MAX(0,MIN(YEAR($C$3)*12+MONTH($C$3),YEAR($I406)*12+MONTH($I406))-(YEAR($H406)*12+MONTH($H406))+1))</f>
        <v/>
      </c>
      <c r="M406" s="50">
        <f>IF($J406="",0,$K406*MAX(0,MIN(YEAR($C$3)*12+MONTH($C$3)-1,YEAR($I406)*12+MONTH($I406))-(YEAR($H406)*12+MONTH($H406))+1))</f>
        <v/>
      </c>
      <c r="N406" s="50">
        <f>IF(OR($J406="",$B406=""),0,IF(YEAR($B406)*12+MONTH($B406)&lt;=YEAR($C$3)*12+MONTH($C$3),$G406,0))</f>
        <v/>
      </c>
      <c r="O406" s="50">
        <f>IF(OR($J406="",$B406=""),0,IF(YEAR($B406)*12+MONTH($B406)&lt;=YEAR($C$3)*12+MONTH($C$3)-1,$G406,0))</f>
        <v/>
      </c>
      <c r="P406" s="50">
        <f>$M406-$O406</f>
        <v/>
      </c>
      <c r="Q406" s="50">
        <f>($L406-$M406)-($N406-$O406)</f>
        <v/>
      </c>
      <c r="R406" s="50">
        <f>$L406-$N406</f>
        <v/>
      </c>
    </row>
    <row r="407">
      <c r="A407" s="47">
        <f>ROW()-5</f>
        <v/>
      </c>
      <c r="B407" s="48">
        <f>IFERROR(INDEX(tbl_Finance[Date],$A407),"")</f>
        <v/>
      </c>
      <c r="C407" s="49">
        <f>IFERROR(INDEX(tbl_Finance[Xero Invoice No],$A407),"")</f>
        <v/>
      </c>
      <c r="D407" s="49">
        <f>IFERROR(INDEX(tbl_Finance[Client],$A407),"")</f>
        <v/>
      </c>
      <c r="E407" s="49">
        <f>IFERROR(INDEX(tbl_Finance[Job Number],$A407),"")</f>
        <v/>
      </c>
      <c r="F407" s="49">
        <f>IFERROR(INDEX(tbl_Finance[Cost Centre],$A407),"")</f>
        <v/>
      </c>
      <c r="G407" s="50">
        <f>IFERROR(INDEX(tbl_Finance[Ex GST],$A407),"")</f>
        <v/>
      </c>
      <c r="H407" s="48">
        <f>IFERROR(INDEX(tbl_Finance[Defer Start],$A407),"")</f>
        <v/>
      </c>
      <c r="I407" s="48">
        <f>IFERROR(INDEX(tbl_Finance[Defer End],$A407),"")</f>
        <v/>
      </c>
      <c r="J407" s="47">
        <f>IF(OR($H407="",$I407="",$G407=""),"",MAX(1,(YEAR($I407)-YEAR($H407))*12+MONTH($I407)-MONTH($H407)+1))</f>
        <v/>
      </c>
      <c r="K407" s="50">
        <f>IF($J407="","",$G407/$J407)</f>
        <v/>
      </c>
      <c r="L407" s="50">
        <f>IF($J407="",0,$K407*MAX(0,MIN(YEAR($C$3)*12+MONTH($C$3),YEAR($I407)*12+MONTH($I407))-(YEAR($H407)*12+MONTH($H407))+1))</f>
        <v/>
      </c>
      <c r="M407" s="50">
        <f>IF($J407="",0,$K407*MAX(0,MIN(YEAR($C$3)*12+MONTH($C$3)-1,YEAR($I407)*12+MONTH($I407))-(YEAR($H407)*12+MONTH($H407))+1))</f>
        <v/>
      </c>
      <c r="N407" s="50">
        <f>IF(OR($J407="",$B407=""),0,IF(YEAR($B407)*12+MONTH($B407)&lt;=YEAR($C$3)*12+MONTH($C$3),$G407,0))</f>
        <v/>
      </c>
      <c r="O407" s="50">
        <f>IF(OR($J407="",$B407=""),0,IF(YEAR($B407)*12+MONTH($B407)&lt;=YEAR($C$3)*12+MONTH($C$3)-1,$G407,0))</f>
        <v/>
      </c>
      <c r="P407" s="50">
        <f>$M407-$O407</f>
        <v/>
      </c>
      <c r="Q407" s="50">
        <f>($L407-$M407)-($N407-$O407)</f>
        <v/>
      </c>
      <c r="R407" s="50">
        <f>$L407-$N407</f>
        <v/>
      </c>
    </row>
    <row r="408">
      <c r="A408" s="47">
        <f>ROW()-5</f>
        <v/>
      </c>
      <c r="B408" s="48">
        <f>IFERROR(INDEX(tbl_Finance[Date],$A408),"")</f>
        <v/>
      </c>
      <c r="C408" s="49">
        <f>IFERROR(INDEX(tbl_Finance[Xero Invoice No],$A408),"")</f>
        <v/>
      </c>
      <c r="D408" s="49">
        <f>IFERROR(INDEX(tbl_Finance[Client],$A408),"")</f>
        <v/>
      </c>
      <c r="E408" s="49">
        <f>IFERROR(INDEX(tbl_Finance[Job Number],$A408),"")</f>
        <v/>
      </c>
      <c r="F408" s="49">
        <f>IFERROR(INDEX(tbl_Finance[Cost Centre],$A408),"")</f>
        <v/>
      </c>
      <c r="G408" s="50">
        <f>IFERROR(INDEX(tbl_Finance[Ex GST],$A408),"")</f>
        <v/>
      </c>
      <c r="H408" s="48">
        <f>IFERROR(INDEX(tbl_Finance[Defer Start],$A408),"")</f>
        <v/>
      </c>
      <c r="I408" s="48">
        <f>IFERROR(INDEX(tbl_Finance[Defer End],$A408),"")</f>
        <v/>
      </c>
      <c r="J408" s="47">
        <f>IF(OR($H408="",$I408="",$G408=""),"",MAX(1,(YEAR($I408)-YEAR($H408))*12+MONTH($I408)-MONTH($H408)+1))</f>
        <v/>
      </c>
      <c r="K408" s="50">
        <f>IF($J408="","",$G408/$J408)</f>
        <v/>
      </c>
      <c r="L408" s="50">
        <f>IF($J408="",0,$K408*MAX(0,MIN(YEAR($C$3)*12+MONTH($C$3),YEAR($I408)*12+MONTH($I408))-(YEAR($H408)*12+MONTH($H408))+1))</f>
        <v/>
      </c>
      <c r="M408" s="50">
        <f>IF($J408="",0,$K408*MAX(0,MIN(YEAR($C$3)*12+MONTH($C$3)-1,YEAR($I408)*12+MONTH($I408))-(YEAR($H408)*12+MONTH($H408))+1))</f>
        <v/>
      </c>
      <c r="N408" s="50">
        <f>IF(OR($J408="",$B408=""),0,IF(YEAR($B408)*12+MONTH($B408)&lt;=YEAR($C$3)*12+MONTH($C$3),$G408,0))</f>
        <v/>
      </c>
      <c r="O408" s="50">
        <f>IF(OR($J408="",$B408=""),0,IF(YEAR($B408)*12+MONTH($B408)&lt;=YEAR($C$3)*12+MONTH($C$3)-1,$G408,0))</f>
        <v/>
      </c>
      <c r="P408" s="50">
        <f>$M408-$O408</f>
        <v/>
      </c>
      <c r="Q408" s="50">
        <f>($L408-$M408)-($N408-$O408)</f>
        <v/>
      </c>
      <c r="R408" s="50">
        <f>$L408-$N408</f>
        <v/>
      </c>
    </row>
    <row r="409">
      <c r="A409" s="47">
        <f>ROW()-5</f>
        <v/>
      </c>
      <c r="B409" s="48">
        <f>IFERROR(INDEX(tbl_Finance[Date],$A409),"")</f>
        <v/>
      </c>
      <c r="C409" s="49">
        <f>IFERROR(INDEX(tbl_Finance[Xero Invoice No],$A409),"")</f>
        <v/>
      </c>
      <c r="D409" s="49">
        <f>IFERROR(INDEX(tbl_Finance[Client],$A409),"")</f>
        <v/>
      </c>
      <c r="E409" s="49">
        <f>IFERROR(INDEX(tbl_Finance[Job Number],$A409),"")</f>
        <v/>
      </c>
      <c r="F409" s="49">
        <f>IFERROR(INDEX(tbl_Finance[Cost Centre],$A409),"")</f>
        <v/>
      </c>
      <c r="G409" s="50">
        <f>IFERROR(INDEX(tbl_Finance[Ex GST],$A409),"")</f>
        <v/>
      </c>
      <c r="H409" s="48">
        <f>IFERROR(INDEX(tbl_Finance[Defer Start],$A409),"")</f>
        <v/>
      </c>
      <c r="I409" s="48">
        <f>IFERROR(INDEX(tbl_Finance[Defer End],$A409),"")</f>
        <v/>
      </c>
      <c r="J409" s="47">
        <f>IF(OR($H409="",$I409="",$G409=""),"",MAX(1,(YEAR($I409)-YEAR($H409))*12+MONTH($I409)-MONTH($H409)+1))</f>
        <v/>
      </c>
      <c r="K409" s="50">
        <f>IF($J409="","",$G409/$J409)</f>
        <v/>
      </c>
      <c r="L409" s="50">
        <f>IF($J409="",0,$K409*MAX(0,MIN(YEAR($C$3)*12+MONTH($C$3),YEAR($I409)*12+MONTH($I409))-(YEAR($H409)*12+MONTH($H409))+1))</f>
        <v/>
      </c>
      <c r="M409" s="50">
        <f>IF($J409="",0,$K409*MAX(0,MIN(YEAR($C$3)*12+MONTH($C$3)-1,YEAR($I409)*12+MONTH($I409))-(YEAR($H409)*12+MONTH($H409))+1))</f>
        <v/>
      </c>
      <c r="N409" s="50">
        <f>IF(OR($J409="",$B409=""),0,IF(YEAR($B409)*12+MONTH($B409)&lt;=YEAR($C$3)*12+MONTH($C$3),$G409,0))</f>
        <v/>
      </c>
      <c r="O409" s="50">
        <f>IF(OR($J409="",$B409=""),0,IF(YEAR($B409)*12+MONTH($B409)&lt;=YEAR($C$3)*12+MONTH($C$3)-1,$G409,0))</f>
        <v/>
      </c>
      <c r="P409" s="50">
        <f>$M409-$O409</f>
        <v/>
      </c>
      <c r="Q409" s="50">
        <f>($L409-$M409)-($N409-$O409)</f>
        <v/>
      </c>
      <c r="R409" s="50">
        <f>$L409-$N409</f>
        <v/>
      </c>
    </row>
    <row r="410">
      <c r="A410" s="47">
        <f>ROW()-5</f>
        <v/>
      </c>
      <c r="B410" s="48">
        <f>IFERROR(INDEX(tbl_Finance[Date],$A410),"")</f>
        <v/>
      </c>
      <c r="C410" s="49">
        <f>IFERROR(INDEX(tbl_Finance[Xero Invoice No],$A410),"")</f>
        <v/>
      </c>
      <c r="D410" s="49">
        <f>IFERROR(INDEX(tbl_Finance[Client],$A410),"")</f>
        <v/>
      </c>
      <c r="E410" s="49">
        <f>IFERROR(INDEX(tbl_Finance[Job Number],$A410),"")</f>
        <v/>
      </c>
      <c r="F410" s="49">
        <f>IFERROR(INDEX(tbl_Finance[Cost Centre],$A410),"")</f>
        <v/>
      </c>
      <c r="G410" s="50">
        <f>IFERROR(INDEX(tbl_Finance[Ex GST],$A410),"")</f>
        <v/>
      </c>
      <c r="H410" s="48">
        <f>IFERROR(INDEX(tbl_Finance[Defer Start],$A410),"")</f>
        <v/>
      </c>
      <c r="I410" s="48">
        <f>IFERROR(INDEX(tbl_Finance[Defer End],$A410),"")</f>
        <v/>
      </c>
      <c r="J410" s="47">
        <f>IF(OR($H410="",$I410="",$G410=""),"",MAX(1,(YEAR($I410)-YEAR($H410))*12+MONTH($I410)-MONTH($H410)+1))</f>
        <v/>
      </c>
      <c r="K410" s="50">
        <f>IF($J410="","",$G410/$J410)</f>
        <v/>
      </c>
      <c r="L410" s="50">
        <f>IF($J410="",0,$K410*MAX(0,MIN(YEAR($C$3)*12+MONTH($C$3),YEAR($I410)*12+MONTH($I410))-(YEAR($H410)*12+MONTH($H410))+1))</f>
        <v/>
      </c>
      <c r="M410" s="50">
        <f>IF($J410="",0,$K410*MAX(0,MIN(YEAR($C$3)*12+MONTH($C$3)-1,YEAR($I410)*12+MONTH($I410))-(YEAR($H410)*12+MONTH($H410))+1))</f>
        <v/>
      </c>
      <c r="N410" s="50">
        <f>IF(OR($J410="",$B410=""),0,IF(YEAR($B410)*12+MONTH($B410)&lt;=YEAR($C$3)*12+MONTH($C$3),$G410,0))</f>
        <v/>
      </c>
      <c r="O410" s="50">
        <f>IF(OR($J410="",$B410=""),0,IF(YEAR($B410)*12+MONTH($B410)&lt;=YEAR($C$3)*12+MONTH($C$3)-1,$G410,0))</f>
        <v/>
      </c>
      <c r="P410" s="50">
        <f>$M410-$O410</f>
        <v/>
      </c>
      <c r="Q410" s="50">
        <f>($L410-$M410)-($N410-$O410)</f>
        <v/>
      </c>
      <c r="R410" s="50">
        <f>$L410-$N410</f>
        <v/>
      </c>
    </row>
    <row r="411">
      <c r="A411" s="47">
        <f>ROW()-5</f>
        <v/>
      </c>
      <c r="B411" s="48">
        <f>IFERROR(INDEX(tbl_Finance[Date],$A411),"")</f>
        <v/>
      </c>
      <c r="C411" s="49">
        <f>IFERROR(INDEX(tbl_Finance[Xero Invoice No],$A411),"")</f>
        <v/>
      </c>
      <c r="D411" s="49">
        <f>IFERROR(INDEX(tbl_Finance[Client],$A411),"")</f>
        <v/>
      </c>
      <c r="E411" s="49">
        <f>IFERROR(INDEX(tbl_Finance[Job Number],$A411),"")</f>
        <v/>
      </c>
      <c r="F411" s="49">
        <f>IFERROR(INDEX(tbl_Finance[Cost Centre],$A411),"")</f>
        <v/>
      </c>
      <c r="G411" s="50">
        <f>IFERROR(INDEX(tbl_Finance[Ex GST],$A411),"")</f>
        <v/>
      </c>
      <c r="H411" s="48">
        <f>IFERROR(INDEX(tbl_Finance[Defer Start],$A411),"")</f>
        <v/>
      </c>
      <c r="I411" s="48">
        <f>IFERROR(INDEX(tbl_Finance[Defer End],$A411),"")</f>
        <v/>
      </c>
      <c r="J411" s="47">
        <f>IF(OR($H411="",$I411="",$G411=""),"",MAX(1,(YEAR($I411)-YEAR($H411))*12+MONTH($I411)-MONTH($H411)+1))</f>
        <v/>
      </c>
      <c r="K411" s="50">
        <f>IF($J411="","",$G411/$J411)</f>
        <v/>
      </c>
      <c r="L411" s="50">
        <f>IF($J411="",0,$K411*MAX(0,MIN(YEAR($C$3)*12+MONTH($C$3),YEAR($I411)*12+MONTH($I411))-(YEAR($H411)*12+MONTH($H411))+1))</f>
        <v/>
      </c>
      <c r="M411" s="50">
        <f>IF($J411="",0,$K411*MAX(0,MIN(YEAR($C$3)*12+MONTH($C$3)-1,YEAR($I411)*12+MONTH($I411))-(YEAR($H411)*12+MONTH($H411))+1))</f>
        <v/>
      </c>
      <c r="N411" s="50">
        <f>IF(OR($J411="",$B411=""),0,IF(YEAR($B411)*12+MONTH($B411)&lt;=YEAR($C$3)*12+MONTH($C$3),$G411,0))</f>
        <v/>
      </c>
      <c r="O411" s="50">
        <f>IF(OR($J411="",$B411=""),0,IF(YEAR($B411)*12+MONTH($B411)&lt;=YEAR($C$3)*12+MONTH($C$3)-1,$G411,0))</f>
        <v/>
      </c>
      <c r="P411" s="50">
        <f>$M411-$O411</f>
        <v/>
      </c>
      <c r="Q411" s="50">
        <f>($L411-$M411)-($N411-$O411)</f>
        <v/>
      </c>
      <c r="R411" s="50">
        <f>$L411-$N411</f>
        <v/>
      </c>
    </row>
    <row r="412">
      <c r="A412" s="47">
        <f>ROW()-5</f>
        <v/>
      </c>
      <c r="B412" s="48">
        <f>IFERROR(INDEX(tbl_Finance[Date],$A412),"")</f>
        <v/>
      </c>
      <c r="C412" s="49">
        <f>IFERROR(INDEX(tbl_Finance[Xero Invoice No],$A412),"")</f>
        <v/>
      </c>
      <c r="D412" s="49">
        <f>IFERROR(INDEX(tbl_Finance[Client],$A412),"")</f>
        <v/>
      </c>
      <c r="E412" s="49">
        <f>IFERROR(INDEX(tbl_Finance[Job Number],$A412),"")</f>
        <v/>
      </c>
      <c r="F412" s="49">
        <f>IFERROR(INDEX(tbl_Finance[Cost Centre],$A412),"")</f>
        <v/>
      </c>
      <c r="G412" s="50">
        <f>IFERROR(INDEX(tbl_Finance[Ex GST],$A412),"")</f>
        <v/>
      </c>
      <c r="H412" s="48">
        <f>IFERROR(INDEX(tbl_Finance[Defer Start],$A412),"")</f>
        <v/>
      </c>
      <c r="I412" s="48">
        <f>IFERROR(INDEX(tbl_Finance[Defer End],$A412),"")</f>
        <v/>
      </c>
      <c r="J412" s="47">
        <f>IF(OR($H412="",$I412="",$G412=""),"",MAX(1,(YEAR($I412)-YEAR($H412))*12+MONTH($I412)-MONTH($H412)+1))</f>
        <v/>
      </c>
      <c r="K412" s="50">
        <f>IF($J412="","",$G412/$J412)</f>
        <v/>
      </c>
      <c r="L412" s="50">
        <f>IF($J412="",0,$K412*MAX(0,MIN(YEAR($C$3)*12+MONTH($C$3),YEAR($I412)*12+MONTH($I412))-(YEAR($H412)*12+MONTH($H412))+1))</f>
        <v/>
      </c>
      <c r="M412" s="50">
        <f>IF($J412="",0,$K412*MAX(0,MIN(YEAR($C$3)*12+MONTH($C$3)-1,YEAR($I412)*12+MONTH($I412))-(YEAR($H412)*12+MONTH($H412))+1))</f>
        <v/>
      </c>
      <c r="N412" s="50">
        <f>IF(OR($J412="",$B412=""),0,IF(YEAR($B412)*12+MONTH($B412)&lt;=YEAR($C$3)*12+MONTH($C$3),$G412,0))</f>
        <v/>
      </c>
      <c r="O412" s="50">
        <f>IF(OR($J412="",$B412=""),0,IF(YEAR($B412)*12+MONTH($B412)&lt;=YEAR($C$3)*12+MONTH($C$3)-1,$G412,0))</f>
        <v/>
      </c>
      <c r="P412" s="50">
        <f>$M412-$O412</f>
        <v/>
      </c>
      <c r="Q412" s="50">
        <f>($L412-$M412)-($N412-$O412)</f>
        <v/>
      </c>
      <c r="R412" s="50">
        <f>$L412-$N412</f>
        <v/>
      </c>
    </row>
    <row r="413">
      <c r="A413" s="47">
        <f>ROW()-5</f>
        <v/>
      </c>
      <c r="B413" s="48">
        <f>IFERROR(INDEX(tbl_Finance[Date],$A413),"")</f>
        <v/>
      </c>
      <c r="C413" s="49">
        <f>IFERROR(INDEX(tbl_Finance[Xero Invoice No],$A413),"")</f>
        <v/>
      </c>
      <c r="D413" s="49">
        <f>IFERROR(INDEX(tbl_Finance[Client],$A413),"")</f>
        <v/>
      </c>
      <c r="E413" s="49">
        <f>IFERROR(INDEX(tbl_Finance[Job Number],$A413),"")</f>
        <v/>
      </c>
      <c r="F413" s="49">
        <f>IFERROR(INDEX(tbl_Finance[Cost Centre],$A413),"")</f>
        <v/>
      </c>
      <c r="G413" s="50">
        <f>IFERROR(INDEX(tbl_Finance[Ex GST],$A413),"")</f>
        <v/>
      </c>
      <c r="H413" s="48">
        <f>IFERROR(INDEX(tbl_Finance[Defer Start],$A413),"")</f>
        <v/>
      </c>
      <c r="I413" s="48">
        <f>IFERROR(INDEX(tbl_Finance[Defer End],$A413),"")</f>
        <v/>
      </c>
      <c r="J413" s="47">
        <f>IF(OR($H413="",$I413="",$G413=""),"",MAX(1,(YEAR($I413)-YEAR($H413))*12+MONTH($I413)-MONTH($H413)+1))</f>
        <v/>
      </c>
      <c r="K413" s="50">
        <f>IF($J413="","",$G413/$J413)</f>
        <v/>
      </c>
      <c r="L413" s="50">
        <f>IF($J413="",0,$K413*MAX(0,MIN(YEAR($C$3)*12+MONTH($C$3),YEAR($I413)*12+MONTH($I413))-(YEAR($H413)*12+MONTH($H413))+1))</f>
        <v/>
      </c>
      <c r="M413" s="50">
        <f>IF($J413="",0,$K413*MAX(0,MIN(YEAR($C$3)*12+MONTH($C$3)-1,YEAR($I413)*12+MONTH($I413))-(YEAR($H413)*12+MONTH($H413))+1))</f>
        <v/>
      </c>
      <c r="N413" s="50">
        <f>IF(OR($J413="",$B413=""),0,IF(YEAR($B413)*12+MONTH($B413)&lt;=YEAR($C$3)*12+MONTH($C$3),$G413,0))</f>
        <v/>
      </c>
      <c r="O413" s="50">
        <f>IF(OR($J413="",$B413=""),0,IF(YEAR($B413)*12+MONTH($B413)&lt;=YEAR($C$3)*12+MONTH($C$3)-1,$G413,0))</f>
        <v/>
      </c>
      <c r="P413" s="50">
        <f>$M413-$O413</f>
        <v/>
      </c>
      <c r="Q413" s="50">
        <f>($L413-$M413)-($N413-$O413)</f>
        <v/>
      </c>
      <c r="R413" s="50">
        <f>$L413-$N413</f>
        <v/>
      </c>
    </row>
    <row r="414">
      <c r="A414" s="47">
        <f>ROW()-5</f>
        <v/>
      </c>
      <c r="B414" s="48">
        <f>IFERROR(INDEX(tbl_Finance[Date],$A414),"")</f>
        <v/>
      </c>
      <c r="C414" s="49">
        <f>IFERROR(INDEX(tbl_Finance[Xero Invoice No],$A414),"")</f>
        <v/>
      </c>
      <c r="D414" s="49">
        <f>IFERROR(INDEX(tbl_Finance[Client],$A414),"")</f>
        <v/>
      </c>
      <c r="E414" s="49">
        <f>IFERROR(INDEX(tbl_Finance[Job Number],$A414),"")</f>
        <v/>
      </c>
      <c r="F414" s="49">
        <f>IFERROR(INDEX(tbl_Finance[Cost Centre],$A414),"")</f>
        <v/>
      </c>
      <c r="G414" s="50">
        <f>IFERROR(INDEX(tbl_Finance[Ex GST],$A414),"")</f>
        <v/>
      </c>
      <c r="H414" s="48">
        <f>IFERROR(INDEX(tbl_Finance[Defer Start],$A414),"")</f>
        <v/>
      </c>
      <c r="I414" s="48">
        <f>IFERROR(INDEX(tbl_Finance[Defer End],$A414),"")</f>
        <v/>
      </c>
      <c r="J414" s="47">
        <f>IF(OR($H414="",$I414="",$G414=""),"",MAX(1,(YEAR($I414)-YEAR($H414))*12+MONTH($I414)-MONTH($H414)+1))</f>
        <v/>
      </c>
      <c r="K414" s="50">
        <f>IF($J414="","",$G414/$J414)</f>
        <v/>
      </c>
      <c r="L414" s="50">
        <f>IF($J414="",0,$K414*MAX(0,MIN(YEAR($C$3)*12+MONTH($C$3),YEAR($I414)*12+MONTH($I414))-(YEAR($H414)*12+MONTH($H414))+1))</f>
        <v/>
      </c>
      <c r="M414" s="50">
        <f>IF($J414="",0,$K414*MAX(0,MIN(YEAR($C$3)*12+MONTH($C$3)-1,YEAR($I414)*12+MONTH($I414))-(YEAR($H414)*12+MONTH($H414))+1))</f>
        <v/>
      </c>
      <c r="N414" s="50">
        <f>IF(OR($J414="",$B414=""),0,IF(YEAR($B414)*12+MONTH($B414)&lt;=YEAR($C$3)*12+MONTH($C$3),$G414,0))</f>
        <v/>
      </c>
      <c r="O414" s="50">
        <f>IF(OR($J414="",$B414=""),0,IF(YEAR($B414)*12+MONTH($B414)&lt;=YEAR($C$3)*12+MONTH($C$3)-1,$G414,0))</f>
        <v/>
      </c>
      <c r="P414" s="50">
        <f>$M414-$O414</f>
        <v/>
      </c>
      <c r="Q414" s="50">
        <f>($L414-$M414)-($N414-$O414)</f>
        <v/>
      </c>
      <c r="R414" s="50">
        <f>$L414-$N414</f>
        <v/>
      </c>
    </row>
    <row r="415">
      <c r="A415" s="47">
        <f>ROW()-5</f>
        <v/>
      </c>
      <c r="B415" s="48">
        <f>IFERROR(INDEX(tbl_Finance[Date],$A415),"")</f>
        <v/>
      </c>
      <c r="C415" s="49">
        <f>IFERROR(INDEX(tbl_Finance[Xero Invoice No],$A415),"")</f>
        <v/>
      </c>
      <c r="D415" s="49">
        <f>IFERROR(INDEX(tbl_Finance[Client],$A415),"")</f>
        <v/>
      </c>
      <c r="E415" s="49">
        <f>IFERROR(INDEX(tbl_Finance[Job Number],$A415),"")</f>
        <v/>
      </c>
      <c r="F415" s="49">
        <f>IFERROR(INDEX(tbl_Finance[Cost Centre],$A415),"")</f>
        <v/>
      </c>
      <c r="G415" s="50">
        <f>IFERROR(INDEX(tbl_Finance[Ex GST],$A415),"")</f>
        <v/>
      </c>
      <c r="H415" s="48">
        <f>IFERROR(INDEX(tbl_Finance[Defer Start],$A415),"")</f>
        <v/>
      </c>
      <c r="I415" s="48">
        <f>IFERROR(INDEX(tbl_Finance[Defer End],$A415),"")</f>
        <v/>
      </c>
      <c r="J415" s="47">
        <f>IF(OR($H415="",$I415="",$G415=""),"",MAX(1,(YEAR($I415)-YEAR($H415))*12+MONTH($I415)-MONTH($H415)+1))</f>
        <v/>
      </c>
      <c r="K415" s="50">
        <f>IF($J415="","",$G415/$J415)</f>
        <v/>
      </c>
      <c r="L415" s="50">
        <f>IF($J415="",0,$K415*MAX(0,MIN(YEAR($C$3)*12+MONTH($C$3),YEAR($I415)*12+MONTH($I415))-(YEAR($H415)*12+MONTH($H415))+1))</f>
        <v/>
      </c>
      <c r="M415" s="50">
        <f>IF($J415="",0,$K415*MAX(0,MIN(YEAR($C$3)*12+MONTH($C$3)-1,YEAR($I415)*12+MONTH($I415))-(YEAR($H415)*12+MONTH($H415))+1))</f>
        <v/>
      </c>
      <c r="N415" s="50">
        <f>IF(OR($J415="",$B415=""),0,IF(YEAR($B415)*12+MONTH($B415)&lt;=YEAR($C$3)*12+MONTH($C$3),$G415,0))</f>
        <v/>
      </c>
      <c r="O415" s="50">
        <f>IF(OR($J415="",$B415=""),0,IF(YEAR($B415)*12+MONTH($B415)&lt;=YEAR($C$3)*12+MONTH($C$3)-1,$G415,0))</f>
        <v/>
      </c>
      <c r="P415" s="50">
        <f>$M415-$O415</f>
        <v/>
      </c>
      <c r="Q415" s="50">
        <f>($L415-$M415)-($N415-$O415)</f>
        <v/>
      </c>
      <c r="R415" s="50">
        <f>$L415-$N415</f>
        <v/>
      </c>
    </row>
    <row r="416">
      <c r="A416" s="47">
        <f>ROW()-5</f>
        <v/>
      </c>
      <c r="B416" s="48">
        <f>IFERROR(INDEX(tbl_Finance[Date],$A416),"")</f>
        <v/>
      </c>
      <c r="C416" s="49">
        <f>IFERROR(INDEX(tbl_Finance[Xero Invoice No],$A416),"")</f>
        <v/>
      </c>
      <c r="D416" s="49">
        <f>IFERROR(INDEX(tbl_Finance[Client],$A416),"")</f>
        <v/>
      </c>
      <c r="E416" s="49">
        <f>IFERROR(INDEX(tbl_Finance[Job Number],$A416),"")</f>
        <v/>
      </c>
      <c r="F416" s="49">
        <f>IFERROR(INDEX(tbl_Finance[Cost Centre],$A416),"")</f>
        <v/>
      </c>
      <c r="G416" s="50">
        <f>IFERROR(INDEX(tbl_Finance[Ex GST],$A416),"")</f>
        <v/>
      </c>
      <c r="H416" s="48">
        <f>IFERROR(INDEX(tbl_Finance[Defer Start],$A416),"")</f>
        <v/>
      </c>
      <c r="I416" s="48">
        <f>IFERROR(INDEX(tbl_Finance[Defer End],$A416),"")</f>
        <v/>
      </c>
      <c r="J416" s="47">
        <f>IF(OR($H416="",$I416="",$G416=""),"",MAX(1,(YEAR($I416)-YEAR($H416))*12+MONTH($I416)-MONTH($H416)+1))</f>
        <v/>
      </c>
      <c r="K416" s="50">
        <f>IF($J416="","",$G416/$J416)</f>
        <v/>
      </c>
      <c r="L416" s="50">
        <f>IF($J416="",0,$K416*MAX(0,MIN(YEAR($C$3)*12+MONTH($C$3),YEAR($I416)*12+MONTH($I416))-(YEAR($H416)*12+MONTH($H416))+1))</f>
        <v/>
      </c>
      <c r="M416" s="50">
        <f>IF($J416="",0,$K416*MAX(0,MIN(YEAR($C$3)*12+MONTH($C$3)-1,YEAR($I416)*12+MONTH($I416))-(YEAR($H416)*12+MONTH($H416))+1))</f>
        <v/>
      </c>
      <c r="N416" s="50">
        <f>IF(OR($J416="",$B416=""),0,IF(YEAR($B416)*12+MONTH($B416)&lt;=YEAR($C$3)*12+MONTH($C$3),$G416,0))</f>
        <v/>
      </c>
      <c r="O416" s="50">
        <f>IF(OR($J416="",$B416=""),0,IF(YEAR($B416)*12+MONTH($B416)&lt;=YEAR($C$3)*12+MONTH($C$3)-1,$G416,0))</f>
        <v/>
      </c>
      <c r="P416" s="50">
        <f>$M416-$O416</f>
        <v/>
      </c>
      <c r="Q416" s="50">
        <f>($L416-$M416)-($N416-$O416)</f>
        <v/>
      </c>
      <c r="R416" s="50">
        <f>$L416-$N416</f>
        <v/>
      </c>
    </row>
    <row r="417">
      <c r="A417" s="47">
        <f>ROW()-5</f>
        <v/>
      </c>
      <c r="B417" s="48">
        <f>IFERROR(INDEX(tbl_Finance[Date],$A417),"")</f>
        <v/>
      </c>
      <c r="C417" s="49">
        <f>IFERROR(INDEX(tbl_Finance[Xero Invoice No],$A417),"")</f>
        <v/>
      </c>
      <c r="D417" s="49">
        <f>IFERROR(INDEX(tbl_Finance[Client],$A417),"")</f>
        <v/>
      </c>
      <c r="E417" s="49">
        <f>IFERROR(INDEX(tbl_Finance[Job Number],$A417),"")</f>
        <v/>
      </c>
      <c r="F417" s="49">
        <f>IFERROR(INDEX(tbl_Finance[Cost Centre],$A417),"")</f>
        <v/>
      </c>
      <c r="G417" s="50">
        <f>IFERROR(INDEX(tbl_Finance[Ex GST],$A417),"")</f>
        <v/>
      </c>
      <c r="H417" s="48">
        <f>IFERROR(INDEX(tbl_Finance[Defer Start],$A417),"")</f>
        <v/>
      </c>
      <c r="I417" s="48">
        <f>IFERROR(INDEX(tbl_Finance[Defer End],$A417),"")</f>
        <v/>
      </c>
      <c r="J417" s="47">
        <f>IF(OR($H417="",$I417="",$G417=""),"",MAX(1,(YEAR($I417)-YEAR($H417))*12+MONTH($I417)-MONTH($H417)+1))</f>
        <v/>
      </c>
      <c r="K417" s="50">
        <f>IF($J417="","",$G417/$J417)</f>
        <v/>
      </c>
      <c r="L417" s="50">
        <f>IF($J417="",0,$K417*MAX(0,MIN(YEAR($C$3)*12+MONTH($C$3),YEAR($I417)*12+MONTH($I417))-(YEAR($H417)*12+MONTH($H417))+1))</f>
        <v/>
      </c>
      <c r="M417" s="50">
        <f>IF($J417="",0,$K417*MAX(0,MIN(YEAR($C$3)*12+MONTH($C$3)-1,YEAR($I417)*12+MONTH($I417))-(YEAR($H417)*12+MONTH($H417))+1))</f>
        <v/>
      </c>
      <c r="N417" s="50">
        <f>IF(OR($J417="",$B417=""),0,IF(YEAR($B417)*12+MONTH($B417)&lt;=YEAR($C$3)*12+MONTH($C$3),$G417,0))</f>
        <v/>
      </c>
      <c r="O417" s="50">
        <f>IF(OR($J417="",$B417=""),0,IF(YEAR($B417)*12+MONTH($B417)&lt;=YEAR($C$3)*12+MONTH($C$3)-1,$G417,0))</f>
        <v/>
      </c>
      <c r="P417" s="50">
        <f>$M417-$O417</f>
        <v/>
      </c>
      <c r="Q417" s="50">
        <f>($L417-$M417)-($N417-$O417)</f>
        <v/>
      </c>
      <c r="R417" s="50">
        <f>$L417-$N417</f>
        <v/>
      </c>
    </row>
    <row r="418">
      <c r="A418" s="47">
        <f>ROW()-5</f>
        <v/>
      </c>
      <c r="B418" s="48">
        <f>IFERROR(INDEX(tbl_Finance[Date],$A418),"")</f>
        <v/>
      </c>
      <c r="C418" s="49">
        <f>IFERROR(INDEX(tbl_Finance[Xero Invoice No],$A418),"")</f>
        <v/>
      </c>
      <c r="D418" s="49">
        <f>IFERROR(INDEX(tbl_Finance[Client],$A418),"")</f>
        <v/>
      </c>
      <c r="E418" s="49">
        <f>IFERROR(INDEX(tbl_Finance[Job Number],$A418),"")</f>
        <v/>
      </c>
      <c r="F418" s="49">
        <f>IFERROR(INDEX(tbl_Finance[Cost Centre],$A418),"")</f>
        <v/>
      </c>
      <c r="G418" s="50">
        <f>IFERROR(INDEX(tbl_Finance[Ex GST],$A418),"")</f>
        <v/>
      </c>
      <c r="H418" s="48">
        <f>IFERROR(INDEX(tbl_Finance[Defer Start],$A418),"")</f>
        <v/>
      </c>
      <c r="I418" s="48">
        <f>IFERROR(INDEX(tbl_Finance[Defer End],$A418),"")</f>
        <v/>
      </c>
      <c r="J418" s="47">
        <f>IF(OR($H418="",$I418="",$G418=""),"",MAX(1,(YEAR($I418)-YEAR($H418))*12+MONTH($I418)-MONTH($H418)+1))</f>
        <v/>
      </c>
      <c r="K418" s="50">
        <f>IF($J418="","",$G418/$J418)</f>
        <v/>
      </c>
      <c r="L418" s="50">
        <f>IF($J418="",0,$K418*MAX(0,MIN(YEAR($C$3)*12+MONTH($C$3),YEAR($I418)*12+MONTH($I418))-(YEAR($H418)*12+MONTH($H418))+1))</f>
        <v/>
      </c>
      <c r="M418" s="50">
        <f>IF($J418="",0,$K418*MAX(0,MIN(YEAR($C$3)*12+MONTH($C$3)-1,YEAR($I418)*12+MONTH($I418))-(YEAR($H418)*12+MONTH($H418))+1))</f>
        <v/>
      </c>
      <c r="N418" s="50">
        <f>IF(OR($J418="",$B418=""),0,IF(YEAR($B418)*12+MONTH($B418)&lt;=YEAR($C$3)*12+MONTH($C$3),$G418,0))</f>
        <v/>
      </c>
      <c r="O418" s="50">
        <f>IF(OR($J418="",$B418=""),0,IF(YEAR($B418)*12+MONTH($B418)&lt;=YEAR($C$3)*12+MONTH($C$3)-1,$G418,0))</f>
        <v/>
      </c>
      <c r="P418" s="50">
        <f>$M418-$O418</f>
        <v/>
      </c>
      <c r="Q418" s="50">
        <f>($L418-$M418)-($N418-$O418)</f>
        <v/>
      </c>
      <c r="R418" s="50">
        <f>$L418-$N418</f>
        <v/>
      </c>
    </row>
    <row r="419">
      <c r="A419" s="47">
        <f>ROW()-5</f>
        <v/>
      </c>
      <c r="B419" s="48">
        <f>IFERROR(INDEX(tbl_Finance[Date],$A419),"")</f>
        <v/>
      </c>
      <c r="C419" s="49">
        <f>IFERROR(INDEX(tbl_Finance[Xero Invoice No],$A419),"")</f>
        <v/>
      </c>
      <c r="D419" s="49">
        <f>IFERROR(INDEX(tbl_Finance[Client],$A419),"")</f>
        <v/>
      </c>
      <c r="E419" s="49">
        <f>IFERROR(INDEX(tbl_Finance[Job Number],$A419),"")</f>
        <v/>
      </c>
      <c r="F419" s="49">
        <f>IFERROR(INDEX(tbl_Finance[Cost Centre],$A419),"")</f>
        <v/>
      </c>
      <c r="G419" s="50">
        <f>IFERROR(INDEX(tbl_Finance[Ex GST],$A419),"")</f>
        <v/>
      </c>
      <c r="H419" s="48">
        <f>IFERROR(INDEX(tbl_Finance[Defer Start],$A419),"")</f>
        <v/>
      </c>
      <c r="I419" s="48">
        <f>IFERROR(INDEX(tbl_Finance[Defer End],$A419),"")</f>
        <v/>
      </c>
      <c r="J419" s="47">
        <f>IF(OR($H419="",$I419="",$G419=""),"",MAX(1,(YEAR($I419)-YEAR($H419))*12+MONTH($I419)-MONTH($H419)+1))</f>
        <v/>
      </c>
      <c r="K419" s="50">
        <f>IF($J419="","",$G419/$J419)</f>
        <v/>
      </c>
      <c r="L419" s="50">
        <f>IF($J419="",0,$K419*MAX(0,MIN(YEAR($C$3)*12+MONTH($C$3),YEAR($I419)*12+MONTH($I419))-(YEAR($H419)*12+MONTH($H419))+1))</f>
        <v/>
      </c>
      <c r="M419" s="50">
        <f>IF($J419="",0,$K419*MAX(0,MIN(YEAR($C$3)*12+MONTH($C$3)-1,YEAR($I419)*12+MONTH($I419))-(YEAR($H419)*12+MONTH($H419))+1))</f>
        <v/>
      </c>
      <c r="N419" s="50">
        <f>IF(OR($J419="",$B419=""),0,IF(YEAR($B419)*12+MONTH($B419)&lt;=YEAR($C$3)*12+MONTH($C$3),$G419,0))</f>
        <v/>
      </c>
      <c r="O419" s="50">
        <f>IF(OR($J419="",$B419=""),0,IF(YEAR($B419)*12+MONTH($B419)&lt;=YEAR($C$3)*12+MONTH($C$3)-1,$G419,0))</f>
        <v/>
      </c>
      <c r="P419" s="50">
        <f>$M419-$O419</f>
        <v/>
      </c>
      <c r="Q419" s="50">
        <f>($L419-$M419)-($N419-$O419)</f>
        <v/>
      </c>
      <c r="R419" s="50">
        <f>$L419-$N419</f>
        <v/>
      </c>
    </row>
    <row r="420">
      <c r="A420" s="47">
        <f>ROW()-5</f>
        <v/>
      </c>
      <c r="B420" s="48">
        <f>IFERROR(INDEX(tbl_Finance[Date],$A420),"")</f>
        <v/>
      </c>
      <c r="C420" s="49">
        <f>IFERROR(INDEX(tbl_Finance[Xero Invoice No],$A420),"")</f>
        <v/>
      </c>
      <c r="D420" s="49">
        <f>IFERROR(INDEX(tbl_Finance[Client],$A420),"")</f>
        <v/>
      </c>
      <c r="E420" s="49">
        <f>IFERROR(INDEX(tbl_Finance[Job Number],$A420),"")</f>
        <v/>
      </c>
      <c r="F420" s="49">
        <f>IFERROR(INDEX(tbl_Finance[Cost Centre],$A420),"")</f>
        <v/>
      </c>
      <c r="G420" s="50">
        <f>IFERROR(INDEX(tbl_Finance[Ex GST],$A420),"")</f>
        <v/>
      </c>
      <c r="H420" s="48">
        <f>IFERROR(INDEX(tbl_Finance[Defer Start],$A420),"")</f>
        <v/>
      </c>
      <c r="I420" s="48">
        <f>IFERROR(INDEX(tbl_Finance[Defer End],$A420),"")</f>
        <v/>
      </c>
      <c r="J420" s="47">
        <f>IF(OR($H420="",$I420="",$G420=""),"",MAX(1,(YEAR($I420)-YEAR($H420))*12+MONTH($I420)-MONTH($H420)+1))</f>
        <v/>
      </c>
      <c r="K420" s="50">
        <f>IF($J420="","",$G420/$J420)</f>
        <v/>
      </c>
      <c r="L420" s="50">
        <f>IF($J420="",0,$K420*MAX(0,MIN(YEAR($C$3)*12+MONTH($C$3),YEAR($I420)*12+MONTH($I420))-(YEAR($H420)*12+MONTH($H420))+1))</f>
        <v/>
      </c>
      <c r="M420" s="50">
        <f>IF($J420="",0,$K420*MAX(0,MIN(YEAR($C$3)*12+MONTH($C$3)-1,YEAR($I420)*12+MONTH($I420))-(YEAR($H420)*12+MONTH($H420))+1))</f>
        <v/>
      </c>
      <c r="N420" s="50">
        <f>IF(OR($J420="",$B420=""),0,IF(YEAR($B420)*12+MONTH($B420)&lt;=YEAR($C$3)*12+MONTH($C$3),$G420,0))</f>
        <v/>
      </c>
      <c r="O420" s="50">
        <f>IF(OR($J420="",$B420=""),0,IF(YEAR($B420)*12+MONTH($B420)&lt;=YEAR($C$3)*12+MONTH($C$3)-1,$G420,0))</f>
        <v/>
      </c>
      <c r="P420" s="50">
        <f>$M420-$O420</f>
        <v/>
      </c>
      <c r="Q420" s="50">
        <f>($L420-$M420)-($N420-$O420)</f>
        <v/>
      </c>
      <c r="R420" s="50">
        <f>$L420-$N420</f>
        <v/>
      </c>
    </row>
    <row r="421">
      <c r="A421" s="47">
        <f>ROW()-5</f>
        <v/>
      </c>
      <c r="B421" s="48">
        <f>IFERROR(INDEX(tbl_Finance[Date],$A421),"")</f>
        <v/>
      </c>
      <c r="C421" s="49">
        <f>IFERROR(INDEX(tbl_Finance[Xero Invoice No],$A421),"")</f>
        <v/>
      </c>
      <c r="D421" s="49">
        <f>IFERROR(INDEX(tbl_Finance[Client],$A421),"")</f>
        <v/>
      </c>
      <c r="E421" s="49">
        <f>IFERROR(INDEX(tbl_Finance[Job Number],$A421),"")</f>
        <v/>
      </c>
      <c r="F421" s="49">
        <f>IFERROR(INDEX(tbl_Finance[Cost Centre],$A421),"")</f>
        <v/>
      </c>
      <c r="G421" s="50">
        <f>IFERROR(INDEX(tbl_Finance[Ex GST],$A421),"")</f>
        <v/>
      </c>
      <c r="H421" s="48">
        <f>IFERROR(INDEX(tbl_Finance[Defer Start],$A421),"")</f>
        <v/>
      </c>
      <c r="I421" s="48">
        <f>IFERROR(INDEX(tbl_Finance[Defer End],$A421),"")</f>
        <v/>
      </c>
      <c r="J421" s="47">
        <f>IF(OR($H421="",$I421="",$G421=""),"",MAX(1,(YEAR($I421)-YEAR($H421))*12+MONTH($I421)-MONTH($H421)+1))</f>
        <v/>
      </c>
      <c r="K421" s="50">
        <f>IF($J421="","",$G421/$J421)</f>
        <v/>
      </c>
      <c r="L421" s="50">
        <f>IF($J421="",0,$K421*MAX(0,MIN(YEAR($C$3)*12+MONTH($C$3),YEAR($I421)*12+MONTH($I421))-(YEAR($H421)*12+MONTH($H421))+1))</f>
        <v/>
      </c>
      <c r="M421" s="50">
        <f>IF($J421="",0,$K421*MAX(0,MIN(YEAR($C$3)*12+MONTH($C$3)-1,YEAR($I421)*12+MONTH($I421))-(YEAR($H421)*12+MONTH($H421))+1))</f>
        <v/>
      </c>
      <c r="N421" s="50">
        <f>IF(OR($J421="",$B421=""),0,IF(YEAR($B421)*12+MONTH($B421)&lt;=YEAR($C$3)*12+MONTH($C$3),$G421,0))</f>
        <v/>
      </c>
      <c r="O421" s="50">
        <f>IF(OR($J421="",$B421=""),0,IF(YEAR($B421)*12+MONTH($B421)&lt;=YEAR($C$3)*12+MONTH($C$3)-1,$G421,0))</f>
        <v/>
      </c>
      <c r="P421" s="50">
        <f>$M421-$O421</f>
        <v/>
      </c>
      <c r="Q421" s="50">
        <f>($L421-$M421)-($N421-$O421)</f>
        <v/>
      </c>
      <c r="R421" s="50">
        <f>$L421-$N421</f>
        <v/>
      </c>
    </row>
    <row r="422">
      <c r="A422" s="47">
        <f>ROW()-5</f>
        <v/>
      </c>
      <c r="B422" s="48">
        <f>IFERROR(INDEX(tbl_Finance[Date],$A422),"")</f>
        <v/>
      </c>
      <c r="C422" s="49">
        <f>IFERROR(INDEX(tbl_Finance[Xero Invoice No],$A422),"")</f>
        <v/>
      </c>
      <c r="D422" s="49">
        <f>IFERROR(INDEX(tbl_Finance[Client],$A422),"")</f>
        <v/>
      </c>
      <c r="E422" s="49">
        <f>IFERROR(INDEX(tbl_Finance[Job Number],$A422),"")</f>
        <v/>
      </c>
      <c r="F422" s="49">
        <f>IFERROR(INDEX(tbl_Finance[Cost Centre],$A422),"")</f>
        <v/>
      </c>
      <c r="G422" s="50">
        <f>IFERROR(INDEX(tbl_Finance[Ex GST],$A422),"")</f>
        <v/>
      </c>
      <c r="H422" s="48">
        <f>IFERROR(INDEX(tbl_Finance[Defer Start],$A422),"")</f>
        <v/>
      </c>
      <c r="I422" s="48">
        <f>IFERROR(INDEX(tbl_Finance[Defer End],$A422),"")</f>
        <v/>
      </c>
      <c r="J422" s="47">
        <f>IF(OR($H422="",$I422="",$G422=""),"",MAX(1,(YEAR($I422)-YEAR($H422))*12+MONTH($I422)-MONTH($H422)+1))</f>
        <v/>
      </c>
      <c r="K422" s="50">
        <f>IF($J422="","",$G422/$J422)</f>
        <v/>
      </c>
      <c r="L422" s="50">
        <f>IF($J422="",0,$K422*MAX(0,MIN(YEAR($C$3)*12+MONTH($C$3),YEAR($I422)*12+MONTH($I422))-(YEAR($H422)*12+MONTH($H422))+1))</f>
        <v/>
      </c>
      <c r="M422" s="50">
        <f>IF($J422="",0,$K422*MAX(0,MIN(YEAR($C$3)*12+MONTH($C$3)-1,YEAR($I422)*12+MONTH($I422))-(YEAR($H422)*12+MONTH($H422))+1))</f>
        <v/>
      </c>
      <c r="N422" s="50">
        <f>IF(OR($J422="",$B422=""),0,IF(YEAR($B422)*12+MONTH($B422)&lt;=YEAR($C$3)*12+MONTH($C$3),$G422,0))</f>
        <v/>
      </c>
      <c r="O422" s="50">
        <f>IF(OR($J422="",$B422=""),0,IF(YEAR($B422)*12+MONTH($B422)&lt;=YEAR($C$3)*12+MONTH($C$3)-1,$G422,0))</f>
        <v/>
      </c>
      <c r="P422" s="50">
        <f>$M422-$O422</f>
        <v/>
      </c>
      <c r="Q422" s="50">
        <f>($L422-$M422)-($N422-$O422)</f>
        <v/>
      </c>
      <c r="R422" s="50">
        <f>$L422-$N422</f>
        <v/>
      </c>
    </row>
    <row r="423">
      <c r="A423" s="47">
        <f>ROW()-5</f>
        <v/>
      </c>
      <c r="B423" s="48">
        <f>IFERROR(INDEX(tbl_Finance[Date],$A423),"")</f>
        <v/>
      </c>
      <c r="C423" s="49">
        <f>IFERROR(INDEX(tbl_Finance[Xero Invoice No],$A423),"")</f>
        <v/>
      </c>
      <c r="D423" s="49">
        <f>IFERROR(INDEX(tbl_Finance[Client],$A423),"")</f>
        <v/>
      </c>
      <c r="E423" s="49">
        <f>IFERROR(INDEX(tbl_Finance[Job Number],$A423),"")</f>
        <v/>
      </c>
      <c r="F423" s="49">
        <f>IFERROR(INDEX(tbl_Finance[Cost Centre],$A423),"")</f>
        <v/>
      </c>
      <c r="G423" s="50">
        <f>IFERROR(INDEX(tbl_Finance[Ex GST],$A423),"")</f>
        <v/>
      </c>
      <c r="H423" s="48">
        <f>IFERROR(INDEX(tbl_Finance[Defer Start],$A423),"")</f>
        <v/>
      </c>
      <c r="I423" s="48">
        <f>IFERROR(INDEX(tbl_Finance[Defer End],$A423),"")</f>
        <v/>
      </c>
      <c r="J423" s="47">
        <f>IF(OR($H423="",$I423="",$G423=""),"",MAX(1,(YEAR($I423)-YEAR($H423))*12+MONTH($I423)-MONTH($H423)+1))</f>
        <v/>
      </c>
      <c r="K423" s="50">
        <f>IF($J423="","",$G423/$J423)</f>
        <v/>
      </c>
      <c r="L423" s="50">
        <f>IF($J423="",0,$K423*MAX(0,MIN(YEAR($C$3)*12+MONTH($C$3),YEAR($I423)*12+MONTH($I423))-(YEAR($H423)*12+MONTH($H423))+1))</f>
        <v/>
      </c>
      <c r="M423" s="50">
        <f>IF($J423="",0,$K423*MAX(0,MIN(YEAR($C$3)*12+MONTH($C$3)-1,YEAR($I423)*12+MONTH($I423))-(YEAR($H423)*12+MONTH($H423))+1))</f>
        <v/>
      </c>
      <c r="N423" s="50">
        <f>IF(OR($J423="",$B423=""),0,IF(YEAR($B423)*12+MONTH($B423)&lt;=YEAR($C$3)*12+MONTH($C$3),$G423,0))</f>
        <v/>
      </c>
      <c r="O423" s="50">
        <f>IF(OR($J423="",$B423=""),0,IF(YEAR($B423)*12+MONTH($B423)&lt;=YEAR($C$3)*12+MONTH($C$3)-1,$G423,0))</f>
        <v/>
      </c>
      <c r="P423" s="50">
        <f>$M423-$O423</f>
        <v/>
      </c>
      <c r="Q423" s="50">
        <f>($L423-$M423)-($N423-$O423)</f>
        <v/>
      </c>
      <c r="R423" s="50">
        <f>$L423-$N423</f>
        <v/>
      </c>
    </row>
    <row r="424">
      <c r="A424" s="47">
        <f>ROW()-5</f>
        <v/>
      </c>
      <c r="B424" s="48">
        <f>IFERROR(INDEX(tbl_Finance[Date],$A424),"")</f>
        <v/>
      </c>
      <c r="C424" s="49">
        <f>IFERROR(INDEX(tbl_Finance[Xero Invoice No],$A424),"")</f>
        <v/>
      </c>
      <c r="D424" s="49">
        <f>IFERROR(INDEX(tbl_Finance[Client],$A424),"")</f>
        <v/>
      </c>
      <c r="E424" s="49">
        <f>IFERROR(INDEX(tbl_Finance[Job Number],$A424),"")</f>
        <v/>
      </c>
      <c r="F424" s="49">
        <f>IFERROR(INDEX(tbl_Finance[Cost Centre],$A424),"")</f>
        <v/>
      </c>
      <c r="G424" s="50">
        <f>IFERROR(INDEX(tbl_Finance[Ex GST],$A424),"")</f>
        <v/>
      </c>
      <c r="H424" s="48">
        <f>IFERROR(INDEX(tbl_Finance[Defer Start],$A424),"")</f>
        <v/>
      </c>
      <c r="I424" s="48">
        <f>IFERROR(INDEX(tbl_Finance[Defer End],$A424),"")</f>
        <v/>
      </c>
      <c r="J424" s="47">
        <f>IF(OR($H424="",$I424="",$G424=""),"",MAX(1,(YEAR($I424)-YEAR($H424))*12+MONTH($I424)-MONTH($H424)+1))</f>
        <v/>
      </c>
      <c r="K424" s="50">
        <f>IF($J424="","",$G424/$J424)</f>
        <v/>
      </c>
      <c r="L424" s="50">
        <f>IF($J424="",0,$K424*MAX(0,MIN(YEAR($C$3)*12+MONTH($C$3),YEAR($I424)*12+MONTH($I424))-(YEAR($H424)*12+MONTH($H424))+1))</f>
        <v/>
      </c>
      <c r="M424" s="50">
        <f>IF($J424="",0,$K424*MAX(0,MIN(YEAR($C$3)*12+MONTH($C$3)-1,YEAR($I424)*12+MONTH($I424))-(YEAR($H424)*12+MONTH($H424))+1))</f>
        <v/>
      </c>
      <c r="N424" s="50">
        <f>IF(OR($J424="",$B424=""),0,IF(YEAR($B424)*12+MONTH($B424)&lt;=YEAR($C$3)*12+MONTH($C$3),$G424,0))</f>
        <v/>
      </c>
      <c r="O424" s="50">
        <f>IF(OR($J424="",$B424=""),0,IF(YEAR($B424)*12+MONTH($B424)&lt;=YEAR($C$3)*12+MONTH($C$3)-1,$G424,0))</f>
        <v/>
      </c>
      <c r="P424" s="50">
        <f>$M424-$O424</f>
        <v/>
      </c>
      <c r="Q424" s="50">
        <f>($L424-$M424)-($N424-$O424)</f>
        <v/>
      </c>
      <c r="R424" s="50">
        <f>$L424-$N424</f>
        <v/>
      </c>
    </row>
    <row r="425">
      <c r="A425" s="47">
        <f>ROW()-5</f>
        <v/>
      </c>
      <c r="B425" s="48">
        <f>IFERROR(INDEX(tbl_Finance[Date],$A425),"")</f>
        <v/>
      </c>
      <c r="C425" s="49">
        <f>IFERROR(INDEX(tbl_Finance[Xero Invoice No],$A425),"")</f>
        <v/>
      </c>
      <c r="D425" s="49">
        <f>IFERROR(INDEX(tbl_Finance[Client],$A425),"")</f>
        <v/>
      </c>
      <c r="E425" s="49">
        <f>IFERROR(INDEX(tbl_Finance[Job Number],$A425),"")</f>
        <v/>
      </c>
      <c r="F425" s="49">
        <f>IFERROR(INDEX(tbl_Finance[Cost Centre],$A425),"")</f>
        <v/>
      </c>
      <c r="G425" s="50">
        <f>IFERROR(INDEX(tbl_Finance[Ex GST],$A425),"")</f>
        <v/>
      </c>
      <c r="H425" s="48">
        <f>IFERROR(INDEX(tbl_Finance[Defer Start],$A425),"")</f>
        <v/>
      </c>
      <c r="I425" s="48">
        <f>IFERROR(INDEX(tbl_Finance[Defer End],$A425),"")</f>
        <v/>
      </c>
      <c r="J425" s="47">
        <f>IF(OR($H425="",$I425="",$G425=""),"",MAX(1,(YEAR($I425)-YEAR($H425))*12+MONTH($I425)-MONTH($H425)+1))</f>
        <v/>
      </c>
      <c r="K425" s="50">
        <f>IF($J425="","",$G425/$J425)</f>
        <v/>
      </c>
      <c r="L425" s="50">
        <f>IF($J425="",0,$K425*MAX(0,MIN(YEAR($C$3)*12+MONTH($C$3),YEAR($I425)*12+MONTH($I425))-(YEAR($H425)*12+MONTH($H425))+1))</f>
        <v/>
      </c>
      <c r="M425" s="50">
        <f>IF($J425="",0,$K425*MAX(0,MIN(YEAR($C$3)*12+MONTH($C$3)-1,YEAR($I425)*12+MONTH($I425))-(YEAR($H425)*12+MONTH($H425))+1))</f>
        <v/>
      </c>
      <c r="N425" s="50">
        <f>IF(OR($J425="",$B425=""),0,IF(YEAR($B425)*12+MONTH($B425)&lt;=YEAR($C$3)*12+MONTH($C$3),$G425,0))</f>
        <v/>
      </c>
      <c r="O425" s="50">
        <f>IF(OR($J425="",$B425=""),0,IF(YEAR($B425)*12+MONTH($B425)&lt;=YEAR($C$3)*12+MONTH($C$3)-1,$G425,0))</f>
        <v/>
      </c>
      <c r="P425" s="50">
        <f>$M425-$O425</f>
        <v/>
      </c>
      <c r="Q425" s="50">
        <f>($L425-$M425)-($N425-$O425)</f>
        <v/>
      </c>
      <c r="R425" s="50">
        <f>$L425-$N425</f>
        <v/>
      </c>
    </row>
    <row r="426">
      <c r="A426" s="47">
        <f>ROW()-5</f>
        <v/>
      </c>
      <c r="B426" s="48">
        <f>IFERROR(INDEX(tbl_Finance[Date],$A426),"")</f>
        <v/>
      </c>
      <c r="C426" s="49">
        <f>IFERROR(INDEX(tbl_Finance[Xero Invoice No],$A426),"")</f>
        <v/>
      </c>
      <c r="D426" s="49">
        <f>IFERROR(INDEX(tbl_Finance[Client],$A426),"")</f>
        <v/>
      </c>
      <c r="E426" s="49">
        <f>IFERROR(INDEX(tbl_Finance[Job Number],$A426),"")</f>
        <v/>
      </c>
      <c r="F426" s="49">
        <f>IFERROR(INDEX(tbl_Finance[Cost Centre],$A426),"")</f>
        <v/>
      </c>
      <c r="G426" s="50">
        <f>IFERROR(INDEX(tbl_Finance[Ex GST],$A426),"")</f>
        <v/>
      </c>
      <c r="H426" s="48">
        <f>IFERROR(INDEX(tbl_Finance[Defer Start],$A426),"")</f>
        <v/>
      </c>
      <c r="I426" s="48">
        <f>IFERROR(INDEX(tbl_Finance[Defer End],$A426),"")</f>
        <v/>
      </c>
      <c r="J426" s="47">
        <f>IF(OR($H426="",$I426="",$G426=""),"",MAX(1,(YEAR($I426)-YEAR($H426))*12+MONTH($I426)-MONTH($H426)+1))</f>
        <v/>
      </c>
      <c r="K426" s="50">
        <f>IF($J426="","",$G426/$J426)</f>
        <v/>
      </c>
      <c r="L426" s="50">
        <f>IF($J426="",0,$K426*MAX(0,MIN(YEAR($C$3)*12+MONTH($C$3),YEAR($I426)*12+MONTH($I426))-(YEAR($H426)*12+MONTH($H426))+1))</f>
        <v/>
      </c>
      <c r="M426" s="50">
        <f>IF($J426="",0,$K426*MAX(0,MIN(YEAR($C$3)*12+MONTH($C$3)-1,YEAR($I426)*12+MONTH($I426))-(YEAR($H426)*12+MONTH($H426))+1))</f>
        <v/>
      </c>
      <c r="N426" s="50">
        <f>IF(OR($J426="",$B426=""),0,IF(YEAR($B426)*12+MONTH($B426)&lt;=YEAR($C$3)*12+MONTH($C$3),$G426,0))</f>
        <v/>
      </c>
      <c r="O426" s="50">
        <f>IF(OR($J426="",$B426=""),0,IF(YEAR($B426)*12+MONTH($B426)&lt;=YEAR($C$3)*12+MONTH($C$3)-1,$G426,0))</f>
        <v/>
      </c>
      <c r="P426" s="50">
        <f>$M426-$O426</f>
        <v/>
      </c>
      <c r="Q426" s="50">
        <f>($L426-$M426)-($N426-$O426)</f>
        <v/>
      </c>
      <c r="R426" s="50">
        <f>$L426-$N426</f>
        <v/>
      </c>
    </row>
    <row r="427">
      <c r="A427" s="47">
        <f>ROW()-5</f>
        <v/>
      </c>
      <c r="B427" s="48">
        <f>IFERROR(INDEX(tbl_Finance[Date],$A427),"")</f>
        <v/>
      </c>
      <c r="C427" s="49">
        <f>IFERROR(INDEX(tbl_Finance[Xero Invoice No],$A427),"")</f>
        <v/>
      </c>
      <c r="D427" s="49">
        <f>IFERROR(INDEX(tbl_Finance[Client],$A427),"")</f>
        <v/>
      </c>
      <c r="E427" s="49">
        <f>IFERROR(INDEX(tbl_Finance[Job Number],$A427),"")</f>
        <v/>
      </c>
      <c r="F427" s="49">
        <f>IFERROR(INDEX(tbl_Finance[Cost Centre],$A427),"")</f>
        <v/>
      </c>
      <c r="G427" s="50">
        <f>IFERROR(INDEX(tbl_Finance[Ex GST],$A427),"")</f>
        <v/>
      </c>
      <c r="H427" s="48">
        <f>IFERROR(INDEX(tbl_Finance[Defer Start],$A427),"")</f>
        <v/>
      </c>
      <c r="I427" s="48">
        <f>IFERROR(INDEX(tbl_Finance[Defer End],$A427),"")</f>
        <v/>
      </c>
      <c r="J427" s="47">
        <f>IF(OR($H427="",$I427="",$G427=""),"",MAX(1,(YEAR($I427)-YEAR($H427))*12+MONTH($I427)-MONTH($H427)+1))</f>
        <v/>
      </c>
      <c r="K427" s="50">
        <f>IF($J427="","",$G427/$J427)</f>
        <v/>
      </c>
      <c r="L427" s="50">
        <f>IF($J427="",0,$K427*MAX(0,MIN(YEAR($C$3)*12+MONTH($C$3),YEAR($I427)*12+MONTH($I427))-(YEAR($H427)*12+MONTH($H427))+1))</f>
        <v/>
      </c>
      <c r="M427" s="50">
        <f>IF($J427="",0,$K427*MAX(0,MIN(YEAR($C$3)*12+MONTH($C$3)-1,YEAR($I427)*12+MONTH($I427))-(YEAR($H427)*12+MONTH($H427))+1))</f>
        <v/>
      </c>
      <c r="N427" s="50">
        <f>IF(OR($J427="",$B427=""),0,IF(YEAR($B427)*12+MONTH($B427)&lt;=YEAR($C$3)*12+MONTH($C$3),$G427,0))</f>
        <v/>
      </c>
      <c r="O427" s="50">
        <f>IF(OR($J427="",$B427=""),0,IF(YEAR($B427)*12+MONTH($B427)&lt;=YEAR($C$3)*12+MONTH($C$3)-1,$G427,0))</f>
        <v/>
      </c>
      <c r="P427" s="50">
        <f>$M427-$O427</f>
        <v/>
      </c>
      <c r="Q427" s="50">
        <f>($L427-$M427)-($N427-$O427)</f>
        <v/>
      </c>
      <c r="R427" s="50">
        <f>$L427-$N427</f>
        <v/>
      </c>
    </row>
    <row r="428">
      <c r="A428" s="47">
        <f>ROW()-5</f>
        <v/>
      </c>
      <c r="B428" s="48">
        <f>IFERROR(INDEX(tbl_Finance[Date],$A428),"")</f>
        <v/>
      </c>
      <c r="C428" s="49">
        <f>IFERROR(INDEX(tbl_Finance[Xero Invoice No],$A428),"")</f>
        <v/>
      </c>
      <c r="D428" s="49">
        <f>IFERROR(INDEX(tbl_Finance[Client],$A428),"")</f>
        <v/>
      </c>
      <c r="E428" s="49">
        <f>IFERROR(INDEX(tbl_Finance[Job Number],$A428),"")</f>
        <v/>
      </c>
      <c r="F428" s="49">
        <f>IFERROR(INDEX(tbl_Finance[Cost Centre],$A428),"")</f>
        <v/>
      </c>
      <c r="G428" s="50">
        <f>IFERROR(INDEX(tbl_Finance[Ex GST],$A428),"")</f>
        <v/>
      </c>
      <c r="H428" s="48">
        <f>IFERROR(INDEX(tbl_Finance[Defer Start],$A428),"")</f>
        <v/>
      </c>
      <c r="I428" s="48">
        <f>IFERROR(INDEX(tbl_Finance[Defer End],$A428),"")</f>
        <v/>
      </c>
      <c r="J428" s="47">
        <f>IF(OR($H428="",$I428="",$G428=""),"",MAX(1,(YEAR($I428)-YEAR($H428))*12+MONTH($I428)-MONTH($H428)+1))</f>
        <v/>
      </c>
      <c r="K428" s="50">
        <f>IF($J428="","",$G428/$J428)</f>
        <v/>
      </c>
      <c r="L428" s="50">
        <f>IF($J428="",0,$K428*MAX(0,MIN(YEAR($C$3)*12+MONTH($C$3),YEAR($I428)*12+MONTH($I428))-(YEAR($H428)*12+MONTH($H428))+1))</f>
        <v/>
      </c>
      <c r="M428" s="50">
        <f>IF($J428="",0,$K428*MAX(0,MIN(YEAR($C$3)*12+MONTH($C$3)-1,YEAR($I428)*12+MONTH($I428))-(YEAR($H428)*12+MONTH($H428))+1))</f>
        <v/>
      </c>
      <c r="N428" s="50">
        <f>IF(OR($J428="",$B428=""),0,IF(YEAR($B428)*12+MONTH($B428)&lt;=YEAR($C$3)*12+MONTH($C$3),$G428,0))</f>
        <v/>
      </c>
      <c r="O428" s="50">
        <f>IF(OR($J428="",$B428=""),0,IF(YEAR($B428)*12+MONTH($B428)&lt;=YEAR($C$3)*12+MONTH($C$3)-1,$G428,0))</f>
        <v/>
      </c>
      <c r="P428" s="50">
        <f>$M428-$O428</f>
        <v/>
      </c>
      <c r="Q428" s="50">
        <f>($L428-$M428)-($N428-$O428)</f>
        <v/>
      </c>
      <c r="R428" s="50">
        <f>$L428-$N428</f>
        <v/>
      </c>
    </row>
    <row r="429">
      <c r="A429" s="47">
        <f>ROW()-5</f>
        <v/>
      </c>
      <c r="B429" s="48">
        <f>IFERROR(INDEX(tbl_Finance[Date],$A429),"")</f>
        <v/>
      </c>
      <c r="C429" s="49">
        <f>IFERROR(INDEX(tbl_Finance[Xero Invoice No],$A429),"")</f>
        <v/>
      </c>
      <c r="D429" s="49">
        <f>IFERROR(INDEX(tbl_Finance[Client],$A429),"")</f>
        <v/>
      </c>
      <c r="E429" s="49">
        <f>IFERROR(INDEX(tbl_Finance[Job Number],$A429),"")</f>
        <v/>
      </c>
      <c r="F429" s="49">
        <f>IFERROR(INDEX(tbl_Finance[Cost Centre],$A429),"")</f>
        <v/>
      </c>
      <c r="G429" s="50">
        <f>IFERROR(INDEX(tbl_Finance[Ex GST],$A429),"")</f>
        <v/>
      </c>
      <c r="H429" s="48">
        <f>IFERROR(INDEX(tbl_Finance[Defer Start],$A429),"")</f>
        <v/>
      </c>
      <c r="I429" s="48">
        <f>IFERROR(INDEX(tbl_Finance[Defer End],$A429),"")</f>
        <v/>
      </c>
      <c r="J429" s="47">
        <f>IF(OR($H429="",$I429="",$G429=""),"",MAX(1,(YEAR($I429)-YEAR($H429))*12+MONTH($I429)-MONTH($H429)+1))</f>
        <v/>
      </c>
      <c r="K429" s="50">
        <f>IF($J429="","",$G429/$J429)</f>
        <v/>
      </c>
      <c r="L429" s="50">
        <f>IF($J429="",0,$K429*MAX(0,MIN(YEAR($C$3)*12+MONTH($C$3),YEAR($I429)*12+MONTH($I429))-(YEAR($H429)*12+MONTH($H429))+1))</f>
        <v/>
      </c>
      <c r="M429" s="50">
        <f>IF($J429="",0,$K429*MAX(0,MIN(YEAR($C$3)*12+MONTH($C$3)-1,YEAR($I429)*12+MONTH($I429))-(YEAR($H429)*12+MONTH($H429))+1))</f>
        <v/>
      </c>
      <c r="N429" s="50">
        <f>IF(OR($J429="",$B429=""),0,IF(YEAR($B429)*12+MONTH($B429)&lt;=YEAR($C$3)*12+MONTH($C$3),$G429,0))</f>
        <v/>
      </c>
      <c r="O429" s="50">
        <f>IF(OR($J429="",$B429=""),0,IF(YEAR($B429)*12+MONTH($B429)&lt;=YEAR($C$3)*12+MONTH($C$3)-1,$G429,0))</f>
        <v/>
      </c>
      <c r="P429" s="50">
        <f>$M429-$O429</f>
        <v/>
      </c>
      <c r="Q429" s="50">
        <f>($L429-$M429)-($N429-$O429)</f>
        <v/>
      </c>
      <c r="R429" s="50">
        <f>$L429-$N429</f>
        <v/>
      </c>
    </row>
    <row r="430">
      <c r="A430" s="47">
        <f>ROW()-5</f>
        <v/>
      </c>
      <c r="B430" s="48">
        <f>IFERROR(INDEX(tbl_Finance[Date],$A430),"")</f>
        <v/>
      </c>
      <c r="C430" s="49">
        <f>IFERROR(INDEX(tbl_Finance[Xero Invoice No],$A430),"")</f>
        <v/>
      </c>
      <c r="D430" s="49">
        <f>IFERROR(INDEX(tbl_Finance[Client],$A430),"")</f>
        <v/>
      </c>
      <c r="E430" s="49">
        <f>IFERROR(INDEX(tbl_Finance[Job Number],$A430),"")</f>
        <v/>
      </c>
      <c r="F430" s="49">
        <f>IFERROR(INDEX(tbl_Finance[Cost Centre],$A430),"")</f>
        <v/>
      </c>
      <c r="G430" s="50">
        <f>IFERROR(INDEX(tbl_Finance[Ex GST],$A430),"")</f>
        <v/>
      </c>
      <c r="H430" s="48">
        <f>IFERROR(INDEX(tbl_Finance[Defer Start],$A430),"")</f>
        <v/>
      </c>
      <c r="I430" s="48">
        <f>IFERROR(INDEX(tbl_Finance[Defer End],$A430),"")</f>
        <v/>
      </c>
      <c r="J430" s="47">
        <f>IF(OR($H430="",$I430="",$G430=""),"",MAX(1,(YEAR($I430)-YEAR($H430))*12+MONTH($I430)-MONTH($H430)+1))</f>
        <v/>
      </c>
      <c r="K430" s="50">
        <f>IF($J430="","",$G430/$J430)</f>
        <v/>
      </c>
      <c r="L430" s="50">
        <f>IF($J430="",0,$K430*MAX(0,MIN(YEAR($C$3)*12+MONTH($C$3),YEAR($I430)*12+MONTH($I430))-(YEAR($H430)*12+MONTH($H430))+1))</f>
        <v/>
      </c>
      <c r="M430" s="50">
        <f>IF($J430="",0,$K430*MAX(0,MIN(YEAR($C$3)*12+MONTH($C$3)-1,YEAR($I430)*12+MONTH($I430))-(YEAR($H430)*12+MONTH($H430))+1))</f>
        <v/>
      </c>
      <c r="N430" s="50">
        <f>IF(OR($J430="",$B430=""),0,IF(YEAR($B430)*12+MONTH($B430)&lt;=YEAR($C$3)*12+MONTH($C$3),$G430,0))</f>
        <v/>
      </c>
      <c r="O430" s="50">
        <f>IF(OR($J430="",$B430=""),0,IF(YEAR($B430)*12+MONTH($B430)&lt;=YEAR($C$3)*12+MONTH($C$3)-1,$G430,0))</f>
        <v/>
      </c>
      <c r="P430" s="50">
        <f>$M430-$O430</f>
        <v/>
      </c>
      <c r="Q430" s="50">
        <f>($L430-$M430)-($N430-$O430)</f>
        <v/>
      </c>
      <c r="R430" s="50">
        <f>$L430-$N430</f>
        <v/>
      </c>
    </row>
    <row r="431">
      <c r="A431" s="47">
        <f>ROW()-5</f>
        <v/>
      </c>
      <c r="B431" s="48">
        <f>IFERROR(INDEX(tbl_Finance[Date],$A431),"")</f>
        <v/>
      </c>
      <c r="C431" s="49">
        <f>IFERROR(INDEX(tbl_Finance[Xero Invoice No],$A431),"")</f>
        <v/>
      </c>
      <c r="D431" s="49">
        <f>IFERROR(INDEX(tbl_Finance[Client],$A431),"")</f>
        <v/>
      </c>
      <c r="E431" s="49">
        <f>IFERROR(INDEX(tbl_Finance[Job Number],$A431),"")</f>
        <v/>
      </c>
      <c r="F431" s="49">
        <f>IFERROR(INDEX(tbl_Finance[Cost Centre],$A431),"")</f>
        <v/>
      </c>
      <c r="G431" s="50">
        <f>IFERROR(INDEX(tbl_Finance[Ex GST],$A431),"")</f>
        <v/>
      </c>
      <c r="H431" s="48">
        <f>IFERROR(INDEX(tbl_Finance[Defer Start],$A431),"")</f>
        <v/>
      </c>
      <c r="I431" s="48">
        <f>IFERROR(INDEX(tbl_Finance[Defer End],$A431),"")</f>
        <v/>
      </c>
      <c r="J431" s="47">
        <f>IF(OR($H431="",$I431="",$G431=""),"",MAX(1,(YEAR($I431)-YEAR($H431))*12+MONTH($I431)-MONTH($H431)+1))</f>
        <v/>
      </c>
      <c r="K431" s="50">
        <f>IF($J431="","",$G431/$J431)</f>
        <v/>
      </c>
      <c r="L431" s="50">
        <f>IF($J431="",0,$K431*MAX(0,MIN(YEAR($C$3)*12+MONTH($C$3),YEAR($I431)*12+MONTH($I431))-(YEAR($H431)*12+MONTH($H431))+1))</f>
        <v/>
      </c>
      <c r="M431" s="50">
        <f>IF($J431="",0,$K431*MAX(0,MIN(YEAR($C$3)*12+MONTH($C$3)-1,YEAR($I431)*12+MONTH($I431))-(YEAR($H431)*12+MONTH($H431))+1))</f>
        <v/>
      </c>
      <c r="N431" s="50">
        <f>IF(OR($J431="",$B431=""),0,IF(YEAR($B431)*12+MONTH($B431)&lt;=YEAR($C$3)*12+MONTH($C$3),$G431,0))</f>
        <v/>
      </c>
      <c r="O431" s="50">
        <f>IF(OR($J431="",$B431=""),0,IF(YEAR($B431)*12+MONTH($B431)&lt;=YEAR($C$3)*12+MONTH($C$3)-1,$G431,0))</f>
        <v/>
      </c>
      <c r="P431" s="50">
        <f>$M431-$O431</f>
        <v/>
      </c>
      <c r="Q431" s="50">
        <f>($L431-$M431)-($N431-$O431)</f>
        <v/>
      </c>
      <c r="R431" s="50">
        <f>$L431-$N431</f>
        <v/>
      </c>
    </row>
    <row r="432">
      <c r="A432" s="47">
        <f>ROW()-5</f>
        <v/>
      </c>
      <c r="B432" s="48">
        <f>IFERROR(INDEX(tbl_Finance[Date],$A432),"")</f>
        <v/>
      </c>
      <c r="C432" s="49">
        <f>IFERROR(INDEX(tbl_Finance[Xero Invoice No],$A432),"")</f>
        <v/>
      </c>
      <c r="D432" s="49">
        <f>IFERROR(INDEX(tbl_Finance[Client],$A432),"")</f>
        <v/>
      </c>
      <c r="E432" s="49">
        <f>IFERROR(INDEX(tbl_Finance[Job Number],$A432),"")</f>
        <v/>
      </c>
      <c r="F432" s="49">
        <f>IFERROR(INDEX(tbl_Finance[Cost Centre],$A432),"")</f>
        <v/>
      </c>
      <c r="G432" s="50">
        <f>IFERROR(INDEX(tbl_Finance[Ex GST],$A432),"")</f>
        <v/>
      </c>
      <c r="H432" s="48">
        <f>IFERROR(INDEX(tbl_Finance[Defer Start],$A432),"")</f>
        <v/>
      </c>
      <c r="I432" s="48">
        <f>IFERROR(INDEX(tbl_Finance[Defer End],$A432),"")</f>
        <v/>
      </c>
      <c r="J432" s="47">
        <f>IF(OR($H432="",$I432="",$G432=""),"",MAX(1,(YEAR($I432)-YEAR($H432))*12+MONTH($I432)-MONTH($H432)+1))</f>
        <v/>
      </c>
      <c r="K432" s="50">
        <f>IF($J432="","",$G432/$J432)</f>
        <v/>
      </c>
      <c r="L432" s="50">
        <f>IF($J432="",0,$K432*MAX(0,MIN(YEAR($C$3)*12+MONTH($C$3),YEAR($I432)*12+MONTH($I432))-(YEAR($H432)*12+MONTH($H432))+1))</f>
        <v/>
      </c>
      <c r="M432" s="50">
        <f>IF($J432="",0,$K432*MAX(0,MIN(YEAR($C$3)*12+MONTH($C$3)-1,YEAR($I432)*12+MONTH($I432))-(YEAR($H432)*12+MONTH($H432))+1))</f>
        <v/>
      </c>
      <c r="N432" s="50">
        <f>IF(OR($J432="",$B432=""),0,IF(YEAR($B432)*12+MONTH($B432)&lt;=YEAR($C$3)*12+MONTH($C$3),$G432,0))</f>
        <v/>
      </c>
      <c r="O432" s="50">
        <f>IF(OR($J432="",$B432=""),0,IF(YEAR($B432)*12+MONTH($B432)&lt;=YEAR($C$3)*12+MONTH($C$3)-1,$G432,0))</f>
        <v/>
      </c>
      <c r="P432" s="50">
        <f>$M432-$O432</f>
        <v/>
      </c>
      <c r="Q432" s="50">
        <f>($L432-$M432)-($N432-$O432)</f>
        <v/>
      </c>
      <c r="R432" s="50">
        <f>$L432-$N432</f>
        <v/>
      </c>
    </row>
    <row r="433">
      <c r="A433" s="47">
        <f>ROW()-5</f>
        <v/>
      </c>
      <c r="B433" s="48">
        <f>IFERROR(INDEX(tbl_Finance[Date],$A433),"")</f>
        <v/>
      </c>
      <c r="C433" s="49">
        <f>IFERROR(INDEX(tbl_Finance[Xero Invoice No],$A433),"")</f>
        <v/>
      </c>
      <c r="D433" s="49">
        <f>IFERROR(INDEX(tbl_Finance[Client],$A433),"")</f>
        <v/>
      </c>
      <c r="E433" s="49">
        <f>IFERROR(INDEX(tbl_Finance[Job Number],$A433),"")</f>
        <v/>
      </c>
      <c r="F433" s="49">
        <f>IFERROR(INDEX(tbl_Finance[Cost Centre],$A433),"")</f>
        <v/>
      </c>
      <c r="G433" s="50">
        <f>IFERROR(INDEX(tbl_Finance[Ex GST],$A433),"")</f>
        <v/>
      </c>
      <c r="H433" s="48">
        <f>IFERROR(INDEX(tbl_Finance[Defer Start],$A433),"")</f>
        <v/>
      </c>
      <c r="I433" s="48">
        <f>IFERROR(INDEX(tbl_Finance[Defer End],$A433),"")</f>
        <v/>
      </c>
      <c r="J433" s="47">
        <f>IF(OR($H433="",$I433="",$G433=""),"",MAX(1,(YEAR($I433)-YEAR($H433))*12+MONTH($I433)-MONTH($H433)+1))</f>
        <v/>
      </c>
      <c r="K433" s="50">
        <f>IF($J433="","",$G433/$J433)</f>
        <v/>
      </c>
      <c r="L433" s="50">
        <f>IF($J433="",0,$K433*MAX(0,MIN(YEAR($C$3)*12+MONTH($C$3),YEAR($I433)*12+MONTH($I433))-(YEAR($H433)*12+MONTH($H433))+1))</f>
        <v/>
      </c>
      <c r="M433" s="50">
        <f>IF($J433="",0,$K433*MAX(0,MIN(YEAR($C$3)*12+MONTH($C$3)-1,YEAR($I433)*12+MONTH($I433))-(YEAR($H433)*12+MONTH($H433))+1))</f>
        <v/>
      </c>
      <c r="N433" s="50">
        <f>IF(OR($J433="",$B433=""),0,IF(YEAR($B433)*12+MONTH($B433)&lt;=YEAR($C$3)*12+MONTH($C$3),$G433,0))</f>
        <v/>
      </c>
      <c r="O433" s="50">
        <f>IF(OR($J433="",$B433=""),0,IF(YEAR($B433)*12+MONTH($B433)&lt;=YEAR($C$3)*12+MONTH($C$3)-1,$G433,0))</f>
        <v/>
      </c>
      <c r="P433" s="50">
        <f>$M433-$O433</f>
        <v/>
      </c>
      <c r="Q433" s="50">
        <f>($L433-$M433)-($N433-$O433)</f>
        <v/>
      </c>
      <c r="R433" s="50">
        <f>$L433-$N433</f>
        <v/>
      </c>
    </row>
    <row r="434">
      <c r="A434" s="47">
        <f>ROW()-5</f>
        <v/>
      </c>
      <c r="B434" s="48">
        <f>IFERROR(INDEX(tbl_Finance[Date],$A434),"")</f>
        <v/>
      </c>
      <c r="C434" s="49">
        <f>IFERROR(INDEX(tbl_Finance[Xero Invoice No],$A434),"")</f>
        <v/>
      </c>
      <c r="D434" s="49">
        <f>IFERROR(INDEX(tbl_Finance[Client],$A434),"")</f>
        <v/>
      </c>
      <c r="E434" s="49">
        <f>IFERROR(INDEX(tbl_Finance[Job Number],$A434),"")</f>
        <v/>
      </c>
      <c r="F434" s="49">
        <f>IFERROR(INDEX(tbl_Finance[Cost Centre],$A434),"")</f>
        <v/>
      </c>
      <c r="G434" s="50">
        <f>IFERROR(INDEX(tbl_Finance[Ex GST],$A434),"")</f>
        <v/>
      </c>
      <c r="H434" s="48">
        <f>IFERROR(INDEX(tbl_Finance[Defer Start],$A434),"")</f>
        <v/>
      </c>
      <c r="I434" s="48">
        <f>IFERROR(INDEX(tbl_Finance[Defer End],$A434),"")</f>
        <v/>
      </c>
      <c r="J434" s="47">
        <f>IF(OR($H434="",$I434="",$G434=""),"",MAX(1,(YEAR($I434)-YEAR($H434))*12+MONTH($I434)-MONTH($H434)+1))</f>
        <v/>
      </c>
      <c r="K434" s="50">
        <f>IF($J434="","",$G434/$J434)</f>
        <v/>
      </c>
      <c r="L434" s="50">
        <f>IF($J434="",0,$K434*MAX(0,MIN(YEAR($C$3)*12+MONTH($C$3),YEAR($I434)*12+MONTH($I434))-(YEAR($H434)*12+MONTH($H434))+1))</f>
        <v/>
      </c>
      <c r="M434" s="50">
        <f>IF($J434="",0,$K434*MAX(0,MIN(YEAR($C$3)*12+MONTH($C$3)-1,YEAR($I434)*12+MONTH($I434))-(YEAR($H434)*12+MONTH($H434))+1))</f>
        <v/>
      </c>
      <c r="N434" s="50">
        <f>IF(OR($J434="",$B434=""),0,IF(YEAR($B434)*12+MONTH($B434)&lt;=YEAR($C$3)*12+MONTH($C$3),$G434,0))</f>
        <v/>
      </c>
      <c r="O434" s="50">
        <f>IF(OR($J434="",$B434=""),0,IF(YEAR($B434)*12+MONTH($B434)&lt;=YEAR($C$3)*12+MONTH($C$3)-1,$G434,0))</f>
        <v/>
      </c>
      <c r="P434" s="50">
        <f>$M434-$O434</f>
        <v/>
      </c>
      <c r="Q434" s="50">
        <f>($L434-$M434)-($N434-$O434)</f>
        <v/>
      </c>
      <c r="R434" s="50">
        <f>$L434-$N434</f>
        <v/>
      </c>
    </row>
    <row r="435">
      <c r="A435" s="47">
        <f>ROW()-5</f>
        <v/>
      </c>
      <c r="B435" s="48">
        <f>IFERROR(INDEX(tbl_Finance[Date],$A435),"")</f>
        <v/>
      </c>
      <c r="C435" s="49">
        <f>IFERROR(INDEX(tbl_Finance[Xero Invoice No],$A435),"")</f>
        <v/>
      </c>
      <c r="D435" s="49">
        <f>IFERROR(INDEX(tbl_Finance[Client],$A435),"")</f>
        <v/>
      </c>
      <c r="E435" s="49">
        <f>IFERROR(INDEX(tbl_Finance[Job Number],$A435),"")</f>
        <v/>
      </c>
      <c r="F435" s="49">
        <f>IFERROR(INDEX(tbl_Finance[Cost Centre],$A435),"")</f>
        <v/>
      </c>
      <c r="G435" s="50">
        <f>IFERROR(INDEX(tbl_Finance[Ex GST],$A435),"")</f>
        <v/>
      </c>
      <c r="H435" s="48">
        <f>IFERROR(INDEX(tbl_Finance[Defer Start],$A435),"")</f>
        <v/>
      </c>
      <c r="I435" s="48">
        <f>IFERROR(INDEX(tbl_Finance[Defer End],$A435),"")</f>
        <v/>
      </c>
      <c r="J435" s="47">
        <f>IF(OR($H435="",$I435="",$G435=""),"",MAX(1,(YEAR($I435)-YEAR($H435))*12+MONTH($I435)-MONTH($H435)+1))</f>
        <v/>
      </c>
      <c r="K435" s="50">
        <f>IF($J435="","",$G435/$J435)</f>
        <v/>
      </c>
      <c r="L435" s="50">
        <f>IF($J435="",0,$K435*MAX(0,MIN(YEAR($C$3)*12+MONTH($C$3),YEAR($I435)*12+MONTH($I435))-(YEAR($H435)*12+MONTH($H435))+1))</f>
        <v/>
      </c>
      <c r="M435" s="50">
        <f>IF($J435="",0,$K435*MAX(0,MIN(YEAR($C$3)*12+MONTH($C$3)-1,YEAR($I435)*12+MONTH($I435))-(YEAR($H435)*12+MONTH($H435))+1))</f>
        <v/>
      </c>
      <c r="N435" s="50">
        <f>IF(OR($J435="",$B435=""),0,IF(YEAR($B435)*12+MONTH($B435)&lt;=YEAR($C$3)*12+MONTH($C$3),$G435,0))</f>
        <v/>
      </c>
      <c r="O435" s="50">
        <f>IF(OR($J435="",$B435=""),0,IF(YEAR($B435)*12+MONTH($B435)&lt;=YEAR($C$3)*12+MONTH($C$3)-1,$G435,0))</f>
        <v/>
      </c>
      <c r="P435" s="50">
        <f>$M435-$O435</f>
        <v/>
      </c>
      <c r="Q435" s="50">
        <f>($L435-$M435)-($N435-$O435)</f>
        <v/>
      </c>
      <c r="R435" s="50">
        <f>$L435-$N435</f>
        <v/>
      </c>
    </row>
    <row r="436">
      <c r="A436" s="47">
        <f>ROW()-5</f>
        <v/>
      </c>
      <c r="B436" s="48">
        <f>IFERROR(INDEX(tbl_Finance[Date],$A436),"")</f>
        <v/>
      </c>
      <c r="C436" s="49">
        <f>IFERROR(INDEX(tbl_Finance[Xero Invoice No],$A436),"")</f>
        <v/>
      </c>
      <c r="D436" s="49">
        <f>IFERROR(INDEX(tbl_Finance[Client],$A436),"")</f>
        <v/>
      </c>
      <c r="E436" s="49">
        <f>IFERROR(INDEX(tbl_Finance[Job Number],$A436),"")</f>
        <v/>
      </c>
      <c r="F436" s="49">
        <f>IFERROR(INDEX(tbl_Finance[Cost Centre],$A436),"")</f>
        <v/>
      </c>
      <c r="G436" s="50">
        <f>IFERROR(INDEX(tbl_Finance[Ex GST],$A436),"")</f>
        <v/>
      </c>
      <c r="H436" s="48">
        <f>IFERROR(INDEX(tbl_Finance[Defer Start],$A436),"")</f>
        <v/>
      </c>
      <c r="I436" s="48">
        <f>IFERROR(INDEX(tbl_Finance[Defer End],$A436),"")</f>
        <v/>
      </c>
      <c r="J436" s="47">
        <f>IF(OR($H436="",$I436="",$G436=""),"",MAX(1,(YEAR($I436)-YEAR($H436))*12+MONTH($I436)-MONTH($H436)+1))</f>
        <v/>
      </c>
      <c r="K436" s="50">
        <f>IF($J436="","",$G436/$J436)</f>
        <v/>
      </c>
      <c r="L436" s="50">
        <f>IF($J436="",0,$K436*MAX(0,MIN(YEAR($C$3)*12+MONTH($C$3),YEAR($I436)*12+MONTH($I436))-(YEAR($H436)*12+MONTH($H436))+1))</f>
        <v/>
      </c>
      <c r="M436" s="50">
        <f>IF($J436="",0,$K436*MAX(0,MIN(YEAR($C$3)*12+MONTH($C$3)-1,YEAR($I436)*12+MONTH($I436))-(YEAR($H436)*12+MONTH($H436))+1))</f>
        <v/>
      </c>
      <c r="N436" s="50">
        <f>IF(OR($J436="",$B436=""),0,IF(YEAR($B436)*12+MONTH($B436)&lt;=YEAR($C$3)*12+MONTH($C$3),$G436,0))</f>
        <v/>
      </c>
      <c r="O436" s="50">
        <f>IF(OR($J436="",$B436=""),0,IF(YEAR($B436)*12+MONTH($B436)&lt;=YEAR($C$3)*12+MONTH($C$3)-1,$G436,0))</f>
        <v/>
      </c>
      <c r="P436" s="50">
        <f>$M436-$O436</f>
        <v/>
      </c>
      <c r="Q436" s="50">
        <f>($L436-$M436)-($N436-$O436)</f>
        <v/>
      </c>
      <c r="R436" s="50">
        <f>$L436-$N436</f>
        <v/>
      </c>
    </row>
    <row r="437">
      <c r="A437" s="47">
        <f>ROW()-5</f>
        <v/>
      </c>
      <c r="B437" s="48">
        <f>IFERROR(INDEX(tbl_Finance[Date],$A437),"")</f>
        <v/>
      </c>
      <c r="C437" s="49">
        <f>IFERROR(INDEX(tbl_Finance[Xero Invoice No],$A437),"")</f>
        <v/>
      </c>
      <c r="D437" s="49">
        <f>IFERROR(INDEX(tbl_Finance[Client],$A437),"")</f>
        <v/>
      </c>
      <c r="E437" s="49">
        <f>IFERROR(INDEX(tbl_Finance[Job Number],$A437),"")</f>
        <v/>
      </c>
      <c r="F437" s="49">
        <f>IFERROR(INDEX(tbl_Finance[Cost Centre],$A437),"")</f>
        <v/>
      </c>
      <c r="G437" s="50">
        <f>IFERROR(INDEX(tbl_Finance[Ex GST],$A437),"")</f>
        <v/>
      </c>
      <c r="H437" s="48">
        <f>IFERROR(INDEX(tbl_Finance[Defer Start],$A437),"")</f>
        <v/>
      </c>
      <c r="I437" s="48">
        <f>IFERROR(INDEX(tbl_Finance[Defer End],$A437),"")</f>
        <v/>
      </c>
      <c r="J437" s="47">
        <f>IF(OR($H437="",$I437="",$G437=""),"",MAX(1,(YEAR($I437)-YEAR($H437))*12+MONTH($I437)-MONTH($H437)+1))</f>
        <v/>
      </c>
      <c r="K437" s="50">
        <f>IF($J437="","",$G437/$J437)</f>
        <v/>
      </c>
      <c r="L437" s="50">
        <f>IF($J437="",0,$K437*MAX(0,MIN(YEAR($C$3)*12+MONTH($C$3),YEAR($I437)*12+MONTH($I437))-(YEAR($H437)*12+MONTH($H437))+1))</f>
        <v/>
      </c>
      <c r="M437" s="50">
        <f>IF($J437="",0,$K437*MAX(0,MIN(YEAR($C$3)*12+MONTH($C$3)-1,YEAR($I437)*12+MONTH($I437))-(YEAR($H437)*12+MONTH($H437))+1))</f>
        <v/>
      </c>
      <c r="N437" s="50">
        <f>IF(OR($J437="",$B437=""),0,IF(YEAR($B437)*12+MONTH($B437)&lt;=YEAR($C$3)*12+MONTH($C$3),$G437,0))</f>
        <v/>
      </c>
      <c r="O437" s="50">
        <f>IF(OR($J437="",$B437=""),0,IF(YEAR($B437)*12+MONTH($B437)&lt;=YEAR($C$3)*12+MONTH($C$3)-1,$G437,0))</f>
        <v/>
      </c>
      <c r="P437" s="50">
        <f>$M437-$O437</f>
        <v/>
      </c>
      <c r="Q437" s="50">
        <f>($L437-$M437)-($N437-$O437)</f>
        <v/>
      </c>
      <c r="R437" s="50">
        <f>$L437-$N437</f>
        <v/>
      </c>
    </row>
    <row r="438">
      <c r="A438" s="47">
        <f>ROW()-5</f>
        <v/>
      </c>
      <c r="B438" s="48">
        <f>IFERROR(INDEX(tbl_Finance[Date],$A438),"")</f>
        <v/>
      </c>
      <c r="C438" s="49">
        <f>IFERROR(INDEX(tbl_Finance[Xero Invoice No],$A438),"")</f>
        <v/>
      </c>
      <c r="D438" s="49">
        <f>IFERROR(INDEX(tbl_Finance[Client],$A438),"")</f>
        <v/>
      </c>
      <c r="E438" s="49">
        <f>IFERROR(INDEX(tbl_Finance[Job Number],$A438),"")</f>
        <v/>
      </c>
      <c r="F438" s="49">
        <f>IFERROR(INDEX(tbl_Finance[Cost Centre],$A438),"")</f>
        <v/>
      </c>
      <c r="G438" s="50">
        <f>IFERROR(INDEX(tbl_Finance[Ex GST],$A438),"")</f>
        <v/>
      </c>
      <c r="H438" s="48">
        <f>IFERROR(INDEX(tbl_Finance[Defer Start],$A438),"")</f>
        <v/>
      </c>
      <c r="I438" s="48">
        <f>IFERROR(INDEX(tbl_Finance[Defer End],$A438),"")</f>
        <v/>
      </c>
      <c r="J438" s="47">
        <f>IF(OR($H438="",$I438="",$G438=""),"",MAX(1,(YEAR($I438)-YEAR($H438))*12+MONTH($I438)-MONTH($H438)+1))</f>
        <v/>
      </c>
      <c r="K438" s="50">
        <f>IF($J438="","",$G438/$J438)</f>
        <v/>
      </c>
      <c r="L438" s="50">
        <f>IF($J438="",0,$K438*MAX(0,MIN(YEAR($C$3)*12+MONTH($C$3),YEAR($I438)*12+MONTH($I438))-(YEAR($H438)*12+MONTH($H438))+1))</f>
        <v/>
      </c>
      <c r="M438" s="50">
        <f>IF($J438="",0,$K438*MAX(0,MIN(YEAR($C$3)*12+MONTH($C$3)-1,YEAR($I438)*12+MONTH($I438))-(YEAR($H438)*12+MONTH($H438))+1))</f>
        <v/>
      </c>
      <c r="N438" s="50">
        <f>IF(OR($J438="",$B438=""),0,IF(YEAR($B438)*12+MONTH($B438)&lt;=YEAR($C$3)*12+MONTH($C$3),$G438,0))</f>
        <v/>
      </c>
      <c r="O438" s="50">
        <f>IF(OR($J438="",$B438=""),0,IF(YEAR($B438)*12+MONTH($B438)&lt;=YEAR($C$3)*12+MONTH($C$3)-1,$G438,0))</f>
        <v/>
      </c>
      <c r="P438" s="50">
        <f>$M438-$O438</f>
        <v/>
      </c>
      <c r="Q438" s="50">
        <f>($L438-$M438)-($N438-$O438)</f>
        <v/>
      </c>
      <c r="R438" s="50">
        <f>$L438-$N438</f>
        <v/>
      </c>
    </row>
    <row r="439">
      <c r="A439" s="47">
        <f>ROW()-5</f>
        <v/>
      </c>
      <c r="B439" s="48">
        <f>IFERROR(INDEX(tbl_Finance[Date],$A439),"")</f>
        <v/>
      </c>
      <c r="C439" s="49">
        <f>IFERROR(INDEX(tbl_Finance[Xero Invoice No],$A439),"")</f>
        <v/>
      </c>
      <c r="D439" s="49">
        <f>IFERROR(INDEX(tbl_Finance[Client],$A439),"")</f>
        <v/>
      </c>
      <c r="E439" s="49">
        <f>IFERROR(INDEX(tbl_Finance[Job Number],$A439),"")</f>
        <v/>
      </c>
      <c r="F439" s="49">
        <f>IFERROR(INDEX(tbl_Finance[Cost Centre],$A439),"")</f>
        <v/>
      </c>
      <c r="G439" s="50">
        <f>IFERROR(INDEX(tbl_Finance[Ex GST],$A439),"")</f>
        <v/>
      </c>
      <c r="H439" s="48">
        <f>IFERROR(INDEX(tbl_Finance[Defer Start],$A439),"")</f>
        <v/>
      </c>
      <c r="I439" s="48">
        <f>IFERROR(INDEX(tbl_Finance[Defer End],$A439),"")</f>
        <v/>
      </c>
      <c r="J439" s="47">
        <f>IF(OR($H439="",$I439="",$G439=""),"",MAX(1,(YEAR($I439)-YEAR($H439))*12+MONTH($I439)-MONTH($H439)+1))</f>
        <v/>
      </c>
      <c r="K439" s="50">
        <f>IF($J439="","",$G439/$J439)</f>
        <v/>
      </c>
      <c r="L439" s="50">
        <f>IF($J439="",0,$K439*MAX(0,MIN(YEAR($C$3)*12+MONTH($C$3),YEAR($I439)*12+MONTH($I439))-(YEAR($H439)*12+MONTH($H439))+1))</f>
        <v/>
      </c>
      <c r="M439" s="50">
        <f>IF($J439="",0,$K439*MAX(0,MIN(YEAR($C$3)*12+MONTH($C$3)-1,YEAR($I439)*12+MONTH($I439))-(YEAR($H439)*12+MONTH($H439))+1))</f>
        <v/>
      </c>
      <c r="N439" s="50">
        <f>IF(OR($J439="",$B439=""),0,IF(YEAR($B439)*12+MONTH($B439)&lt;=YEAR($C$3)*12+MONTH($C$3),$G439,0))</f>
        <v/>
      </c>
      <c r="O439" s="50">
        <f>IF(OR($J439="",$B439=""),0,IF(YEAR($B439)*12+MONTH($B439)&lt;=YEAR($C$3)*12+MONTH($C$3)-1,$G439,0))</f>
        <v/>
      </c>
      <c r="P439" s="50">
        <f>$M439-$O439</f>
        <v/>
      </c>
      <c r="Q439" s="50">
        <f>($L439-$M439)-($N439-$O439)</f>
        <v/>
      </c>
      <c r="R439" s="50">
        <f>$L439-$N439</f>
        <v/>
      </c>
    </row>
    <row r="440">
      <c r="A440" s="47">
        <f>ROW()-5</f>
        <v/>
      </c>
      <c r="B440" s="48">
        <f>IFERROR(INDEX(tbl_Finance[Date],$A440),"")</f>
        <v/>
      </c>
      <c r="C440" s="49">
        <f>IFERROR(INDEX(tbl_Finance[Xero Invoice No],$A440),"")</f>
        <v/>
      </c>
      <c r="D440" s="49">
        <f>IFERROR(INDEX(tbl_Finance[Client],$A440),"")</f>
        <v/>
      </c>
      <c r="E440" s="49">
        <f>IFERROR(INDEX(tbl_Finance[Job Number],$A440),"")</f>
        <v/>
      </c>
      <c r="F440" s="49">
        <f>IFERROR(INDEX(tbl_Finance[Cost Centre],$A440),"")</f>
        <v/>
      </c>
      <c r="G440" s="50">
        <f>IFERROR(INDEX(tbl_Finance[Ex GST],$A440),"")</f>
        <v/>
      </c>
      <c r="H440" s="48">
        <f>IFERROR(INDEX(tbl_Finance[Defer Start],$A440),"")</f>
        <v/>
      </c>
      <c r="I440" s="48">
        <f>IFERROR(INDEX(tbl_Finance[Defer End],$A440),"")</f>
        <v/>
      </c>
      <c r="J440" s="47">
        <f>IF(OR($H440="",$I440="",$G440=""),"",MAX(1,(YEAR($I440)-YEAR($H440))*12+MONTH($I440)-MONTH($H440)+1))</f>
        <v/>
      </c>
      <c r="K440" s="50">
        <f>IF($J440="","",$G440/$J440)</f>
        <v/>
      </c>
      <c r="L440" s="50">
        <f>IF($J440="",0,$K440*MAX(0,MIN(YEAR($C$3)*12+MONTH($C$3),YEAR($I440)*12+MONTH($I440))-(YEAR($H440)*12+MONTH($H440))+1))</f>
        <v/>
      </c>
      <c r="M440" s="50">
        <f>IF($J440="",0,$K440*MAX(0,MIN(YEAR($C$3)*12+MONTH($C$3)-1,YEAR($I440)*12+MONTH($I440))-(YEAR($H440)*12+MONTH($H440))+1))</f>
        <v/>
      </c>
      <c r="N440" s="50">
        <f>IF(OR($J440="",$B440=""),0,IF(YEAR($B440)*12+MONTH($B440)&lt;=YEAR($C$3)*12+MONTH($C$3),$G440,0))</f>
        <v/>
      </c>
      <c r="O440" s="50">
        <f>IF(OR($J440="",$B440=""),0,IF(YEAR($B440)*12+MONTH($B440)&lt;=YEAR($C$3)*12+MONTH($C$3)-1,$G440,0))</f>
        <v/>
      </c>
      <c r="P440" s="50">
        <f>$M440-$O440</f>
        <v/>
      </c>
      <c r="Q440" s="50">
        <f>($L440-$M440)-($N440-$O440)</f>
        <v/>
      </c>
      <c r="R440" s="50">
        <f>$L440-$N440</f>
        <v/>
      </c>
    </row>
    <row r="441">
      <c r="A441" s="47">
        <f>ROW()-5</f>
        <v/>
      </c>
      <c r="B441" s="48">
        <f>IFERROR(INDEX(tbl_Finance[Date],$A441),"")</f>
        <v/>
      </c>
      <c r="C441" s="49">
        <f>IFERROR(INDEX(tbl_Finance[Xero Invoice No],$A441),"")</f>
        <v/>
      </c>
      <c r="D441" s="49">
        <f>IFERROR(INDEX(tbl_Finance[Client],$A441),"")</f>
        <v/>
      </c>
      <c r="E441" s="49">
        <f>IFERROR(INDEX(tbl_Finance[Job Number],$A441),"")</f>
        <v/>
      </c>
      <c r="F441" s="49">
        <f>IFERROR(INDEX(tbl_Finance[Cost Centre],$A441),"")</f>
        <v/>
      </c>
      <c r="G441" s="50">
        <f>IFERROR(INDEX(tbl_Finance[Ex GST],$A441),"")</f>
        <v/>
      </c>
      <c r="H441" s="48">
        <f>IFERROR(INDEX(tbl_Finance[Defer Start],$A441),"")</f>
        <v/>
      </c>
      <c r="I441" s="48">
        <f>IFERROR(INDEX(tbl_Finance[Defer End],$A441),"")</f>
        <v/>
      </c>
      <c r="J441" s="47">
        <f>IF(OR($H441="",$I441="",$G441=""),"",MAX(1,(YEAR($I441)-YEAR($H441))*12+MONTH($I441)-MONTH($H441)+1))</f>
        <v/>
      </c>
      <c r="K441" s="50">
        <f>IF($J441="","",$G441/$J441)</f>
        <v/>
      </c>
      <c r="L441" s="50">
        <f>IF($J441="",0,$K441*MAX(0,MIN(YEAR($C$3)*12+MONTH($C$3),YEAR($I441)*12+MONTH($I441))-(YEAR($H441)*12+MONTH($H441))+1))</f>
        <v/>
      </c>
      <c r="M441" s="50">
        <f>IF($J441="",0,$K441*MAX(0,MIN(YEAR($C$3)*12+MONTH($C$3)-1,YEAR($I441)*12+MONTH($I441))-(YEAR($H441)*12+MONTH($H441))+1))</f>
        <v/>
      </c>
      <c r="N441" s="50">
        <f>IF(OR($J441="",$B441=""),0,IF(YEAR($B441)*12+MONTH($B441)&lt;=YEAR($C$3)*12+MONTH($C$3),$G441,0))</f>
        <v/>
      </c>
      <c r="O441" s="50">
        <f>IF(OR($J441="",$B441=""),0,IF(YEAR($B441)*12+MONTH($B441)&lt;=YEAR($C$3)*12+MONTH($C$3)-1,$G441,0))</f>
        <v/>
      </c>
      <c r="P441" s="50">
        <f>$M441-$O441</f>
        <v/>
      </c>
      <c r="Q441" s="50">
        <f>($L441-$M441)-($N441-$O441)</f>
        <v/>
      </c>
      <c r="R441" s="50">
        <f>$L441-$N441</f>
        <v/>
      </c>
    </row>
    <row r="442">
      <c r="A442" s="47">
        <f>ROW()-5</f>
        <v/>
      </c>
      <c r="B442" s="48">
        <f>IFERROR(INDEX(tbl_Finance[Date],$A442),"")</f>
        <v/>
      </c>
      <c r="C442" s="49">
        <f>IFERROR(INDEX(tbl_Finance[Xero Invoice No],$A442),"")</f>
        <v/>
      </c>
      <c r="D442" s="49">
        <f>IFERROR(INDEX(tbl_Finance[Client],$A442),"")</f>
        <v/>
      </c>
      <c r="E442" s="49">
        <f>IFERROR(INDEX(tbl_Finance[Job Number],$A442),"")</f>
        <v/>
      </c>
      <c r="F442" s="49">
        <f>IFERROR(INDEX(tbl_Finance[Cost Centre],$A442),"")</f>
        <v/>
      </c>
      <c r="G442" s="50">
        <f>IFERROR(INDEX(tbl_Finance[Ex GST],$A442),"")</f>
        <v/>
      </c>
      <c r="H442" s="48">
        <f>IFERROR(INDEX(tbl_Finance[Defer Start],$A442),"")</f>
        <v/>
      </c>
      <c r="I442" s="48">
        <f>IFERROR(INDEX(tbl_Finance[Defer End],$A442),"")</f>
        <v/>
      </c>
      <c r="J442" s="47">
        <f>IF(OR($H442="",$I442="",$G442=""),"",MAX(1,(YEAR($I442)-YEAR($H442))*12+MONTH($I442)-MONTH($H442)+1))</f>
        <v/>
      </c>
      <c r="K442" s="50">
        <f>IF($J442="","",$G442/$J442)</f>
        <v/>
      </c>
      <c r="L442" s="50">
        <f>IF($J442="",0,$K442*MAX(0,MIN(YEAR($C$3)*12+MONTH($C$3),YEAR($I442)*12+MONTH($I442))-(YEAR($H442)*12+MONTH($H442))+1))</f>
        <v/>
      </c>
      <c r="M442" s="50">
        <f>IF($J442="",0,$K442*MAX(0,MIN(YEAR($C$3)*12+MONTH($C$3)-1,YEAR($I442)*12+MONTH($I442))-(YEAR($H442)*12+MONTH($H442))+1))</f>
        <v/>
      </c>
      <c r="N442" s="50">
        <f>IF(OR($J442="",$B442=""),0,IF(YEAR($B442)*12+MONTH($B442)&lt;=YEAR($C$3)*12+MONTH($C$3),$G442,0))</f>
        <v/>
      </c>
      <c r="O442" s="50">
        <f>IF(OR($J442="",$B442=""),0,IF(YEAR($B442)*12+MONTH($B442)&lt;=YEAR($C$3)*12+MONTH($C$3)-1,$G442,0))</f>
        <v/>
      </c>
      <c r="P442" s="50">
        <f>$M442-$O442</f>
        <v/>
      </c>
      <c r="Q442" s="50">
        <f>($L442-$M442)-($N442-$O442)</f>
        <v/>
      </c>
      <c r="R442" s="50">
        <f>$L442-$N442</f>
        <v/>
      </c>
    </row>
    <row r="443">
      <c r="A443" s="47">
        <f>ROW()-5</f>
        <v/>
      </c>
      <c r="B443" s="48">
        <f>IFERROR(INDEX(tbl_Finance[Date],$A443),"")</f>
        <v/>
      </c>
      <c r="C443" s="49">
        <f>IFERROR(INDEX(tbl_Finance[Xero Invoice No],$A443),"")</f>
        <v/>
      </c>
      <c r="D443" s="49">
        <f>IFERROR(INDEX(tbl_Finance[Client],$A443),"")</f>
        <v/>
      </c>
      <c r="E443" s="49">
        <f>IFERROR(INDEX(tbl_Finance[Job Number],$A443),"")</f>
        <v/>
      </c>
      <c r="F443" s="49">
        <f>IFERROR(INDEX(tbl_Finance[Cost Centre],$A443),"")</f>
        <v/>
      </c>
      <c r="G443" s="50">
        <f>IFERROR(INDEX(tbl_Finance[Ex GST],$A443),"")</f>
        <v/>
      </c>
      <c r="H443" s="48">
        <f>IFERROR(INDEX(tbl_Finance[Defer Start],$A443),"")</f>
        <v/>
      </c>
      <c r="I443" s="48">
        <f>IFERROR(INDEX(tbl_Finance[Defer End],$A443),"")</f>
        <v/>
      </c>
      <c r="J443" s="47">
        <f>IF(OR($H443="",$I443="",$G443=""),"",MAX(1,(YEAR($I443)-YEAR($H443))*12+MONTH($I443)-MONTH($H443)+1))</f>
        <v/>
      </c>
      <c r="K443" s="50">
        <f>IF($J443="","",$G443/$J443)</f>
        <v/>
      </c>
      <c r="L443" s="50">
        <f>IF($J443="",0,$K443*MAX(0,MIN(YEAR($C$3)*12+MONTH($C$3),YEAR($I443)*12+MONTH($I443))-(YEAR($H443)*12+MONTH($H443))+1))</f>
        <v/>
      </c>
      <c r="M443" s="50">
        <f>IF($J443="",0,$K443*MAX(0,MIN(YEAR($C$3)*12+MONTH($C$3)-1,YEAR($I443)*12+MONTH($I443))-(YEAR($H443)*12+MONTH($H443))+1))</f>
        <v/>
      </c>
      <c r="N443" s="50">
        <f>IF(OR($J443="",$B443=""),0,IF(YEAR($B443)*12+MONTH($B443)&lt;=YEAR($C$3)*12+MONTH($C$3),$G443,0))</f>
        <v/>
      </c>
      <c r="O443" s="50">
        <f>IF(OR($J443="",$B443=""),0,IF(YEAR($B443)*12+MONTH($B443)&lt;=YEAR($C$3)*12+MONTH($C$3)-1,$G443,0))</f>
        <v/>
      </c>
      <c r="P443" s="50">
        <f>$M443-$O443</f>
        <v/>
      </c>
      <c r="Q443" s="50">
        <f>($L443-$M443)-($N443-$O443)</f>
        <v/>
      </c>
      <c r="R443" s="50">
        <f>$L443-$N443</f>
        <v/>
      </c>
    </row>
    <row r="444">
      <c r="A444" s="47">
        <f>ROW()-5</f>
        <v/>
      </c>
      <c r="B444" s="48">
        <f>IFERROR(INDEX(tbl_Finance[Date],$A444),"")</f>
        <v/>
      </c>
      <c r="C444" s="49">
        <f>IFERROR(INDEX(tbl_Finance[Xero Invoice No],$A444),"")</f>
        <v/>
      </c>
      <c r="D444" s="49">
        <f>IFERROR(INDEX(tbl_Finance[Client],$A444),"")</f>
        <v/>
      </c>
      <c r="E444" s="49">
        <f>IFERROR(INDEX(tbl_Finance[Job Number],$A444),"")</f>
        <v/>
      </c>
      <c r="F444" s="49">
        <f>IFERROR(INDEX(tbl_Finance[Cost Centre],$A444),"")</f>
        <v/>
      </c>
      <c r="G444" s="50">
        <f>IFERROR(INDEX(tbl_Finance[Ex GST],$A444),"")</f>
        <v/>
      </c>
      <c r="H444" s="48">
        <f>IFERROR(INDEX(tbl_Finance[Defer Start],$A444),"")</f>
        <v/>
      </c>
      <c r="I444" s="48">
        <f>IFERROR(INDEX(tbl_Finance[Defer End],$A444),"")</f>
        <v/>
      </c>
      <c r="J444" s="47">
        <f>IF(OR($H444="",$I444="",$G444=""),"",MAX(1,(YEAR($I444)-YEAR($H444))*12+MONTH($I444)-MONTH($H444)+1))</f>
        <v/>
      </c>
      <c r="K444" s="50">
        <f>IF($J444="","",$G444/$J444)</f>
        <v/>
      </c>
      <c r="L444" s="50">
        <f>IF($J444="",0,$K444*MAX(0,MIN(YEAR($C$3)*12+MONTH($C$3),YEAR($I444)*12+MONTH($I444))-(YEAR($H444)*12+MONTH($H444))+1))</f>
        <v/>
      </c>
      <c r="M444" s="50">
        <f>IF($J444="",0,$K444*MAX(0,MIN(YEAR($C$3)*12+MONTH($C$3)-1,YEAR($I444)*12+MONTH($I444))-(YEAR($H444)*12+MONTH($H444))+1))</f>
        <v/>
      </c>
      <c r="N444" s="50">
        <f>IF(OR($J444="",$B444=""),0,IF(YEAR($B444)*12+MONTH($B444)&lt;=YEAR($C$3)*12+MONTH($C$3),$G444,0))</f>
        <v/>
      </c>
      <c r="O444" s="50">
        <f>IF(OR($J444="",$B444=""),0,IF(YEAR($B444)*12+MONTH($B444)&lt;=YEAR($C$3)*12+MONTH($C$3)-1,$G444,0))</f>
        <v/>
      </c>
      <c r="P444" s="50">
        <f>$M444-$O444</f>
        <v/>
      </c>
      <c r="Q444" s="50">
        <f>($L444-$M444)-($N444-$O444)</f>
        <v/>
      </c>
      <c r="R444" s="50">
        <f>$L444-$N444</f>
        <v/>
      </c>
    </row>
    <row r="445">
      <c r="A445" s="47">
        <f>ROW()-5</f>
        <v/>
      </c>
      <c r="B445" s="48">
        <f>IFERROR(INDEX(tbl_Finance[Date],$A445),"")</f>
        <v/>
      </c>
      <c r="C445" s="49">
        <f>IFERROR(INDEX(tbl_Finance[Xero Invoice No],$A445),"")</f>
        <v/>
      </c>
      <c r="D445" s="49">
        <f>IFERROR(INDEX(tbl_Finance[Client],$A445),"")</f>
        <v/>
      </c>
      <c r="E445" s="49">
        <f>IFERROR(INDEX(tbl_Finance[Job Number],$A445),"")</f>
        <v/>
      </c>
      <c r="F445" s="49">
        <f>IFERROR(INDEX(tbl_Finance[Cost Centre],$A445),"")</f>
        <v/>
      </c>
      <c r="G445" s="50">
        <f>IFERROR(INDEX(tbl_Finance[Ex GST],$A445),"")</f>
        <v/>
      </c>
      <c r="H445" s="48">
        <f>IFERROR(INDEX(tbl_Finance[Defer Start],$A445),"")</f>
        <v/>
      </c>
      <c r="I445" s="48">
        <f>IFERROR(INDEX(tbl_Finance[Defer End],$A445),"")</f>
        <v/>
      </c>
      <c r="J445" s="47">
        <f>IF(OR($H445="",$I445="",$G445=""),"",MAX(1,(YEAR($I445)-YEAR($H445))*12+MONTH($I445)-MONTH($H445)+1))</f>
        <v/>
      </c>
      <c r="K445" s="50">
        <f>IF($J445="","",$G445/$J445)</f>
        <v/>
      </c>
      <c r="L445" s="50">
        <f>IF($J445="",0,$K445*MAX(0,MIN(YEAR($C$3)*12+MONTH($C$3),YEAR($I445)*12+MONTH($I445))-(YEAR($H445)*12+MONTH($H445))+1))</f>
        <v/>
      </c>
      <c r="M445" s="50">
        <f>IF($J445="",0,$K445*MAX(0,MIN(YEAR($C$3)*12+MONTH($C$3)-1,YEAR($I445)*12+MONTH($I445))-(YEAR($H445)*12+MONTH($H445))+1))</f>
        <v/>
      </c>
      <c r="N445" s="50">
        <f>IF(OR($J445="",$B445=""),0,IF(YEAR($B445)*12+MONTH($B445)&lt;=YEAR($C$3)*12+MONTH($C$3),$G445,0))</f>
        <v/>
      </c>
      <c r="O445" s="50">
        <f>IF(OR($J445="",$B445=""),0,IF(YEAR($B445)*12+MONTH($B445)&lt;=YEAR($C$3)*12+MONTH($C$3)-1,$G445,0))</f>
        <v/>
      </c>
      <c r="P445" s="50">
        <f>$M445-$O445</f>
        <v/>
      </c>
      <c r="Q445" s="50">
        <f>($L445-$M445)-($N445-$O445)</f>
        <v/>
      </c>
      <c r="R445" s="50">
        <f>$L445-$N445</f>
        <v/>
      </c>
    </row>
    <row r="446">
      <c r="A446" s="47">
        <f>ROW()-5</f>
        <v/>
      </c>
      <c r="B446" s="48">
        <f>IFERROR(INDEX(tbl_Finance[Date],$A446),"")</f>
        <v/>
      </c>
      <c r="C446" s="49">
        <f>IFERROR(INDEX(tbl_Finance[Xero Invoice No],$A446),"")</f>
        <v/>
      </c>
      <c r="D446" s="49">
        <f>IFERROR(INDEX(tbl_Finance[Client],$A446),"")</f>
        <v/>
      </c>
      <c r="E446" s="49">
        <f>IFERROR(INDEX(tbl_Finance[Job Number],$A446),"")</f>
        <v/>
      </c>
      <c r="F446" s="49">
        <f>IFERROR(INDEX(tbl_Finance[Cost Centre],$A446),"")</f>
        <v/>
      </c>
      <c r="G446" s="50">
        <f>IFERROR(INDEX(tbl_Finance[Ex GST],$A446),"")</f>
        <v/>
      </c>
      <c r="H446" s="48">
        <f>IFERROR(INDEX(tbl_Finance[Defer Start],$A446),"")</f>
        <v/>
      </c>
      <c r="I446" s="48">
        <f>IFERROR(INDEX(tbl_Finance[Defer End],$A446),"")</f>
        <v/>
      </c>
      <c r="J446" s="47">
        <f>IF(OR($H446="",$I446="",$G446=""),"",MAX(1,(YEAR($I446)-YEAR($H446))*12+MONTH($I446)-MONTH($H446)+1))</f>
        <v/>
      </c>
      <c r="K446" s="50">
        <f>IF($J446="","",$G446/$J446)</f>
        <v/>
      </c>
      <c r="L446" s="50">
        <f>IF($J446="",0,$K446*MAX(0,MIN(YEAR($C$3)*12+MONTH($C$3),YEAR($I446)*12+MONTH($I446))-(YEAR($H446)*12+MONTH($H446))+1))</f>
        <v/>
      </c>
      <c r="M446" s="50">
        <f>IF($J446="",0,$K446*MAX(0,MIN(YEAR($C$3)*12+MONTH($C$3)-1,YEAR($I446)*12+MONTH($I446))-(YEAR($H446)*12+MONTH($H446))+1))</f>
        <v/>
      </c>
      <c r="N446" s="50">
        <f>IF(OR($J446="",$B446=""),0,IF(YEAR($B446)*12+MONTH($B446)&lt;=YEAR($C$3)*12+MONTH($C$3),$G446,0))</f>
        <v/>
      </c>
      <c r="O446" s="50">
        <f>IF(OR($J446="",$B446=""),0,IF(YEAR($B446)*12+MONTH($B446)&lt;=YEAR($C$3)*12+MONTH($C$3)-1,$G446,0))</f>
        <v/>
      </c>
      <c r="P446" s="50">
        <f>$M446-$O446</f>
        <v/>
      </c>
      <c r="Q446" s="50">
        <f>($L446-$M446)-($N446-$O446)</f>
        <v/>
      </c>
      <c r="R446" s="50">
        <f>$L446-$N446</f>
        <v/>
      </c>
    </row>
    <row r="447">
      <c r="A447" s="47">
        <f>ROW()-5</f>
        <v/>
      </c>
      <c r="B447" s="48">
        <f>IFERROR(INDEX(tbl_Finance[Date],$A447),"")</f>
        <v/>
      </c>
      <c r="C447" s="49">
        <f>IFERROR(INDEX(tbl_Finance[Xero Invoice No],$A447),"")</f>
        <v/>
      </c>
      <c r="D447" s="49">
        <f>IFERROR(INDEX(tbl_Finance[Client],$A447),"")</f>
        <v/>
      </c>
      <c r="E447" s="49">
        <f>IFERROR(INDEX(tbl_Finance[Job Number],$A447),"")</f>
        <v/>
      </c>
      <c r="F447" s="49">
        <f>IFERROR(INDEX(tbl_Finance[Cost Centre],$A447),"")</f>
        <v/>
      </c>
      <c r="G447" s="50">
        <f>IFERROR(INDEX(tbl_Finance[Ex GST],$A447),"")</f>
        <v/>
      </c>
      <c r="H447" s="48">
        <f>IFERROR(INDEX(tbl_Finance[Defer Start],$A447),"")</f>
        <v/>
      </c>
      <c r="I447" s="48">
        <f>IFERROR(INDEX(tbl_Finance[Defer End],$A447),"")</f>
        <v/>
      </c>
      <c r="J447" s="47">
        <f>IF(OR($H447="",$I447="",$G447=""),"",MAX(1,(YEAR($I447)-YEAR($H447))*12+MONTH($I447)-MONTH($H447)+1))</f>
        <v/>
      </c>
      <c r="K447" s="50">
        <f>IF($J447="","",$G447/$J447)</f>
        <v/>
      </c>
      <c r="L447" s="50">
        <f>IF($J447="",0,$K447*MAX(0,MIN(YEAR($C$3)*12+MONTH($C$3),YEAR($I447)*12+MONTH($I447))-(YEAR($H447)*12+MONTH($H447))+1))</f>
        <v/>
      </c>
      <c r="M447" s="50">
        <f>IF($J447="",0,$K447*MAX(0,MIN(YEAR($C$3)*12+MONTH($C$3)-1,YEAR($I447)*12+MONTH($I447))-(YEAR($H447)*12+MONTH($H447))+1))</f>
        <v/>
      </c>
      <c r="N447" s="50">
        <f>IF(OR($J447="",$B447=""),0,IF(YEAR($B447)*12+MONTH($B447)&lt;=YEAR($C$3)*12+MONTH($C$3),$G447,0))</f>
        <v/>
      </c>
      <c r="O447" s="50">
        <f>IF(OR($J447="",$B447=""),0,IF(YEAR($B447)*12+MONTH($B447)&lt;=YEAR($C$3)*12+MONTH($C$3)-1,$G447,0))</f>
        <v/>
      </c>
      <c r="P447" s="50">
        <f>$M447-$O447</f>
        <v/>
      </c>
      <c r="Q447" s="50">
        <f>($L447-$M447)-($N447-$O447)</f>
        <v/>
      </c>
      <c r="R447" s="50">
        <f>$L447-$N447</f>
        <v/>
      </c>
    </row>
    <row r="448">
      <c r="A448" s="47">
        <f>ROW()-5</f>
        <v/>
      </c>
      <c r="B448" s="48">
        <f>IFERROR(INDEX(tbl_Finance[Date],$A448),"")</f>
        <v/>
      </c>
      <c r="C448" s="49">
        <f>IFERROR(INDEX(tbl_Finance[Xero Invoice No],$A448),"")</f>
        <v/>
      </c>
      <c r="D448" s="49">
        <f>IFERROR(INDEX(tbl_Finance[Client],$A448),"")</f>
        <v/>
      </c>
      <c r="E448" s="49">
        <f>IFERROR(INDEX(tbl_Finance[Job Number],$A448),"")</f>
        <v/>
      </c>
      <c r="F448" s="49">
        <f>IFERROR(INDEX(tbl_Finance[Cost Centre],$A448),"")</f>
        <v/>
      </c>
      <c r="G448" s="50">
        <f>IFERROR(INDEX(tbl_Finance[Ex GST],$A448),"")</f>
        <v/>
      </c>
      <c r="H448" s="48">
        <f>IFERROR(INDEX(tbl_Finance[Defer Start],$A448),"")</f>
        <v/>
      </c>
      <c r="I448" s="48">
        <f>IFERROR(INDEX(tbl_Finance[Defer End],$A448),"")</f>
        <v/>
      </c>
      <c r="J448" s="47">
        <f>IF(OR($H448="",$I448="",$G448=""),"",MAX(1,(YEAR($I448)-YEAR($H448))*12+MONTH($I448)-MONTH($H448)+1))</f>
        <v/>
      </c>
      <c r="K448" s="50">
        <f>IF($J448="","",$G448/$J448)</f>
        <v/>
      </c>
      <c r="L448" s="50">
        <f>IF($J448="",0,$K448*MAX(0,MIN(YEAR($C$3)*12+MONTH($C$3),YEAR($I448)*12+MONTH($I448))-(YEAR($H448)*12+MONTH($H448))+1))</f>
        <v/>
      </c>
      <c r="M448" s="50">
        <f>IF($J448="",0,$K448*MAX(0,MIN(YEAR($C$3)*12+MONTH($C$3)-1,YEAR($I448)*12+MONTH($I448))-(YEAR($H448)*12+MONTH($H448))+1))</f>
        <v/>
      </c>
      <c r="N448" s="50">
        <f>IF(OR($J448="",$B448=""),0,IF(YEAR($B448)*12+MONTH($B448)&lt;=YEAR($C$3)*12+MONTH($C$3),$G448,0))</f>
        <v/>
      </c>
      <c r="O448" s="50">
        <f>IF(OR($J448="",$B448=""),0,IF(YEAR($B448)*12+MONTH($B448)&lt;=YEAR($C$3)*12+MONTH($C$3)-1,$G448,0))</f>
        <v/>
      </c>
      <c r="P448" s="50">
        <f>$M448-$O448</f>
        <v/>
      </c>
      <c r="Q448" s="50">
        <f>($L448-$M448)-($N448-$O448)</f>
        <v/>
      </c>
      <c r="R448" s="50">
        <f>$L448-$N448</f>
        <v/>
      </c>
    </row>
    <row r="449">
      <c r="A449" s="47">
        <f>ROW()-5</f>
        <v/>
      </c>
      <c r="B449" s="48">
        <f>IFERROR(INDEX(tbl_Finance[Date],$A449),"")</f>
        <v/>
      </c>
      <c r="C449" s="49">
        <f>IFERROR(INDEX(tbl_Finance[Xero Invoice No],$A449),"")</f>
        <v/>
      </c>
      <c r="D449" s="49">
        <f>IFERROR(INDEX(tbl_Finance[Client],$A449),"")</f>
        <v/>
      </c>
      <c r="E449" s="49">
        <f>IFERROR(INDEX(tbl_Finance[Job Number],$A449),"")</f>
        <v/>
      </c>
      <c r="F449" s="49">
        <f>IFERROR(INDEX(tbl_Finance[Cost Centre],$A449),"")</f>
        <v/>
      </c>
      <c r="G449" s="50">
        <f>IFERROR(INDEX(tbl_Finance[Ex GST],$A449),"")</f>
        <v/>
      </c>
      <c r="H449" s="48">
        <f>IFERROR(INDEX(tbl_Finance[Defer Start],$A449),"")</f>
        <v/>
      </c>
      <c r="I449" s="48">
        <f>IFERROR(INDEX(tbl_Finance[Defer End],$A449),"")</f>
        <v/>
      </c>
      <c r="J449" s="47">
        <f>IF(OR($H449="",$I449="",$G449=""),"",MAX(1,(YEAR($I449)-YEAR($H449))*12+MONTH($I449)-MONTH($H449)+1))</f>
        <v/>
      </c>
      <c r="K449" s="50">
        <f>IF($J449="","",$G449/$J449)</f>
        <v/>
      </c>
      <c r="L449" s="50">
        <f>IF($J449="",0,$K449*MAX(0,MIN(YEAR($C$3)*12+MONTH($C$3),YEAR($I449)*12+MONTH($I449))-(YEAR($H449)*12+MONTH($H449))+1))</f>
        <v/>
      </c>
      <c r="M449" s="50">
        <f>IF($J449="",0,$K449*MAX(0,MIN(YEAR($C$3)*12+MONTH($C$3)-1,YEAR($I449)*12+MONTH($I449))-(YEAR($H449)*12+MONTH($H449))+1))</f>
        <v/>
      </c>
      <c r="N449" s="50">
        <f>IF(OR($J449="",$B449=""),0,IF(YEAR($B449)*12+MONTH($B449)&lt;=YEAR($C$3)*12+MONTH($C$3),$G449,0))</f>
        <v/>
      </c>
      <c r="O449" s="50">
        <f>IF(OR($J449="",$B449=""),0,IF(YEAR($B449)*12+MONTH($B449)&lt;=YEAR($C$3)*12+MONTH($C$3)-1,$G449,0))</f>
        <v/>
      </c>
      <c r="P449" s="50">
        <f>$M449-$O449</f>
        <v/>
      </c>
      <c r="Q449" s="50">
        <f>($L449-$M449)-($N449-$O449)</f>
        <v/>
      </c>
      <c r="R449" s="50">
        <f>$L449-$N449</f>
        <v/>
      </c>
    </row>
    <row r="450">
      <c r="A450" s="47">
        <f>ROW()-5</f>
        <v/>
      </c>
      <c r="B450" s="48">
        <f>IFERROR(INDEX(tbl_Finance[Date],$A450),"")</f>
        <v/>
      </c>
      <c r="C450" s="49">
        <f>IFERROR(INDEX(tbl_Finance[Xero Invoice No],$A450),"")</f>
        <v/>
      </c>
      <c r="D450" s="49">
        <f>IFERROR(INDEX(tbl_Finance[Client],$A450),"")</f>
        <v/>
      </c>
      <c r="E450" s="49">
        <f>IFERROR(INDEX(tbl_Finance[Job Number],$A450),"")</f>
        <v/>
      </c>
      <c r="F450" s="49">
        <f>IFERROR(INDEX(tbl_Finance[Cost Centre],$A450),"")</f>
        <v/>
      </c>
      <c r="G450" s="50">
        <f>IFERROR(INDEX(tbl_Finance[Ex GST],$A450),"")</f>
        <v/>
      </c>
      <c r="H450" s="48">
        <f>IFERROR(INDEX(tbl_Finance[Defer Start],$A450),"")</f>
        <v/>
      </c>
      <c r="I450" s="48">
        <f>IFERROR(INDEX(tbl_Finance[Defer End],$A450),"")</f>
        <v/>
      </c>
      <c r="J450" s="47">
        <f>IF(OR($H450="",$I450="",$G450=""),"",MAX(1,(YEAR($I450)-YEAR($H450))*12+MONTH($I450)-MONTH($H450)+1))</f>
        <v/>
      </c>
      <c r="K450" s="50">
        <f>IF($J450="","",$G450/$J450)</f>
        <v/>
      </c>
      <c r="L450" s="50">
        <f>IF($J450="",0,$K450*MAX(0,MIN(YEAR($C$3)*12+MONTH($C$3),YEAR($I450)*12+MONTH($I450))-(YEAR($H450)*12+MONTH($H450))+1))</f>
        <v/>
      </c>
      <c r="M450" s="50">
        <f>IF($J450="",0,$K450*MAX(0,MIN(YEAR($C$3)*12+MONTH($C$3)-1,YEAR($I450)*12+MONTH($I450))-(YEAR($H450)*12+MONTH($H450))+1))</f>
        <v/>
      </c>
      <c r="N450" s="50">
        <f>IF(OR($J450="",$B450=""),0,IF(YEAR($B450)*12+MONTH($B450)&lt;=YEAR($C$3)*12+MONTH($C$3),$G450,0))</f>
        <v/>
      </c>
      <c r="O450" s="50">
        <f>IF(OR($J450="",$B450=""),0,IF(YEAR($B450)*12+MONTH($B450)&lt;=YEAR($C$3)*12+MONTH($C$3)-1,$G450,0))</f>
        <v/>
      </c>
      <c r="P450" s="50">
        <f>$M450-$O450</f>
        <v/>
      </c>
      <c r="Q450" s="50">
        <f>($L450-$M450)-($N450-$O450)</f>
        <v/>
      </c>
      <c r="R450" s="50">
        <f>$L450-$N450</f>
        <v/>
      </c>
    </row>
    <row r="451">
      <c r="A451" s="47">
        <f>ROW()-5</f>
        <v/>
      </c>
      <c r="B451" s="48">
        <f>IFERROR(INDEX(tbl_Finance[Date],$A451),"")</f>
        <v/>
      </c>
      <c r="C451" s="49">
        <f>IFERROR(INDEX(tbl_Finance[Xero Invoice No],$A451),"")</f>
        <v/>
      </c>
      <c r="D451" s="49">
        <f>IFERROR(INDEX(tbl_Finance[Client],$A451),"")</f>
        <v/>
      </c>
      <c r="E451" s="49">
        <f>IFERROR(INDEX(tbl_Finance[Job Number],$A451),"")</f>
        <v/>
      </c>
      <c r="F451" s="49">
        <f>IFERROR(INDEX(tbl_Finance[Cost Centre],$A451),"")</f>
        <v/>
      </c>
      <c r="G451" s="50">
        <f>IFERROR(INDEX(tbl_Finance[Ex GST],$A451),"")</f>
        <v/>
      </c>
      <c r="H451" s="48">
        <f>IFERROR(INDEX(tbl_Finance[Defer Start],$A451),"")</f>
        <v/>
      </c>
      <c r="I451" s="48">
        <f>IFERROR(INDEX(tbl_Finance[Defer End],$A451),"")</f>
        <v/>
      </c>
      <c r="J451" s="47">
        <f>IF(OR($H451="",$I451="",$G451=""),"",MAX(1,(YEAR($I451)-YEAR($H451))*12+MONTH($I451)-MONTH($H451)+1))</f>
        <v/>
      </c>
      <c r="K451" s="50">
        <f>IF($J451="","",$G451/$J451)</f>
        <v/>
      </c>
      <c r="L451" s="50">
        <f>IF($J451="",0,$K451*MAX(0,MIN(YEAR($C$3)*12+MONTH($C$3),YEAR($I451)*12+MONTH($I451))-(YEAR($H451)*12+MONTH($H451))+1))</f>
        <v/>
      </c>
      <c r="M451" s="50">
        <f>IF($J451="",0,$K451*MAX(0,MIN(YEAR($C$3)*12+MONTH($C$3)-1,YEAR($I451)*12+MONTH($I451))-(YEAR($H451)*12+MONTH($H451))+1))</f>
        <v/>
      </c>
      <c r="N451" s="50">
        <f>IF(OR($J451="",$B451=""),0,IF(YEAR($B451)*12+MONTH($B451)&lt;=YEAR($C$3)*12+MONTH($C$3),$G451,0))</f>
        <v/>
      </c>
      <c r="O451" s="50">
        <f>IF(OR($J451="",$B451=""),0,IF(YEAR($B451)*12+MONTH($B451)&lt;=YEAR($C$3)*12+MONTH($C$3)-1,$G451,0))</f>
        <v/>
      </c>
      <c r="P451" s="50">
        <f>$M451-$O451</f>
        <v/>
      </c>
      <c r="Q451" s="50">
        <f>($L451-$M451)-($N451-$O451)</f>
        <v/>
      </c>
      <c r="R451" s="50">
        <f>$L451-$N451</f>
        <v/>
      </c>
    </row>
    <row r="452">
      <c r="A452" s="47">
        <f>ROW()-5</f>
        <v/>
      </c>
      <c r="B452" s="48">
        <f>IFERROR(INDEX(tbl_Finance[Date],$A452),"")</f>
        <v/>
      </c>
      <c r="C452" s="49">
        <f>IFERROR(INDEX(tbl_Finance[Xero Invoice No],$A452),"")</f>
        <v/>
      </c>
      <c r="D452" s="49">
        <f>IFERROR(INDEX(tbl_Finance[Client],$A452),"")</f>
        <v/>
      </c>
      <c r="E452" s="49">
        <f>IFERROR(INDEX(tbl_Finance[Job Number],$A452),"")</f>
        <v/>
      </c>
      <c r="F452" s="49">
        <f>IFERROR(INDEX(tbl_Finance[Cost Centre],$A452),"")</f>
        <v/>
      </c>
      <c r="G452" s="50">
        <f>IFERROR(INDEX(tbl_Finance[Ex GST],$A452),"")</f>
        <v/>
      </c>
      <c r="H452" s="48">
        <f>IFERROR(INDEX(tbl_Finance[Defer Start],$A452),"")</f>
        <v/>
      </c>
      <c r="I452" s="48">
        <f>IFERROR(INDEX(tbl_Finance[Defer End],$A452),"")</f>
        <v/>
      </c>
      <c r="J452" s="47">
        <f>IF(OR($H452="",$I452="",$G452=""),"",MAX(1,(YEAR($I452)-YEAR($H452))*12+MONTH($I452)-MONTH($H452)+1))</f>
        <v/>
      </c>
      <c r="K452" s="50">
        <f>IF($J452="","",$G452/$J452)</f>
        <v/>
      </c>
      <c r="L452" s="50">
        <f>IF($J452="",0,$K452*MAX(0,MIN(YEAR($C$3)*12+MONTH($C$3),YEAR($I452)*12+MONTH($I452))-(YEAR($H452)*12+MONTH($H452))+1))</f>
        <v/>
      </c>
      <c r="M452" s="50">
        <f>IF($J452="",0,$K452*MAX(0,MIN(YEAR($C$3)*12+MONTH($C$3)-1,YEAR($I452)*12+MONTH($I452))-(YEAR($H452)*12+MONTH($H452))+1))</f>
        <v/>
      </c>
      <c r="N452" s="50">
        <f>IF(OR($J452="",$B452=""),0,IF(YEAR($B452)*12+MONTH($B452)&lt;=YEAR($C$3)*12+MONTH($C$3),$G452,0))</f>
        <v/>
      </c>
      <c r="O452" s="50">
        <f>IF(OR($J452="",$B452=""),0,IF(YEAR($B452)*12+MONTH($B452)&lt;=YEAR($C$3)*12+MONTH($C$3)-1,$G452,0))</f>
        <v/>
      </c>
      <c r="P452" s="50">
        <f>$M452-$O452</f>
        <v/>
      </c>
      <c r="Q452" s="50">
        <f>($L452-$M452)-($N452-$O452)</f>
        <v/>
      </c>
      <c r="R452" s="50">
        <f>$L452-$N452</f>
        <v/>
      </c>
    </row>
    <row r="453">
      <c r="A453" s="47">
        <f>ROW()-5</f>
        <v/>
      </c>
      <c r="B453" s="48">
        <f>IFERROR(INDEX(tbl_Finance[Date],$A453),"")</f>
        <v/>
      </c>
      <c r="C453" s="49">
        <f>IFERROR(INDEX(tbl_Finance[Xero Invoice No],$A453),"")</f>
        <v/>
      </c>
      <c r="D453" s="49">
        <f>IFERROR(INDEX(tbl_Finance[Client],$A453),"")</f>
        <v/>
      </c>
      <c r="E453" s="49">
        <f>IFERROR(INDEX(tbl_Finance[Job Number],$A453),"")</f>
        <v/>
      </c>
      <c r="F453" s="49">
        <f>IFERROR(INDEX(tbl_Finance[Cost Centre],$A453),"")</f>
        <v/>
      </c>
      <c r="G453" s="50">
        <f>IFERROR(INDEX(tbl_Finance[Ex GST],$A453),"")</f>
        <v/>
      </c>
      <c r="H453" s="48">
        <f>IFERROR(INDEX(tbl_Finance[Defer Start],$A453),"")</f>
        <v/>
      </c>
      <c r="I453" s="48">
        <f>IFERROR(INDEX(tbl_Finance[Defer End],$A453),"")</f>
        <v/>
      </c>
      <c r="J453" s="47">
        <f>IF(OR($H453="",$I453="",$G453=""),"",MAX(1,(YEAR($I453)-YEAR($H453))*12+MONTH($I453)-MONTH($H453)+1))</f>
        <v/>
      </c>
      <c r="K453" s="50">
        <f>IF($J453="","",$G453/$J453)</f>
        <v/>
      </c>
      <c r="L453" s="50">
        <f>IF($J453="",0,$K453*MAX(0,MIN(YEAR($C$3)*12+MONTH($C$3),YEAR($I453)*12+MONTH($I453))-(YEAR($H453)*12+MONTH($H453))+1))</f>
        <v/>
      </c>
      <c r="M453" s="50">
        <f>IF($J453="",0,$K453*MAX(0,MIN(YEAR($C$3)*12+MONTH($C$3)-1,YEAR($I453)*12+MONTH($I453))-(YEAR($H453)*12+MONTH($H453))+1))</f>
        <v/>
      </c>
      <c r="N453" s="50">
        <f>IF(OR($J453="",$B453=""),0,IF(YEAR($B453)*12+MONTH($B453)&lt;=YEAR($C$3)*12+MONTH($C$3),$G453,0))</f>
        <v/>
      </c>
      <c r="O453" s="50">
        <f>IF(OR($J453="",$B453=""),0,IF(YEAR($B453)*12+MONTH($B453)&lt;=YEAR($C$3)*12+MONTH($C$3)-1,$G453,0))</f>
        <v/>
      </c>
      <c r="P453" s="50">
        <f>$M453-$O453</f>
        <v/>
      </c>
      <c r="Q453" s="50">
        <f>($L453-$M453)-($N453-$O453)</f>
        <v/>
      </c>
      <c r="R453" s="50">
        <f>$L453-$N453</f>
        <v/>
      </c>
    </row>
    <row r="454">
      <c r="A454" s="47">
        <f>ROW()-5</f>
        <v/>
      </c>
      <c r="B454" s="48">
        <f>IFERROR(INDEX(tbl_Finance[Date],$A454),"")</f>
        <v/>
      </c>
      <c r="C454" s="49">
        <f>IFERROR(INDEX(tbl_Finance[Xero Invoice No],$A454),"")</f>
        <v/>
      </c>
      <c r="D454" s="49">
        <f>IFERROR(INDEX(tbl_Finance[Client],$A454),"")</f>
        <v/>
      </c>
      <c r="E454" s="49">
        <f>IFERROR(INDEX(tbl_Finance[Job Number],$A454),"")</f>
        <v/>
      </c>
      <c r="F454" s="49">
        <f>IFERROR(INDEX(tbl_Finance[Cost Centre],$A454),"")</f>
        <v/>
      </c>
      <c r="G454" s="50">
        <f>IFERROR(INDEX(tbl_Finance[Ex GST],$A454),"")</f>
        <v/>
      </c>
      <c r="H454" s="48">
        <f>IFERROR(INDEX(tbl_Finance[Defer Start],$A454),"")</f>
        <v/>
      </c>
      <c r="I454" s="48">
        <f>IFERROR(INDEX(tbl_Finance[Defer End],$A454),"")</f>
        <v/>
      </c>
      <c r="J454" s="47">
        <f>IF(OR($H454="",$I454="",$G454=""),"",MAX(1,(YEAR($I454)-YEAR($H454))*12+MONTH($I454)-MONTH($H454)+1))</f>
        <v/>
      </c>
      <c r="K454" s="50">
        <f>IF($J454="","",$G454/$J454)</f>
        <v/>
      </c>
      <c r="L454" s="50">
        <f>IF($J454="",0,$K454*MAX(0,MIN(YEAR($C$3)*12+MONTH($C$3),YEAR($I454)*12+MONTH($I454))-(YEAR($H454)*12+MONTH($H454))+1))</f>
        <v/>
      </c>
      <c r="M454" s="50">
        <f>IF($J454="",0,$K454*MAX(0,MIN(YEAR($C$3)*12+MONTH($C$3)-1,YEAR($I454)*12+MONTH($I454))-(YEAR($H454)*12+MONTH($H454))+1))</f>
        <v/>
      </c>
      <c r="N454" s="50">
        <f>IF(OR($J454="",$B454=""),0,IF(YEAR($B454)*12+MONTH($B454)&lt;=YEAR($C$3)*12+MONTH($C$3),$G454,0))</f>
        <v/>
      </c>
      <c r="O454" s="50">
        <f>IF(OR($J454="",$B454=""),0,IF(YEAR($B454)*12+MONTH($B454)&lt;=YEAR($C$3)*12+MONTH($C$3)-1,$G454,0))</f>
        <v/>
      </c>
      <c r="P454" s="50">
        <f>$M454-$O454</f>
        <v/>
      </c>
      <c r="Q454" s="50">
        <f>($L454-$M454)-($N454-$O454)</f>
        <v/>
      </c>
      <c r="R454" s="50">
        <f>$L454-$N454</f>
        <v/>
      </c>
    </row>
    <row r="455">
      <c r="A455" s="47">
        <f>ROW()-5</f>
        <v/>
      </c>
      <c r="B455" s="48">
        <f>IFERROR(INDEX(tbl_Finance[Date],$A455),"")</f>
        <v/>
      </c>
      <c r="C455" s="49">
        <f>IFERROR(INDEX(tbl_Finance[Xero Invoice No],$A455),"")</f>
        <v/>
      </c>
      <c r="D455" s="49">
        <f>IFERROR(INDEX(tbl_Finance[Client],$A455),"")</f>
        <v/>
      </c>
      <c r="E455" s="49">
        <f>IFERROR(INDEX(tbl_Finance[Job Number],$A455),"")</f>
        <v/>
      </c>
      <c r="F455" s="49">
        <f>IFERROR(INDEX(tbl_Finance[Cost Centre],$A455),"")</f>
        <v/>
      </c>
      <c r="G455" s="50">
        <f>IFERROR(INDEX(tbl_Finance[Ex GST],$A455),"")</f>
        <v/>
      </c>
      <c r="H455" s="48">
        <f>IFERROR(INDEX(tbl_Finance[Defer Start],$A455),"")</f>
        <v/>
      </c>
      <c r="I455" s="48">
        <f>IFERROR(INDEX(tbl_Finance[Defer End],$A455),"")</f>
        <v/>
      </c>
      <c r="J455" s="47">
        <f>IF(OR($H455="",$I455="",$G455=""),"",MAX(1,(YEAR($I455)-YEAR($H455))*12+MONTH($I455)-MONTH($H455)+1))</f>
        <v/>
      </c>
      <c r="K455" s="50">
        <f>IF($J455="","",$G455/$J455)</f>
        <v/>
      </c>
      <c r="L455" s="50">
        <f>IF($J455="",0,$K455*MAX(0,MIN(YEAR($C$3)*12+MONTH($C$3),YEAR($I455)*12+MONTH($I455))-(YEAR($H455)*12+MONTH($H455))+1))</f>
        <v/>
      </c>
      <c r="M455" s="50">
        <f>IF($J455="",0,$K455*MAX(0,MIN(YEAR($C$3)*12+MONTH($C$3)-1,YEAR($I455)*12+MONTH($I455))-(YEAR($H455)*12+MONTH($H455))+1))</f>
        <v/>
      </c>
      <c r="N455" s="50">
        <f>IF(OR($J455="",$B455=""),0,IF(YEAR($B455)*12+MONTH($B455)&lt;=YEAR($C$3)*12+MONTH($C$3),$G455,0))</f>
        <v/>
      </c>
      <c r="O455" s="50">
        <f>IF(OR($J455="",$B455=""),0,IF(YEAR($B455)*12+MONTH($B455)&lt;=YEAR($C$3)*12+MONTH($C$3)-1,$G455,0))</f>
        <v/>
      </c>
      <c r="P455" s="50">
        <f>$M455-$O455</f>
        <v/>
      </c>
      <c r="Q455" s="50">
        <f>($L455-$M455)-($N455-$O455)</f>
        <v/>
      </c>
      <c r="R455" s="50">
        <f>$L455-$N455</f>
        <v/>
      </c>
    </row>
    <row r="456">
      <c r="A456" s="47">
        <f>ROW()-5</f>
        <v/>
      </c>
      <c r="B456" s="48">
        <f>IFERROR(INDEX(tbl_Finance[Date],$A456),"")</f>
        <v/>
      </c>
      <c r="C456" s="49">
        <f>IFERROR(INDEX(tbl_Finance[Xero Invoice No],$A456),"")</f>
        <v/>
      </c>
      <c r="D456" s="49">
        <f>IFERROR(INDEX(tbl_Finance[Client],$A456),"")</f>
        <v/>
      </c>
      <c r="E456" s="49">
        <f>IFERROR(INDEX(tbl_Finance[Job Number],$A456),"")</f>
        <v/>
      </c>
      <c r="F456" s="49">
        <f>IFERROR(INDEX(tbl_Finance[Cost Centre],$A456),"")</f>
        <v/>
      </c>
      <c r="G456" s="50">
        <f>IFERROR(INDEX(tbl_Finance[Ex GST],$A456),"")</f>
        <v/>
      </c>
      <c r="H456" s="48">
        <f>IFERROR(INDEX(tbl_Finance[Defer Start],$A456),"")</f>
        <v/>
      </c>
      <c r="I456" s="48">
        <f>IFERROR(INDEX(tbl_Finance[Defer End],$A456),"")</f>
        <v/>
      </c>
      <c r="J456" s="47">
        <f>IF(OR($H456="",$I456="",$G456=""),"",MAX(1,(YEAR($I456)-YEAR($H456))*12+MONTH($I456)-MONTH($H456)+1))</f>
        <v/>
      </c>
      <c r="K456" s="50">
        <f>IF($J456="","",$G456/$J456)</f>
        <v/>
      </c>
      <c r="L456" s="50">
        <f>IF($J456="",0,$K456*MAX(0,MIN(YEAR($C$3)*12+MONTH($C$3),YEAR($I456)*12+MONTH($I456))-(YEAR($H456)*12+MONTH($H456))+1))</f>
        <v/>
      </c>
      <c r="M456" s="50">
        <f>IF($J456="",0,$K456*MAX(0,MIN(YEAR($C$3)*12+MONTH($C$3)-1,YEAR($I456)*12+MONTH($I456))-(YEAR($H456)*12+MONTH($H456))+1))</f>
        <v/>
      </c>
      <c r="N456" s="50">
        <f>IF(OR($J456="",$B456=""),0,IF(YEAR($B456)*12+MONTH($B456)&lt;=YEAR($C$3)*12+MONTH($C$3),$G456,0))</f>
        <v/>
      </c>
      <c r="O456" s="50">
        <f>IF(OR($J456="",$B456=""),0,IF(YEAR($B456)*12+MONTH($B456)&lt;=YEAR($C$3)*12+MONTH($C$3)-1,$G456,0))</f>
        <v/>
      </c>
      <c r="P456" s="50">
        <f>$M456-$O456</f>
        <v/>
      </c>
      <c r="Q456" s="50">
        <f>($L456-$M456)-($N456-$O456)</f>
        <v/>
      </c>
      <c r="R456" s="50">
        <f>$L456-$N456</f>
        <v/>
      </c>
    </row>
    <row r="457">
      <c r="A457" s="47">
        <f>ROW()-5</f>
        <v/>
      </c>
      <c r="B457" s="48">
        <f>IFERROR(INDEX(tbl_Finance[Date],$A457),"")</f>
        <v/>
      </c>
      <c r="C457" s="49">
        <f>IFERROR(INDEX(tbl_Finance[Xero Invoice No],$A457),"")</f>
        <v/>
      </c>
      <c r="D457" s="49">
        <f>IFERROR(INDEX(tbl_Finance[Client],$A457),"")</f>
        <v/>
      </c>
      <c r="E457" s="49">
        <f>IFERROR(INDEX(tbl_Finance[Job Number],$A457),"")</f>
        <v/>
      </c>
      <c r="F457" s="49">
        <f>IFERROR(INDEX(tbl_Finance[Cost Centre],$A457),"")</f>
        <v/>
      </c>
      <c r="G457" s="50">
        <f>IFERROR(INDEX(tbl_Finance[Ex GST],$A457),"")</f>
        <v/>
      </c>
      <c r="H457" s="48">
        <f>IFERROR(INDEX(tbl_Finance[Defer Start],$A457),"")</f>
        <v/>
      </c>
      <c r="I457" s="48">
        <f>IFERROR(INDEX(tbl_Finance[Defer End],$A457),"")</f>
        <v/>
      </c>
      <c r="J457" s="47">
        <f>IF(OR($H457="",$I457="",$G457=""),"",MAX(1,(YEAR($I457)-YEAR($H457))*12+MONTH($I457)-MONTH($H457)+1))</f>
        <v/>
      </c>
      <c r="K457" s="50">
        <f>IF($J457="","",$G457/$J457)</f>
        <v/>
      </c>
      <c r="L457" s="50">
        <f>IF($J457="",0,$K457*MAX(0,MIN(YEAR($C$3)*12+MONTH($C$3),YEAR($I457)*12+MONTH($I457))-(YEAR($H457)*12+MONTH($H457))+1))</f>
        <v/>
      </c>
      <c r="M457" s="50">
        <f>IF($J457="",0,$K457*MAX(0,MIN(YEAR($C$3)*12+MONTH($C$3)-1,YEAR($I457)*12+MONTH($I457))-(YEAR($H457)*12+MONTH($H457))+1))</f>
        <v/>
      </c>
      <c r="N457" s="50">
        <f>IF(OR($J457="",$B457=""),0,IF(YEAR($B457)*12+MONTH($B457)&lt;=YEAR($C$3)*12+MONTH($C$3),$G457,0))</f>
        <v/>
      </c>
      <c r="O457" s="50">
        <f>IF(OR($J457="",$B457=""),0,IF(YEAR($B457)*12+MONTH($B457)&lt;=YEAR($C$3)*12+MONTH($C$3)-1,$G457,0))</f>
        <v/>
      </c>
      <c r="P457" s="50">
        <f>$M457-$O457</f>
        <v/>
      </c>
      <c r="Q457" s="50">
        <f>($L457-$M457)-($N457-$O457)</f>
        <v/>
      </c>
      <c r="R457" s="50">
        <f>$L457-$N457</f>
        <v/>
      </c>
    </row>
    <row r="458">
      <c r="A458" s="47">
        <f>ROW()-5</f>
        <v/>
      </c>
      <c r="B458" s="48">
        <f>IFERROR(INDEX(tbl_Finance[Date],$A458),"")</f>
        <v/>
      </c>
      <c r="C458" s="49">
        <f>IFERROR(INDEX(tbl_Finance[Xero Invoice No],$A458),"")</f>
        <v/>
      </c>
      <c r="D458" s="49">
        <f>IFERROR(INDEX(tbl_Finance[Client],$A458),"")</f>
        <v/>
      </c>
      <c r="E458" s="49">
        <f>IFERROR(INDEX(tbl_Finance[Job Number],$A458),"")</f>
        <v/>
      </c>
      <c r="F458" s="49">
        <f>IFERROR(INDEX(tbl_Finance[Cost Centre],$A458),"")</f>
        <v/>
      </c>
      <c r="G458" s="50">
        <f>IFERROR(INDEX(tbl_Finance[Ex GST],$A458),"")</f>
        <v/>
      </c>
      <c r="H458" s="48">
        <f>IFERROR(INDEX(tbl_Finance[Defer Start],$A458),"")</f>
        <v/>
      </c>
      <c r="I458" s="48">
        <f>IFERROR(INDEX(tbl_Finance[Defer End],$A458),"")</f>
        <v/>
      </c>
      <c r="J458" s="47">
        <f>IF(OR($H458="",$I458="",$G458=""),"",MAX(1,(YEAR($I458)-YEAR($H458))*12+MONTH($I458)-MONTH($H458)+1))</f>
        <v/>
      </c>
      <c r="K458" s="50">
        <f>IF($J458="","",$G458/$J458)</f>
        <v/>
      </c>
      <c r="L458" s="50">
        <f>IF($J458="",0,$K458*MAX(0,MIN(YEAR($C$3)*12+MONTH($C$3),YEAR($I458)*12+MONTH($I458))-(YEAR($H458)*12+MONTH($H458))+1))</f>
        <v/>
      </c>
      <c r="M458" s="50">
        <f>IF($J458="",0,$K458*MAX(0,MIN(YEAR($C$3)*12+MONTH($C$3)-1,YEAR($I458)*12+MONTH($I458))-(YEAR($H458)*12+MONTH($H458))+1))</f>
        <v/>
      </c>
      <c r="N458" s="50">
        <f>IF(OR($J458="",$B458=""),0,IF(YEAR($B458)*12+MONTH($B458)&lt;=YEAR($C$3)*12+MONTH($C$3),$G458,0))</f>
        <v/>
      </c>
      <c r="O458" s="50">
        <f>IF(OR($J458="",$B458=""),0,IF(YEAR($B458)*12+MONTH($B458)&lt;=YEAR($C$3)*12+MONTH($C$3)-1,$G458,0))</f>
        <v/>
      </c>
      <c r="P458" s="50">
        <f>$M458-$O458</f>
        <v/>
      </c>
      <c r="Q458" s="50">
        <f>($L458-$M458)-($N458-$O458)</f>
        <v/>
      </c>
      <c r="R458" s="50">
        <f>$L458-$N458</f>
        <v/>
      </c>
    </row>
    <row r="459">
      <c r="A459" s="47">
        <f>ROW()-5</f>
        <v/>
      </c>
      <c r="B459" s="48">
        <f>IFERROR(INDEX(tbl_Finance[Date],$A459),"")</f>
        <v/>
      </c>
      <c r="C459" s="49">
        <f>IFERROR(INDEX(tbl_Finance[Xero Invoice No],$A459),"")</f>
        <v/>
      </c>
      <c r="D459" s="49">
        <f>IFERROR(INDEX(tbl_Finance[Client],$A459),"")</f>
        <v/>
      </c>
      <c r="E459" s="49">
        <f>IFERROR(INDEX(tbl_Finance[Job Number],$A459),"")</f>
        <v/>
      </c>
      <c r="F459" s="49">
        <f>IFERROR(INDEX(tbl_Finance[Cost Centre],$A459),"")</f>
        <v/>
      </c>
      <c r="G459" s="50">
        <f>IFERROR(INDEX(tbl_Finance[Ex GST],$A459),"")</f>
        <v/>
      </c>
      <c r="H459" s="48">
        <f>IFERROR(INDEX(tbl_Finance[Defer Start],$A459),"")</f>
        <v/>
      </c>
      <c r="I459" s="48">
        <f>IFERROR(INDEX(tbl_Finance[Defer End],$A459),"")</f>
        <v/>
      </c>
      <c r="J459" s="47">
        <f>IF(OR($H459="",$I459="",$G459=""),"",MAX(1,(YEAR($I459)-YEAR($H459))*12+MONTH($I459)-MONTH($H459)+1))</f>
        <v/>
      </c>
      <c r="K459" s="50">
        <f>IF($J459="","",$G459/$J459)</f>
        <v/>
      </c>
      <c r="L459" s="50">
        <f>IF($J459="",0,$K459*MAX(0,MIN(YEAR($C$3)*12+MONTH($C$3),YEAR($I459)*12+MONTH($I459))-(YEAR($H459)*12+MONTH($H459))+1))</f>
        <v/>
      </c>
      <c r="M459" s="50">
        <f>IF($J459="",0,$K459*MAX(0,MIN(YEAR($C$3)*12+MONTH($C$3)-1,YEAR($I459)*12+MONTH($I459))-(YEAR($H459)*12+MONTH($H459))+1))</f>
        <v/>
      </c>
      <c r="N459" s="50">
        <f>IF(OR($J459="",$B459=""),0,IF(YEAR($B459)*12+MONTH($B459)&lt;=YEAR($C$3)*12+MONTH($C$3),$G459,0))</f>
        <v/>
      </c>
      <c r="O459" s="50">
        <f>IF(OR($J459="",$B459=""),0,IF(YEAR($B459)*12+MONTH($B459)&lt;=YEAR($C$3)*12+MONTH($C$3)-1,$G459,0))</f>
        <v/>
      </c>
      <c r="P459" s="50">
        <f>$M459-$O459</f>
        <v/>
      </c>
      <c r="Q459" s="50">
        <f>($L459-$M459)-($N459-$O459)</f>
        <v/>
      </c>
      <c r="R459" s="50">
        <f>$L459-$N459</f>
        <v/>
      </c>
    </row>
    <row r="460">
      <c r="A460" s="47">
        <f>ROW()-5</f>
        <v/>
      </c>
      <c r="B460" s="48">
        <f>IFERROR(INDEX(tbl_Finance[Date],$A460),"")</f>
        <v/>
      </c>
      <c r="C460" s="49">
        <f>IFERROR(INDEX(tbl_Finance[Xero Invoice No],$A460),"")</f>
        <v/>
      </c>
      <c r="D460" s="49">
        <f>IFERROR(INDEX(tbl_Finance[Client],$A460),"")</f>
        <v/>
      </c>
      <c r="E460" s="49">
        <f>IFERROR(INDEX(tbl_Finance[Job Number],$A460),"")</f>
        <v/>
      </c>
      <c r="F460" s="49">
        <f>IFERROR(INDEX(tbl_Finance[Cost Centre],$A460),"")</f>
        <v/>
      </c>
      <c r="G460" s="50">
        <f>IFERROR(INDEX(tbl_Finance[Ex GST],$A460),"")</f>
        <v/>
      </c>
      <c r="H460" s="48">
        <f>IFERROR(INDEX(tbl_Finance[Defer Start],$A460),"")</f>
        <v/>
      </c>
      <c r="I460" s="48">
        <f>IFERROR(INDEX(tbl_Finance[Defer End],$A460),"")</f>
        <v/>
      </c>
      <c r="J460" s="47">
        <f>IF(OR($H460="",$I460="",$G460=""),"",MAX(1,(YEAR($I460)-YEAR($H460))*12+MONTH($I460)-MONTH($H460)+1))</f>
        <v/>
      </c>
      <c r="K460" s="50">
        <f>IF($J460="","",$G460/$J460)</f>
        <v/>
      </c>
      <c r="L460" s="50">
        <f>IF($J460="",0,$K460*MAX(0,MIN(YEAR($C$3)*12+MONTH($C$3),YEAR($I460)*12+MONTH($I460))-(YEAR($H460)*12+MONTH($H460))+1))</f>
        <v/>
      </c>
      <c r="M460" s="50">
        <f>IF($J460="",0,$K460*MAX(0,MIN(YEAR($C$3)*12+MONTH($C$3)-1,YEAR($I460)*12+MONTH($I460))-(YEAR($H460)*12+MONTH($H460))+1))</f>
        <v/>
      </c>
      <c r="N460" s="50">
        <f>IF(OR($J460="",$B460=""),0,IF(YEAR($B460)*12+MONTH($B460)&lt;=YEAR($C$3)*12+MONTH($C$3),$G460,0))</f>
        <v/>
      </c>
      <c r="O460" s="50">
        <f>IF(OR($J460="",$B460=""),0,IF(YEAR($B460)*12+MONTH($B460)&lt;=YEAR($C$3)*12+MONTH($C$3)-1,$G460,0))</f>
        <v/>
      </c>
      <c r="P460" s="50">
        <f>$M460-$O460</f>
        <v/>
      </c>
      <c r="Q460" s="50">
        <f>($L460-$M460)-($N460-$O460)</f>
        <v/>
      </c>
      <c r="R460" s="50">
        <f>$L460-$N460</f>
        <v/>
      </c>
    </row>
    <row r="461">
      <c r="A461" s="47">
        <f>ROW()-5</f>
        <v/>
      </c>
      <c r="B461" s="48">
        <f>IFERROR(INDEX(tbl_Finance[Date],$A461),"")</f>
        <v/>
      </c>
      <c r="C461" s="49">
        <f>IFERROR(INDEX(tbl_Finance[Xero Invoice No],$A461),"")</f>
        <v/>
      </c>
      <c r="D461" s="49">
        <f>IFERROR(INDEX(tbl_Finance[Client],$A461),"")</f>
        <v/>
      </c>
      <c r="E461" s="49">
        <f>IFERROR(INDEX(tbl_Finance[Job Number],$A461),"")</f>
        <v/>
      </c>
      <c r="F461" s="49">
        <f>IFERROR(INDEX(tbl_Finance[Cost Centre],$A461),"")</f>
        <v/>
      </c>
      <c r="G461" s="50">
        <f>IFERROR(INDEX(tbl_Finance[Ex GST],$A461),"")</f>
        <v/>
      </c>
      <c r="H461" s="48">
        <f>IFERROR(INDEX(tbl_Finance[Defer Start],$A461),"")</f>
        <v/>
      </c>
      <c r="I461" s="48">
        <f>IFERROR(INDEX(tbl_Finance[Defer End],$A461),"")</f>
        <v/>
      </c>
      <c r="J461" s="47">
        <f>IF(OR($H461="",$I461="",$G461=""),"",MAX(1,(YEAR($I461)-YEAR($H461))*12+MONTH($I461)-MONTH($H461)+1))</f>
        <v/>
      </c>
      <c r="K461" s="50">
        <f>IF($J461="","",$G461/$J461)</f>
        <v/>
      </c>
      <c r="L461" s="50">
        <f>IF($J461="",0,$K461*MAX(0,MIN(YEAR($C$3)*12+MONTH($C$3),YEAR($I461)*12+MONTH($I461))-(YEAR($H461)*12+MONTH($H461))+1))</f>
        <v/>
      </c>
      <c r="M461" s="50">
        <f>IF($J461="",0,$K461*MAX(0,MIN(YEAR($C$3)*12+MONTH($C$3)-1,YEAR($I461)*12+MONTH($I461))-(YEAR($H461)*12+MONTH($H461))+1))</f>
        <v/>
      </c>
      <c r="N461" s="50">
        <f>IF(OR($J461="",$B461=""),0,IF(YEAR($B461)*12+MONTH($B461)&lt;=YEAR($C$3)*12+MONTH($C$3),$G461,0))</f>
        <v/>
      </c>
      <c r="O461" s="50">
        <f>IF(OR($J461="",$B461=""),0,IF(YEAR($B461)*12+MONTH($B461)&lt;=YEAR($C$3)*12+MONTH($C$3)-1,$G461,0))</f>
        <v/>
      </c>
      <c r="P461" s="50">
        <f>$M461-$O461</f>
        <v/>
      </c>
      <c r="Q461" s="50">
        <f>($L461-$M461)-($N461-$O461)</f>
        <v/>
      </c>
      <c r="R461" s="50">
        <f>$L461-$N461</f>
        <v/>
      </c>
    </row>
    <row r="462">
      <c r="A462" s="47">
        <f>ROW()-5</f>
        <v/>
      </c>
      <c r="B462" s="48">
        <f>IFERROR(INDEX(tbl_Finance[Date],$A462),"")</f>
        <v/>
      </c>
      <c r="C462" s="49">
        <f>IFERROR(INDEX(tbl_Finance[Xero Invoice No],$A462),"")</f>
        <v/>
      </c>
      <c r="D462" s="49">
        <f>IFERROR(INDEX(tbl_Finance[Client],$A462),"")</f>
        <v/>
      </c>
      <c r="E462" s="49">
        <f>IFERROR(INDEX(tbl_Finance[Job Number],$A462),"")</f>
        <v/>
      </c>
      <c r="F462" s="49">
        <f>IFERROR(INDEX(tbl_Finance[Cost Centre],$A462),"")</f>
        <v/>
      </c>
      <c r="G462" s="50">
        <f>IFERROR(INDEX(tbl_Finance[Ex GST],$A462),"")</f>
        <v/>
      </c>
      <c r="H462" s="48">
        <f>IFERROR(INDEX(tbl_Finance[Defer Start],$A462),"")</f>
        <v/>
      </c>
      <c r="I462" s="48">
        <f>IFERROR(INDEX(tbl_Finance[Defer End],$A462),"")</f>
        <v/>
      </c>
      <c r="J462" s="47">
        <f>IF(OR($H462="",$I462="",$G462=""),"",MAX(1,(YEAR($I462)-YEAR($H462))*12+MONTH($I462)-MONTH($H462)+1))</f>
        <v/>
      </c>
      <c r="K462" s="50">
        <f>IF($J462="","",$G462/$J462)</f>
        <v/>
      </c>
      <c r="L462" s="50">
        <f>IF($J462="",0,$K462*MAX(0,MIN(YEAR($C$3)*12+MONTH($C$3),YEAR($I462)*12+MONTH($I462))-(YEAR($H462)*12+MONTH($H462))+1))</f>
        <v/>
      </c>
      <c r="M462" s="50">
        <f>IF($J462="",0,$K462*MAX(0,MIN(YEAR($C$3)*12+MONTH($C$3)-1,YEAR($I462)*12+MONTH($I462))-(YEAR($H462)*12+MONTH($H462))+1))</f>
        <v/>
      </c>
      <c r="N462" s="50">
        <f>IF(OR($J462="",$B462=""),0,IF(YEAR($B462)*12+MONTH($B462)&lt;=YEAR($C$3)*12+MONTH($C$3),$G462,0))</f>
        <v/>
      </c>
      <c r="O462" s="50">
        <f>IF(OR($J462="",$B462=""),0,IF(YEAR($B462)*12+MONTH($B462)&lt;=YEAR($C$3)*12+MONTH($C$3)-1,$G462,0))</f>
        <v/>
      </c>
      <c r="P462" s="50">
        <f>$M462-$O462</f>
        <v/>
      </c>
      <c r="Q462" s="50">
        <f>($L462-$M462)-($N462-$O462)</f>
        <v/>
      </c>
      <c r="R462" s="50">
        <f>$L462-$N462</f>
        <v/>
      </c>
    </row>
    <row r="463">
      <c r="A463" s="47">
        <f>ROW()-5</f>
        <v/>
      </c>
      <c r="B463" s="48">
        <f>IFERROR(INDEX(tbl_Finance[Date],$A463),"")</f>
        <v/>
      </c>
      <c r="C463" s="49">
        <f>IFERROR(INDEX(tbl_Finance[Xero Invoice No],$A463),"")</f>
        <v/>
      </c>
      <c r="D463" s="49">
        <f>IFERROR(INDEX(tbl_Finance[Client],$A463),"")</f>
        <v/>
      </c>
      <c r="E463" s="49">
        <f>IFERROR(INDEX(tbl_Finance[Job Number],$A463),"")</f>
        <v/>
      </c>
      <c r="F463" s="49">
        <f>IFERROR(INDEX(tbl_Finance[Cost Centre],$A463),"")</f>
        <v/>
      </c>
      <c r="G463" s="50">
        <f>IFERROR(INDEX(tbl_Finance[Ex GST],$A463),"")</f>
        <v/>
      </c>
      <c r="H463" s="48">
        <f>IFERROR(INDEX(tbl_Finance[Defer Start],$A463),"")</f>
        <v/>
      </c>
      <c r="I463" s="48">
        <f>IFERROR(INDEX(tbl_Finance[Defer End],$A463),"")</f>
        <v/>
      </c>
      <c r="J463" s="47">
        <f>IF(OR($H463="",$I463="",$G463=""),"",MAX(1,(YEAR($I463)-YEAR($H463))*12+MONTH($I463)-MONTH($H463)+1))</f>
        <v/>
      </c>
      <c r="K463" s="50">
        <f>IF($J463="","",$G463/$J463)</f>
        <v/>
      </c>
      <c r="L463" s="50">
        <f>IF($J463="",0,$K463*MAX(0,MIN(YEAR($C$3)*12+MONTH($C$3),YEAR($I463)*12+MONTH($I463))-(YEAR($H463)*12+MONTH($H463))+1))</f>
        <v/>
      </c>
      <c r="M463" s="50">
        <f>IF($J463="",0,$K463*MAX(0,MIN(YEAR($C$3)*12+MONTH($C$3)-1,YEAR($I463)*12+MONTH($I463))-(YEAR($H463)*12+MONTH($H463))+1))</f>
        <v/>
      </c>
      <c r="N463" s="50">
        <f>IF(OR($J463="",$B463=""),0,IF(YEAR($B463)*12+MONTH($B463)&lt;=YEAR($C$3)*12+MONTH($C$3),$G463,0))</f>
        <v/>
      </c>
      <c r="O463" s="50">
        <f>IF(OR($J463="",$B463=""),0,IF(YEAR($B463)*12+MONTH($B463)&lt;=YEAR($C$3)*12+MONTH($C$3)-1,$G463,0))</f>
        <v/>
      </c>
      <c r="P463" s="50">
        <f>$M463-$O463</f>
        <v/>
      </c>
      <c r="Q463" s="50">
        <f>($L463-$M463)-($N463-$O463)</f>
        <v/>
      </c>
      <c r="R463" s="50">
        <f>$L463-$N463</f>
        <v/>
      </c>
    </row>
    <row r="464">
      <c r="A464" s="47">
        <f>ROW()-5</f>
        <v/>
      </c>
      <c r="B464" s="48">
        <f>IFERROR(INDEX(tbl_Finance[Date],$A464),"")</f>
        <v/>
      </c>
      <c r="C464" s="49">
        <f>IFERROR(INDEX(tbl_Finance[Xero Invoice No],$A464),"")</f>
        <v/>
      </c>
      <c r="D464" s="49">
        <f>IFERROR(INDEX(tbl_Finance[Client],$A464),"")</f>
        <v/>
      </c>
      <c r="E464" s="49">
        <f>IFERROR(INDEX(tbl_Finance[Job Number],$A464),"")</f>
        <v/>
      </c>
      <c r="F464" s="49">
        <f>IFERROR(INDEX(tbl_Finance[Cost Centre],$A464),"")</f>
        <v/>
      </c>
      <c r="G464" s="50">
        <f>IFERROR(INDEX(tbl_Finance[Ex GST],$A464),"")</f>
        <v/>
      </c>
      <c r="H464" s="48">
        <f>IFERROR(INDEX(tbl_Finance[Defer Start],$A464),"")</f>
        <v/>
      </c>
      <c r="I464" s="48">
        <f>IFERROR(INDEX(tbl_Finance[Defer End],$A464),"")</f>
        <v/>
      </c>
      <c r="J464" s="47">
        <f>IF(OR($H464="",$I464="",$G464=""),"",MAX(1,(YEAR($I464)-YEAR($H464))*12+MONTH($I464)-MONTH($H464)+1))</f>
        <v/>
      </c>
      <c r="K464" s="50">
        <f>IF($J464="","",$G464/$J464)</f>
        <v/>
      </c>
      <c r="L464" s="50">
        <f>IF($J464="",0,$K464*MAX(0,MIN(YEAR($C$3)*12+MONTH($C$3),YEAR($I464)*12+MONTH($I464))-(YEAR($H464)*12+MONTH($H464))+1))</f>
        <v/>
      </c>
      <c r="M464" s="50">
        <f>IF($J464="",0,$K464*MAX(0,MIN(YEAR($C$3)*12+MONTH($C$3)-1,YEAR($I464)*12+MONTH($I464))-(YEAR($H464)*12+MONTH($H464))+1))</f>
        <v/>
      </c>
      <c r="N464" s="50">
        <f>IF(OR($J464="",$B464=""),0,IF(YEAR($B464)*12+MONTH($B464)&lt;=YEAR($C$3)*12+MONTH($C$3),$G464,0))</f>
        <v/>
      </c>
      <c r="O464" s="50">
        <f>IF(OR($J464="",$B464=""),0,IF(YEAR($B464)*12+MONTH($B464)&lt;=YEAR($C$3)*12+MONTH($C$3)-1,$G464,0))</f>
        <v/>
      </c>
      <c r="P464" s="50">
        <f>$M464-$O464</f>
        <v/>
      </c>
      <c r="Q464" s="50">
        <f>($L464-$M464)-($N464-$O464)</f>
        <v/>
      </c>
      <c r="R464" s="50">
        <f>$L464-$N464</f>
        <v/>
      </c>
    </row>
    <row r="465">
      <c r="A465" s="47">
        <f>ROW()-5</f>
        <v/>
      </c>
      <c r="B465" s="48">
        <f>IFERROR(INDEX(tbl_Finance[Date],$A465),"")</f>
        <v/>
      </c>
      <c r="C465" s="49">
        <f>IFERROR(INDEX(tbl_Finance[Xero Invoice No],$A465),"")</f>
        <v/>
      </c>
      <c r="D465" s="49">
        <f>IFERROR(INDEX(tbl_Finance[Client],$A465),"")</f>
        <v/>
      </c>
      <c r="E465" s="49">
        <f>IFERROR(INDEX(tbl_Finance[Job Number],$A465),"")</f>
        <v/>
      </c>
      <c r="F465" s="49">
        <f>IFERROR(INDEX(tbl_Finance[Cost Centre],$A465),"")</f>
        <v/>
      </c>
      <c r="G465" s="50">
        <f>IFERROR(INDEX(tbl_Finance[Ex GST],$A465),"")</f>
        <v/>
      </c>
      <c r="H465" s="48">
        <f>IFERROR(INDEX(tbl_Finance[Defer Start],$A465),"")</f>
        <v/>
      </c>
      <c r="I465" s="48">
        <f>IFERROR(INDEX(tbl_Finance[Defer End],$A465),"")</f>
        <v/>
      </c>
      <c r="J465" s="47">
        <f>IF(OR($H465="",$I465="",$G465=""),"",MAX(1,(YEAR($I465)-YEAR($H465))*12+MONTH($I465)-MONTH($H465)+1))</f>
        <v/>
      </c>
      <c r="K465" s="50">
        <f>IF($J465="","",$G465/$J465)</f>
        <v/>
      </c>
      <c r="L465" s="50">
        <f>IF($J465="",0,$K465*MAX(0,MIN(YEAR($C$3)*12+MONTH($C$3),YEAR($I465)*12+MONTH($I465))-(YEAR($H465)*12+MONTH($H465))+1))</f>
        <v/>
      </c>
      <c r="M465" s="50">
        <f>IF($J465="",0,$K465*MAX(0,MIN(YEAR($C$3)*12+MONTH($C$3)-1,YEAR($I465)*12+MONTH($I465))-(YEAR($H465)*12+MONTH($H465))+1))</f>
        <v/>
      </c>
      <c r="N465" s="50">
        <f>IF(OR($J465="",$B465=""),0,IF(YEAR($B465)*12+MONTH($B465)&lt;=YEAR($C$3)*12+MONTH($C$3),$G465,0))</f>
        <v/>
      </c>
      <c r="O465" s="50">
        <f>IF(OR($J465="",$B465=""),0,IF(YEAR($B465)*12+MONTH($B465)&lt;=YEAR($C$3)*12+MONTH($C$3)-1,$G465,0))</f>
        <v/>
      </c>
      <c r="P465" s="50">
        <f>$M465-$O465</f>
        <v/>
      </c>
      <c r="Q465" s="50">
        <f>($L465-$M465)-($N465-$O465)</f>
        <v/>
      </c>
      <c r="R465" s="50">
        <f>$L465-$N465</f>
        <v/>
      </c>
    </row>
    <row r="466">
      <c r="A466" s="47">
        <f>ROW()-5</f>
        <v/>
      </c>
      <c r="B466" s="48">
        <f>IFERROR(INDEX(tbl_Finance[Date],$A466),"")</f>
        <v/>
      </c>
      <c r="C466" s="49">
        <f>IFERROR(INDEX(tbl_Finance[Xero Invoice No],$A466),"")</f>
        <v/>
      </c>
      <c r="D466" s="49">
        <f>IFERROR(INDEX(tbl_Finance[Client],$A466),"")</f>
        <v/>
      </c>
      <c r="E466" s="49">
        <f>IFERROR(INDEX(tbl_Finance[Job Number],$A466),"")</f>
        <v/>
      </c>
      <c r="F466" s="49">
        <f>IFERROR(INDEX(tbl_Finance[Cost Centre],$A466),"")</f>
        <v/>
      </c>
      <c r="G466" s="50">
        <f>IFERROR(INDEX(tbl_Finance[Ex GST],$A466),"")</f>
        <v/>
      </c>
      <c r="H466" s="48">
        <f>IFERROR(INDEX(tbl_Finance[Defer Start],$A466),"")</f>
        <v/>
      </c>
      <c r="I466" s="48">
        <f>IFERROR(INDEX(tbl_Finance[Defer End],$A466),"")</f>
        <v/>
      </c>
      <c r="J466" s="47">
        <f>IF(OR($H466="",$I466="",$G466=""),"",MAX(1,(YEAR($I466)-YEAR($H466))*12+MONTH($I466)-MONTH($H466)+1))</f>
        <v/>
      </c>
      <c r="K466" s="50">
        <f>IF($J466="","",$G466/$J466)</f>
        <v/>
      </c>
      <c r="L466" s="50">
        <f>IF($J466="",0,$K466*MAX(0,MIN(YEAR($C$3)*12+MONTH($C$3),YEAR($I466)*12+MONTH($I466))-(YEAR($H466)*12+MONTH($H466))+1))</f>
        <v/>
      </c>
      <c r="M466" s="50">
        <f>IF($J466="",0,$K466*MAX(0,MIN(YEAR($C$3)*12+MONTH($C$3)-1,YEAR($I466)*12+MONTH($I466))-(YEAR($H466)*12+MONTH($H466))+1))</f>
        <v/>
      </c>
      <c r="N466" s="50">
        <f>IF(OR($J466="",$B466=""),0,IF(YEAR($B466)*12+MONTH($B466)&lt;=YEAR($C$3)*12+MONTH($C$3),$G466,0))</f>
        <v/>
      </c>
      <c r="O466" s="50">
        <f>IF(OR($J466="",$B466=""),0,IF(YEAR($B466)*12+MONTH($B466)&lt;=YEAR($C$3)*12+MONTH($C$3)-1,$G466,0))</f>
        <v/>
      </c>
      <c r="P466" s="50">
        <f>$M466-$O466</f>
        <v/>
      </c>
      <c r="Q466" s="50">
        <f>($L466-$M466)-($N466-$O466)</f>
        <v/>
      </c>
      <c r="R466" s="50">
        <f>$L466-$N466</f>
        <v/>
      </c>
    </row>
    <row r="467">
      <c r="A467" s="47">
        <f>ROW()-5</f>
        <v/>
      </c>
      <c r="B467" s="48">
        <f>IFERROR(INDEX(tbl_Finance[Date],$A467),"")</f>
        <v/>
      </c>
      <c r="C467" s="49">
        <f>IFERROR(INDEX(tbl_Finance[Xero Invoice No],$A467),"")</f>
        <v/>
      </c>
      <c r="D467" s="49">
        <f>IFERROR(INDEX(tbl_Finance[Client],$A467),"")</f>
        <v/>
      </c>
      <c r="E467" s="49">
        <f>IFERROR(INDEX(tbl_Finance[Job Number],$A467),"")</f>
        <v/>
      </c>
      <c r="F467" s="49">
        <f>IFERROR(INDEX(tbl_Finance[Cost Centre],$A467),"")</f>
        <v/>
      </c>
      <c r="G467" s="50">
        <f>IFERROR(INDEX(tbl_Finance[Ex GST],$A467),"")</f>
        <v/>
      </c>
      <c r="H467" s="48">
        <f>IFERROR(INDEX(tbl_Finance[Defer Start],$A467),"")</f>
        <v/>
      </c>
      <c r="I467" s="48">
        <f>IFERROR(INDEX(tbl_Finance[Defer End],$A467),"")</f>
        <v/>
      </c>
      <c r="J467" s="47">
        <f>IF(OR($H467="",$I467="",$G467=""),"",MAX(1,(YEAR($I467)-YEAR($H467))*12+MONTH($I467)-MONTH($H467)+1))</f>
        <v/>
      </c>
      <c r="K467" s="50">
        <f>IF($J467="","",$G467/$J467)</f>
        <v/>
      </c>
      <c r="L467" s="50">
        <f>IF($J467="",0,$K467*MAX(0,MIN(YEAR($C$3)*12+MONTH($C$3),YEAR($I467)*12+MONTH($I467))-(YEAR($H467)*12+MONTH($H467))+1))</f>
        <v/>
      </c>
      <c r="M467" s="50">
        <f>IF($J467="",0,$K467*MAX(0,MIN(YEAR($C$3)*12+MONTH($C$3)-1,YEAR($I467)*12+MONTH($I467))-(YEAR($H467)*12+MONTH($H467))+1))</f>
        <v/>
      </c>
      <c r="N467" s="50">
        <f>IF(OR($J467="",$B467=""),0,IF(YEAR($B467)*12+MONTH($B467)&lt;=YEAR($C$3)*12+MONTH($C$3),$G467,0))</f>
        <v/>
      </c>
      <c r="O467" s="50">
        <f>IF(OR($J467="",$B467=""),0,IF(YEAR($B467)*12+MONTH($B467)&lt;=YEAR($C$3)*12+MONTH($C$3)-1,$G467,0))</f>
        <v/>
      </c>
      <c r="P467" s="50">
        <f>$M467-$O467</f>
        <v/>
      </c>
      <c r="Q467" s="50">
        <f>($L467-$M467)-($N467-$O467)</f>
        <v/>
      </c>
      <c r="R467" s="50">
        <f>$L467-$N467</f>
        <v/>
      </c>
    </row>
    <row r="468">
      <c r="A468" s="47">
        <f>ROW()-5</f>
        <v/>
      </c>
      <c r="B468" s="48">
        <f>IFERROR(INDEX(tbl_Finance[Date],$A468),"")</f>
        <v/>
      </c>
      <c r="C468" s="49">
        <f>IFERROR(INDEX(tbl_Finance[Xero Invoice No],$A468),"")</f>
        <v/>
      </c>
      <c r="D468" s="49">
        <f>IFERROR(INDEX(tbl_Finance[Client],$A468),"")</f>
        <v/>
      </c>
      <c r="E468" s="49">
        <f>IFERROR(INDEX(tbl_Finance[Job Number],$A468),"")</f>
        <v/>
      </c>
      <c r="F468" s="49">
        <f>IFERROR(INDEX(tbl_Finance[Cost Centre],$A468),"")</f>
        <v/>
      </c>
      <c r="G468" s="50">
        <f>IFERROR(INDEX(tbl_Finance[Ex GST],$A468),"")</f>
        <v/>
      </c>
      <c r="H468" s="48">
        <f>IFERROR(INDEX(tbl_Finance[Defer Start],$A468),"")</f>
        <v/>
      </c>
      <c r="I468" s="48">
        <f>IFERROR(INDEX(tbl_Finance[Defer End],$A468),"")</f>
        <v/>
      </c>
      <c r="J468" s="47">
        <f>IF(OR($H468="",$I468="",$G468=""),"",MAX(1,(YEAR($I468)-YEAR($H468))*12+MONTH($I468)-MONTH($H468)+1))</f>
        <v/>
      </c>
      <c r="K468" s="50">
        <f>IF($J468="","",$G468/$J468)</f>
        <v/>
      </c>
      <c r="L468" s="50">
        <f>IF($J468="",0,$K468*MAX(0,MIN(YEAR($C$3)*12+MONTH($C$3),YEAR($I468)*12+MONTH($I468))-(YEAR($H468)*12+MONTH($H468))+1))</f>
        <v/>
      </c>
      <c r="M468" s="50">
        <f>IF($J468="",0,$K468*MAX(0,MIN(YEAR($C$3)*12+MONTH($C$3)-1,YEAR($I468)*12+MONTH($I468))-(YEAR($H468)*12+MONTH($H468))+1))</f>
        <v/>
      </c>
      <c r="N468" s="50">
        <f>IF(OR($J468="",$B468=""),0,IF(YEAR($B468)*12+MONTH($B468)&lt;=YEAR($C$3)*12+MONTH($C$3),$G468,0))</f>
        <v/>
      </c>
      <c r="O468" s="50">
        <f>IF(OR($J468="",$B468=""),0,IF(YEAR($B468)*12+MONTH($B468)&lt;=YEAR($C$3)*12+MONTH($C$3)-1,$G468,0))</f>
        <v/>
      </c>
      <c r="P468" s="50">
        <f>$M468-$O468</f>
        <v/>
      </c>
      <c r="Q468" s="50">
        <f>($L468-$M468)-($N468-$O468)</f>
        <v/>
      </c>
      <c r="R468" s="50">
        <f>$L468-$N468</f>
        <v/>
      </c>
    </row>
    <row r="469">
      <c r="A469" s="47">
        <f>ROW()-5</f>
        <v/>
      </c>
      <c r="B469" s="48">
        <f>IFERROR(INDEX(tbl_Finance[Date],$A469),"")</f>
        <v/>
      </c>
      <c r="C469" s="49">
        <f>IFERROR(INDEX(tbl_Finance[Xero Invoice No],$A469),"")</f>
        <v/>
      </c>
      <c r="D469" s="49">
        <f>IFERROR(INDEX(tbl_Finance[Client],$A469),"")</f>
        <v/>
      </c>
      <c r="E469" s="49">
        <f>IFERROR(INDEX(tbl_Finance[Job Number],$A469),"")</f>
        <v/>
      </c>
      <c r="F469" s="49">
        <f>IFERROR(INDEX(tbl_Finance[Cost Centre],$A469),"")</f>
        <v/>
      </c>
      <c r="G469" s="50">
        <f>IFERROR(INDEX(tbl_Finance[Ex GST],$A469),"")</f>
        <v/>
      </c>
      <c r="H469" s="48">
        <f>IFERROR(INDEX(tbl_Finance[Defer Start],$A469),"")</f>
        <v/>
      </c>
      <c r="I469" s="48">
        <f>IFERROR(INDEX(tbl_Finance[Defer End],$A469),"")</f>
        <v/>
      </c>
      <c r="J469" s="47">
        <f>IF(OR($H469="",$I469="",$G469=""),"",MAX(1,(YEAR($I469)-YEAR($H469))*12+MONTH($I469)-MONTH($H469)+1))</f>
        <v/>
      </c>
      <c r="K469" s="50">
        <f>IF($J469="","",$G469/$J469)</f>
        <v/>
      </c>
      <c r="L469" s="50">
        <f>IF($J469="",0,$K469*MAX(0,MIN(YEAR($C$3)*12+MONTH($C$3),YEAR($I469)*12+MONTH($I469))-(YEAR($H469)*12+MONTH($H469))+1))</f>
        <v/>
      </c>
      <c r="M469" s="50">
        <f>IF($J469="",0,$K469*MAX(0,MIN(YEAR($C$3)*12+MONTH($C$3)-1,YEAR($I469)*12+MONTH($I469))-(YEAR($H469)*12+MONTH($H469))+1))</f>
        <v/>
      </c>
      <c r="N469" s="50">
        <f>IF(OR($J469="",$B469=""),0,IF(YEAR($B469)*12+MONTH($B469)&lt;=YEAR($C$3)*12+MONTH($C$3),$G469,0))</f>
        <v/>
      </c>
      <c r="O469" s="50">
        <f>IF(OR($J469="",$B469=""),0,IF(YEAR($B469)*12+MONTH($B469)&lt;=YEAR($C$3)*12+MONTH($C$3)-1,$G469,0))</f>
        <v/>
      </c>
      <c r="P469" s="50">
        <f>$M469-$O469</f>
        <v/>
      </c>
      <c r="Q469" s="50">
        <f>($L469-$M469)-($N469-$O469)</f>
        <v/>
      </c>
      <c r="R469" s="50">
        <f>$L469-$N469</f>
        <v/>
      </c>
    </row>
    <row r="470">
      <c r="A470" s="47">
        <f>ROW()-5</f>
        <v/>
      </c>
      <c r="B470" s="48">
        <f>IFERROR(INDEX(tbl_Finance[Date],$A470),"")</f>
        <v/>
      </c>
      <c r="C470" s="49">
        <f>IFERROR(INDEX(tbl_Finance[Xero Invoice No],$A470),"")</f>
        <v/>
      </c>
      <c r="D470" s="49">
        <f>IFERROR(INDEX(tbl_Finance[Client],$A470),"")</f>
        <v/>
      </c>
      <c r="E470" s="49">
        <f>IFERROR(INDEX(tbl_Finance[Job Number],$A470),"")</f>
        <v/>
      </c>
      <c r="F470" s="49">
        <f>IFERROR(INDEX(tbl_Finance[Cost Centre],$A470),"")</f>
        <v/>
      </c>
      <c r="G470" s="50">
        <f>IFERROR(INDEX(tbl_Finance[Ex GST],$A470),"")</f>
        <v/>
      </c>
      <c r="H470" s="48">
        <f>IFERROR(INDEX(tbl_Finance[Defer Start],$A470),"")</f>
        <v/>
      </c>
      <c r="I470" s="48">
        <f>IFERROR(INDEX(tbl_Finance[Defer End],$A470),"")</f>
        <v/>
      </c>
      <c r="J470" s="47">
        <f>IF(OR($H470="",$I470="",$G470=""),"",MAX(1,(YEAR($I470)-YEAR($H470))*12+MONTH($I470)-MONTH($H470)+1))</f>
        <v/>
      </c>
      <c r="K470" s="50">
        <f>IF($J470="","",$G470/$J470)</f>
        <v/>
      </c>
      <c r="L470" s="50">
        <f>IF($J470="",0,$K470*MAX(0,MIN(YEAR($C$3)*12+MONTH($C$3),YEAR($I470)*12+MONTH($I470))-(YEAR($H470)*12+MONTH($H470))+1))</f>
        <v/>
      </c>
      <c r="M470" s="50">
        <f>IF($J470="",0,$K470*MAX(0,MIN(YEAR($C$3)*12+MONTH($C$3)-1,YEAR($I470)*12+MONTH($I470))-(YEAR($H470)*12+MONTH($H470))+1))</f>
        <v/>
      </c>
      <c r="N470" s="50">
        <f>IF(OR($J470="",$B470=""),0,IF(YEAR($B470)*12+MONTH($B470)&lt;=YEAR($C$3)*12+MONTH($C$3),$G470,0))</f>
        <v/>
      </c>
      <c r="O470" s="50">
        <f>IF(OR($J470="",$B470=""),0,IF(YEAR($B470)*12+MONTH($B470)&lt;=YEAR($C$3)*12+MONTH($C$3)-1,$G470,0))</f>
        <v/>
      </c>
      <c r="P470" s="50">
        <f>$M470-$O470</f>
        <v/>
      </c>
      <c r="Q470" s="50">
        <f>($L470-$M470)-($N470-$O470)</f>
        <v/>
      </c>
      <c r="R470" s="50">
        <f>$L470-$N470</f>
        <v/>
      </c>
    </row>
    <row r="471">
      <c r="A471" s="47">
        <f>ROW()-5</f>
        <v/>
      </c>
      <c r="B471" s="48">
        <f>IFERROR(INDEX(tbl_Finance[Date],$A471),"")</f>
        <v/>
      </c>
      <c r="C471" s="49">
        <f>IFERROR(INDEX(tbl_Finance[Xero Invoice No],$A471),"")</f>
        <v/>
      </c>
      <c r="D471" s="49">
        <f>IFERROR(INDEX(tbl_Finance[Client],$A471),"")</f>
        <v/>
      </c>
      <c r="E471" s="49">
        <f>IFERROR(INDEX(tbl_Finance[Job Number],$A471),"")</f>
        <v/>
      </c>
      <c r="F471" s="49">
        <f>IFERROR(INDEX(tbl_Finance[Cost Centre],$A471),"")</f>
        <v/>
      </c>
      <c r="G471" s="50">
        <f>IFERROR(INDEX(tbl_Finance[Ex GST],$A471),"")</f>
        <v/>
      </c>
      <c r="H471" s="48">
        <f>IFERROR(INDEX(tbl_Finance[Defer Start],$A471),"")</f>
        <v/>
      </c>
      <c r="I471" s="48">
        <f>IFERROR(INDEX(tbl_Finance[Defer End],$A471),"")</f>
        <v/>
      </c>
      <c r="J471" s="47">
        <f>IF(OR($H471="",$I471="",$G471=""),"",MAX(1,(YEAR($I471)-YEAR($H471))*12+MONTH($I471)-MONTH($H471)+1))</f>
        <v/>
      </c>
      <c r="K471" s="50">
        <f>IF($J471="","",$G471/$J471)</f>
        <v/>
      </c>
      <c r="L471" s="50">
        <f>IF($J471="",0,$K471*MAX(0,MIN(YEAR($C$3)*12+MONTH($C$3),YEAR($I471)*12+MONTH($I471))-(YEAR($H471)*12+MONTH($H471))+1))</f>
        <v/>
      </c>
      <c r="M471" s="50">
        <f>IF($J471="",0,$K471*MAX(0,MIN(YEAR($C$3)*12+MONTH($C$3)-1,YEAR($I471)*12+MONTH($I471))-(YEAR($H471)*12+MONTH($H471))+1))</f>
        <v/>
      </c>
      <c r="N471" s="50">
        <f>IF(OR($J471="",$B471=""),0,IF(YEAR($B471)*12+MONTH($B471)&lt;=YEAR($C$3)*12+MONTH($C$3),$G471,0))</f>
        <v/>
      </c>
      <c r="O471" s="50">
        <f>IF(OR($J471="",$B471=""),0,IF(YEAR($B471)*12+MONTH($B471)&lt;=YEAR($C$3)*12+MONTH($C$3)-1,$G471,0))</f>
        <v/>
      </c>
      <c r="P471" s="50">
        <f>$M471-$O471</f>
        <v/>
      </c>
      <c r="Q471" s="50">
        <f>($L471-$M471)-($N471-$O471)</f>
        <v/>
      </c>
      <c r="R471" s="50">
        <f>$L471-$N471</f>
        <v/>
      </c>
    </row>
    <row r="472">
      <c r="A472" s="47">
        <f>ROW()-5</f>
        <v/>
      </c>
      <c r="B472" s="48">
        <f>IFERROR(INDEX(tbl_Finance[Date],$A472),"")</f>
        <v/>
      </c>
      <c r="C472" s="49">
        <f>IFERROR(INDEX(tbl_Finance[Xero Invoice No],$A472),"")</f>
        <v/>
      </c>
      <c r="D472" s="49">
        <f>IFERROR(INDEX(tbl_Finance[Client],$A472),"")</f>
        <v/>
      </c>
      <c r="E472" s="49">
        <f>IFERROR(INDEX(tbl_Finance[Job Number],$A472),"")</f>
        <v/>
      </c>
      <c r="F472" s="49">
        <f>IFERROR(INDEX(tbl_Finance[Cost Centre],$A472),"")</f>
        <v/>
      </c>
      <c r="G472" s="50">
        <f>IFERROR(INDEX(tbl_Finance[Ex GST],$A472),"")</f>
        <v/>
      </c>
      <c r="H472" s="48">
        <f>IFERROR(INDEX(tbl_Finance[Defer Start],$A472),"")</f>
        <v/>
      </c>
      <c r="I472" s="48">
        <f>IFERROR(INDEX(tbl_Finance[Defer End],$A472),"")</f>
        <v/>
      </c>
      <c r="J472" s="47">
        <f>IF(OR($H472="",$I472="",$G472=""),"",MAX(1,(YEAR($I472)-YEAR($H472))*12+MONTH($I472)-MONTH($H472)+1))</f>
        <v/>
      </c>
      <c r="K472" s="50">
        <f>IF($J472="","",$G472/$J472)</f>
        <v/>
      </c>
      <c r="L472" s="50">
        <f>IF($J472="",0,$K472*MAX(0,MIN(YEAR($C$3)*12+MONTH($C$3),YEAR($I472)*12+MONTH($I472))-(YEAR($H472)*12+MONTH($H472))+1))</f>
        <v/>
      </c>
      <c r="M472" s="50">
        <f>IF($J472="",0,$K472*MAX(0,MIN(YEAR($C$3)*12+MONTH($C$3)-1,YEAR($I472)*12+MONTH($I472))-(YEAR($H472)*12+MONTH($H472))+1))</f>
        <v/>
      </c>
      <c r="N472" s="50">
        <f>IF(OR($J472="",$B472=""),0,IF(YEAR($B472)*12+MONTH($B472)&lt;=YEAR($C$3)*12+MONTH($C$3),$G472,0))</f>
        <v/>
      </c>
      <c r="O472" s="50">
        <f>IF(OR($J472="",$B472=""),0,IF(YEAR($B472)*12+MONTH($B472)&lt;=YEAR($C$3)*12+MONTH($C$3)-1,$G472,0))</f>
        <v/>
      </c>
      <c r="P472" s="50">
        <f>$M472-$O472</f>
        <v/>
      </c>
      <c r="Q472" s="50">
        <f>($L472-$M472)-($N472-$O472)</f>
        <v/>
      </c>
      <c r="R472" s="50">
        <f>$L472-$N472</f>
        <v/>
      </c>
    </row>
    <row r="473">
      <c r="A473" s="47">
        <f>ROW()-5</f>
        <v/>
      </c>
      <c r="B473" s="48">
        <f>IFERROR(INDEX(tbl_Finance[Date],$A473),"")</f>
        <v/>
      </c>
      <c r="C473" s="49">
        <f>IFERROR(INDEX(tbl_Finance[Xero Invoice No],$A473),"")</f>
        <v/>
      </c>
      <c r="D473" s="49">
        <f>IFERROR(INDEX(tbl_Finance[Client],$A473),"")</f>
        <v/>
      </c>
      <c r="E473" s="49">
        <f>IFERROR(INDEX(tbl_Finance[Job Number],$A473),"")</f>
        <v/>
      </c>
      <c r="F473" s="49">
        <f>IFERROR(INDEX(tbl_Finance[Cost Centre],$A473),"")</f>
        <v/>
      </c>
      <c r="G473" s="50">
        <f>IFERROR(INDEX(tbl_Finance[Ex GST],$A473),"")</f>
        <v/>
      </c>
      <c r="H473" s="48">
        <f>IFERROR(INDEX(tbl_Finance[Defer Start],$A473),"")</f>
        <v/>
      </c>
      <c r="I473" s="48">
        <f>IFERROR(INDEX(tbl_Finance[Defer End],$A473),"")</f>
        <v/>
      </c>
      <c r="J473" s="47">
        <f>IF(OR($H473="",$I473="",$G473=""),"",MAX(1,(YEAR($I473)-YEAR($H473))*12+MONTH($I473)-MONTH($H473)+1))</f>
        <v/>
      </c>
      <c r="K473" s="50">
        <f>IF($J473="","",$G473/$J473)</f>
        <v/>
      </c>
      <c r="L473" s="50">
        <f>IF($J473="",0,$K473*MAX(0,MIN(YEAR($C$3)*12+MONTH($C$3),YEAR($I473)*12+MONTH($I473))-(YEAR($H473)*12+MONTH($H473))+1))</f>
        <v/>
      </c>
      <c r="M473" s="50">
        <f>IF($J473="",0,$K473*MAX(0,MIN(YEAR($C$3)*12+MONTH($C$3)-1,YEAR($I473)*12+MONTH($I473))-(YEAR($H473)*12+MONTH($H473))+1))</f>
        <v/>
      </c>
      <c r="N473" s="50">
        <f>IF(OR($J473="",$B473=""),0,IF(YEAR($B473)*12+MONTH($B473)&lt;=YEAR($C$3)*12+MONTH($C$3),$G473,0))</f>
        <v/>
      </c>
      <c r="O473" s="50">
        <f>IF(OR($J473="",$B473=""),0,IF(YEAR($B473)*12+MONTH($B473)&lt;=YEAR($C$3)*12+MONTH($C$3)-1,$G473,0))</f>
        <v/>
      </c>
      <c r="P473" s="50">
        <f>$M473-$O473</f>
        <v/>
      </c>
      <c r="Q473" s="50">
        <f>($L473-$M473)-($N473-$O473)</f>
        <v/>
      </c>
      <c r="R473" s="50">
        <f>$L473-$N473</f>
        <v/>
      </c>
    </row>
    <row r="474">
      <c r="A474" s="47">
        <f>ROW()-5</f>
        <v/>
      </c>
      <c r="B474" s="48">
        <f>IFERROR(INDEX(tbl_Finance[Date],$A474),"")</f>
        <v/>
      </c>
      <c r="C474" s="49">
        <f>IFERROR(INDEX(tbl_Finance[Xero Invoice No],$A474),"")</f>
        <v/>
      </c>
      <c r="D474" s="49">
        <f>IFERROR(INDEX(tbl_Finance[Client],$A474),"")</f>
        <v/>
      </c>
      <c r="E474" s="49">
        <f>IFERROR(INDEX(tbl_Finance[Job Number],$A474),"")</f>
        <v/>
      </c>
      <c r="F474" s="49">
        <f>IFERROR(INDEX(tbl_Finance[Cost Centre],$A474),"")</f>
        <v/>
      </c>
      <c r="G474" s="50">
        <f>IFERROR(INDEX(tbl_Finance[Ex GST],$A474),"")</f>
        <v/>
      </c>
      <c r="H474" s="48">
        <f>IFERROR(INDEX(tbl_Finance[Defer Start],$A474),"")</f>
        <v/>
      </c>
      <c r="I474" s="48">
        <f>IFERROR(INDEX(tbl_Finance[Defer End],$A474),"")</f>
        <v/>
      </c>
      <c r="J474" s="47">
        <f>IF(OR($H474="",$I474="",$G474=""),"",MAX(1,(YEAR($I474)-YEAR($H474))*12+MONTH($I474)-MONTH($H474)+1))</f>
        <v/>
      </c>
      <c r="K474" s="50">
        <f>IF($J474="","",$G474/$J474)</f>
        <v/>
      </c>
      <c r="L474" s="50">
        <f>IF($J474="",0,$K474*MAX(0,MIN(YEAR($C$3)*12+MONTH($C$3),YEAR($I474)*12+MONTH($I474))-(YEAR($H474)*12+MONTH($H474))+1))</f>
        <v/>
      </c>
      <c r="M474" s="50">
        <f>IF($J474="",0,$K474*MAX(0,MIN(YEAR($C$3)*12+MONTH($C$3)-1,YEAR($I474)*12+MONTH($I474))-(YEAR($H474)*12+MONTH($H474))+1))</f>
        <v/>
      </c>
      <c r="N474" s="50">
        <f>IF(OR($J474="",$B474=""),0,IF(YEAR($B474)*12+MONTH($B474)&lt;=YEAR($C$3)*12+MONTH($C$3),$G474,0))</f>
        <v/>
      </c>
      <c r="O474" s="50">
        <f>IF(OR($J474="",$B474=""),0,IF(YEAR($B474)*12+MONTH($B474)&lt;=YEAR($C$3)*12+MONTH($C$3)-1,$G474,0))</f>
        <v/>
      </c>
      <c r="P474" s="50">
        <f>$M474-$O474</f>
        <v/>
      </c>
      <c r="Q474" s="50">
        <f>($L474-$M474)-($N474-$O474)</f>
        <v/>
      </c>
      <c r="R474" s="50">
        <f>$L474-$N474</f>
        <v/>
      </c>
    </row>
    <row r="475">
      <c r="A475" s="47">
        <f>ROW()-5</f>
        <v/>
      </c>
      <c r="B475" s="48">
        <f>IFERROR(INDEX(tbl_Finance[Date],$A475),"")</f>
        <v/>
      </c>
      <c r="C475" s="49">
        <f>IFERROR(INDEX(tbl_Finance[Xero Invoice No],$A475),"")</f>
        <v/>
      </c>
      <c r="D475" s="49">
        <f>IFERROR(INDEX(tbl_Finance[Client],$A475),"")</f>
        <v/>
      </c>
      <c r="E475" s="49">
        <f>IFERROR(INDEX(tbl_Finance[Job Number],$A475),"")</f>
        <v/>
      </c>
      <c r="F475" s="49">
        <f>IFERROR(INDEX(tbl_Finance[Cost Centre],$A475),"")</f>
        <v/>
      </c>
      <c r="G475" s="50">
        <f>IFERROR(INDEX(tbl_Finance[Ex GST],$A475),"")</f>
        <v/>
      </c>
      <c r="H475" s="48">
        <f>IFERROR(INDEX(tbl_Finance[Defer Start],$A475),"")</f>
        <v/>
      </c>
      <c r="I475" s="48">
        <f>IFERROR(INDEX(tbl_Finance[Defer End],$A475),"")</f>
        <v/>
      </c>
      <c r="J475" s="47">
        <f>IF(OR($H475="",$I475="",$G475=""),"",MAX(1,(YEAR($I475)-YEAR($H475))*12+MONTH($I475)-MONTH($H475)+1))</f>
        <v/>
      </c>
      <c r="K475" s="50">
        <f>IF($J475="","",$G475/$J475)</f>
        <v/>
      </c>
      <c r="L475" s="50">
        <f>IF($J475="",0,$K475*MAX(0,MIN(YEAR($C$3)*12+MONTH($C$3),YEAR($I475)*12+MONTH($I475))-(YEAR($H475)*12+MONTH($H475))+1))</f>
        <v/>
      </c>
      <c r="M475" s="50">
        <f>IF($J475="",0,$K475*MAX(0,MIN(YEAR($C$3)*12+MONTH($C$3)-1,YEAR($I475)*12+MONTH($I475))-(YEAR($H475)*12+MONTH($H475))+1))</f>
        <v/>
      </c>
      <c r="N475" s="50">
        <f>IF(OR($J475="",$B475=""),0,IF(YEAR($B475)*12+MONTH($B475)&lt;=YEAR($C$3)*12+MONTH($C$3),$G475,0))</f>
        <v/>
      </c>
      <c r="O475" s="50">
        <f>IF(OR($J475="",$B475=""),0,IF(YEAR($B475)*12+MONTH($B475)&lt;=YEAR($C$3)*12+MONTH($C$3)-1,$G475,0))</f>
        <v/>
      </c>
      <c r="P475" s="50">
        <f>$M475-$O475</f>
        <v/>
      </c>
      <c r="Q475" s="50">
        <f>($L475-$M475)-($N475-$O475)</f>
        <v/>
      </c>
      <c r="R475" s="50">
        <f>$L475-$N475</f>
        <v/>
      </c>
    </row>
    <row r="476">
      <c r="A476" s="47">
        <f>ROW()-5</f>
        <v/>
      </c>
      <c r="B476" s="48">
        <f>IFERROR(INDEX(tbl_Finance[Date],$A476),"")</f>
        <v/>
      </c>
      <c r="C476" s="49">
        <f>IFERROR(INDEX(tbl_Finance[Xero Invoice No],$A476),"")</f>
        <v/>
      </c>
      <c r="D476" s="49">
        <f>IFERROR(INDEX(tbl_Finance[Client],$A476),"")</f>
        <v/>
      </c>
      <c r="E476" s="49">
        <f>IFERROR(INDEX(tbl_Finance[Job Number],$A476),"")</f>
        <v/>
      </c>
      <c r="F476" s="49">
        <f>IFERROR(INDEX(tbl_Finance[Cost Centre],$A476),"")</f>
        <v/>
      </c>
      <c r="G476" s="50">
        <f>IFERROR(INDEX(tbl_Finance[Ex GST],$A476),"")</f>
        <v/>
      </c>
      <c r="H476" s="48">
        <f>IFERROR(INDEX(tbl_Finance[Defer Start],$A476),"")</f>
        <v/>
      </c>
      <c r="I476" s="48">
        <f>IFERROR(INDEX(tbl_Finance[Defer End],$A476),"")</f>
        <v/>
      </c>
      <c r="J476" s="47">
        <f>IF(OR($H476="",$I476="",$G476=""),"",MAX(1,(YEAR($I476)-YEAR($H476))*12+MONTH($I476)-MONTH($H476)+1))</f>
        <v/>
      </c>
      <c r="K476" s="50">
        <f>IF($J476="","",$G476/$J476)</f>
        <v/>
      </c>
      <c r="L476" s="50">
        <f>IF($J476="",0,$K476*MAX(0,MIN(YEAR($C$3)*12+MONTH($C$3),YEAR($I476)*12+MONTH($I476))-(YEAR($H476)*12+MONTH($H476))+1))</f>
        <v/>
      </c>
      <c r="M476" s="50">
        <f>IF($J476="",0,$K476*MAX(0,MIN(YEAR($C$3)*12+MONTH($C$3)-1,YEAR($I476)*12+MONTH($I476))-(YEAR($H476)*12+MONTH($H476))+1))</f>
        <v/>
      </c>
      <c r="N476" s="50">
        <f>IF(OR($J476="",$B476=""),0,IF(YEAR($B476)*12+MONTH($B476)&lt;=YEAR($C$3)*12+MONTH($C$3),$G476,0))</f>
        <v/>
      </c>
      <c r="O476" s="50">
        <f>IF(OR($J476="",$B476=""),0,IF(YEAR($B476)*12+MONTH($B476)&lt;=YEAR($C$3)*12+MONTH($C$3)-1,$G476,0))</f>
        <v/>
      </c>
      <c r="P476" s="50">
        <f>$M476-$O476</f>
        <v/>
      </c>
      <c r="Q476" s="50">
        <f>($L476-$M476)-($N476-$O476)</f>
        <v/>
      </c>
      <c r="R476" s="50">
        <f>$L476-$N476</f>
        <v/>
      </c>
    </row>
    <row r="477">
      <c r="A477" s="47">
        <f>ROW()-5</f>
        <v/>
      </c>
      <c r="B477" s="48">
        <f>IFERROR(INDEX(tbl_Finance[Date],$A477),"")</f>
        <v/>
      </c>
      <c r="C477" s="49">
        <f>IFERROR(INDEX(tbl_Finance[Xero Invoice No],$A477),"")</f>
        <v/>
      </c>
      <c r="D477" s="49">
        <f>IFERROR(INDEX(tbl_Finance[Client],$A477),"")</f>
        <v/>
      </c>
      <c r="E477" s="49">
        <f>IFERROR(INDEX(tbl_Finance[Job Number],$A477),"")</f>
        <v/>
      </c>
      <c r="F477" s="49">
        <f>IFERROR(INDEX(tbl_Finance[Cost Centre],$A477),"")</f>
        <v/>
      </c>
      <c r="G477" s="50">
        <f>IFERROR(INDEX(tbl_Finance[Ex GST],$A477),"")</f>
        <v/>
      </c>
      <c r="H477" s="48">
        <f>IFERROR(INDEX(tbl_Finance[Defer Start],$A477),"")</f>
        <v/>
      </c>
      <c r="I477" s="48">
        <f>IFERROR(INDEX(tbl_Finance[Defer End],$A477),"")</f>
        <v/>
      </c>
      <c r="J477" s="47">
        <f>IF(OR($H477="",$I477="",$G477=""),"",MAX(1,(YEAR($I477)-YEAR($H477))*12+MONTH($I477)-MONTH($H477)+1))</f>
        <v/>
      </c>
      <c r="K477" s="50">
        <f>IF($J477="","",$G477/$J477)</f>
        <v/>
      </c>
      <c r="L477" s="50">
        <f>IF($J477="",0,$K477*MAX(0,MIN(YEAR($C$3)*12+MONTH($C$3),YEAR($I477)*12+MONTH($I477))-(YEAR($H477)*12+MONTH($H477))+1))</f>
        <v/>
      </c>
      <c r="M477" s="50">
        <f>IF($J477="",0,$K477*MAX(0,MIN(YEAR($C$3)*12+MONTH($C$3)-1,YEAR($I477)*12+MONTH($I477))-(YEAR($H477)*12+MONTH($H477))+1))</f>
        <v/>
      </c>
      <c r="N477" s="50">
        <f>IF(OR($J477="",$B477=""),0,IF(YEAR($B477)*12+MONTH($B477)&lt;=YEAR($C$3)*12+MONTH($C$3),$G477,0))</f>
        <v/>
      </c>
      <c r="O477" s="50">
        <f>IF(OR($J477="",$B477=""),0,IF(YEAR($B477)*12+MONTH($B477)&lt;=YEAR($C$3)*12+MONTH($C$3)-1,$G477,0))</f>
        <v/>
      </c>
      <c r="P477" s="50">
        <f>$M477-$O477</f>
        <v/>
      </c>
      <c r="Q477" s="50">
        <f>($L477-$M477)-($N477-$O477)</f>
        <v/>
      </c>
      <c r="R477" s="50">
        <f>$L477-$N477</f>
        <v/>
      </c>
    </row>
    <row r="478">
      <c r="A478" s="47">
        <f>ROW()-5</f>
        <v/>
      </c>
      <c r="B478" s="48">
        <f>IFERROR(INDEX(tbl_Finance[Date],$A478),"")</f>
        <v/>
      </c>
      <c r="C478" s="49">
        <f>IFERROR(INDEX(tbl_Finance[Xero Invoice No],$A478),"")</f>
        <v/>
      </c>
      <c r="D478" s="49">
        <f>IFERROR(INDEX(tbl_Finance[Client],$A478),"")</f>
        <v/>
      </c>
      <c r="E478" s="49">
        <f>IFERROR(INDEX(tbl_Finance[Job Number],$A478),"")</f>
        <v/>
      </c>
      <c r="F478" s="49">
        <f>IFERROR(INDEX(tbl_Finance[Cost Centre],$A478),"")</f>
        <v/>
      </c>
      <c r="G478" s="50">
        <f>IFERROR(INDEX(tbl_Finance[Ex GST],$A478),"")</f>
        <v/>
      </c>
      <c r="H478" s="48">
        <f>IFERROR(INDEX(tbl_Finance[Defer Start],$A478),"")</f>
        <v/>
      </c>
      <c r="I478" s="48">
        <f>IFERROR(INDEX(tbl_Finance[Defer End],$A478),"")</f>
        <v/>
      </c>
      <c r="J478" s="47">
        <f>IF(OR($H478="",$I478="",$G478=""),"",MAX(1,(YEAR($I478)-YEAR($H478))*12+MONTH($I478)-MONTH($H478)+1))</f>
        <v/>
      </c>
      <c r="K478" s="50">
        <f>IF($J478="","",$G478/$J478)</f>
        <v/>
      </c>
      <c r="L478" s="50">
        <f>IF($J478="",0,$K478*MAX(0,MIN(YEAR($C$3)*12+MONTH($C$3),YEAR($I478)*12+MONTH($I478))-(YEAR($H478)*12+MONTH($H478))+1))</f>
        <v/>
      </c>
      <c r="M478" s="50">
        <f>IF($J478="",0,$K478*MAX(0,MIN(YEAR($C$3)*12+MONTH($C$3)-1,YEAR($I478)*12+MONTH($I478))-(YEAR($H478)*12+MONTH($H478))+1))</f>
        <v/>
      </c>
      <c r="N478" s="50">
        <f>IF(OR($J478="",$B478=""),0,IF(YEAR($B478)*12+MONTH($B478)&lt;=YEAR($C$3)*12+MONTH($C$3),$G478,0))</f>
        <v/>
      </c>
      <c r="O478" s="50">
        <f>IF(OR($J478="",$B478=""),0,IF(YEAR($B478)*12+MONTH($B478)&lt;=YEAR($C$3)*12+MONTH($C$3)-1,$G478,0))</f>
        <v/>
      </c>
      <c r="P478" s="50">
        <f>$M478-$O478</f>
        <v/>
      </c>
      <c r="Q478" s="50">
        <f>($L478-$M478)-($N478-$O478)</f>
        <v/>
      </c>
      <c r="R478" s="50">
        <f>$L478-$N478</f>
        <v/>
      </c>
    </row>
    <row r="479">
      <c r="A479" s="47">
        <f>ROW()-5</f>
        <v/>
      </c>
      <c r="B479" s="48">
        <f>IFERROR(INDEX(tbl_Finance[Date],$A479),"")</f>
        <v/>
      </c>
      <c r="C479" s="49">
        <f>IFERROR(INDEX(tbl_Finance[Xero Invoice No],$A479),"")</f>
        <v/>
      </c>
      <c r="D479" s="49">
        <f>IFERROR(INDEX(tbl_Finance[Client],$A479),"")</f>
        <v/>
      </c>
      <c r="E479" s="49">
        <f>IFERROR(INDEX(tbl_Finance[Job Number],$A479),"")</f>
        <v/>
      </c>
      <c r="F479" s="49">
        <f>IFERROR(INDEX(tbl_Finance[Cost Centre],$A479),"")</f>
        <v/>
      </c>
      <c r="G479" s="50">
        <f>IFERROR(INDEX(tbl_Finance[Ex GST],$A479),"")</f>
        <v/>
      </c>
      <c r="H479" s="48">
        <f>IFERROR(INDEX(tbl_Finance[Defer Start],$A479),"")</f>
        <v/>
      </c>
      <c r="I479" s="48">
        <f>IFERROR(INDEX(tbl_Finance[Defer End],$A479),"")</f>
        <v/>
      </c>
      <c r="J479" s="47">
        <f>IF(OR($H479="",$I479="",$G479=""),"",MAX(1,(YEAR($I479)-YEAR($H479))*12+MONTH($I479)-MONTH($H479)+1))</f>
        <v/>
      </c>
      <c r="K479" s="50">
        <f>IF($J479="","",$G479/$J479)</f>
        <v/>
      </c>
      <c r="L479" s="50">
        <f>IF($J479="",0,$K479*MAX(0,MIN(YEAR($C$3)*12+MONTH($C$3),YEAR($I479)*12+MONTH($I479))-(YEAR($H479)*12+MONTH($H479))+1))</f>
        <v/>
      </c>
      <c r="M479" s="50">
        <f>IF($J479="",0,$K479*MAX(0,MIN(YEAR($C$3)*12+MONTH($C$3)-1,YEAR($I479)*12+MONTH($I479))-(YEAR($H479)*12+MONTH($H479))+1))</f>
        <v/>
      </c>
      <c r="N479" s="50">
        <f>IF(OR($J479="",$B479=""),0,IF(YEAR($B479)*12+MONTH($B479)&lt;=YEAR($C$3)*12+MONTH($C$3),$G479,0))</f>
        <v/>
      </c>
      <c r="O479" s="50">
        <f>IF(OR($J479="",$B479=""),0,IF(YEAR($B479)*12+MONTH($B479)&lt;=YEAR($C$3)*12+MONTH($C$3)-1,$G479,0))</f>
        <v/>
      </c>
      <c r="P479" s="50">
        <f>$M479-$O479</f>
        <v/>
      </c>
      <c r="Q479" s="50">
        <f>($L479-$M479)-($N479-$O479)</f>
        <v/>
      </c>
      <c r="R479" s="50">
        <f>$L479-$N479</f>
        <v/>
      </c>
    </row>
    <row r="480">
      <c r="A480" s="47">
        <f>ROW()-5</f>
        <v/>
      </c>
      <c r="B480" s="48">
        <f>IFERROR(INDEX(tbl_Finance[Date],$A480),"")</f>
        <v/>
      </c>
      <c r="C480" s="49">
        <f>IFERROR(INDEX(tbl_Finance[Xero Invoice No],$A480),"")</f>
        <v/>
      </c>
      <c r="D480" s="49">
        <f>IFERROR(INDEX(tbl_Finance[Client],$A480),"")</f>
        <v/>
      </c>
      <c r="E480" s="49">
        <f>IFERROR(INDEX(tbl_Finance[Job Number],$A480),"")</f>
        <v/>
      </c>
      <c r="F480" s="49">
        <f>IFERROR(INDEX(tbl_Finance[Cost Centre],$A480),"")</f>
        <v/>
      </c>
      <c r="G480" s="50">
        <f>IFERROR(INDEX(tbl_Finance[Ex GST],$A480),"")</f>
        <v/>
      </c>
      <c r="H480" s="48">
        <f>IFERROR(INDEX(tbl_Finance[Defer Start],$A480),"")</f>
        <v/>
      </c>
      <c r="I480" s="48">
        <f>IFERROR(INDEX(tbl_Finance[Defer End],$A480),"")</f>
        <v/>
      </c>
      <c r="J480" s="47">
        <f>IF(OR($H480="",$I480="",$G480=""),"",MAX(1,(YEAR($I480)-YEAR($H480))*12+MONTH($I480)-MONTH($H480)+1))</f>
        <v/>
      </c>
      <c r="K480" s="50">
        <f>IF($J480="","",$G480/$J480)</f>
        <v/>
      </c>
      <c r="L480" s="50">
        <f>IF($J480="",0,$K480*MAX(0,MIN(YEAR($C$3)*12+MONTH($C$3),YEAR($I480)*12+MONTH($I480))-(YEAR($H480)*12+MONTH($H480))+1))</f>
        <v/>
      </c>
      <c r="M480" s="50">
        <f>IF($J480="",0,$K480*MAX(0,MIN(YEAR($C$3)*12+MONTH($C$3)-1,YEAR($I480)*12+MONTH($I480))-(YEAR($H480)*12+MONTH($H480))+1))</f>
        <v/>
      </c>
      <c r="N480" s="50">
        <f>IF(OR($J480="",$B480=""),0,IF(YEAR($B480)*12+MONTH($B480)&lt;=YEAR($C$3)*12+MONTH($C$3),$G480,0))</f>
        <v/>
      </c>
      <c r="O480" s="50">
        <f>IF(OR($J480="",$B480=""),0,IF(YEAR($B480)*12+MONTH($B480)&lt;=YEAR($C$3)*12+MONTH($C$3)-1,$G480,0))</f>
        <v/>
      </c>
      <c r="P480" s="50">
        <f>$M480-$O480</f>
        <v/>
      </c>
      <c r="Q480" s="50">
        <f>($L480-$M480)-($N480-$O480)</f>
        <v/>
      </c>
      <c r="R480" s="50">
        <f>$L480-$N480</f>
        <v/>
      </c>
    </row>
    <row r="481">
      <c r="A481" s="47">
        <f>ROW()-5</f>
        <v/>
      </c>
      <c r="B481" s="48">
        <f>IFERROR(INDEX(tbl_Finance[Date],$A481),"")</f>
        <v/>
      </c>
      <c r="C481" s="49">
        <f>IFERROR(INDEX(tbl_Finance[Xero Invoice No],$A481),"")</f>
        <v/>
      </c>
      <c r="D481" s="49">
        <f>IFERROR(INDEX(tbl_Finance[Client],$A481),"")</f>
        <v/>
      </c>
      <c r="E481" s="49">
        <f>IFERROR(INDEX(tbl_Finance[Job Number],$A481),"")</f>
        <v/>
      </c>
      <c r="F481" s="49">
        <f>IFERROR(INDEX(tbl_Finance[Cost Centre],$A481),"")</f>
        <v/>
      </c>
      <c r="G481" s="50">
        <f>IFERROR(INDEX(tbl_Finance[Ex GST],$A481),"")</f>
        <v/>
      </c>
      <c r="H481" s="48">
        <f>IFERROR(INDEX(tbl_Finance[Defer Start],$A481),"")</f>
        <v/>
      </c>
      <c r="I481" s="48">
        <f>IFERROR(INDEX(tbl_Finance[Defer End],$A481),"")</f>
        <v/>
      </c>
      <c r="J481" s="47">
        <f>IF(OR($H481="",$I481="",$G481=""),"",MAX(1,(YEAR($I481)-YEAR($H481))*12+MONTH($I481)-MONTH($H481)+1))</f>
        <v/>
      </c>
      <c r="K481" s="50">
        <f>IF($J481="","",$G481/$J481)</f>
        <v/>
      </c>
      <c r="L481" s="50">
        <f>IF($J481="",0,$K481*MAX(0,MIN(YEAR($C$3)*12+MONTH($C$3),YEAR($I481)*12+MONTH($I481))-(YEAR($H481)*12+MONTH($H481))+1))</f>
        <v/>
      </c>
      <c r="M481" s="50">
        <f>IF($J481="",0,$K481*MAX(0,MIN(YEAR($C$3)*12+MONTH($C$3)-1,YEAR($I481)*12+MONTH($I481))-(YEAR($H481)*12+MONTH($H481))+1))</f>
        <v/>
      </c>
      <c r="N481" s="50">
        <f>IF(OR($J481="",$B481=""),0,IF(YEAR($B481)*12+MONTH($B481)&lt;=YEAR($C$3)*12+MONTH($C$3),$G481,0))</f>
        <v/>
      </c>
      <c r="O481" s="50">
        <f>IF(OR($J481="",$B481=""),0,IF(YEAR($B481)*12+MONTH($B481)&lt;=YEAR($C$3)*12+MONTH($C$3)-1,$G481,0))</f>
        <v/>
      </c>
      <c r="P481" s="50">
        <f>$M481-$O481</f>
        <v/>
      </c>
      <c r="Q481" s="50">
        <f>($L481-$M481)-($N481-$O481)</f>
        <v/>
      </c>
      <c r="R481" s="50">
        <f>$L481-$N481</f>
        <v/>
      </c>
    </row>
    <row r="482">
      <c r="A482" s="47">
        <f>ROW()-5</f>
        <v/>
      </c>
      <c r="B482" s="48">
        <f>IFERROR(INDEX(tbl_Finance[Date],$A482),"")</f>
        <v/>
      </c>
      <c r="C482" s="49">
        <f>IFERROR(INDEX(tbl_Finance[Xero Invoice No],$A482),"")</f>
        <v/>
      </c>
      <c r="D482" s="49">
        <f>IFERROR(INDEX(tbl_Finance[Client],$A482),"")</f>
        <v/>
      </c>
      <c r="E482" s="49">
        <f>IFERROR(INDEX(tbl_Finance[Job Number],$A482),"")</f>
        <v/>
      </c>
      <c r="F482" s="49">
        <f>IFERROR(INDEX(tbl_Finance[Cost Centre],$A482),"")</f>
        <v/>
      </c>
      <c r="G482" s="50">
        <f>IFERROR(INDEX(tbl_Finance[Ex GST],$A482),"")</f>
        <v/>
      </c>
      <c r="H482" s="48">
        <f>IFERROR(INDEX(tbl_Finance[Defer Start],$A482),"")</f>
        <v/>
      </c>
      <c r="I482" s="48">
        <f>IFERROR(INDEX(tbl_Finance[Defer End],$A482),"")</f>
        <v/>
      </c>
      <c r="J482" s="47">
        <f>IF(OR($H482="",$I482="",$G482=""),"",MAX(1,(YEAR($I482)-YEAR($H482))*12+MONTH($I482)-MONTH($H482)+1))</f>
        <v/>
      </c>
      <c r="K482" s="50">
        <f>IF($J482="","",$G482/$J482)</f>
        <v/>
      </c>
      <c r="L482" s="50">
        <f>IF($J482="",0,$K482*MAX(0,MIN(YEAR($C$3)*12+MONTH($C$3),YEAR($I482)*12+MONTH($I482))-(YEAR($H482)*12+MONTH($H482))+1))</f>
        <v/>
      </c>
      <c r="M482" s="50">
        <f>IF($J482="",0,$K482*MAX(0,MIN(YEAR($C$3)*12+MONTH($C$3)-1,YEAR($I482)*12+MONTH($I482))-(YEAR($H482)*12+MONTH($H482))+1))</f>
        <v/>
      </c>
      <c r="N482" s="50">
        <f>IF(OR($J482="",$B482=""),0,IF(YEAR($B482)*12+MONTH($B482)&lt;=YEAR($C$3)*12+MONTH($C$3),$G482,0))</f>
        <v/>
      </c>
      <c r="O482" s="50">
        <f>IF(OR($J482="",$B482=""),0,IF(YEAR($B482)*12+MONTH($B482)&lt;=YEAR($C$3)*12+MONTH($C$3)-1,$G482,0))</f>
        <v/>
      </c>
      <c r="P482" s="50">
        <f>$M482-$O482</f>
        <v/>
      </c>
      <c r="Q482" s="50">
        <f>($L482-$M482)-($N482-$O482)</f>
        <v/>
      </c>
      <c r="R482" s="50">
        <f>$L482-$N482</f>
        <v/>
      </c>
    </row>
    <row r="483">
      <c r="A483" s="47">
        <f>ROW()-5</f>
        <v/>
      </c>
      <c r="B483" s="48">
        <f>IFERROR(INDEX(tbl_Finance[Date],$A483),"")</f>
        <v/>
      </c>
      <c r="C483" s="49">
        <f>IFERROR(INDEX(tbl_Finance[Xero Invoice No],$A483),"")</f>
        <v/>
      </c>
      <c r="D483" s="49">
        <f>IFERROR(INDEX(tbl_Finance[Client],$A483),"")</f>
        <v/>
      </c>
      <c r="E483" s="49">
        <f>IFERROR(INDEX(tbl_Finance[Job Number],$A483),"")</f>
        <v/>
      </c>
      <c r="F483" s="49">
        <f>IFERROR(INDEX(tbl_Finance[Cost Centre],$A483),"")</f>
        <v/>
      </c>
      <c r="G483" s="50">
        <f>IFERROR(INDEX(tbl_Finance[Ex GST],$A483),"")</f>
        <v/>
      </c>
      <c r="H483" s="48">
        <f>IFERROR(INDEX(tbl_Finance[Defer Start],$A483),"")</f>
        <v/>
      </c>
      <c r="I483" s="48">
        <f>IFERROR(INDEX(tbl_Finance[Defer End],$A483),"")</f>
        <v/>
      </c>
      <c r="J483" s="47">
        <f>IF(OR($H483="",$I483="",$G483=""),"",MAX(1,(YEAR($I483)-YEAR($H483))*12+MONTH($I483)-MONTH($H483)+1))</f>
        <v/>
      </c>
      <c r="K483" s="50">
        <f>IF($J483="","",$G483/$J483)</f>
        <v/>
      </c>
      <c r="L483" s="50">
        <f>IF($J483="",0,$K483*MAX(0,MIN(YEAR($C$3)*12+MONTH($C$3),YEAR($I483)*12+MONTH($I483))-(YEAR($H483)*12+MONTH($H483))+1))</f>
        <v/>
      </c>
      <c r="M483" s="50">
        <f>IF($J483="",0,$K483*MAX(0,MIN(YEAR($C$3)*12+MONTH($C$3)-1,YEAR($I483)*12+MONTH($I483))-(YEAR($H483)*12+MONTH($H483))+1))</f>
        <v/>
      </c>
      <c r="N483" s="50">
        <f>IF(OR($J483="",$B483=""),0,IF(YEAR($B483)*12+MONTH($B483)&lt;=YEAR($C$3)*12+MONTH($C$3),$G483,0))</f>
        <v/>
      </c>
      <c r="O483" s="50">
        <f>IF(OR($J483="",$B483=""),0,IF(YEAR($B483)*12+MONTH($B483)&lt;=YEAR($C$3)*12+MONTH($C$3)-1,$G483,0))</f>
        <v/>
      </c>
      <c r="P483" s="50">
        <f>$M483-$O483</f>
        <v/>
      </c>
      <c r="Q483" s="50">
        <f>($L483-$M483)-($N483-$O483)</f>
        <v/>
      </c>
      <c r="R483" s="50">
        <f>$L483-$N483</f>
        <v/>
      </c>
    </row>
    <row r="484">
      <c r="A484" s="47">
        <f>ROW()-5</f>
        <v/>
      </c>
      <c r="B484" s="48">
        <f>IFERROR(INDEX(tbl_Finance[Date],$A484),"")</f>
        <v/>
      </c>
      <c r="C484" s="49">
        <f>IFERROR(INDEX(tbl_Finance[Xero Invoice No],$A484),"")</f>
        <v/>
      </c>
      <c r="D484" s="49">
        <f>IFERROR(INDEX(tbl_Finance[Client],$A484),"")</f>
        <v/>
      </c>
      <c r="E484" s="49">
        <f>IFERROR(INDEX(tbl_Finance[Job Number],$A484),"")</f>
        <v/>
      </c>
      <c r="F484" s="49">
        <f>IFERROR(INDEX(tbl_Finance[Cost Centre],$A484),"")</f>
        <v/>
      </c>
      <c r="G484" s="50">
        <f>IFERROR(INDEX(tbl_Finance[Ex GST],$A484),"")</f>
        <v/>
      </c>
      <c r="H484" s="48">
        <f>IFERROR(INDEX(tbl_Finance[Defer Start],$A484),"")</f>
        <v/>
      </c>
      <c r="I484" s="48">
        <f>IFERROR(INDEX(tbl_Finance[Defer End],$A484),"")</f>
        <v/>
      </c>
      <c r="J484" s="47">
        <f>IF(OR($H484="",$I484="",$G484=""),"",MAX(1,(YEAR($I484)-YEAR($H484))*12+MONTH($I484)-MONTH($H484)+1))</f>
        <v/>
      </c>
      <c r="K484" s="50">
        <f>IF($J484="","",$G484/$J484)</f>
        <v/>
      </c>
      <c r="L484" s="50">
        <f>IF($J484="",0,$K484*MAX(0,MIN(YEAR($C$3)*12+MONTH($C$3),YEAR($I484)*12+MONTH($I484))-(YEAR($H484)*12+MONTH($H484))+1))</f>
        <v/>
      </c>
      <c r="M484" s="50">
        <f>IF($J484="",0,$K484*MAX(0,MIN(YEAR($C$3)*12+MONTH($C$3)-1,YEAR($I484)*12+MONTH($I484))-(YEAR($H484)*12+MONTH($H484))+1))</f>
        <v/>
      </c>
      <c r="N484" s="50">
        <f>IF(OR($J484="",$B484=""),0,IF(YEAR($B484)*12+MONTH($B484)&lt;=YEAR($C$3)*12+MONTH($C$3),$G484,0))</f>
        <v/>
      </c>
      <c r="O484" s="50">
        <f>IF(OR($J484="",$B484=""),0,IF(YEAR($B484)*12+MONTH($B484)&lt;=YEAR($C$3)*12+MONTH($C$3)-1,$G484,0))</f>
        <v/>
      </c>
      <c r="P484" s="50">
        <f>$M484-$O484</f>
        <v/>
      </c>
      <c r="Q484" s="50">
        <f>($L484-$M484)-($N484-$O484)</f>
        <v/>
      </c>
      <c r="R484" s="50">
        <f>$L484-$N484</f>
        <v/>
      </c>
    </row>
    <row r="485">
      <c r="A485" s="47">
        <f>ROW()-5</f>
        <v/>
      </c>
      <c r="B485" s="48">
        <f>IFERROR(INDEX(tbl_Finance[Date],$A485),"")</f>
        <v/>
      </c>
      <c r="C485" s="49">
        <f>IFERROR(INDEX(tbl_Finance[Xero Invoice No],$A485),"")</f>
        <v/>
      </c>
      <c r="D485" s="49">
        <f>IFERROR(INDEX(tbl_Finance[Client],$A485),"")</f>
        <v/>
      </c>
      <c r="E485" s="49">
        <f>IFERROR(INDEX(tbl_Finance[Job Number],$A485),"")</f>
        <v/>
      </c>
      <c r="F485" s="49">
        <f>IFERROR(INDEX(tbl_Finance[Cost Centre],$A485),"")</f>
        <v/>
      </c>
      <c r="G485" s="50">
        <f>IFERROR(INDEX(tbl_Finance[Ex GST],$A485),"")</f>
        <v/>
      </c>
      <c r="H485" s="48">
        <f>IFERROR(INDEX(tbl_Finance[Defer Start],$A485),"")</f>
        <v/>
      </c>
      <c r="I485" s="48">
        <f>IFERROR(INDEX(tbl_Finance[Defer End],$A485),"")</f>
        <v/>
      </c>
      <c r="J485" s="47">
        <f>IF(OR($H485="",$I485="",$G485=""),"",MAX(1,(YEAR($I485)-YEAR($H485))*12+MONTH($I485)-MONTH($H485)+1))</f>
        <v/>
      </c>
      <c r="K485" s="50">
        <f>IF($J485="","",$G485/$J485)</f>
        <v/>
      </c>
      <c r="L485" s="50">
        <f>IF($J485="",0,$K485*MAX(0,MIN(YEAR($C$3)*12+MONTH($C$3),YEAR($I485)*12+MONTH($I485))-(YEAR($H485)*12+MONTH($H485))+1))</f>
        <v/>
      </c>
      <c r="M485" s="50">
        <f>IF($J485="",0,$K485*MAX(0,MIN(YEAR($C$3)*12+MONTH($C$3)-1,YEAR($I485)*12+MONTH($I485))-(YEAR($H485)*12+MONTH($H485))+1))</f>
        <v/>
      </c>
      <c r="N485" s="50">
        <f>IF(OR($J485="",$B485=""),0,IF(YEAR($B485)*12+MONTH($B485)&lt;=YEAR($C$3)*12+MONTH($C$3),$G485,0))</f>
        <v/>
      </c>
      <c r="O485" s="50">
        <f>IF(OR($J485="",$B485=""),0,IF(YEAR($B485)*12+MONTH($B485)&lt;=YEAR($C$3)*12+MONTH($C$3)-1,$G485,0))</f>
        <v/>
      </c>
      <c r="P485" s="50">
        <f>$M485-$O485</f>
        <v/>
      </c>
      <c r="Q485" s="50">
        <f>($L485-$M485)-($N485-$O485)</f>
        <v/>
      </c>
      <c r="R485" s="50">
        <f>$L485-$N485</f>
        <v/>
      </c>
    </row>
    <row r="486">
      <c r="A486" s="47">
        <f>ROW()-5</f>
        <v/>
      </c>
      <c r="B486" s="48">
        <f>IFERROR(INDEX(tbl_Finance[Date],$A486),"")</f>
        <v/>
      </c>
      <c r="C486" s="49">
        <f>IFERROR(INDEX(tbl_Finance[Xero Invoice No],$A486),"")</f>
        <v/>
      </c>
      <c r="D486" s="49">
        <f>IFERROR(INDEX(tbl_Finance[Client],$A486),"")</f>
        <v/>
      </c>
      <c r="E486" s="49">
        <f>IFERROR(INDEX(tbl_Finance[Job Number],$A486),"")</f>
        <v/>
      </c>
      <c r="F486" s="49">
        <f>IFERROR(INDEX(tbl_Finance[Cost Centre],$A486),"")</f>
        <v/>
      </c>
      <c r="G486" s="50">
        <f>IFERROR(INDEX(tbl_Finance[Ex GST],$A486),"")</f>
        <v/>
      </c>
      <c r="H486" s="48">
        <f>IFERROR(INDEX(tbl_Finance[Defer Start],$A486),"")</f>
        <v/>
      </c>
      <c r="I486" s="48">
        <f>IFERROR(INDEX(tbl_Finance[Defer End],$A486),"")</f>
        <v/>
      </c>
      <c r="J486" s="47">
        <f>IF(OR($H486="",$I486="",$G486=""),"",MAX(1,(YEAR($I486)-YEAR($H486))*12+MONTH($I486)-MONTH($H486)+1))</f>
        <v/>
      </c>
      <c r="K486" s="50">
        <f>IF($J486="","",$G486/$J486)</f>
        <v/>
      </c>
      <c r="L486" s="50">
        <f>IF($J486="",0,$K486*MAX(0,MIN(YEAR($C$3)*12+MONTH($C$3),YEAR($I486)*12+MONTH($I486))-(YEAR($H486)*12+MONTH($H486))+1))</f>
        <v/>
      </c>
      <c r="M486" s="50">
        <f>IF($J486="",0,$K486*MAX(0,MIN(YEAR($C$3)*12+MONTH($C$3)-1,YEAR($I486)*12+MONTH($I486))-(YEAR($H486)*12+MONTH($H486))+1))</f>
        <v/>
      </c>
      <c r="N486" s="50">
        <f>IF(OR($J486="",$B486=""),0,IF(YEAR($B486)*12+MONTH($B486)&lt;=YEAR($C$3)*12+MONTH($C$3),$G486,0))</f>
        <v/>
      </c>
      <c r="O486" s="50">
        <f>IF(OR($J486="",$B486=""),0,IF(YEAR($B486)*12+MONTH($B486)&lt;=YEAR($C$3)*12+MONTH($C$3)-1,$G486,0))</f>
        <v/>
      </c>
      <c r="P486" s="50">
        <f>$M486-$O486</f>
        <v/>
      </c>
      <c r="Q486" s="50">
        <f>($L486-$M486)-($N486-$O486)</f>
        <v/>
      </c>
      <c r="R486" s="50">
        <f>$L486-$N486</f>
        <v/>
      </c>
    </row>
    <row r="487">
      <c r="A487" s="47">
        <f>ROW()-5</f>
        <v/>
      </c>
      <c r="B487" s="48">
        <f>IFERROR(INDEX(tbl_Finance[Date],$A487),"")</f>
        <v/>
      </c>
      <c r="C487" s="49">
        <f>IFERROR(INDEX(tbl_Finance[Xero Invoice No],$A487),"")</f>
        <v/>
      </c>
      <c r="D487" s="49">
        <f>IFERROR(INDEX(tbl_Finance[Client],$A487),"")</f>
        <v/>
      </c>
      <c r="E487" s="49">
        <f>IFERROR(INDEX(tbl_Finance[Job Number],$A487),"")</f>
        <v/>
      </c>
      <c r="F487" s="49">
        <f>IFERROR(INDEX(tbl_Finance[Cost Centre],$A487),"")</f>
        <v/>
      </c>
      <c r="G487" s="50">
        <f>IFERROR(INDEX(tbl_Finance[Ex GST],$A487),"")</f>
        <v/>
      </c>
      <c r="H487" s="48">
        <f>IFERROR(INDEX(tbl_Finance[Defer Start],$A487),"")</f>
        <v/>
      </c>
      <c r="I487" s="48">
        <f>IFERROR(INDEX(tbl_Finance[Defer End],$A487),"")</f>
        <v/>
      </c>
      <c r="J487" s="47">
        <f>IF(OR($H487="",$I487="",$G487=""),"",MAX(1,(YEAR($I487)-YEAR($H487))*12+MONTH($I487)-MONTH($H487)+1))</f>
        <v/>
      </c>
      <c r="K487" s="50">
        <f>IF($J487="","",$G487/$J487)</f>
        <v/>
      </c>
      <c r="L487" s="50">
        <f>IF($J487="",0,$K487*MAX(0,MIN(YEAR($C$3)*12+MONTH($C$3),YEAR($I487)*12+MONTH($I487))-(YEAR($H487)*12+MONTH($H487))+1))</f>
        <v/>
      </c>
      <c r="M487" s="50">
        <f>IF($J487="",0,$K487*MAX(0,MIN(YEAR($C$3)*12+MONTH($C$3)-1,YEAR($I487)*12+MONTH($I487))-(YEAR($H487)*12+MONTH($H487))+1))</f>
        <v/>
      </c>
      <c r="N487" s="50">
        <f>IF(OR($J487="",$B487=""),0,IF(YEAR($B487)*12+MONTH($B487)&lt;=YEAR($C$3)*12+MONTH($C$3),$G487,0))</f>
        <v/>
      </c>
      <c r="O487" s="50">
        <f>IF(OR($J487="",$B487=""),0,IF(YEAR($B487)*12+MONTH($B487)&lt;=YEAR($C$3)*12+MONTH($C$3)-1,$G487,0))</f>
        <v/>
      </c>
      <c r="P487" s="50">
        <f>$M487-$O487</f>
        <v/>
      </c>
      <c r="Q487" s="50">
        <f>($L487-$M487)-($N487-$O487)</f>
        <v/>
      </c>
      <c r="R487" s="50">
        <f>$L487-$N487</f>
        <v/>
      </c>
    </row>
    <row r="488">
      <c r="A488" s="47">
        <f>ROW()-5</f>
        <v/>
      </c>
      <c r="B488" s="48">
        <f>IFERROR(INDEX(tbl_Finance[Date],$A488),"")</f>
        <v/>
      </c>
      <c r="C488" s="49">
        <f>IFERROR(INDEX(tbl_Finance[Xero Invoice No],$A488),"")</f>
        <v/>
      </c>
      <c r="D488" s="49">
        <f>IFERROR(INDEX(tbl_Finance[Client],$A488),"")</f>
        <v/>
      </c>
      <c r="E488" s="49">
        <f>IFERROR(INDEX(tbl_Finance[Job Number],$A488),"")</f>
        <v/>
      </c>
      <c r="F488" s="49">
        <f>IFERROR(INDEX(tbl_Finance[Cost Centre],$A488),"")</f>
        <v/>
      </c>
      <c r="G488" s="50">
        <f>IFERROR(INDEX(tbl_Finance[Ex GST],$A488),"")</f>
        <v/>
      </c>
      <c r="H488" s="48">
        <f>IFERROR(INDEX(tbl_Finance[Defer Start],$A488),"")</f>
        <v/>
      </c>
      <c r="I488" s="48">
        <f>IFERROR(INDEX(tbl_Finance[Defer End],$A488),"")</f>
        <v/>
      </c>
      <c r="J488" s="47">
        <f>IF(OR($H488="",$I488="",$G488=""),"",MAX(1,(YEAR($I488)-YEAR($H488))*12+MONTH($I488)-MONTH($H488)+1))</f>
        <v/>
      </c>
      <c r="K488" s="50">
        <f>IF($J488="","",$G488/$J488)</f>
        <v/>
      </c>
      <c r="L488" s="50">
        <f>IF($J488="",0,$K488*MAX(0,MIN(YEAR($C$3)*12+MONTH($C$3),YEAR($I488)*12+MONTH($I488))-(YEAR($H488)*12+MONTH($H488))+1))</f>
        <v/>
      </c>
      <c r="M488" s="50">
        <f>IF($J488="",0,$K488*MAX(0,MIN(YEAR($C$3)*12+MONTH($C$3)-1,YEAR($I488)*12+MONTH($I488))-(YEAR($H488)*12+MONTH($H488))+1))</f>
        <v/>
      </c>
      <c r="N488" s="50">
        <f>IF(OR($J488="",$B488=""),0,IF(YEAR($B488)*12+MONTH($B488)&lt;=YEAR($C$3)*12+MONTH($C$3),$G488,0))</f>
        <v/>
      </c>
      <c r="O488" s="50">
        <f>IF(OR($J488="",$B488=""),0,IF(YEAR($B488)*12+MONTH($B488)&lt;=YEAR($C$3)*12+MONTH($C$3)-1,$G488,0))</f>
        <v/>
      </c>
      <c r="P488" s="50">
        <f>$M488-$O488</f>
        <v/>
      </c>
      <c r="Q488" s="50">
        <f>($L488-$M488)-($N488-$O488)</f>
        <v/>
      </c>
      <c r="R488" s="50">
        <f>$L488-$N488</f>
        <v/>
      </c>
    </row>
    <row r="489">
      <c r="A489" s="47">
        <f>ROW()-5</f>
        <v/>
      </c>
      <c r="B489" s="48">
        <f>IFERROR(INDEX(tbl_Finance[Date],$A489),"")</f>
        <v/>
      </c>
      <c r="C489" s="49">
        <f>IFERROR(INDEX(tbl_Finance[Xero Invoice No],$A489),"")</f>
        <v/>
      </c>
      <c r="D489" s="49">
        <f>IFERROR(INDEX(tbl_Finance[Client],$A489),"")</f>
        <v/>
      </c>
      <c r="E489" s="49">
        <f>IFERROR(INDEX(tbl_Finance[Job Number],$A489),"")</f>
        <v/>
      </c>
      <c r="F489" s="49">
        <f>IFERROR(INDEX(tbl_Finance[Cost Centre],$A489),"")</f>
        <v/>
      </c>
      <c r="G489" s="50">
        <f>IFERROR(INDEX(tbl_Finance[Ex GST],$A489),"")</f>
        <v/>
      </c>
      <c r="H489" s="48">
        <f>IFERROR(INDEX(tbl_Finance[Defer Start],$A489),"")</f>
        <v/>
      </c>
      <c r="I489" s="48">
        <f>IFERROR(INDEX(tbl_Finance[Defer End],$A489),"")</f>
        <v/>
      </c>
      <c r="J489" s="47">
        <f>IF(OR($H489="",$I489="",$G489=""),"",MAX(1,(YEAR($I489)-YEAR($H489))*12+MONTH($I489)-MONTH($H489)+1))</f>
        <v/>
      </c>
      <c r="K489" s="50">
        <f>IF($J489="","",$G489/$J489)</f>
        <v/>
      </c>
      <c r="L489" s="50">
        <f>IF($J489="",0,$K489*MAX(0,MIN(YEAR($C$3)*12+MONTH($C$3),YEAR($I489)*12+MONTH($I489))-(YEAR($H489)*12+MONTH($H489))+1))</f>
        <v/>
      </c>
      <c r="M489" s="50">
        <f>IF($J489="",0,$K489*MAX(0,MIN(YEAR($C$3)*12+MONTH($C$3)-1,YEAR($I489)*12+MONTH($I489))-(YEAR($H489)*12+MONTH($H489))+1))</f>
        <v/>
      </c>
      <c r="N489" s="50">
        <f>IF(OR($J489="",$B489=""),0,IF(YEAR($B489)*12+MONTH($B489)&lt;=YEAR($C$3)*12+MONTH($C$3),$G489,0))</f>
        <v/>
      </c>
      <c r="O489" s="50">
        <f>IF(OR($J489="",$B489=""),0,IF(YEAR($B489)*12+MONTH($B489)&lt;=YEAR($C$3)*12+MONTH($C$3)-1,$G489,0))</f>
        <v/>
      </c>
      <c r="P489" s="50">
        <f>$M489-$O489</f>
        <v/>
      </c>
      <c r="Q489" s="50">
        <f>($L489-$M489)-($N489-$O489)</f>
        <v/>
      </c>
      <c r="R489" s="50">
        <f>$L489-$N489</f>
        <v/>
      </c>
    </row>
    <row r="490">
      <c r="A490" s="47">
        <f>ROW()-5</f>
        <v/>
      </c>
      <c r="B490" s="48">
        <f>IFERROR(INDEX(tbl_Finance[Date],$A490),"")</f>
        <v/>
      </c>
      <c r="C490" s="49">
        <f>IFERROR(INDEX(tbl_Finance[Xero Invoice No],$A490),"")</f>
        <v/>
      </c>
      <c r="D490" s="49">
        <f>IFERROR(INDEX(tbl_Finance[Client],$A490),"")</f>
        <v/>
      </c>
      <c r="E490" s="49">
        <f>IFERROR(INDEX(tbl_Finance[Job Number],$A490),"")</f>
        <v/>
      </c>
      <c r="F490" s="49">
        <f>IFERROR(INDEX(tbl_Finance[Cost Centre],$A490),"")</f>
        <v/>
      </c>
      <c r="G490" s="50">
        <f>IFERROR(INDEX(tbl_Finance[Ex GST],$A490),"")</f>
        <v/>
      </c>
      <c r="H490" s="48">
        <f>IFERROR(INDEX(tbl_Finance[Defer Start],$A490),"")</f>
        <v/>
      </c>
      <c r="I490" s="48">
        <f>IFERROR(INDEX(tbl_Finance[Defer End],$A490),"")</f>
        <v/>
      </c>
      <c r="J490" s="47">
        <f>IF(OR($H490="",$I490="",$G490=""),"",MAX(1,(YEAR($I490)-YEAR($H490))*12+MONTH($I490)-MONTH($H490)+1))</f>
        <v/>
      </c>
      <c r="K490" s="50">
        <f>IF($J490="","",$G490/$J490)</f>
        <v/>
      </c>
      <c r="L490" s="50">
        <f>IF($J490="",0,$K490*MAX(0,MIN(YEAR($C$3)*12+MONTH($C$3),YEAR($I490)*12+MONTH($I490))-(YEAR($H490)*12+MONTH($H490))+1))</f>
        <v/>
      </c>
      <c r="M490" s="50">
        <f>IF($J490="",0,$K490*MAX(0,MIN(YEAR($C$3)*12+MONTH($C$3)-1,YEAR($I490)*12+MONTH($I490))-(YEAR($H490)*12+MONTH($H490))+1))</f>
        <v/>
      </c>
      <c r="N490" s="50">
        <f>IF(OR($J490="",$B490=""),0,IF(YEAR($B490)*12+MONTH($B490)&lt;=YEAR($C$3)*12+MONTH($C$3),$G490,0))</f>
        <v/>
      </c>
      <c r="O490" s="50">
        <f>IF(OR($J490="",$B490=""),0,IF(YEAR($B490)*12+MONTH($B490)&lt;=YEAR($C$3)*12+MONTH($C$3)-1,$G490,0))</f>
        <v/>
      </c>
      <c r="P490" s="50">
        <f>$M490-$O490</f>
        <v/>
      </c>
      <c r="Q490" s="50">
        <f>($L490-$M490)-($N490-$O490)</f>
        <v/>
      </c>
      <c r="R490" s="50">
        <f>$L490-$N490</f>
        <v/>
      </c>
    </row>
    <row r="491">
      <c r="A491" s="47">
        <f>ROW()-5</f>
        <v/>
      </c>
      <c r="B491" s="48">
        <f>IFERROR(INDEX(tbl_Finance[Date],$A491),"")</f>
        <v/>
      </c>
      <c r="C491" s="49">
        <f>IFERROR(INDEX(tbl_Finance[Xero Invoice No],$A491),"")</f>
        <v/>
      </c>
      <c r="D491" s="49">
        <f>IFERROR(INDEX(tbl_Finance[Client],$A491),"")</f>
        <v/>
      </c>
      <c r="E491" s="49">
        <f>IFERROR(INDEX(tbl_Finance[Job Number],$A491),"")</f>
        <v/>
      </c>
      <c r="F491" s="49">
        <f>IFERROR(INDEX(tbl_Finance[Cost Centre],$A491),"")</f>
        <v/>
      </c>
      <c r="G491" s="50">
        <f>IFERROR(INDEX(tbl_Finance[Ex GST],$A491),"")</f>
        <v/>
      </c>
      <c r="H491" s="48">
        <f>IFERROR(INDEX(tbl_Finance[Defer Start],$A491),"")</f>
        <v/>
      </c>
      <c r="I491" s="48">
        <f>IFERROR(INDEX(tbl_Finance[Defer End],$A491),"")</f>
        <v/>
      </c>
      <c r="J491" s="47">
        <f>IF(OR($H491="",$I491="",$G491=""),"",MAX(1,(YEAR($I491)-YEAR($H491))*12+MONTH($I491)-MONTH($H491)+1))</f>
        <v/>
      </c>
      <c r="K491" s="50">
        <f>IF($J491="","",$G491/$J491)</f>
        <v/>
      </c>
      <c r="L491" s="50">
        <f>IF($J491="",0,$K491*MAX(0,MIN(YEAR($C$3)*12+MONTH($C$3),YEAR($I491)*12+MONTH($I491))-(YEAR($H491)*12+MONTH($H491))+1))</f>
        <v/>
      </c>
      <c r="M491" s="50">
        <f>IF($J491="",0,$K491*MAX(0,MIN(YEAR($C$3)*12+MONTH($C$3)-1,YEAR($I491)*12+MONTH($I491))-(YEAR($H491)*12+MONTH($H491))+1))</f>
        <v/>
      </c>
      <c r="N491" s="50">
        <f>IF(OR($J491="",$B491=""),0,IF(YEAR($B491)*12+MONTH($B491)&lt;=YEAR($C$3)*12+MONTH($C$3),$G491,0))</f>
        <v/>
      </c>
      <c r="O491" s="50">
        <f>IF(OR($J491="",$B491=""),0,IF(YEAR($B491)*12+MONTH($B491)&lt;=YEAR($C$3)*12+MONTH($C$3)-1,$G491,0))</f>
        <v/>
      </c>
      <c r="P491" s="50">
        <f>$M491-$O491</f>
        <v/>
      </c>
      <c r="Q491" s="50">
        <f>($L491-$M491)-($N491-$O491)</f>
        <v/>
      </c>
      <c r="R491" s="50">
        <f>$L491-$N491</f>
        <v/>
      </c>
    </row>
    <row r="492">
      <c r="A492" s="47">
        <f>ROW()-5</f>
        <v/>
      </c>
      <c r="B492" s="48">
        <f>IFERROR(INDEX(tbl_Finance[Date],$A492),"")</f>
        <v/>
      </c>
      <c r="C492" s="49">
        <f>IFERROR(INDEX(tbl_Finance[Xero Invoice No],$A492),"")</f>
        <v/>
      </c>
      <c r="D492" s="49">
        <f>IFERROR(INDEX(tbl_Finance[Client],$A492),"")</f>
        <v/>
      </c>
      <c r="E492" s="49">
        <f>IFERROR(INDEX(tbl_Finance[Job Number],$A492),"")</f>
        <v/>
      </c>
      <c r="F492" s="49">
        <f>IFERROR(INDEX(tbl_Finance[Cost Centre],$A492),"")</f>
        <v/>
      </c>
      <c r="G492" s="50">
        <f>IFERROR(INDEX(tbl_Finance[Ex GST],$A492),"")</f>
        <v/>
      </c>
      <c r="H492" s="48">
        <f>IFERROR(INDEX(tbl_Finance[Defer Start],$A492),"")</f>
        <v/>
      </c>
      <c r="I492" s="48">
        <f>IFERROR(INDEX(tbl_Finance[Defer End],$A492),"")</f>
        <v/>
      </c>
      <c r="J492" s="47">
        <f>IF(OR($H492="",$I492="",$G492=""),"",MAX(1,(YEAR($I492)-YEAR($H492))*12+MONTH($I492)-MONTH($H492)+1))</f>
        <v/>
      </c>
      <c r="K492" s="50">
        <f>IF($J492="","",$G492/$J492)</f>
        <v/>
      </c>
      <c r="L492" s="50">
        <f>IF($J492="",0,$K492*MAX(0,MIN(YEAR($C$3)*12+MONTH($C$3),YEAR($I492)*12+MONTH($I492))-(YEAR($H492)*12+MONTH($H492))+1))</f>
        <v/>
      </c>
      <c r="M492" s="50">
        <f>IF($J492="",0,$K492*MAX(0,MIN(YEAR($C$3)*12+MONTH($C$3)-1,YEAR($I492)*12+MONTH($I492))-(YEAR($H492)*12+MONTH($H492))+1))</f>
        <v/>
      </c>
      <c r="N492" s="50">
        <f>IF(OR($J492="",$B492=""),0,IF(YEAR($B492)*12+MONTH($B492)&lt;=YEAR($C$3)*12+MONTH($C$3),$G492,0))</f>
        <v/>
      </c>
      <c r="O492" s="50">
        <f>IF(OR($J492="",$B492=""),0,IF(YEAR($B492)*12+MONTH($B492)&lt;=YEAR($C$3)*12+MONTH($C$3)-1,$G492,0))</f>
        <v/>
      </c>
      <c r="P492" s="50">
        <f>$M492-$O492</f>
        <v/>
      </c>
      <c r="Q492" s="50">
        <f>($L492-$M492)-($N492-$O492)</f>
        <v/>
      </c>
      <c r="R492" s="50">
        <f>$L492-$N492</f>
        <v/>
      </c>
    </row>
    <row r="493">
      <c r="A493" s="47">
        <f>ROW()-5</f>
        <v/>
      </c>
      <c r="B493" s="48">
        <f>IFERROR(INDEX(tbl_Finance[Date],$A493),"")</f>
        <v/>
      </c>
      <c r="C493" s="49">
        <f>IFERROR(INDEX(tbl_Finance[Xero Invoice No],$A493),"")</f>
        <v/>
      </c>
      <c r="D493" s="49">
        <f>IFERROR(INDEX(tbl_Finance[Client],$A493),"")</f>
        <v/>
      </c>
      <c r="E493" s="49">
        <f>IFERROR(INDEX(tbl_Finance[Job Number],$A493),"")</f>
        <v/>
      </c>
      <c r="F493" s="49">
        <f>IFERROR(INDEX(tbl_Finance[Cost Centre],$A493),"")</f>
        <v/>
      </c>
      <c r="G493" s="50">
        <f>IFERROR(INDEX(tbl_Finance[Ex GST],$A493),"")</f>
        <v/>
      </c>
      <c r="H493" s="48">
        <f>IFERROR(INDEX(tbl_Finance[Defer Start],$A493),"")</f>
        <v/>
      </c>
      <c r="I493" s="48">
        <f>IFERROR(INDEX(tbl_Finance[Defer End],$A493),"")</f>
        <v/>
      </c>
      <c r="J493" s="47">
        <f>IF(OR($H493="",$I493="",$G493=""),"",MAX(1,(YEAR($I493)-YEAR($H493))*12+MONTH($I493)-MONTH($H493)+1))</f>
        <v/>
      </c>
      <c r="K493" s="50">
        <f>IF($J493="","",$G493/$J493)</f>
        <v/>
      </c>
      <c r="L493" s="50">
        <f>IF($J493="",0,$K493*MAX(0,MIN(YEAR($C$3)*12+MONTH($C$3),YEAR($I493)*12+MONTH($I493))-(YEAR($H493)*12+MONTH($H493))+1))</f>
        <v/>
      </c>
      <c r="M493" s="50">
        <f>IF($J493="",0,$K493*MAX(0,MIN(YEAR($C$3)*12+MONTH($C$3)-1,YEAR($I493)*12+MONTH($I493))-(YEAR($H493)*12+MONTH($H493))+1))</f>
        <v/>
      </c>
      <c r="N493" s="50">
        <f>IF(OR($J493="",$B493=""),0,IF(YEAR($B493)*12+MONTH($B493)&lt;=YEAR($C$3)*12+MONTH($C$3),$G493,0))</f>
        <v/>
      </c>
      <c r="O493" s="50">
        <f>IF(OR($J493="",$B493=""),0,IF(YEAR($B493)*12+MONTH($B493)&lt;=YEAR($C$3)*12+MONTH($C$3)-1,$G493,0))</f>
        <v/>
      </c>
      <c r="P493" s="50">
        <f>$M493-$O493</f>
        <v/>
      </c>
      <c r="Q493" s="50">
        <f>($L493-$M493)-($N493-$O493)</f>
        <v/>
      </c>
      <c r="R493" s="50">
        <f>$L493-$N493</f>
        <v/>
      </c>
    </row>
    <row r="494">
      <c r="A494" s="47">
        <f>ROW()-5</f>
        <v/>
      </c>
      <c r="B494" s="48">
        <f>IFERROR(INDEX(tbl_Finance[Date],$A494),"")</f>
        <v/>
      </c>
      <c r="C494" s="49">
        <f>IFERROR(INDEX(tbl_Finance[Xero Invoice No],$A494),"")</f>
        <v/>
      </c>
      <c r="D494" s="49">
        <f>IFERROR(INDEX(tbl_Finance[Client],$A494),"")</f>
        <v/>
      </c>
      <c r="E494" s="49">
        <f>IFERROR(INDEX(tbl_Finance[Job Number],$A494),"")</f>
        <v/>
      </c>
      <c r="F494" s="49">
        <f>IFERROR(INDEX(tbl_Finance[Cost Centre],$A494),"")</f>
        <v/>
      </c>
      <c r="G494" s="50">
        <f>IFERROR(INDEX(tbl_Finance[Ex GST],$A494),"")</f>
        <v/>
      </c>
      <c r="H494" s="48">
        <f>IFERROR(INDEX(tbl_Finance[Defer Start],$A494),"")</f>
        <v/>
      </c>
      <c r="I494" s="48">
        <f>IFERROR(INDEX(tbl_Finance[Defer End],$A494),"")</f>
        <v/>
      </c>
      <c r="J494" s="47">
        <f>IF(OR($H494="",$I494="",$G494=""),"",MAX(1,(YEAR($I494)-YEAR($H494))*12+MONTH($I494)-MONTH($H494)+1))</f>
        <v/>
      </c>
      <c r="K494" s="50">
        <f>IF($J494="","",$G494/$J494)</f>
        <v/>
      </c>
      <c r="L494" s="50">
        <f>IF($J494="",0,$K494*MAX(0,MIN(YEAR($C$3)*12+MONTH($C$3),YEAR($I494)*12+MONTH($I494))-(YEAR($H494)*12+MONTH($H494))+1))</f>
        <v/>
      </c>
      <c r="M494" s="50">
        <f>IF($J494="",0,$K494*MAX(0,MIN(YEAR($C$3)*12+MONTH($C$3)-1,YEAR($I494)*12+MONTH($I494))-(YEAR($H494)*12+MONTH($H494))+1))</f>
        <v/>
      </c>
      <c r="N494" s="50">
        <f>IF(OR($J494="",$B494=""),0,IF(YEAR($B494)*12+MONTH($B494)&lt;=YEAR($C$3)*12+MONTH($C$3),$G494,0))</f>
        <v/>
      </c>
      <c r="O494" s="50">
        <f>IF(OR($J494="",$B494=""),0,IF(YEAR($B494)*12+MONTH($B494)&lt;=YEAR($C$3)*12+MONTH($C$3)-1,$G494,0))</f>
        <v/>
      </c>
      <c r="P494" s="50">
        <f>$M494-$O494</f>
        <v/>
      </c>
      <c r="Q494" s="50">
        <f>($L494-$M494)-($N494-$O494)</f>
        <v/>
      </c>
      <c r="R494" s="50">
        <f>$L494-$N494</f>
        <v/>
      </c>
    </row>
    <row r="495">
      <c r="A495" s="47">
        <f>ROW()-5</f>
        <v/>
      </c>
      <c r="B495" s="48">
        <f>IFERROR(INDEX(tbl_Finance[Date],$A495),"")</f>
        <v/>
      </c>
      <c r="C495" s="49">
        <f>IFERROR(INDEX(tbl_Finance[Xero Invoice No],$A495),"")</f>
        <v/>
      </c>
      <c r="D495" s="49">
        <f>IFERROR(INDEX(tbl_Finance[Client],$A495),"")</f>
        <v/>
      </c>
      <c r="E495" s="49">
        <f>IFERROR(INDEX(tbl_Finance[Job Number],$A495),"")</f>
        <v/>
      </c>
      <c r="F495" s="49">
        <f>IFERROR(INDEX(tbl_Finance[Cost Centre],$A495),"")</f>
        <v/>
      </c>
      <c r="G495" s="50">
        <f>IFERROR(INDEX(tbl_Finance[Ex GST],$A495),"")</f>
        <v/>
      </c>
      <c r="H495" s="48">
        <f>IFERROR(INDEX(tbl_Finance[Defer Start],$A495),"")</f>
        <v/>
      </c>
      <c r="I495" s="48">
        <f>IFERROR(INDEX(tbl_Finance[Defer End],$A495),"")</f>
        <v/>
      </c>
      <c r="J495" s="47">
        <f>IF(OR($H495="",$I495="",$G495=""),"",MAX(1,(YEAR($I495)-YEAR($H495))*12+MONTH($I495)-MONTH($H495)+1))</f>
        <v/>
      </c>
      <c r="K495" s="50">
        <f>IF($J495="","",$G495/$J495)</f>
        <v/>
      </c>
      <c r="L495" s="50">
        <f>IF($J495="",0,$K495*MAX(0,MIN(YEAR($C$3)*12+MONTH($C$3),YEAR($I495)*12+MONTH($I495))-(YEAR($H495)*12+MONTH($H495))+1))</f>
        <v/>
      </c>
      <c r="M495" s="50">
        <f>IF($J495="",0,$K495*MAX(0,MIN(YEAR($C$3)*12+MONTH($C$3)-1,YEAR($I495)*12+MONTH($I495))-(YEAR($H495)*12+MONTH($H495))+1))</f>
        <v/>
      </c>
      <c r="N495" s="50">
        <f>IF(OR($J495="",$B495=""),0,IF(YEAR($B495)*12+MONTH($B495)&lt;=YEAR($C$3)*12+MONTH($C$3),$G495,0))</f>
        <v/>
      </c>
      <c r="O495" s="50">
        <f>IF(OR($J495="",$B495=""),0,IF(YEAR($B495)*12+MONTH($B495)&lt;=YEAR($C$3)*12+MONTH($C$3)-1,$G495,0))</f>
        <v/>
      </c>
      <c r="P495" s="50">
        <f>$M495-$O495</f>
        <v/>
      </c>
      <c r="Q495" s="50">
        <f>($L495-$M495)-($N495-$O495)</f>
        <v/>
      </c>
      <c r="R495" s="50">
        <f>$L495-$N495</f>
        <v/>
      </c>
    </row>
    <row r="496">
      <c r="A496" s="47">
        <f>ROW()-5</f>
        <v/>
      </c>
      <c r="B496" s="48">
        <f>IFERROR(INDEX(tbl_Finance[Date],$A496),"")</f>
        <v/>
      </c>
      <c r="C496" s="49">
        <f>IFERROR(INDEX(tbl_Finance[Xero Invoice No],$A496),"")</f>
        <v/>
      </c>
      <c r="D496" s="49">
        <f>IFERROR(INDEX(tbl_Finance[Client],$A496),"")</f>
        <v/>
      </c>
      <c r="E496" s="49">
        <f>IFERROR(INDEX(tbl_Finance[Job Number],$A496),"")</f>
        <v/>
      </c>
      <c r="F496" s="49">
        <f>IFERROR(INDEX(tbl_Finance[Cost Centre],$A496),"")</f>
        <v/>
      </c>
      <c r="G496" s="50">
        <f>IFERROR(INDEX(tbl_Finance[Ex GST],$A496),"")</f>
        <v/>
      </c>
      <c r="H496" s="48">
        <f>IFERROR(INDEX(tbl_Finance[Defer Start],$A496),"")</f>
        <v/>
      </c>
      <c r="I496" s="48">
        <f>IFERROR(INDEX(tbl_Finance[Defer End],$A496),"")</f>
        <v/>
      </c>
      <c r="J496" s="47">
        <f>IF(OR($H496="",$I496="",$G496=""),"",MAX(1,(YEAR($I496)-YEAR($H496))*12+MONTH($I496)-MONTH($H496)+1))</f>
        <v/>
      </c>
      <c r="K496" s="50">
        <f>IF($J496="","",$G496/$J496)</f>
        <v/>
      </c>
      <c r="L496" s="50">
        <f>IF($J496="",0,$K496*MAX(0,MIN(YEAR($C$3)*12+MONTH($C$3),YEAR($I496)*12+MONTH($I496))-(YEAR($H496)*12+MONTH($H496))+1))</f>
        <v/>
      </c>
      <c r="M496" s="50">
        <f>IF($J496="",0,$K496*MAX(0,MIN(YEAR($C$3)*12+MONTH($C$3)-1,YEAR($I496)*12+MONTH($I496))-(YEAR($H496)*12+MONTH($H496))+1))</f>
        <v/>
      </c>
      <c r="N496" s="50">
        <f>IF(OR($J496="",$B496=""),0,IF(YEAR($B496)*12+MONTH($B496)&lt;=YEAR($C$3)*12+MONTH($C$3),$G496,0))</f>
        <v/>
      </c>
      <c r="O496" s="50">
        <f>IF(OR($J496="",$B496=""),0,IF(YEAR($B496)*12+MONTH($B496)&lt;=YEAR($C$3)*12+MONTH($C$3)-1,$G496,0))</f>
        <v/>
      </c>
      <c r="P496" s="50">
        <f>$M496-$O496</f>
        <v/>
      </c>
      <c r="Q496" s="50">
        <f>($L496-$M496)-($N496-$O496)</f>
        <v/>
      </c>
      <c r="R496" s="50">
        <f>$L496-$N496</f>
        <v/>
      </c>
    </row>
    <row r="497">
      <c r="A497" s="47">
        <f>ROW()-5</f>
        <v/>
      </c>
      <c r="B497" s="48">
        <f>IFERROR(INDEX(tbl_Finance[Date],$A497),"")</f>
        <v/>
      </c>
      <c r="C497" s="49">
        <f>IFERROR(INDEX(tbl_Finance[Xero Invoice No],$A497),"")</f>
        <v/>
      </c>
      <c r="D497" s="49">
        <f>IFERROR(INDEX(tbl_Finance[Client],$A497),"")</f>
        <v/>
      </c>
      <c r="E497" s="49">
        <f>IFERROR(INDEX(tbl_Finance[Job Number],$A497),"")</f>
        <v/>
      </c>
      <c r="F497" s="49">
        <f>IFERROR(INDEX(tbl_Finance[Cost Centre],$A497),"")</f>
        <v/>
      </c>
      <c r="G497" s="50">
        <f>IFERROR(INDEX(tbl_Finance[Ex GST],$A497),"")</f>
        <v/>
      </c>
      <c r="H497" s="48">
        <f>IFERROR(INDEX(tbl_Finance[Defer Start],$A497),"")</f>
        <v/>
      </c>
      <c r="I497" s="48">
        <f>IFERROR(INDEX(tbl_Finance[Defer End],$A497),"")</f>
        <v/>
      </c>
      <c r="J497" s="47">
        <f>IF(OR($H497="",$I497="",$G497=""),"",MAX(1,(YEAR($I497)-YEAR($H497))*12+MONTH($I497)-MONTH($H497)+1))</f>
        <v/>
      </c>
      <c r="K497" s="50">
        <f>IF($J497="","",$G497/$J497)</f>
        <v/>
      </c>
      <c r="L497" s="50">
        <f>IF($J497="",0,$K497*MAX(0,MIN(YEAR($C$3)*12+MONTH($C$3),YEAR($I497)*12+MONTH($I497))-(YEAR($H497)*12+MONTH($H497))+1))</f>
        <v/>
      </c>
      <c r="M497" s="50">
        <f>IF($J497="",0,$K497*MAX(0,MIN(YEAR($C$3)*12+MONTH($C$3)-1,YEAR($I497)*12+MONTH($I497))-(YEAR($H497)*12+MONTH($H497))+1))</f>
        <v/>
      </c>
      <c r="N497" s="50">
        <f>IF(OR($J497="",$B497=""),0,IF(YEAR($B497)*12+MONTH($B497)&lt;=YEAR($C$3)*12+MONTH($C$3),$G497,0))</f>
        <v/>
      </c>
      <c r="O497" s="50">
        <f>IF(OR($J497="",$B497=""),0,IF(YEAR($B497)*12+MONTH($B497)&lt;=YEAR($C$3)*12+MONTH($C$3)-1,$G497,0))</f>
        <v/>
      </c>
      <c r="P497" s="50">
        <f>$M497-$O497</f>
        <v/>
      </c>
      <c r="Q497" s="50">
        <f>($L497-$M497)-($N497-$O497)</f>
        <v/>
      </c>
      <c r="R497" s="50">
        <f>$L497-$N497</f>
        <v/>
      </c>
    </row>
    <row r="498">
      <c r="A498" s="47">
        <f>ROW()-5</f>
        <v/>
      </c>
      <c r="B498" s="48">
        <f>IFERROR(INDEX(tbl_Finance[Date],$A498),"")</f>
        <v/>
      </c>
      <c r="C498" s="49">
        <f>IFERROR(INDEX(tbl_Finance[Xero Invoice No],$A498),"")</f>
        <v/>
      </c>
      <c r="D498" s="49">
        <f>IFERROR(INDEX(tbl_Finance[Client],$A498),"")</f>
        <v/>
      </c>
      <c r="E498" s="49">
        <f>IFERROR(INDEX(tbl_Finance[Job Number],$A498),"")</f>
        <v/>
      </c>
      <c r="F498" s="49">
        <f>IFERROR(INDEX(tbl_Finance[Cost Centre],$A498),"")</f>
        <v/>
      </c>
      <c r="G498" s="50">
        <f>IFERROR(INDEX(tbl_Finance[Ex GST],$A498),"")</f>
        <v/>
      </c>
      <c r="H498" s="48">
        <f>IFERROR(INDEX(tbl_Finance[Defer Start],$A498),"")</f>
        <v/>
      </c>
      <c r="I498" s="48">
        <f>IFERROR(INDEX(tbl_Finance[Defer End],$A498),"")</f>
        <v/>
      </c>
      <c r="J498" s="47">
        <f>IF(OR($H498="",$I498="",$G498=""),"",MAX(1,(YEAR($I498)-YEAR($H498))*12+MONTH($I498)-MONTH($H498)+1))</f>
        <v/>
      </c>
      <c r="K498" s="50">
        <f>IF($J498="","",$G498/$J498)</f>
        <v/>
      </c>
      <c r="L498" s="50">
        <f>IF($J498="",0,$K498*MAX(0,MIN(YEAR($C$3)*12+MONTH($C$3),YEAR($I498)*12+MONTH($I498))-(YEAR($H498)*12+MONTH($H498))+1))</f>
        <v/>
      </c>
      <c r="M498" s="50">
        <f>IF($J498="",0,$K498*MAX(0,MIN(YEAR($C$3)*12+MONTH($C$3)-1,YEAR($I498)*12+MONTH($I498))-(YEAR($H498)*12+MONTH($H498))+1))</f>
        <v/>
      </c>
      <c r="N498" s="50">
        <f>IF(OR($J498="",$B498=""),0,IF(YEAR($B498)*12+MONTH($B498)&lt;=YEAR($C$3)*12+MONTH($C$3),$G498,0))</f>
        <v/>
      </c>
      <c r="O498" s="50">
        <f>IF(OR($J498="",$B498=""),0,IF(YEAR($B498)*12+MONTH($B498)&lt;=YEAR($C$3)*12+MONTH($C$3)-1,$G498,0))</f>
        <v/>
      </c>
      <c r="P498" s="50">
        <f>$M498-$O498</f>
        <v/>
      </c>
      <c r="Q498" s="50">
        <f>($L498-$M498)-($N498-$O498)</f>
        <v/>
      </c>
      <c r="R498" s="50">
        <f>$L498-$N498</f>
        <v/>
      </c>
    </row>
    <row r="499">
      <c r="A499" s="47">
        <f>ROW()-5</f>
        <v/>
      </c>
      <c r="B499" s="48">
        <f>IFERROR(INDEX(tbl_Finance[Date],$A499),"")</f>
        <v/>
      </c>
      <c r="C499" s="49">
        <f>IFERROR(INDEX(tbl_Finance[Xero Invoice No],$A499),"")</f>
        <v/>
      </c>
      <c r="D499" s="49">
        <f>IFERROR(INDEX(tbl_Finance[Client],$A499),"")</f>
        <v/>
      </c>
      <c r="E499" s="49">
        <f>IFERROR(INDEX(tbl_Finance[Job Number],$A499),"")</f>
        <v/>
      </c>
      <c r="F499" s="49">
        <f>IFERROR(INDEX(tbl_Finance[Cost Centre],$A499),"")</f>
        <v/>
      </c>
      <c r="G499" s="50">
        <f>IFERROR(INDEX(tbl_Finance[Ex GST],$A499),"")</f>
        <v/>
      </c>
      <c r="H499" s="48">
        <f>IFERROR(INDEX(tbl_Finance[Defer Start],$A499),"")</f>
        <v/>
      </c>
      <c r="I499" s="48">
        <f>IFERROR(INDEX(tbl_Finance[Defer End],$A499),"")</f>
        <v/>
      </c>
      <c r="J499" s="47">
        <f>IF(OR($H499="",$I499="",$G499=""),"",MAX(1,(YEAR($I499)-YEAR($H499))*12+MONTH($I499)-MONTH($H499)+1))</f>
        <v/>
      </c>
      <c r="K499" s="50">
        <f>IF($J499="","",$G499/$J499)</f>
        <v/>
      </c>
      <c r="L499" s="50">
        <f>IF($J499="",0,$K499*MAX(0,MIN(YEAR($C$3)*12+MONTH($C$3),YEAR($I499)*12+MONTH($I499))-(YEAR($H499)*12+MONTH($H499))+1))</f>
        <v/>
      </c>
      <c r="M499" s="50">
        <f>IF($J499="",0,$K499*MAX(0,MIN(YEAR($C$3)*12+MONTH($C$3)-1,YEAR($I499)*12+MONTH($I499))-(YEAR($H499)*12+MONTH($H499))+1))</f>
        <v/>
      </c>
      <c r="N499" s="50">
        <f>IF(OR($J499="",$B499=""),0,IF(YEAR($B499)*12+MONTH($B499)&lt;=YEAR($C$3)*12+MONTH($C$3),$G499,0))</f>
        <v/>
      </c>
      <c r="O499" s="50">
        <f>IF(OR($J499="",$B499=""),0,IF(YEAR($B499)*12+MONTH($B499)&lt;=YEAR($C$3)*12+MONTH($C$3)-1,$G499,0))</f>
        <v/>
      </c>
      <c r="P499" s="50">
        <f>$M499-$O499</f>
        <v/>
      </c>
      <c r="Q499" s="50">
        <f>($L499-$M499)-($N499-$O499)</f>
        <v/>
      </c>
      <c r="R499" s="50">
        <f>$L499-$N499</f>
        <v/>
      </c>
    </row>
    <row r="500">
      <c r="A500" s="47">
        <f>ROW()-5</f>
        <v/>
      </c>
      <c r="B500" s="48">
        <f>IFERROR(INDEX(tbl_Finance[Date],$A500),"")</f>
        <v/>
      </c>
      <c r="C500" s="49">
        <f>IFERROR(INDEX(tbl_Finance[Xero Invoice No],$A500),"")</f>
        <v/>
      </c>
      <c r="D500" s="49">
        <f>IFERROR(INDEX(tbl_Finance[Client],$A500),"")</f>
        <v/>
      </c>
      <c r="E500" s="49">
        <f>IFERROR(INDEX(tbl_Finance[Job Number],$A500),"")</f>
        <v/>
      </c>
      <c r="F500" s="49">
        <f>IFERROR(INDEX(tbl_Finance[Cost Centre],$A500),"")</f>
        <v/>
      </c>
      <c r="G500" s="50">
        <f>IFERROR(INDEX(tbl_Finance[Ex GST],$A500),"")</f>
        <v/>
      </c>
      <c r="H500" s="48">
        <f>IFERROR(INDEX(tbl_Finance[Defer Start],$A500),"")</f>
        <v/>
      </c>
      <c r="I500" s="48">
        <f>IFERROR(INDEX(tbl_Finance[Defer End],$A500),"")</f>
        <v/>
      </c>
      <c r="J500" s="47">
        <f>IF(OR($H500="",$I500="",$G500=""),"",MAX(1,(YEAR($I500)-YEAR($H500))*12+MONTH($I500)-MONTH($H500)+1))</f>
        <v/>
      </c>
      <c r="K500" s="50">
        <f>IF($J500="","",$G500/$J500)</f>
        <v/>
      </c>
      <c r="L500" s="50">
        <f>IF($J500="",0,$K500*MAX(0,MIN(YEAR($C$3)*12+MONTH($C$3),YEAR($I500)*12+MONTH($I500))-(YEAR($H500)*12+MONTH($H500))+1))</f>
        <v/>
      </c>
      <c r="M500" s="50">
        <f>IF($J500="",0,$K500*MAX(0,MIN(YEAR($C$3)*12+MONTH($C$3)-1,YEAR($I500)*12+MONTH($I500))-(YEAR($H500)*12+MONTH($H500))+1))</f>
        <v/>
      </c>
      <c r="N500" s="50">
        <f>IF(OR($J500="",$B500=""),0,IF(YEAR($B500)*12+MONTH($B500)&lt;=YEAR($C$3)*12+MONTH($C$3),$G500,0))</f>
        <v/>
      </c>
      <c r="O500" s="50">
        <f>IF(OR($J500="",$B500=""),0,IF(YEAR($B500)*12+MONTH($B500)&lt;=YEAR($C$3)*12+MONTH($C$3)-1,$G500,0))</f>
        <v/>
      </c>
      <c r="P500" s="50">
        <f>$M500-$O500</f>
        <v/>
      </c>
      <c r="Q500" s="50">
        <f>($L500-$M500)-($N500-$O500)</f>
        <v/>
      </c>
      <c r="R500" s="50">
        <f>$L500-$N500</f>
        <v/>
      </c>
    </row>
    <row r="501">
      <c r="A501" s="47">
        <f>ROW()-5</f>
        <v/>
      </c>
      <c r="B501" s="48">
        <f>IFERROR(INDEX(tbl_Finance[Date],$A501),"")</f>
        <v/>
      </c>
      <c r="C501" s="49">
        <f>IFERROR(INDEX(tbl_Finance[Xero Invoice No],$A501),"")</f>
        <v/>
      </c>
      <c r="D501" s="49">
        <f>IFERROR(INDEX(tbl_Finance[Client],$A501),"")</f>
        <v/>
      </c>
      <c r="E501" s="49">
        <f>IFERROR(INDEX(tbl_Finance[Job Number],$A501),"")</f>
        <v/>
      </c>
      <c r="F501" s="49">
        <f>IFERROR(INDEX(tbl_Finance[Cost Centre],$A501),"")</f>
        <v/>
      </c>
      <c r="G501" s="50">
        <f>IFERROR(INDEX(tbl_Finance[Ex GST],$A501),"")</f>
        <v/>
      </c>
      <c r="H501" s="48">
        <f>IFERROR(INDEX(tbl_Finance[Defer Start],$A501),"")</f>
        <v/>
      </c>
      <c r="I501" s="48">
        <f>IFERROR(INDEX(tbl_Finance[Defer End],$A501),"")</f>
        <v/>
      </c>
      <c r="J501" s="47">
        <f>IF(OR($H501="",$I501="",$G501=""),"",MAX(1,(YEAR($I501)-YEAR($H501))*12+MONTH($I501)-MONTH($H501)+1))</f>
        <v/>
      </c>
      <c r="K501" s="50">
        <f>IF($J501="","",$G501/$J501)</f>
        <v/>
      </c>
      <c r="L501" s="50">
        <f>IF($J501="",0,$K501*MAX(0,MIN(YEAR($C$3)*12+MONTH($C$3),YEAR($I501)*12+MONTH($I501))-(YEAR($H501)*12+MONTH($H501))+1))</f>
        <v/>
      </c>
      <c r="M501" s="50">
        <f>IF($J501="",0,$K501*MAX(0,MIN(YEAR($C$3)*12+MONTH($C$3)-1,YEAR($I501)*12+MONTH($I501))-(YEAR($H501)*12+MONTH($H501))+1))</f>
        <v/>
      </c>
      <c r="N501" s="50">
        <f>IF(OR($J501="",$B501=""),0,IF(YEAR($B501)*12+MONTH($B501)&lt;=YEAR($C$3)*12+MONTH($C$3),$G501,0))</f>
        <v/>
      </c>
      <c r="O501" s="50">
        <f>IF(OR($J501="",$B501=""),0,IF(YEAR($B501)*12+MONTH($B501)&lt;=YEAR($C$3)*12+MONTH($C$3)-1,$G501,0))</f>
        <v/>
      </c>
      <c r="P501" s="50">
        <f>$M501-$O501</f>
        <v/>
      </c>
      <c r="Q501" s="50">
        <f>($L501-$M501)-($N501-$O501)</f>
        <v/>
      </c>
      <c r="R501" s="50">
        <f>$L501-$N501</f>
        <v/>
      </c>
    </row>
    <row r="502">
      <c r="A502" s="47">
        <f>ROW()-5</f>
        <v/>
      </c>
      <c r="B502" s="48">
        <f>IFERROR(INDEX(tbl_Finance[Date],$A502),"")</f>
        <v/>
      </c>
      <c r="C502" s="49">
        <f>IFERROR(INDEX(tbl_Finance[Xero Invoice No],$A502),"")</f>
        <v/>
      </c>
      <c r="D502" s="49">
        <f>IFERROR(INDEX(tbl_Finance[Client],$A502),"")</f>
        <v/>
      </c>
      <c r="E502" s="49">
        <f>IFERROR(INDEX(tbl_Finance[Job Number],$A502),"")</f>
        <v/>
      </c>
      <c r="F502" s="49">
        <f>IFERROR(INDEX(tbl_Finance[Cost Centre],$A502),"")</f>
        <v/>
      </c>
      <c r="G502" s="50">
        <f>IFERROR(INDEX(tbl_Finance[Ex GST],$A502),"")</f>
        <v/>
      </c>
      <c r="H502" s="48">
        <f>IFERROR(INDEX(tbl_Finance[Defer Start],$A502),"")</f>
        <v/>
      </c>
      <c r="I502" s="48">
        <f>IFERROR(INDEX(tbl_Finance[Defer End],$A502),"")</f>
        <v/>
      </c>
      <c r="J502" s="47">
        <f>IF(OR($H502="",$I502="",$G502=""),"",MAX(1,(YEAR($I502)-YEAR($H502))*12+MONTH($I502)-MONTH($H502)+1))</f>
        <v/>
      </c>
      <c r="K502" s="50">
        <f>IF($J502="","",$G502/$J502)</f>
        <v/>
      </c>
      <c r="L502" s="50">
        <f>IF($J502="",0,$K502*MAX(0,MIN(YEAR($C$3)*12+MONTH($C$3),YEAR($I502)*12+MONTH($I502))-(YEAR($H502)*12+MONTH($H502))+1))</f>
        <v/>
      </c>
      <c r="M502" s="50">
        <f>IF($J502="",0,$K502*MAX(0,MIN(YEAR($C$3)*12+MONTH($C$3)-1,YEAR($I502)*12+MONTH($I502))-(YEAR($H502)*12+MONTH($H502))+1))</f>
        <v/>
      </c>
      <c r="N502" s="50">
        <f>IF(OR($J502="",$B502=""),0,IF(YEAR($B502)*12+MONTH($B502)&lt;=YEAR($C$3)*12+MONTH($C$3),$G502,0))</f>
        <v/>
      </c>
      <c r="O502" s="50">
        <f>IF(OR($J502="",$B502=""),0,IF(YEAR($B502)*12+MONTH($B502)&lt;=YEAR($C$3)*12+MONTH($C$3)-1,$G502,0))</f>
        <v/>
      </c>
      <c r="P502" s="50">
        <f>$M502-$O502</f>
        <v/>
      </c>
      <c r="Q502" s="50">
        <f>($L502-$M502)-($N502-$O502)</f>
        <v/>
      </c>
      <c r="R502" s="50">
        <f>$L502-$N502</f>
        <v/>
      </c>
    </row>
    <row r="503">
      <c r="A503" s="47">
        <f>ROW()-5</f>
        <v/>
      </c>
      <c r="B503" s="48">
        <f>IFERROR(INDEX(tbl_Finance[Date],$A503),"")</f>
        <v/>
      </c>
      <c r="C503" s="49">
        <f>IFERROR(INDEX(tbl_Finance[Xero Invoice No],$A503),"")</f>
        <v/>
      </c>
      <c r="D503" s="49">
        <f>IFERROR(INDEX(tbl_Finance[Client],$A503),"")</f>
        <v/>
      </c>
      <c r="E503" s="49">
        <f>IFERROR(INDEX(tbl_Finance[Job Number],$A503),"")</f>
        <v/>
      </c>
      <c r="F503" s="49">
        <f>IFERROR(INDEX(tbl_Finance[Cost Centre],$A503),"")</f>
        <v/>
      </c>
      <c r="G503" s="50">
        <f>IFERROR(INDEX(tbl_Finance[Ex GST],$A503),"")</f>
        <v/>
      </c>
      <c r="H503" s="48">
        <f>IFERROR(INDEX(tbl_Finance[Defer Start],$A503),"")</f>
        <v/>
      </c>
      <c r="I503" s="48">
        <f>IFERROR(INDEX(tbl_Finance[Defer End],$A503),"")</f>
        <v/>
      </c>
      <c r="J503" s="47">
        <f>IF(OR($H503="",$I503="",$G503=""),"",MAX(1,(YEAR($I503)-YEAR($H503))*12+MONTH($I503)-MONTH($H503)+1))</f>
        <v/>
      </c>
      <c r="K503" s="50">
        <f>IF($J503="","",$G503/$J503)</f>
        <v/>
      </c>
      <c r="L503" s="50">
        <f>IF($J503="",0,$K503*MAX(0,MIN(YEAR($C$3)*12+MONTH($C$3),YEAR($I503)*12+MONTH($I503))-(YEAR($H503)*12+MONTH($H503))+1))</f>
        <v/>
      </c>
      <c r="M503" s="50">
        <f>IF($J503="",0,$K503*MAX(0,MIN(YEAR($C$3)*12+MONTH($C$3)-1,YEAR($I503)*12+MONTH($I503))-(YEAR($H503)*12+MONTH($H503))+1))</f>
        <v/>
      </c>
      <c r="N503" s="50">
        <f>IF(OR($J503="",$B503=""),0,IF(YEAR($B503)*12+MONTH($B503)&lt;=YEAR($C$3)*12+MONTH($C$3),$G503,0))</f>
        <v/>
      </c>
      <c r="O503" s="50">
        <f>IF(OR($J503="",$B503=""),0,IF(YEAR($B503)*12+MONTH($B503)&lt;=YEAR($C$3)*12+MONTH($C$3)-1,$G503,0))</f>
        <v/>
      </c>
      <c r="P503" s="50">
        <f>$M503-$O503</f>
        <v/>
      </c>
      <c r="Q503" s="50">
        <f>($L503-$M503)-($N503-$O503)</f>
        <v/>
      </c>
      <c r="R503" s="50">
        <f>$L503-$N503</f>
        <v/>
      </c>
    </row>
    <row r="504">
      <c r="A504" s="47">
        <f>ROW()-5</f>
        <v/>
      </c>
      <c r="B504" s="48">
        <f>IFERROR(INDEX(tbl_Finance[Date],$A504),"")</f>
        <v/>
      </c>
      <c r="C504" s="49">
        <f>IFERROR(INDEX(tbl_Finance[Xero Invoice No],$A504),"")</f>
        <v/>
      </c>
      <c r="D504" s="49">
        <f>IFERROR(INDEX(tbl_Finance[Client],$A504),"")</f>
        <v/>
      </c>
      <c r="E504" s="49">
        <f>IFERROR(INDEX(tbl_Finance[Job Number],$A504),"")</f>
        <v/>
      </c>
      <c r="F504" s="49">
        <f>IFERROR(INDEX(tbl_Finance[Cost Centre],$A504),"")</f>
        <v/>
      </c>
      <c r="G504" s="50">
        <f>IFERROR(INDEX(tbl_Finance[Ex GST],$A504),"")</f>
        <v/>
      </c>
      <c r="H504" s="48">
        <f>IFERROR(INDEX(tbl_Finance[Defer Start],$A504),"")</f>
        <v/>
      </c>
      <c r="I504" s="48">
        <f>IFERROR(INDEX(tbl_Finance[Defer End],$A504),"")</f>
        <v/>
      </c>
      <c r="J504" s="47">
        <f>IF(OR($H504="",$I504="",$G504=""),"",MAX(1,(YEAR($I504)-YEAR($H504))*12+MONTH($I504)-MONTH($H504)+1))</f>
        <v/>
      </c>
      <c r="K504" s="50">
        <f>IF($J504="","",$G504/$J504)</f>
        <v/>
      </c>
      <c r="L504" s="50">
        <f>IF($J504="",0,$K504*MAX(0,MIN(YEAR($C$3)*12+MONTH($C$3),YEAR($I504)*12+MONTH($I504))-(YEAR($H504)*12+MONTH($H504))+1))</f>
        <v/>
      </c>
      <c r="M504" s="50">
        <f>IF($J504="",0,$K504*MAX(0,MIN(YEAR($C$3)*12+MONTH($C$3)-1,YEAR($I504)*12+MONTH($I504))-(YEAR($H504)*12+MONTH($H504))+1))</f>
        <v/>
      </c>
      <c r="N504" s="50">
        <f>IF(OR($J504="",$B504=""),0,IF(YEAR($B504)*12+MONTH($B504)&lt;=YEAR($C$3)*12+MONTH($C$3),$G504,0))</f>
        <v/>
      </c>
      <c r="O504" s="50">
        <f>IF(OR($J504="",$B504=""),0,IF(YEAR($B504)*12+MONTH($B504)&lt;=YEAR($C$3)*12+MONTH($C$3)-1,$G504,0))</f>
        <v/>
      </c>
      <c r="P504" s="50">
        <f>$M504-$O504</f>
        <v/>
      </c>
      <c r="Q504" s="50">
        <f>($L504-$M504)-($N504-$O504)</f>
        <v/>
      </c>
      <c r="R504" s="50">
        <f>$L504-$N504</f>
        <v/>
      </c>
    </row>
    <row r="505">
      <c r="A505" s="47">
        <f>ROW()-5</f>
        <v/>
      </c>
      <c r="B505" s="48">
        <f>IFERROR(INDEX(tbl_Finance[Date],$A505),"")</f>
        <v/>
      </c>
      <c r="C505" s="49">
        <f>IFERROR(INDEX(tbl_Finance[Xero Invoice No],$A505),"")</f>
        <v/>
      </c>
      <c r="D505" s="49">
        <f>IFERROR(INDEX(tbl_Finance[Client],$A505),"")</f>
        <v/>
      </c>
      <c r="E505" s="49">
        <f>IFERROR(INDEX(tbl_Finance[Job Number],$A505),"")</f>
        <v/>
      </c>
      <c r="F505" s="49">
        <f>IFERROR(INDEX(tbl_Finance[Cost Centre],$A505),"")</f>
        <v/>
      </c>
      <c r="G505" s="50">
        <f>IFERROR(INDEX(tbl_Finance[Ex GST],$A505),"")</f>
        <v/>
      </c>
      <c r="H505" s="48">
        <f>IFERROR(INDEX(tbl_Finance[Defer Start],$A505),"")</f>
        <v/>
      </c>
      <c r="I505" s="48">
        <f>IFERROR(INDEX(tbl_Finance[Defer End],$A505),"")</f>
        <v/>
      </c>
      <c r="J505" s="47">
        <f>IF(OR($H505="",$I505="",$G505=""),"",MAX(1,(YEAR($I505)-YEAR($H505))*12+MONTH($I505)-MONTH($H505)+1))</f>
        <v/>
      </c>
      <c r="K505" s="50">
        <f>IF($J505="","",$G505/$J505)</f>
        <v/>
      </c>
      <c r="L505" s="50">
        <f>IF($J505="",0,$K505*MAX(0,MIN(YEAR($C$3)*12+MONTH($C$3),YEAR($I505)*12+MONTH($I505))-(YEAR($H505)*12+MONTH($H505))+1))</f>
        <v/>
      </c>
      <c r="M505" s="50">
        <f>IF($J505="",0,$K505*MAX(0,MIN(YEAR($C$3)*12+MONTH($C$3)-1,YEAR($I505)*12+MONTH($I505))-(YEAR($H505)*12+MONTH($H505))+1))</f>
        <v/>
      </c>
      <c r="N505" s="50">
        <f>IF(OR($J505="",$B505=""),0,IF(YEAR($B505)*12+MONTH($B505)&lt;=YEAR($C$3)*12+MONTH($C$3),$G505,0))</f>
        <v/>
      </c>
      <c r="O505" s="50">
        <f>IF(OR($J505="",$B505=""),0,IF(YEAR($B505)*12+MONTH($B505)&lt;=YEAR($C$3)*12+MONTH($C$3)-1,$G505,0))</f>
        <v/>
      </c>
      <c r="P505" s="50">
        <f>$M505-$O505</f>
        <v/>
      </c>
      <c r="Q505" s="50">
        <f>($L505-$M505)-($N505-$O505)</f>
        <v/>
      </c>
      <c r="R505" s="50">
        <f>$L505-$N505</f>
        <v/>
      </c>
    </row>
    <row r="506">
      <c r="A506" s="47">
        <f>ROW()-5</f>
        <v/>
      </c>
      <c r="B506" s="48">
        <f>IFERROR(INDEX(tbl_Finance[Date],$A506),"")</f>
        <v/>
      </c>
      <c r="C506" s="49">
        <f>IFERROR(INDEX(tbl_Finance[Xero Invoice No],$A506),"")</f>
        <v/>
      </c>
      <c r="D506" s="49">
        <f>IFERROR(INDEX(tbl_Finance[Client],$A506),"")</f>
        <v/>
      </c>
      <c r="E506" s="49">
        <f>IFERROR(INDEX(tbl_Finance[Job Number],$A506),"")</f>
        <v/>
      </c>
      <c r="F506" s="49">
        <f>IFERROR(INDEX(tbl_Finance[Cost Centre],$A506),"")</f>
        <v/>
      </c>
      <c r="G506" s="50">
        <f>IFERROR(INDEX(tbl_Finance[Ex GST],$A506),"")</f>
        <v/>
      </c>
      <c r="H506" s="48">
        <f>IFERROR(INDEX(tbl_Finance[Defer Start],$A506),"")</f>
        <v/>
      </c>
      <c r="I506" s="48">
        <f>IFERROR(INDEX(tbl_Finance[Defer End],$A506),"")</f>
        <v/>
      </c>
      <c r="J506" s="47">
        <f>IF(OR($H506="",$I506="",$G506=""),"",MAX(1,(YEAR($I506)-YEAR($H506))*12+MONTH($I506)-MONTH($H506)+1))</f>
        <v/>
      </c>
      <c r="K506" s="50">
        <f>IF($J506="","",$G506/$J506)</f>
        <v/>
      </c>
      <c r="L506" s="50">
        <f>IF($J506="",0,$K506*MAX(0,MIN(YEAR($C$3)*12+MONTH($C$3),YEAR($I506)*12+MONTH($I506))-(YEAR($H506)*12+MONTH($H506))+1))</f>
        <v/>
      </c>
      <c r="M506" s="50">
        <f>IF($J506="",0,$K506*MAX(0,MIN(YEAR($C$3)*12+MONTH($C$3)-1,YEAR($I506)*12+MONTH($I506))-(YEAR($H506)*12+MONTH($H506))+1))</f>
        <v/>
      </c>
      <c r="N506" s="50">
        <f>IF(OR($J506="",$B506=""),0,IF(YEAR($B506)*12+MONTH($B506)&lt;=YEAR($C$3)*12+MONTH($C$3),$G506,0))</f>
        <v/>
      </c>
      <c r="O506" s="50">
        <f>IF(OR($J506="",$B506=""),0,IF(YEAR($B506)*12+MONTH($B506)&lt;=YEAR($C$3)*12+MONTH($C$3)-1,$G506,0))</f>
        <v/>
      </c>
      <c r="P506" s="50">
        <f>$M506-$O506</f>
        <v/>
      </c>
      <c r="Q506" s="50">
        <f>($L506-$M506)-($N506-$O506)</f>
        <v/>
      </c>
      <c r="R506" s="50">
        <f>$L506-$N506</f>
        <v/>
      </c>
    </row>
    <row r="507">
      <c r="A507" s="47">
        <f>ROW()-5</f>
        <v/>
      </c>
      <c r="B507" s="48">
        <f>IFERROR(INDEX(tbl_Finance[Date],$A507),"")</f>
        <v/>
      </c>
      <c r="C507" s="49">
        <f>IFERROR(INDEX(tbl_Finance[Xero Invoice No],$A507),"")</f>
        <v/>
      </c>
      <c r="D507" s="49">
        <f>IFERROR(INDEX(tbl_Finance[Client],$A507),"")</f>
        <v/>
      </c>
      <c r="E507" s="49">
        <f>IFERROR(INDEX(tbl_Finance[Job Number],$A507),"")</f>
        <v/>
      </c>
      <c r="F507" s="49">
        <f>IFERROR(INDEX(tbl_Finance[Cost Centre],$A507),"")</f>
        <v/>
      </c>
      <c r="G507" s="50">
        <f>IFERROR(INDEX(tbl_Finance[Ex GST],$A507),"")</f>
        <v/>
      </c>
      <c r="H507" s="48">
        <f>IFERROR(INDEX(tbl_Finance[Defer Start],$A507),"")</f>
        <v/>
      </c>
      <c r="I507" s="48">
        <f>IFERROR(INDEX(tbl_Finance[Defer End],$A507),"")</f>
        <v/>
      </c>
      <c r="J507" s="47">
        <f>IF(OR($H507="",$I507="",$G507=""),"",MAX(1,(YEAR($I507)-YEAR($H507))*12+MONTH($I507)-MONTH($H507)+1))</f>
        <v/>
      </c>
      <c r="K507" s="50">
        <f>IF($J507="","",$G507/$J507)</f>
        <v/>
      </c>
      <c r="L507" s="50">
        <f>IF($J507="",0,$K507*MAX(0,MIN(YEAR($C$3)*12+MONTH($C$3),YEAR($I507)*12+MONTH($I507))-(YEAR($H507)*12+MONTH($H507))+1))</f>
        <v/>
      </c>
      <c r="M507" s="50">
        <f>IF($J507="",0,$K507*MAX(0,MIN(YEAR($C$3)*12+MONTH($C$3)-1,YEAR($I507)*12+MONTH($I507))-(YEAR($H507)*12+MONTH($H507))+1))</f>
        <v/>
      </c>
      <c r="N507" s="50">
        <f>IF(OR($J507="",$B507=""),0,IF(YEAR($B507)*12+MONTH($B507)&lt;=YEAR($C$3)*12+MONTH($C$3),$G507,0))</f>
        <v/>
      </c>
      <c r="O507" s="50">
        <f>IF(OR($J507="",$B507=""),0,IF(YEAR($B507)*12+MONTH($B507)&lt;=YEAR($C$3)*12+MONTH($C$3)-1,$G507,0))</f>
        <v/>
      </c>
      <c r="P507" s="50">
        <f>$M507-$O507</f>
        <v/>
      </c>
      <c r="Q507" s="50">
        <f>($L507-$M507)-($N507-$O507)</f>
        <v/>
      </c>
      <c r="R507" s="50">
        <f>$L507-$N507</f>
        <v/>
      </c>
    </row>
    <row r="508">
      <c r="A508" s="47">
        <f>ROW()-5</f>
        <v/>
      </c>
      <c r="B508" s="48">
        <f>IFERROR(INDEX(tbl_Finance[Date],$A508),"")</f>
        <v/>
      </c>
      <c r="C508" s="49">
        <f>IFERROR(INDEX(tbl_Finance[Xero Invoice No],$A508),"")</f>
        <v/>
      </c>
      <c r="D508" s="49">
        <f>IFERROR(INDEX(tbl_Finance[Client],$A508),"")</f>
        <v/>
      </c>
      <c r="E508" s="49">
        <f>IFERROR(INDEX(tbl_Finance[Job Number],$A508),"")</f>
        <v/>
      </c>
      <c r="F508" s="49">
        <f>IFERROR(INDEX(tbl_Finance[Cost Centre],$A508),"")</f>
        <v/>
      </c>
      <c r="G508" s="50">
        <f>IFERROR(INDEX(tbl_Finance[Ex GST],$A508),"")</f>
        <v/>
      </c>
      <c r="H508" s="48">
        <f>IFERROR(INDEX(tbl_Finance[Defer Start],$A508),"")</f>
        <v/>
      </c>
      <c r="I508" s="48">
        <f>IFERROR(INDEX(tbl_Finance[Defer End],$A508),"")</f>
        <v/>
      </c>
      <c r="J508" s="47">
        <f>IF(OR($H508="",$I508="",$G508=""),"",MAX(1,(YEAR($I508)-YEAR($H508))*12+MONTH($I508)-MONTH($H508)+1))</f>
        <v/>
      </c>
      <c r="K508" s="50">
        <f>IF($J508="","",$G508/$J508)</f>
        <v/>
      </c>
      <c r="L508" s="50">
        <f>IF($J508="",0,$K508*MAX(0,MIN(YEAR($C$3)*12+MONTH($C$3),YEAR($I508)*12+MONTH($I508))-(YEAR($H508)*12+MONTH($H508))+1))</f>
        <v/>
      </c>
      <c r="M508" s="50">
        <f>IF($J508="",0,$K508*MAX(0,MIN(YEAR($C$3)*12+MONTH($C$3)-1,YEAR($I508)*12+MONTH($I508))-(YEAR($H508)*12+MONTH($H508))+1))</f>
        <v/>
      </c>
      <c r="N508" s="50">
        <f>IF(OR($J508="",$B508=""),0,IF(YEAR($B508)*12+MONTH($B508)&lt;=YEAR($C$3)*12+MONTH($C$3),$G508,0))</f>
        <v/>
      </c>
      <c r="O508" s="50">
        <f>IF(OR($J508="",$B508=""),0,IF(YEAR($B508)*12+MONTH($B508)&lt;=YEAR($C$3)*12+MONTH($C$3)-1,$G508,0))</f>
        <v/>
      </c>
      <c r="P508" s="50">
        <f>$M508-$O508</f>
        <v/>
      </c>
      <c r="Q508" s="50">
        <f>($L508-$M508)-($N508-$O508)</f>
        <v/>
      </c>
      <c r="R508" s="50">
        <f>$L508-$N508</f>
        <v/>
      </c>
    </row>
    <row r="509">
      <c r="A509" s="47">
        <f>ROW()-5</f>
        <v/>
      </c>
      <c r="B509" s="48">
        <f>IFERROR(INDEX(tbl_Finance[Date],$A509),"")</f>
        <v/>
      </c>
      <c r="C509" s="49">
        <f>IFERROR(INDEX(tbl_Finance[Xero Invoice No],$A509),"")</f>
        <v/>
      </c>
      <c r="D509" s="49">
        <f>IFERROR(INDEX(tbl_Finance[Client],$A509),"")</f>
        <v/>
      </c>
      <c r="E509" s="49">
        <f>IFERROR(INDEX(tbl_Finance[Job Number],$A509),"")</f>
        <v/>
      </c>
      <c r="F509" s="49">
        <f>IFERROR(INDEX(tbl_Finance[Cost Centre],$A509),"")</f>
        <v/>
      </c>
      <c r="G509" s="50">
        <f>IFERROR(INDEX(tbl_Finance[Ex GST],$A509),"")</f>
        <v/>
      </c>
      <c r="H509" s="48">
        <f>IFERROR(INDEX(tbl_Finance[Defer Start],$A509),"")</f>
        <v/>
      </c>
      <c r="I509" s="48">
        <f>IFERROR(INDEX(tbl_Finance[Defer End],$A509),"")</f>
        <v/>
      </c>
      <c r="J509" s="47">
        <f>IF(OR($H509="",$I509="",$G509=""),"",MAX(1,(YEAR($I509)-YEAR($H509))*12+MONTH($I509)-MONTH($H509)+1))</f>
        <v/>
      </c>
      <c r="K509" s="50">
        <f>IF($J509="","",$G509/$J509)</f>
        <v/>
      </c>
      <c r="L509" s="50">
        <f>IF($J509="",0,$K509*MAX(0,MIN(YEAR($C$3)*12+MONTH($C$3),YEAR($I509)*12+MONTH($I509))-(YEAR($H509)*12+MONTH($H509))+1))</f>
        <v/>
      </c>
      <c r="M509" s="50">
        <f>IF($J509="",0,$K509*MAX(0,MIN(YEAR($C$3)*12+MONTH($C$3)-1,YEAR($I509)*12+MONTH($I509))-(YEAR($H509)*12+MONTH($H509))+1))</f>
        <v/>
      </c>
      <c r="N509" s="50">
        <f>IF(OR($J509="",$B509=""),0,IF(YEAR($B509)*12+MONTH($B509)&lt;=YEAR($C$3)*12+MONTH($C$3),$G509,0))</f>
        <v/>
      </c>
      <c r="O509" s="50">
        <f>IF(OR($J509="",$B509=""),0,IF(YEAR($B509)*12+MONTH($B509)&lt;=YEAR($C$3)*12+MONTH($C$3)-1,$G509,0))</f>
        <v/>
      </c>
      <c r="P509" s="50">
        <f>$M509-$O509</f>
        <v/>
      </c>
      <c r="Q509" s="50">
        <f>($L509-$M509)-($N509-$O509)</f>
        <v/>
      </c>
      <c r="R509" s="50">
        <f>$L509-$N509</f>
        <v/>
      </c>
    </row>
    <row r="510">
      <c r="A510" s="47">
        <f>ROW()-5</f>
        <v/>
      </c>
      <c r="B510" s="48">
        <f>IFERROR(INDEX(tbl_Finance[Date],$A510),"")</f>
        <v/>
      </c>
      <c r="C510" s="49">
        <f>IFERROR(INDEX(tbl_Finance[Xero Invoice No],$A510),"")</f>
        <v/>
      </c>
      <c r="D510" s="49">
        <f>IFERROR(INDEX(tbl_Finance[Client],$A510),"")</f>
        <v/>
      </c>
      <c r="E510" s="49">
        <f>IFERROR(INDEX(tbl_Finance[Job Number],$A510),"")</f>
        <v/>
      </c>
      <c r="F510" s="49">
        <f>IFERROR(INDEX(tbl_Finance[Cost Centre],$A510),"")</f>
        <v/>
      </c>
      <c r="G510" s="50">
        <f>IFERROR(INDEX(tbl_Finance[Ex GST],$A510),"")</f>
        <v/>
      </c>
      <c r="H510" s="48">
        <f>IFERROR(INDEX(tbl_Finance[Defer Start],$A510),"")</f>
        <v/>
      </c>
      <c r="I510" s="48">
        <f>IFERROR(INDEX(tbl_Finance[Defer End],$A510),"")</f>
        <v/>
      </c>
      <c r="J510" s="47">
        <f>IF(OR($H510="",$I510="",$G510=""),"",MAX(1,(YEAR($I510)-YEAR($H510))*12+MONTH($I510)-MONTH($H510)+1))</f>
        <v/>
      </c>
      <c r="K510" s="50">
        <f>IF($J510="","",$G510/$J510)</f>
        <v/>
      </c>
      <c r="L510" s="50">
        <f>IF($J510="",0,$K510*MAX(0,MIN(YEAR($C$3)*12+MONTH($C$3),YEAR($I510)*12+MONTH($I510))-(YEAR($H510)*12+MONTH($H510))+1))</f>
        <v/>
      </c>
      <c r="M510" s="50">
        <f>IF($J510="",0,$K510*MAX(0,MIN(YEAR($C$3)*12+MONTH($C$3)-1,YEAR($I510)*12+MONTH($I510))-(YEAR($H510)*12+MONTH($H510))+1))</f>
        <v/>
      </c>
      <c r="N510" s="50">
        <f>IF(OR($J510="",$B510=""),0,IF(YEAR($B510)*12+MONTH($B510)&lt;=YEAR($C$3)*12+MONTH($C$3),$G510,0))</f>
        <v/>
      </c>
      <c r="O510" s="50">
        <f>IF(OR($J510="",$B510=""),0,IF(YEAR($B510)*12+MONTH($B510)&lt;=YEAR($C$3)*12+MONTH($C$3)-1,$G510,0))</f>
        <v/>
      </c>
      <c r="P510" s="50">
        <f>$M510-$O510</f>
        <v/>
      </c>
      <c r="Q510" s="50">
        <f>($L510-$M510)-($N510-$O510)</f>
        <v/>
      </c>
      <c r="R510" s="50">
        <f>$L510-$N510</f>
        <v/>
      </c>
    </row>
    <row r="511">
      <c r="A511" s="47">
        <f>ROW()-5</f>
        <v/>
      </c>
      <c r="B511" s="48">
        <f>IFERROR(INDEX(tbl_Finance[Date],$A511),"")</f>
        <v/>
      </c>
      <c r="C511" s="49">
        <f>IFERROR(INDEX(tbl_Finance[Xero Invoice No],$A511),"")</f>
        <v/>
      </c>
      <c r="D511" s="49">
        <f>IFERROR(INDEX(tbl_Finance[Client],$A511),"")</f>
        <v/>
      </c>
      <c r="E511" s="49">
        <f>IFERROR(INDEX(tbl_Finance[Job Number],$A511),"")</f>
        <v/>
      </c>
      <c r="F511" s="49">
        <f>IFERROR(INDEX(tbl_Finance[Cost Centre],$A511),"")</f>
        <v/>
      </c>
      <c r="G511" s="50">
        <f>IFERROR(INDEX(tbl_Finance[Ex GST],$A511),"")</f>
        <v/>
      </c>
      <c r="H511" s="48">
        <f>IFERROR(INDEX(tbl_Finance[Defer Start],$A511),"")</f>
        <v/>
      </c>
      <c r="I511" s="48">
        <f>IFERROR(INDEX(tbl_Finance[Defer End],$A511),"")</f>
        <v/>
      </c>
      <c r="J511" s="47">
        <f>IF(OR($H511="",$I511="",$G511=""),"",MAX(1,(YEAR($I511)-YEAR($H511))*12+MONTH($I511)-MONTH($H511)+1))</f>
        <v/>
      </c>
      <c r="K511" s="50">
        <f>IF($J511="","",$G511/$J511)</f>
        <v/>
      </c>
      <c r="L511" s="50">
        <f>IF($J511="",0,$K511*MAX(0,MIN(YEAR($C$3)*12+MONTH($C$3),YEAR($I511)*12+MONTH($I511))-(YEAR($H511)*12+MONTH($H511))+1))</f>
        <v/>
      </c>
      <c r="M511" s="50">
        <f>IF($J511="",0,$K511*MAX(0,MIN(YEAR($C$3)*12+MONTH($C$3)-1,YEAR($I511)*12+MONTH($I511))-(YEAR($H511)*12+MONTH($H511))+1))</f>
        <v/>
      </c>
      <c r="N511" s="50">
        <f>IF(OR($J511="",$B511=""),0,IF(YEAR($B511)*12+MONTH($B511)&lt;=YEAR($C$3)*12+MONTH($C$3),$G511,0))</f>
        <v/>
      </c>
      <c r="O511" s="50">
        <f>IF(OR($J511="",$B511=""),0,IF(YEAR($B511)*12+MONTH($B511)&lt;=YEAR($C$3)*12+MONTH($C$3)-1,$G511,0))</f>
        <v/>
      </c>
      <c r="P511" s="50">
        <f>$M511-$O511</f>
        <v/>
      </c>
      <c r="Q511" s="50">
        <f>($L511-$M511)-($N511-$O511)</f>
        <v/>
      </c>
      <c r="R511" s="50">
        <f>$L511-$N511</f>
        <v/>
      </c>
    </row>
    <row r="512">
      <c r="A512" s="47">
        <f>ROW()-5</f>
        <v/>
      </c>
      <c r="B512" s="48">
        <f>IFERROR(INDEX(tbl_Finance[Date],$A512),"")</f>
        <v/>
      </c>
      <c r="C512" s="49">
        <f>IFERROR(INDEX(tbl_Finance[Xero Invoice No],$A512),"")</f>
        <v/>
      </c>
      <c r="D512" s="49">
        <f>IFERROR(INDEX(tbl_Finance[Client],$A512),"")</f>
        <v/>
      </c>
      <c r="E512" s="49">
        <f>IFERROR(INDEX(tbl_Finance[Job Number],$A512),"")</f>
        <v/>
      </c>
      <c r="F512" s="49">
        <f>IFERROR(INDEX(tbl_Finance[Cost Centre],$A512),"")</f>
        <v/>
      </c>
      <c r="G512" s="50">
        <f>IFERROR(INDEX(tbl_Finance[Ex GST],$A512),"")</f>
        <v/>
      </c>
      <c r="H512" s="48">
        <f>IFERROR(INDEX(tbl_Finance[Defer Start],$A512),"")</f>
        <v/>
      </c>
      <c r="I512" s="48">
        <f>IFERROR(INDEX(tbl_Finance[Defer End],$A512),"")</f>
        <v/>
      </c>
      <c r="J512" s="47">
        <f>IF(OR($H512="",$I512="",$G512=""),"",MAX(1,(YEAR($I512)-YEAR($H512))*12+MONTH($I512)-MONTH($H512)+1))</f>
        <v/>
      </c>
      <c r="K512" s="50">
        <f>IF($J512="","",$G512/$J512)</f>
        <v/>
      </c>
      <c r="L512" s="50">
        <f>IF($J512="",0,$K512*MAX(0,MIN(YEAR($C$3)*12+MONTH($C$3),YEAR($I512)*12+MONTH($I512))-(YEAR($H512)*12+MONTH($H512))+1))</f>
        <v/>
      </c>
      <c r="M512" s="50">
        <f>IF($J512="",0,$K512*MAX(0,MIN(YEAR($C$3)*12+MONTH($C$3)-1,YEAR($I512)*12+MONTH($I512))-(YEAR($H512)*12+MONTH($H512))+1))</f>
        <v/>
      </c>
      <c r="N512" s="50">
        <f>IF(OR($J512="",$B512=""),0,IF(YEAR($B512)*12+MONTH($B512)&lt;=YEAR($C$3)*12+MONTH($C$3),$G512,0))</f>
        <v/>
      </c>
      <c r="O512" s="50">
        <f>IF(OR($J512="",$B512=""),0,IF(YEAR($B512)*12+MONTH($B512)&lt;=YEAR($C$3)*12+MONTH($C$3)-1,$G512,0))</f>
        <v/>
      </c>
      <c r="P512" s="50">
        <f>$M512-$O512</f>
        <v/>
      </c>
      <c r="Q512" s="50">
        <f>($L512-$M512)-($N512-$O512)</f>
        <v/>
      </c>
      <c r="R512" s="50">
        <f>$L512-$N512</f>
        <v/>
      </c>
    </row>
    <row r="513">
      <c r="A513" s="47">
        <f>ROW()-5</f>
        <v/>
      </c>
      <c r="B513" s="48">
        <f>IFERROR(INDEX(tbl_Finance[Date],$A513),"")</f>
        <v/>
      </c>
      <c r="C513" s="49">
        <f>IFERROR(INDEX(tbl_Finance[Xero Invoice No],$A513),"")</f>
        <v/>
      </c>
      <c r="D513" s="49">
        <f>IFERROR(INDEX(tbl_Finance[Client],$A513),"")</f>
        <v/>
      </c>
      <c r="E513" s="49">
        <f>IFERROR(INDEX(tbl_Finance[Job Number],$A513),"")</f>
        <v/>
      </c>
      <c r="F513" s="49">
        <f>IFERROR(INDEX(tbl_Finance[Cost Centre],$A513),"")</f>
        <v/>
      </c>
      <c r="G513" s="50">
        <f>IFERROR(INDEX(tbl_Finance[Ex GST],$A513),"")</f>
        <v/>
      </c>
      <c r="H513" s="48">
        <f>IFERROR(INDEX(tbl_Finance[Defer Start],$A513),"")</f>
        <v/>
      </c>
      <c r="I513" s="48">
        <f>IFERROR(INDEX(tbl_Finance[Defer End],$A513),"")</f>
        <v/>
      </c>
      <c r="J513" s="47">
        <f>IF(OR($H513="",$I513="",$G513=""),"",MAX(1,(YEAR($I513)-YEAR($H513))*12+MONTH($I513)-MONTH($H513)+1))</f>
        <v/>
      </c>
      <c r="K513" s="50">
        <f>IF($J513="","",$G513/$J513)</f>
        <v/>
      </c>
      <c r="L513" s="50">
        <f>IF($J513="",0,$K513*MAX(0,MIN(YEAR($C$3)*12+MONTH($C$3),YEAR($I513)*12+MONTH($I513))-(YEAR($H513)*12+MONTH($H513))+1))</f>
        <v/>
      </c>
      <c r="M513" s="50">
        <f>IF($J513="",0,$K513*MAX(0,MIN(YEAR($C$3)*12+MONTH($C$3)-1,YEAR($I513)*12+MONTH($I513))-(YEAR($H513)*12+MONTH($H513))+1))</f>
        <v/>
      </c>
      <c r="N513" s="50">
        <f>IF(OR($J513="",$B513=""),0,IF(YEAR($B513)*12+MONTH($B513)&lt;=YEAR($C$3)*12+MONTH($C$3),$G513,0))</f>
        <v/>
      </c>
      <c r="O513" s="50">
        <f>IF(OR($J513="",$B513=""),0,IF(YEAR($B513)*12+MONTH($B513)&lt;=YEAR($C$3)*12+MONTH($C$3)-1,$G513,0))</f>
        <v/>
      </c>
      <c r="P513" s="50">
        <f>$M513-$O513</f>
        <v/>
      </c>
      <c r="Q513" s="50">
        <f>($L513-$M513)-($N513-$O513)</f>
        <v/>
      </c>
      <c r="R513" s="50">
        <f>$L513-$N513</f>
        <v/>
      </c>
    </row>
    <row r="514">
      <c r="A514" s="47">
        <f>ROW()-5</f>
        <v/>
      </c>
      <c r="B514" s="48">
        <f>IFERROR(INDEX(tbl_Finance[Date],$A514),"")</f>
        <v/>
      </c>
      <c r="C514" s="49">
        <f>IFERROR(INDEX(tbl_Finance[Xero Invoice No],$A514),"")</f>
        <v/>
      </c>
      <c r="D514" s="49">
        <f>IFERROR(INDEX(tbl_Finance[Client],$A514),"")</f>
        <v/>
      </c>
      <c r="E514" s="49">
        <f>IFERROR(INDEX(tbl_Finance[Job Number],$A514),"")</f>
        <v/>
      </c>
      <c r="F514" s="49">
        <f>IFERROR(INDEX(tbl_Finance[Cost Centre],$A514),"")</f>
        <v/>
      </c>
      <c r="G514" s="50">
        <f>IFERROR(INDEX(tbl_Finance[Ex GST],$A514),"")</f>
        <v/>
      </c>
      <c r="H514" s="48">
        <f>IFERROR(INDEX(tbl_Finance[Defer Start],$A514),"")</f>
        <v/>
      </c>
      <c r="I514" s="48">
        <f>IFERROR(INDEX(tbl_Finance[Defer End],$A514),"")</f>
        <v/>
      </c>
      <c r="J514" s="47">
        <f>IF(OR($H514="",$I514="",$G514=""),"",MAX(1,(YEAR($I514)-YEAR($H514))*12+MONTH($I514)-MONTH($H514)+1))</f>
        <v/>
      </c>
      <c r="K514" s="50">
        <f>IF($J514="","",$G514/$J514)</f>
        <v/>
      </c>
      <c r="L514" s="50">
        <f>IF($J514="",0,$K514*MAX(0,MIN(YEAR($C$3)*12+MONTH($C$3),YEAR($I514)*12+MONTH($I514))-(YEAR($H514)*12+MONTH($H514))+1))</f>
        <v/>
      </c>
      <c r="M514" s="50">
        <f>IF($J514="",0,$K514*MAX(0,MIN(YEAR($C$3)*12+MONTH($C$3)-1,YEAR($I514)*12+MONTH($I514))-(YEAR($H514)*12+MONTH($H514))+1))</f>
        <v/>
      </c>
      <c r="N514" s="50">
        <f>IF(OR($J514="",$B514=""),0,IF(YEAR($B514)*12+MONTH($B514)&lt;=YEAR($C$3)*12+MONTH($C$3),$G514,0))</f>
        <v/>
      </c>
      <c r="O514" s="50">
        <f>IF(OR($J514="",$B514=""),0,IF(YEAR($B514)*12+MONTH($B514)&lt;=YEAR($C$3)*12+MONTH($C$3)-1,$G514,0))</f>
        <v/>
      </c>
      <c r="P514" s="50">
        <f>$M514-$O514</f>
        <v/>
      </c>
      <c r="Q514" s="50">
        <f>($L514-$M514)-($N514-$O514)</f>
        <v/>
      </c>
      <c r="R514" s="50">
        <f>$L514-$N514</f>
        <v/>
      </c>
    </row>
    <row r="515">
      <c r="A515" s="47">
        <f>ROW()-5</f>
        <v/>
      </c>
      <c r="B515" s="48">
        <f>IFERROR(INDEX(tbl_Finance[Date],$A515),"")</f>
        <v/>
      </c>
      <c r="C515" s="49">
        <f>IFERROR(INDEX(tbl_Finance[Xero Invoice No],$A515),"")</f>
        <v/>
      </c>
      <c r="D515" s="49">
        <f>IFERROR(INDEX(tbl_Finance[Client],$A515),"")</f>
        <v/>
      </c>
      <c r="E515" s="49">
        <f>IFERROR(INDEX(tbl_Finance[Job Number],$A515),"")</f>
        <v/>
      </c>
      <c r="F515" s="49">
        <f>IFERROR(INDEX(tbl_Finance[Cost Centre],$A515),"")</f>
        <v/>
      </c>
      <c r="G515" s="50">
        <f>IFERROR(INDEX(tbl_Finance[Ex GST],$A515),"")</f>
        <v/>
      </c>
      <c r="H515" s="48">
        <f>IFERROR(INDEX(tbl_Finance[Defer Start],$A515),"")</f>
        <v/>
      </c>
      <c r="I515" s="48">
        <f>IFERROR(INDEX(tbl_Finance[Defer End],$A515),"")</f>
        <v/>
      </c>
      <c r="J515" s="47">
        <f>IF(OR($H515="",$I515="",$G515=""),"",MAX(1,(YEAR($I515)-YEAR($H515))*12+MONTH($I515)-MONTH($H515)+1))</f>
        <v/>
      </c>
      <c r="K515" s="50">
        <f>IF($J515="","",$G515/$J515)</f>
        <v/>
      </c>
      <c r="L515" s="50">
        <f>IF($J515="",0,$K515*MAX(0,MIN(YEAR($C$3)*12+MONTH($C$3),YEAR($I515)*12+MONTH($I515))-(YEAR($H515)*12+MONTH($H515))+1))</f>
        <v/>
      </c>
      <c r="M515" s="50">
        <f>IF($J515="",0,$K515*MAX(0,MIN(YEAR($C$3)*12+MONTH($C$3)-1,YEAR($I515)*12+MONTH($I515))-(YEAR($H515)*12+MONTH($H515))+1))</f>
        <v/>
      </c>
      <c r="N515" s="50">
        <f>IF(OR($J515="",$B515=""),0,IF(YEAR($B515)*12+MONTH($B515)&lt;=YEAR($C$3)*12+MONTH($C$3),$G515,0))</f>
        <v/>
      </c>
      <c r="O515" s="50">
        <f>IF(OR($J515="",$B515=""),0,IF(YEAR($B515)*12+MONTH($B515)&lt;=YEAR($C$3)*12+MONTH($C$3)-1,$G515,0))</f>
        <v/>
      </c>
      <c r="P515" s="50">
        <f>$M515-$O515</f>
        <v/>
      </c>
      <c r="Q515" s="50">
        <f>($L515-$M515)-($N515-$O515)</f>
        <v/>
      </c>
      <c r="R515" s="50">
        <f>$L515-$N515</f>
        <v/>
      </c>
    </row>
    <row r="516">
      <c r="A516" s="47">
        <f>ROW()-5</f>
        <v/>
      </c>
      <c r="B516" s="48">
        <f>IFERROR(INDEX(tbl_Finance[Date],$A516),"")</f>
        <v/>
      </c>
      <c r="C516" s="49">
        <f>IFERROR(INDEX(tbl_Finance[Xero Invoice No],$A516),"")</f>
        <v/>
      </c>
      <c r="D516" s="49">
        <f>IFERROR(INDEX(tbl_Finance[Client],$A516),"")</f>
        <v/>
      </c>
      <c r="E516" s="49">
        <f>IFERROR(INDEX(tbl_Finance[Job Number],$A516),"")</f>
        <v/>
      </c>
      <c r="F516" s="49">
        <f>IFERROR(INDEX(tbl_Finance[Cost Centre],$A516),"")</f>
        <v/>
      </c>
      <c r="G516" s="50">
        <f>IFERROR(INDEX(tbl_Finance[Ex GST],$A516),"")</f>
        <v/>
      </c>
      <c r="H516" s="48">
        <f>IFERROR(INDEX(tbl_Finance[Defer Start],$A516),"")</f>
        <v/>
      </c>
      <c r="I516" s="48">
        <f>IFERROR(INDEX(tbl_Finance[Defer End],$A516),"")</f>
        <v/>
      </c>
      <c r="J516" s="47">
        <f>IF(OR($H516="",$I516="",$G516=""),"",MAX(1,(YEAR($I516)-YEAR($H516))*12+MONTH($I516)-MONTH($H516)+1))</f>
        <v/>
      </c>
      <c r="K516" s="50">
        <f>IF($J516="","",$G516/$J516)</f>
        <v/>
      </c>
      <c r="L516" s="50">
        <f>IF($J516="",0,$K516*MAX(0,MIN(YEAR($C$3)*12+MONTH($C$3),YEAR($I516)*12+MONTH($I516))-(YEAR($H516)*12+MONTH($H516))+1))</f>
        <v/>
      </c>
      <c r="M516" s="50">
        <f>IF($J516="",0,$K516*MAX(0,MIN(YEAR($C$3)*12+MONTH($C$3)-1,YEAR($I516)*12+MONTH($I516))-(YEAR($H516)*12+MONTH($H516))+1))</f>
        <v/>
      </c>
      <c r="N516" s="50">
        <f>IF(OR($J516="",$B516=""),0,IF(YEAR($B516)*12+MONTH($B516)&lt;=YEAR($C$3)*12+MONTH($C$3),$G516,0))</f>
        <v/>
      </c>
      <c r="O516" s="50">
        <f>IF(OR($J516="",$B516=""),0,IF(YEAR($B516)*12+MONTH($B516)&lt;=YEAR($C$3)*12+MONTH($C$3)-1,$G516,0))</f>
        <v/>
      </c>
      <c r="P516" s="50">
        <f>$M516-$O516</f>
        <v/>
      </c>
      <c r="Q516" s="50">
        <f>($L516-$M516)-($N516-$O516)</f>
        <v/>
      </c>
      <c r="R516" s="50">
        <f>$L516-$N516</f>
        <v/>
      </c>
    </row>
    <row r="517">
      <c r="A517" s="47">
        <f>ROW()-5</f>
        <v/>
      </c>
      <c r="B517" s="48">
        <f>IFERROR(INDEX(tbl_Finance[Date],$A517),"")</f>
        <v/>
      </c>
      <c r="C517" s="49">
        <f>IFERROR(INDEX(tbl_Finance[Xero Invoice No],$A517),"")</f>
        <v/>
      </c>
      <c r="D517" s="49">
        <f>IFERROR(INDEX(tbl_Finance[Client],$A517),"")</f>
        <v/>
      </c>
      <c r="E517" s="49">
        <f>IFERROR(INDEX(tbl_Finance[Job Number],$A517),"")</f>
        <v/>
      </c>
      <c r="F517" s="49">
        <f>IFERROR(INDEX(tbl_Finance[Cost Centre],$A517),"")</f>
        <v/>
      </c>
      <c r="G517" s="50">
        <f>IFERROR(INDEX(tbl_Finance[Ex GST],$A517),"")</f>
        <v/>
      </c>
      <c r="H517" s="48">
        <f>IFERROR(INDEX(tbl_Finance[Defer Start],$A517),"")</f>
        <v/>
      </c>
      <c r="I517" s="48">
        <f>IFERROR(INDEX(tbl_Finance[Defer End],$A517),"")</f>
        <v/>
      </c>
      <c r="J517" s="47">
        <f>IF(OR($H517="",$I517="",$G517=""),"",MAX(1,(YEAR($I517)-YEAR($H517))*12+MONTH($I517)-MONTH($H517)+1))</f>
        <v/>
      </c>
      <c r="K517" s="50">
        <f>IF($J517="","",$G517/$J517)</f>
        <v/>
      </c>
      <c r="L517" s="50">
        <f>IF($J517="",0,$K517*MAX(0,MIN(YEAR($C$3)*12+MONTH($C$3),YEAR($I517)*12+MONTH($I517))-(YEAR($H517)*12+MONTH($H517))+1))</f>
        <v/>
      </c>
      <c r="M517" s="50">
        <f>IF($J517="",0,$K517*MAX(0,MIN(YEAR($C$3)*12+MONTH($C$3)-1,YEAR($I517)*12+MONTH($I517))-(YEAR($H517)*12+MONTH($H517))+1))</f>
        <v/>
      </c>
      <c r="N517" s="50">
        <f>IF(OR($J517="",$B517=""),0,IF(YEAR($B517)*12+MONTH($B517)&lt;=YEAR($C$3)*12+MONTH($C$3),$G517,0))</f>
        <v/>
      </c>
      <c r="O517" s="50">
        <f>IF(OR($J517="",$B517=""),0,IF(YEAR($B517)*12+MONTH($B517)&lt;=YEAR($C$3)*12+MONTH($C$3)-1,$G517,0))</f>
        <v/>
      </c>
      <c r="P517" s="50">
        <f>$M517-$O517</f>
        <v/>
      </c>
      <c r="Q517" s="50">
        <f>($L517-$M517)-($N517-$O517)</f>
        <v/>
      </c>
      <c r="R517" s="50">
        <f>$L517-$N517</f>
        <v/>
      </c>
    </row>
    <row r="518">
      <c r="A518" s="47">
        <f>ROW()-5</f>
        <v/>
      </c>
      <c r="B518" s="48">
        <f>IFERROR(INDEX(tbl_Finance[Date],$A518),"")</f>
        <v/>
      </c>
      <c r="C518" s="49">
        <f>IFERROR(INDEX(tbl_Finance[Xero Invoice No],$A518),"")</f>
        <v/>
      </c>
      <c r="D518" s="49">
        <f>IFERROR(INDEX(tbl_Finance[Client],$A518),"")</f>
        <v/>
      </c>
      <c r="E518" s="49">
        <f>IFERROR(INDEX(tbl_Finance[Job Number],$A518),"")</f>
        <v/>
      </c>
      <c r="F518" s="49">
        <f>IFERROR(INDEX(tbl_Finance[Cost Centre],$A518),"")</f>
        <v/>
      </c>
      <c r="G518" s="50">
        <f>IFERROR(INDEX(tbl_Finance[Ex GST],$A518),"")</f>
        <v/>
      </c>
      <c r="H518" s="48">
        <f>IFERROR(INDEX(tbl_Finance[Defer Start],$A518),"")</f>
        <v/>
      </c>
      <c r="I518" s="48">
        <f>IFERROR(INDEX(tbl_Finance[Defer End],$A518),"")</f>
        <v/>
      </c>
      <c r="J518" s="47">
        <f>IF(OR($H518="",$I518="",$G518=""),"",MAX(1,(YEAR($I518)-YEAR($H518))*12+MONTH($I518)-MONTH($H518)+1))</f>
        <v/>
      </c>
      <c r="K518" s="50">
        <f>IF($J518="","",$G518/$J518)</f>
        <v/>
      </c>
      <c r="L518" s="50">
        <f>IF($J518="",0,$K518*MAX(0,MIN(YEAR($C$3)*12+MONTH($C$3),YEAR($I518)*12+MONTH($I518))-(YEAR($H518)*12+MONTH($H518))+1))</f>
        <v/>
      </c>
      <c r="M518" s="50">
        <f>IF($J518="",0,$K518*MAX(0,MIN(YEAR($C$3)*12+MONTH($C$3)-1,YEAR($I518)*12+MONTH($I518))-(YEAR($H518)*12+MONTH($H518))+1))</f>
        <v/>
      </c>
      <c r="N518" s="50">
        <f>IF(OR($J518="",$B518=""),0,IF(YEAR($B518)*12+MONTH($B518)&lt;=YEAR($C$3)*12+MONTH($C$3),$G518,0))</f>
        <v/>
      </c>
      <c r="O518" s="50">
        <f>IF(OR($J518="",$B518=""),0,IF(YEAR($B518)*12+MONTH($B518)&lt;=YEAR($C$3)*12+MONTH($C$3)-1,$G518,0))</f>
        <v/>
      </c>
      <c r="P518" s="50">
        <f>$M518-$O518</f>
        <v/>
      </c>
      <c r="Q518" s="50">
        <f>($L518-$M518)-($N518-$O518)</f>
        <v/>
      </c>
      <c r="R518" s="50">
        <f>$L518-$N518</f>
        <v/>
      </c>
    </row>
    <row r="519">
      <c r="A519" s="47">
        <f>ROW()-5</f>
        <v/>
      </c>
      <c r="B519" s="48">
        <f>IFERROR(INDEX(tbl_Finance[Date],$A519),"")</f>
        <v/>
      </c>
      <c r="C519" s="49">
        <f>IFERROR(INDEX(tbl_Finance[Xero Invoice No],$A519),"")</f>
        <v/>
      </c>
      <c r="D519" s="49">
        <f>IFERROR(INDEX(tbl_Finance[Client],$A519),"")</f>
        <v/>
      </c>
      <c r="E519" s="49">
        <f>IFERROR(INDEX(tbl_Finance[Job Number],$A519),"")</f>
        <v/>
      </c>
      <c r="F519" s="49">
        <f>IFERROR(INDEX(tbl_Finance[Cost Centre],$A519),"")</f>
        <v/>
      </c>
      <c r="G519" s="50">
        <f>IFERROR(INDEX(tbl_Finance[Ex GST],$A519),"")</f>
        <v/>
      </c>
      <c r="H519" s="48">
        <f>IFERROR(INDEX(tbl_Finance[Defer Start],$A519),"")</f>
        <v/>
      </c>
      <c r="I519" s="48">
        <f>IFERROR(INDEX(tbl_Finance[Defer End],$A519),"")</f>
        <v/>
      </c>
      <c r="J519" s="47">
        <f>IF(OR($H519="",$I519="",$G519=""),"",MAX(1,(YEAR($I519)-YEAR($H519))*12+MONTH($I519)-MONTH($H519)+1))</f>
        <v/>
      </c>
      <c r="K519" s="50">
        <f>IF($J519="","",$G519/$J519)</f>
        <v/>
      </c>
      <c r="L519" s="50">
        <f>IF($J519="",0,$K519*MAX(0,MIN(YEAR($C$3)*12+MONTH($C$3),YEAR($I519)*12+MONTH($I519))-(YEAR($H519)*12+MONTH($H519))+1))</f>
        <v/>
      </c>
      <c r="M519" s="50">
        <f>IF($J519="",0,$K519*MAX(0,MIN(YEAR($C$3)*12+MONTH($C$3)-1,YEAR($I519)*12+MONTH($I519))-(YEAR($H519)*12+MONTH($H519))+1))</f>
        <v/>
      </c>
      <c r="N519" s="50">
        <f>IF(OR($J519="",$B519=""),0,IF(YEAR($B519)*12+MONTH($B519)&lt;=YEAR($C$3)*12+MONTH($C$3),$G519,0))</f>
        <v/>
      </c>
      <c r="O519" s="50">
        <f>IF(OR($J519="",$B519=""),0,IF(YEAR($B519)*12+MONTH($B519)&lt;=YEAR($C$3)*12+MONTH($C$3)-1,$G519,0))</f>
        <v/>
      </c>
      <c r="P519" s="50">
        <f>$M519-$O519</f>
        <v/>
      </c>
      <c r="Q519" s="50">
        <f>($L519-$M519)-($N519-$O519)</f>
        <v/>
      </c>
      <c r="R519" s="50">
        <f>$L519-$N519</f>
        <v/>
      </c>
    </row>
    <row r="520">
      <c r="A520" s="47">
        <f>ROW()-5</f>
        <v/>
      </c>
      <c r="B520" s="48">
        <f>IFERROR(INDEX(tbl_Finance[Date],$A520),"")</f>
        <v/>
      </c>
      <c r="C520" s="49">
        <f>IFERROR(INDEX(tbl_Finance[Xero Invoice No],$A520),"")</f>
        <v/>
      </c>
      <c r="D520" s="49">
        <f>IFERROR(INDEX(tbl_Finance[Client],$A520),"")</f>
        <v/>
      </c>
      <c r="E520" s="49">
        <f>IFERROR(INDEX(tbl_Finance[Job Number],$A520),"")</f>
        <v/>
      </c>
      <c r="F520" s="49">
        <f>IFERROR(INDEX(tbl_Finance[Cost Centre],$A520),"")</f>
        <v/>
      </c>
      <c r="G520" s="50">
        <f>IFERROR(INDEX(tbl_Finance[Ex GST],$A520),"")</f>
        <v/>
      </c>
      <c r="H520" s="48">
        <f>IFERROR(INDEX(tbl_Finance[Defer Start],$A520),"")</f>
        <v/>
      </c>
      <c r="I520" s="48">
        <f>IFERROR(INDEX(tbl_Finance[Defer End],$A520),"")</f>
        <v/>
      </c>
      <c r="J520" s="47">
        <f>IF(OR($H520="",$I520="",$G520=""),"",MAX(1,(YEAR($I520)-YEAR($H520))*12+MONTH($I520)-MONTH($H520)+1))</f>
        <v/>
      </c>
      <c r="K520" s="50">
        <f>IF($J520="","",$G520/$J520)</f>
        <v/>
      </c>
      <c r="L520" s="50">
        <f>IF($J520="",0,$K520*MAX(0,MIN(YEAR($C$3)*12+MONTH($C$3),YEAR($I520)*12+MONTH($I520))-(YEAR($H520)*12+MONTH($H520))+1))</f>
        <v/>
      </c>
      <c r="M520" s="50">
        <f>IF($J520="",0,$K520*MAX(0,MIN(YEAR($C$3)*12+MONTH($C$3)-1,YEAR($I520)*12+MONTH($I520))-(YEAR($H520)*12+MONTH($H520))+1))</f>
        <v/>
      </c>
      <c r="N520" s="50">
        <f>IF(OR($J520="",$B520=""),0,IF(YEAR($B520)*12+MONTH($B520)&lt;=YEAR($C$3)*12+MONTH($C$3),$G520,0))</f>
        <v/>
      </c>
      <c r="O520" s="50">
        <f>IF(OR($J520="",$B520=""),0,IF(YEAR($B520)*12+MONTH($B520)&lt;=YEAR($C$3)*12+MONTH($C$3)-1,$G520,0))</f>
        <v/>
      </c>
      <c r="P520" s="50">
        <f>$M520-$O520</f>
        <v/>
      </c>
      <c r="Q520" s="50">
        <f>($L520-$M520)-($N520-$O520)</f>
        <v/>
      </c>
      <c r="R520" s="50">
        <f>$L520-$N520</f>
        <v/>
      </c>
    </row>
    <row r="521">
      <c r="A521" s="47">
        <f>ROW()-5</f>
        <v/>
      </c>
      <c r="B521" s="48">
        <f>IFERROR(INDEX(tbl_Finance[Date],$A521),"")</f>
        <v/>
      </c>
      <c r="C521" s="49">
        <f>IFERROR(INDEX(tbl_Finance[Xero Invoice No],$A521),"")</f>
        <v/>
      </c>
      <c r="D521" s="49">
        <f>IFERROR(INDEX(tbl_Finance[Client],$A521),"")</f>
        <v/>
      </c>
      <c r="E521" s="49">
        <f>IFERROR(INDEX(tbl_Finance[Job Number],$A521),"")</f>
        <v/>
      </c>
      <c r="F521" s="49">
        <f>IFERROR(INDEX(tbl_Finance[Cost Centre],$A521),"")</f>
        <v/>
      </c>
      <c r="G521" s="50">
        <f>IFERROR(INDEX(tbl_Finance[Ex GST],$A521),"")</f>
        <v/>
      </c>
      <c r="H521" s="48">
        <f>IFERROR(INDEX(tbl_Finance[Defer Start],$A521),"")</f>
        <v/>
      </c>
      <c r="I521" s="48">
        <f>IFERROR(INDEX(tbl_Finance[Defer End],$A521),"")</f>
        <v/>
      </c>
      <c r="J521" s="47">
        <f>IF(OR($H521="",$I521="",$G521=""),"",MAX(1,(YEAR($I521)-YEAR($H521))*12+MONTH($I521)-MONTH($H521)+1))</f>
        <v/>
      </c>
      <c r="K521" s="50">
        <f>IF($J521="","",$G521/$J521)</f>
        <v/>
      </c>
      <c r="L521" s="50">
        <f>IF($J521="",0,$K521*MAX(0,MIN(YEAR($C$3)*12+MONTH($C$3),YEAR($I521)*12+MONTH($I521))-(YEAR($H521)*12+MONTH($H521))+1))</f>
        <v/>
      </c>
      <c r="M521" s="50">
        <f>IF($J521="",0,$K521*MAX(0,MIN(YEAR($C$3)*12+MONTH($C$3)-1,YEAR($I521)*12+MONTH($I521))-(YEAR($H521)*12+MONTH($H521))+1))</f>
        <v/>
      </c>
      <c r="N521" s="50">
        <f>IF(OR($J521="",$B521=""),0,IF(YEAR($B521)*12+MONTH($B521)&lt;=YEAR($C$3)*12+MONTH($C$3),$G521,0))</f>
        <v/>
      </c>
      <c r="O521" s="50">
        <f>IF(OR($J521="",$B521=""),0,IF(YEAR($B521)*12+MONTH($B521)&lt;=YEAR($C$3)*12+MONTH($C$3)-1,$G521,0))</f>
        <v/>
      </c>
      <c r="P521" s="50">
        <f>$M521-$O521</f>
        <v/>
      </c>
      <c r="Q521" s="50">
        <f>($L521-$M521)-($N521-$O521)</f>
        <v/>
      </c>
      <c r="R521" s="50">
        <f>$L521-$N521</f>
        <v/>
      </c>
    </row>
    <row r="522">
      <c r="A522" s="47">
        <f>ROW()-5</f>
        <v/>
      </c>
      <c r="B522" s="48">
        <f>IFERROR(INDEX(tbl_Finance[Date],$A522),"")</f>
        <v/>
      </c>
      <c r="C522" s="49">
        <f>IFERROR(INDEX(tbl_Finance[Xero Invoice No],$A522),"")</f>
        <v/>
      </c>
      <c r="D522" s="49">
        <f>IFERROR(INDEX(tbl_Finance[Client],$A522),"")</f>
        <v/>
      </c>
      <c r="E522" s="49">
        <f>IFERROR(INDEX(tbl_Finance[Job Number],$A522),"")</f>
        <v/>
      </c>
      <c r="F522" s="49">
        <f>IFERROR(INDEX(tbl_Finance[Cost Centre],$A522),"")</f>
        <v/>
      </c>
      <c r="G522" s="50">
        <f>IFERROR(INDEX(tbl_Finance[Ex GST],$A522),"")</f>
        <v/>
      </c>
      <c r="H522" s="48">
        <f>IFERROR(INDEX(tbl_Finance[Defer Start],$A522),"")</f>
        <v/>
      </c>
      <c r="I522" s="48">
        <f>IFERROR(INDEX(tbl_Finance[Defer End],$A522),"")</f>
        <v/>
      </c>
      <c r="J522" s="47">
        <f>IF(OR($H522="",$I522="",$G522=""),"",MAX(1,(YEAR($I522)-YEAR($H522))*12+MONTH($I522)-MONTH($H522)+1))</f>
        <v/>
      </c>
      <c r="K522" s="50">
        <f>IF($J522="","",$G522/$J522)</f>
        <v/>
      </c>
      <c r="L522" s="50">
        <f>IF($J522="",0,$K522*MAX(0,MIN(YEAR($C$3)*12+MONTH($C$3),YEAR($I522)*12+MONTH($I522))-(YEAR($H522)*12+MONTH($H522))+1))</f>
        <v/>
      </c>
      <c r="M522" s="50">
        <f>IF($J522="",0,$K522*MAX(0,MIN(YEAR($C$3)*12+MONTH($C$3)-1,YEAR($I522)*12+MONTH($I522))-(YEAR($H522)*12+MONTH($H522))+1))</f>
        <v/>
      </c>
      <c r="N522" s="50">
        <f>IF(OR($J522="",$B522=""),0,IF(YEAR($B522)*12+MONTH($B522)&lt;=YEAR($C$3)*12+MONTH($C$3),$G522,0))</f>
        <v/>
      </c>
      <c r="O522" s="50">
        <f>IF(OR($J522="",$B522=""),0,IF(YEAR($B522)*12+MONTH($B522)&lt;=YEAR($C$3)*12+MONTH($C$3)-1,$G522,0))</f>
        <v/>
      </c>
      <c r="P522" s="50">
        <f>$M522-$O522</f>
        <v/>
      </c>
      <c r="Q522" s="50">
        <f>($L522-$M522)-($N522-$O522)</f>
        <v/>
      </c>
      <c r="R522" s="50">
        <f>$L522-$N522</f>
        <v/>
      </c>
    </row>
    <row r="523">
      <c r="A523" s="47">
        <f>ROW()-5</f>
        <v/>
      </c>
      <c r="B523" s="48">
        <f>IFERROR(INDEX(tbl_Finance[Date],$A523),"")</f>
        <v/>
      </c>
      <c r="C523" s="49">
        <f>IFERROR(INDEX(tbl_Finance[Xero Invoice No],$A523),"")</f>
        <v/>
      </c>
      <c r="D523" s="49">
        <f>IFERROR(INDEX(tbl_Finance[Client],$A523),"")</f>
        <v/>
      </c>
      <c r="E523" s="49">
        <f>IFERROR(INDEX(tbl_Finance[Job Number],$A523),"")</f>
        <v/>
      </c>
      <c r="F523" s="49">
        <f>IFERROR(INDEX(tbl_Finance[Cost Centre],$A523),"")</f>
        <v/>
      </c>
      <c r="G523" s="50">
        <f>IFERROR(INDEX(tbl_Finance[Ex GST],$A523),"")</f>
        <v/>
      </c>
      <c r="H523" s="48">
        <f>IFERROR(INDEX(tbl_Finance[Defer Start],$A523),"")</f>
        <v/>
      </c>
      <c r="I523" s="48">
        <f>IFERROR(INDEX(tbl_Finance[Defer End],$A523),"")</f>
        <v/>
      </c>
      <c r="J523" s="47">
        <f>IF(OR($H523="",$I523="",$G523=""),"",MAX(1,(YEAR($I523)-YEAR($H523))*12+MONTH($I523)-MONTH($H523)+1))</f>
        <v/>
      </c>
      <c r="K523" s="50">
        <f>IF($J523="","",$G523/$J523)</f>
        <v/>
      </c>
      <c r="L523" s="50">
        <f>IF($J523="",0,$K523*MAX(0,MIN(YEAR($C$3)*12+MONTH($C$3),YEAR($I523)*12+MONTH($I523))-(YEAR($H523)*12+MONTH($H523))+1))</f>
        <v/>
      </c>
      <c r="M523" s="50">
        <f>IF($J523="",0,$K523*MAX(0,MIN(YEAR($C$3)*12+MONTH($C$3)-1,YEAR($I523)*12+MONTH($I523))-(YEAR($H523)*12+MONTH($H523))+1))</f>
        <v/>
      </c>
      <c r="N523" s="50">
        <f>IF(OR($J523="",$B523=""),0,IF(YEAR($B523)*12+MONTH($B523)&lt;=YEAR($C$3)*12+MONTH($C$3),$G523,0))</f>
        <v/>
      </c>
      <c r="O523" s="50">
        <f>IF(OR($J523="",$B523=""),0,IF(YEAR($B523)*12+MONTH($B523)&lt;=YEAR($C$3)*12+MONTH($C$3)-1,$G523,0))</f>
        <v/>
      </c>
      <c r="P523" s="50">
        <f>$M523-$O523</f>
        <v/>
      </c>
      <c r="Q523" s="50">
        <f>($L523-$M523)-($N523-$O523)</f>
        <v/>
      </c>
      <c r="R523" s="50">
        <f>$L523-$N523</f>
        <v/>
      </c>
    </row>
    <row r="524">
      <c r="A524" s="47">
        <f>ROW()-5</f>
        <v/>
      </c>
      <c r="B524" s="48">
        <f>IFERROR(INDEX(tbl_Finance[Date],$A524),"")</f>
        <v/>
      </c>
      <c r="C524" s="49">
        <f>IFERROR(INDEX(tbl_Finance[Xero Invoice No],$A524),"")</f>
        <v/>
      </c>
      <c r="D524" s="49">
        <f>IFERROR(INDEX(tbl_Finance[Client],$A524),"")</f>
        <v/>
      </c>
      <c r="E524" s="49">
        <f>IFERROR(INDEX(tbl_Finance[Job Number],$A524),"")</f>
        <v/>
      </c>
      <c r="F524" s="49">
        <f>IFERROR(INDEX(tbl_Finance[Cost Centre],$A524),"")</f>
        <v/>
      </c>
      <c r="G524" s="50">
        <f>IFERROR(INDEX(tbl_Finance[Ex GST],$A524),"")</f>
        <v/>
      </c>
      <c r="H524" s="48">
        <f>IFERROR(INDEX(tbl_Finance[Defer Start],$A524),"")</f>
        <v/>
      </c>
      <c r="I524" s="48">
        <f>IFERROR(INDEX(tbl_Finance[Defer End],$A524),"")</f>
        <v/>
      </c>
      <c r="J524" s="47">
        <f>IF(OR($H524="",$I524="",$G524=""),"",MAX(1,(YEAR($I524)-YEAR($H524))*12+MONTH($I524)-MONTH($H524)+1))</f>
        <v/>
      </c>
      <c r="K524" s="50">
        <f>IF($J524="","",$G524/$J524)</f>
        <v/>
      </c>
      <c r="L524" s="50">
        <f>IF($J524="",0,$K524*MAX(0,MIN(YEAR($C$3)*12+MONTH($C$3),YEAR($I524)*12+MONTH($I524))-(YEAR($H524)*12+MONTH($H524))+1))</f>
        <v/>
      </c>
      <c r="M524" s="50">
        <f>IF($J524="",0,$K524*MAX(0,MIN(YEAR($C$3)*12+MONTH($C$3)-1,YEAR($I524)*12+MONTH($I524))-(YEAR($H524)*12+MONTH($H524))+1))</f>
        <v/>
      </c>
      <c r="N524" s="50">
        <f>IF(OR($J524="",$B524=""),0,IF(YEAR($B524)*12+MONTH($B524)&lt;=YEAR($C$3)*12+MONTH($C$3),$G524,0))</f>
        <v/>
      </c>
      <c r="O524" s="50">
        <f>IF(OR($J524="",$B524=""),0,IF(YEAR($B524)*12+MONTH($B524)&lt;=YEAR($C$3)*12+MONTH($C$3)-1,$G524,0))</f>
        <v/>
      </c>
      <c r="P524" s="50">
        <f>$M524-$O524</f>
        <v/>
      </c>
      <c r="Q524" s="50">
        <f>($L524-$M524)-($N524-$O524)</f>
        <v/>
      </c>
      <c r="R524" s="50">
        <f>$L524-$N524</f>
        <v/>
      </c>
    </row>
    <row r="525">
      <c r="A525" s="47">
        <f>ROW()-5</f>
        <v/>
      </c>
      <c r="B525" s="48">
        <f>IFERROR(INDEX(tbl_Finance[Date],$A525),"")</f>
        <v/>
      </c>
      <c r="C525" s="49">
        <f>IFERROR(INDEX(tbl_Finance[Xero Invoice No],$A525),"")</f>
        <v/>
      </c>
      <c r="D525" s="49">
        <f>IFERROR(INDEX(tbl_Finance[Client],$A525),"")</f>
        <v/>
      </c>
      <c r="E525" s="49">
        <f>IFERROR(INDEX(tbl_Finance[Job Number],$A525),"")</f>
        <v/>
      </c>
      <c r="F525" s="49">
        <f>IFERROR(INDEX(tbl_Finance[Cost Centre],$A525),"")</f>
        <v/>
      </c>
      <c r="G525" s="50">
        <f>IFERROR(INDEX(tbl_Finance[Ex GST],$A525),"")</f>
        <v/>
      </c>
      <c r="H525" s="48">
        <f>IFERROR(INDEX(tbl_Finance[Defer Start],$A525),"")</f>
        <v/>
      </c>
      <c r="I525" s="48">
        <f>IFERROR(INDEX(tbl_Finance[Defer End],$A525),"")</f>
        <v/>
      </c>
      <c r="J525" s="47">
        <f>IF(OR($H525="",$I525="",$G525=""),"",MAX(1,(YEAR($I525)-YEAR($H525))*12+MONTH($I525)-MONTH($H525)+1))</f>
        <v/>
      </c>
      <c r="K525" s="50">
        <f>IF($J525="","",$G525/$J525)</f>
        <v/>
      </c>
      <c r="L525" s="50">
        <f>IF($J525="",0,$K525*MAX(0,MIN(YEAR($C$3)*12+MONTH($C$3),YEAR($I525)*12+MONTH($I525))-(YEAR($H525)*12+MONTH($H525))+1))</f>
        <v/>
      </c>
      <c r="M525" s="50">
        <f>IF($J525="",0,$K525*MAX(0,MIN(YEAR($C$3)*12+MONTH($C$3)-1,YEAR($I525)*12+MONTH($I525))-(YEAR($H525)*12+MONTH($H525))+1))</f>
        <v/>
      </c>
      <c r="N525" s="50">
        <f>IF(OR($J525="",$B525=""),0,IF(YEAR($B525)*12+MONTH($B525)&lt;=YEAR($C$3)*12+MONTH($C$3),$G525,0))</f>
        <v/>
      </c>
      <c r="O525" s="50">
        <f>IF(OR($J525="",$B525=""),0,IF(YEAR($B525)*12+MONTH($B525)&lt;=YEAR($C$3)*12+MONTH($C$3)-1,$G525,0))</f>
        <v/>
      </c>
      <c r="P525" s="50">
        <f>$M525-$O525</f>
        <v/>
      </c>
      <c r="Q525" s="50">
        <f>($L525-$M525)-($N525-$O525)</f>
        <v/>
      </c>
      <c r="R525" s="50">
        <f>$L525-$N525</f>
        <v/>
      </c>
    </row>
    <row r="526">
      <c r="A526" s="47">
        <f>ROW()-5</f>
        <v/>
      </c>
      <c r="B526" s="48">
        <f>IFERROR(INDEX(tbl_Finance[Date],$A526),"")</f>
        <v/>
      </c>
      <c r="C526" s="49">
        <f>IFERROR(INDEX(tbl_Finance[Xero Invoice No],$A526),"")</f>
        <v/>
      </c>
      <c r="D526" s="49">
        <f>IFERROR(INDEX(tbl_Finance[Client],$A526),"")</f>
        <v/>
      </c>
      <c r="E526" s="49">
        <f>IFERROR(INDEX(tbl_Finance[Job Number],$A526),"")</f>
        <v/>
      </c>
      <c r="F526" s="49">
        <f>IFERROR(INDEX(tbl_Finance[Cost Centre],$A526),"")</f>
        <v/>
      </c>
      <c r="G526" s="50">
        <f>IFERROR(INDEX(tbl_Finance[Ex GST],$A526),"")</f>
        <v/>
      </c>
      <c r="H526" s="48">
        <f>IFERROR(INDEX(tbl_Finance[Defer Start],$A526),"")</f>
        <v/>
      </c>
      <c r="I526" s="48">
        <f>IFERROR(INDEX(tbl_Finance[Defer End],$A526),"")</f>
        <v/>
      </c>
      <c r="J526" s="47">
        <f>IF(OR($H526="",$I526="",$G526=""),"",MAX(1,(YEAR($I526)-YEAR($H526))*12+MONTH($I526)-MONTH($H526)+1))</f>
        <v/>
      </c>
      <c r="K526" s="50">
        <f>IF($J526="","",$G526/$J526)</f>
        <v/>
      </c>
      <c r="L526" s="50">
        <f>IF($J526="",0,$K526*MAX(0,MIN(YEAR($C$3)*12+MONTH($C$3),YEAR($I526)*12+MONTH($I526))-(YEAR($H526)*12+MONTH($H526))+1))</f>
        <v/>
      </c>
      <c r="M526" s="50">
        <f>IF($J526="",0,$K526*MAX(0,MIN(YEAR($C$3)*12+MONTH($C$3)-1,YEAR($I526)*12+MONTH($I526))-(YEAR($H526)*12+MONTH($H526))+1))</f>
        <v/>
      </c>
      <c r="N526" s="50">
        <f>IF(OR($J526="",$B526=""),0,IF(YEAR($B526)*12+MONTH($B526)&lt;=YEAR($C$3)*12+MONTH($C$3),$G526,0))</f>
        <v/>
      </c>
      <c r="O526" s="50">
        <f>IF(OR($J526="",$B526=""),0,IF(YEAR($B526)*12+MONTH($B526)&lt;=YEAR($C$3)*12+MONTH($C$3)-1,$G526,0))</f>
        <v/>
      </c>
      <c r="P526" s="50">
        <f>$M526-$O526</f>
        <v/>
      </c>
      <c r="Q526" s="50">
        <f>($L526-$M526)-($N526-$O526)</f>
        <v/>
      </c>
      <c r="R526" s="50">
        <f>$L526-$N526</f>
        <v/>
      </c>
    </row>
    <row r="527">
      <c r="A527" s="47">
        <f>ROW()-5</f>
        <v/>
      </c>
      <c r="B527" s="48">
        <f>IFERROR(INDEX(tbl_Finance[Date],$A527),"")</f>
        <v/>
      </c>
      <c r="C527" s="49">
        <f>IFERROR(INDEX(tbl_Finance[Xero Invoice No],$A527),"")</f>
        <v/>
      </c>
      <c r="D527" s="49">
        <f>IFERROR(INDEX(tbl_Finance[Client],$A527),"")</f>
        <v/>
      </c>
      <c r="E527" s="49">
        <f>IFERROR(INDEX(tbl_Finance[Job Number],$A527),"")</f>
        <v/>
      </c>
      <c r="F527" s="49">
        <f>IFERROR(INDEX(tbl_Finance[Cost Centre],$A527),"")</f>
        <v/>
      </c>
      <c r="G527" s="50">
        <f>IFERROR(INDEX(tbl_Finance[Ex GST],$A527),"")</f>
        <v/>
      </c>
      <c r="H527" s="48">
        <f>IFERROR(INDEX(tbl_Finance[Defer Start],$A527),"")</f>
        <v/>
      </c>
      <c r="I527" s="48">
        <f>IFERROR(INDEX(tbl_Finance[Defer End],$A527),"")</f>
        <v/>
      </c>
      <c r="J527" s="47">
        <f>IF(OR($H527="",$I527="",$G527=""),"",MAX(1,(YEAR($I527)-YEAR($H527))*12+MONTH($I527)-MONTH($H527)+1))</f>
        <v/>
      </c>
      <c r="K527" s="50">
        <f>IF($J527="","",$G527/$J527)</f>
        <v/>
      </c>
      <c r="L527" s="50">
        <f>IF($J527="",0,$K527*MAX(0,MIN(YEAR($C$3)*12+MONTH($C$3),YEAR($I527)*12+MONTH($I527))-(YEAR($H527)*12+MONTH($H527))+1))</f>
        <v/>
      </c>
      <c r="M527" s="50">
        <f>IF($J527="",0,$K527*MAX(0,MIN(YEAR($C$3)*12+MONTH($C$3)-1,YEAR($I527)*12+MONTH($I527))-(YEAR($H527)*12+MONTH($H527))+1))</f>
        <v/>
      </c>
      <c r="N527" s="50">
        <f>IF(OR($J527="",$B527=""),0,IF(YEAR($B527)*12+MONTH($B527)&lt;=YEAR($C$3)*12+MONTH($C$3),$G527,0))</f>
        <v/>
      </c>
      <c r="O527" s="50">
        <f>IF(OR($J527="",$B527=""),0,IF(YEAR($B527)*12+MONTH($B527)&lt;=YEAR($C$3)*12+MONTH($C$3)-1,$G527,0))</f>
        <v/>
      </c>
      <c r="P527" s="50">
        <f>$M527-$O527</f>
        <v/>
      </c>
      <c r="Q527" s="50">
        <f>($L527-$M527)-($N527-$O527)</f>
        <v/>
      </c>
      <c r="R527" s="50">
        <f>$L527-$N527</f>
        <v/>
      </c>
    </row>
    <row r="528">
      <c r="A528" s="47">
        <f>ROW()-5</f>
        <v/>
      </c>
      <c r="B528" s="48">
        <f>IFERROR(INDEX(tbl_Finance[Date],$A528),"")</f>
        <v/>
      </c>
      <c r="C528" s="49">
        <f>IFERROR(INDEX(tbl_Finance[Xero Invoice No],$A528),"")</f>
        <v/>
      </c>
      <c r="D528" s="49">
        <f>IFERROR(INDEX(tbl_Finance[Client],$A528),"")</f>
        <v/>
      </c>
      <c r="E528" s="49">
        <f>IFERROR(INDEX(tbl_Finance[Job Number],$A528),"")</f>
        <v/>
      </c>
      <c r="F528" s="49">
        <f>IFERROR(INDEX(tbl_Finance[Cost Centre],$A528),"")</f>
        <v/>
      </c>
      <c r="G528" s="50">
        <f>IFERROR(INDEX(tbl_Finance[Ex GST],$A528),"")</f>
        <v/>
      </c>
      <c r="H528" s="48">
        <f>IFERROR(INDEX(tbl_Finance[Defer Start],$A528),"")</f>
        <v/>
      </c>
      <c r="I528" s="48">
        <f>IFERROR(INDEX(tbl_Finance[Defer End],$A528),"")</f>
        <v/>
      </c>
      <c r="J528" s="47">
        <f>IF(OR($H528="",$I528="",$G528=""),"",MAX(1,(YEAR($I528)-YEAR($H528))*12+MONTH($I528)-MONTH($H528)+1))</f>
        <v/>
      </c>
      <c r="K528" s="50">
        <f>IF($J528="","",$G528/$J528)</f>
        <v/>
      </c>
      <c r="L528" s="50">
        <f>IF($J528="",0,$K528*MAX(0,MIN(YEAR($C$3)*12+MONTH($C$3),YEAR($I528)*12+MONTH($I528))-(YEAR($H528)*12+MONTH($H528))+1))</f>
        <v/>
      </c>
      <c r="M528" s="50">
        <f>IF($J528="",0,$K528*MAX(0,MIN(YEAR($C$3)*12+MONTH($C$3)-1,YEAR($I528)*12+MONTH($I528))-(YEAR($H528)*12+MONTH($H528))+1))</f>
        <v/>
      </c>
      <c r="N528" s="50">
        <f>IF(OR($J528="",$B528=""),0,IF(YEAR($B528)*12+MONTH($B528)&lt;=YEAR($C$3)*12+MONTH($C$3),$G528,0))</f>
        <v/>
      </c>
      <c r="O528" s="50">
        <f>IF(OR($J528="",$B528=""),0,IF(YEAR($B528)*12+MONTH($B528)&lt;=YEAR($C$3)*12+MONTH($C$3)-1,$G528,0))</f>
        <v/>
      </c>
      <c r="P528" s="50">
        <f>$M528-$O528</f>
        <v/>
      </c>
      <c r="Q528" s="50">
        <f>($L528-$M528)-($N528-$O528)</f>
        <v/>
      </c>
      <c r="R528" s="50">
        <f>$L528-$N528</f>
        <v/>
      </c>
    </row>
    <row r="529">
      <c r="A529" s="47">
        <f>ROW()-5</f>
        <v/>
      </c>
      <c r="B529" s="48">
        <f>IFERROR(INDEX(tbl_Finance[Date],$A529),"")</f>
        <v/>
      </c>
      <c r="C529" s="49">
        <f>IFERROR(INDEX(tbl_Finance[Xero Invoice No],$A529),"")</f>
        <v/>
      </c>
      <c r="D529" s="49">
        <f>IFERROR(INDEX(tbl_Finance[Client],$A529),"")</f>
        <v/>
      </c>
      <c r="E529" s="49">
        <f>IFERROR(INDEX(tbl_Finance[Job Number],$A529),"")</f>
        <v/>
      </c>
      <c r="F529" s="49">
        <f>IFERROR(INDEX(tbl_Finance[Cost Centre],$A529),"")</f>
        <v/>
      </c>
      <c r="G529" s="50">
        <f>IFERROR(INDEX(tbl_Finance[Ex GST],$A529),"")</f>
        <v/>
      </c>
      <c r="H529" s="48">
        <f>IFERROR(INDEX(tbl_Finance[Defer Start],$A529),"")</f>
        <v/>
      </c>
      <c r="I529" s="48">
        <f>IFERROR(INDEX(tbl_Finance[Defer End],$A529),"")</f>
        <v/>
      </c>
      <c r="J529" s="47">
        <f>IF(OR($H529="",$I529="",$G529=""),"",MAX(1,(YEAR($I529)-YEAR($H529))*12+MONTH($I529)-MONTH($H529)+1))</f>
        <v/>
      </c>
      <c r="K529" s="50">
        <f>IF($J529="","",$G529/$J529)</f>
        <v/>
      </c>
      <c r="L529" s="50">
        <f>IF($J529="",0,$K529*MAX(0,MIN(YEAR($C$3)*12+MONTH($C$3),YEAR($I529)*12+MONTH($I529))-(YEAR($H529)*12+MONTH($H529))+1))</f>
        <v/>
      </c>
      <c r="M529" s="50">
        <f>IF($J529="",0,$K529*MAX(0,MIN(YEAR($C$3)*12+MONTH($C$3)-1,YEAR($I529)*12+MONTH($I529))-(YEAR($H529)*12+MONTH($H529))+1))</f>
        <v/>
      </c>
      <c r="N529" s="50">
        <f>IF(OR($J529="",$B529=""),0,IF(YEAR($B529)*12+MONTH($B529)&lt;=YEAR($C$3)*12+MONTH($C$3),$G529,0))</f>
        <v/>
      </c>
      <c r="O529" s="50">
        <f>IF(OR($J529="",$B529=""),0,IF(YEAR($B529)*12+MONTH($B529)&lt;=YEAR($C$3)*12+MONTH($C$3)-1,$G529,0))</f>
        <v/>
      </c>
      <c r="P529" s="50">
        <f>$M529-$O529</f>
        <v/>
      </c>
      <c r="Q529" s="50">
        <f>($L529-$M529)-($N529-$O529)</f>
        <v/>
      </c>
      <c r="R529" s="50">
        <f>$L529-$N529</f>
        <v/>
      </c>
    </row>
    <row r="530">
      <c r="A530" s="47">
        <f>ROW()-5</f>
        <v/>
      </c>
      <c r="B530" s="48">
        <f>IFERROR(INDEX(tbl_Finance[Date],$A530),"")</f>
        <v/>
      </c>
      <c r="C530" s="49">
        <f>IFERROR(INDEX(tbl_Finance[Xero Invoice No],$A530),"")</f>
        <v/>
      </c>
      <c r="D530" s="49">
        <f>IFERROR(INDEX(tbl_Finance[Client],$A530),"")</f>
        <v/>
      </c>
      <c r="E530" s="49">
        <f>IFERROR(INDEX(tbl_Finance[Job Number],$A530),"")</f>
        <v/>
      </c>
      <c r="F530" s="49">
        <f>IFERROR(INDEX(tbl_Finance[Cost Centre],$A530),"")</f>
        <v/>
      </c>
      <c r="G530" s="50">
        <f>IFERROR(INDEX(tbl_Finance[Ex GST],$A530),"")</f>
        <v/>
      </c>
      <c r="H530" s="48">
        <f>IFERROR(INDEX(tbl_Finance[Defer Start],$A530),"")</f>
        <v/>
      </c>
      <c r="I530" s="48">
        <f>IFERROR(INDEX(tbl_Finance[Defer End],$A530),"")</f>
        <v/>
      </c>
      <c r="J530" s="47">
        <f>IF(OR($H530="",$I530="",$G530=""),"",MAX(1,(YEAR($I530)-YEAR($H530))*12+MONTH($I530)-MONTH($H530)+1))</f>
        <v/>
      </c>
      <c r="K530" s="50">
        <f>IF($J530="","",$G530/$J530)</f>
        <v/>
      </c>
      <c r="L530" s="50">
        <f>IF($J530="",0,$K530*MAX(0,MIN(YEAR($C$3)*12+MONTH($C$3),YEAR($I530)*12+MONTH($I530))-(YEAR($H530)*12+MONTH($H530))+1))</f>
        <v/>
      </c>
      <c r="M530" s="50">
        <f>IF($J530="",0,$K530*MAX(0,MIN(YEAR($C$3)*12+MONTH($C$3)-1,YEAR($I530)*12+MONTH($I530))-(YEAR($H530)*12+MONTH($H530))+1))</f>
        <v/>
      </c>
      <c r="N530" s="50">
        <f>IF(OR($J530="",$B530=""),0,IF(YEAR($B530)*12+MONTH($B530)&lt;=YEAR($C$3)*12+MONTH($C$3),$G530,0))</f>
        <v/>
      </c>
      <c r="O530" s="50">
        <f>IF(OR($J530="",$B530=""),0,IF(YEAR($B530)*12+MONTH($B530)&lt;=YEAR($C$3)*12+MONTH($C$3)-1,$G530,0))</f>
        <v/>
      </c>
      <c r="P530" s="50">
        <f>$M530-$O530</f>
        <v/>
      </c>
      <c r="Q530" s="50">
        <f>($L530-$M530)-($N530-$O530)</f>
        <v/>
      </c>
      <c r="R530" s="50">
        <f>$L530-$N530</f>
        <v/>
      </c>
    </row>
    <row r="531">
      <c r="A531" s="47">
        <f>ROW()-5</f>
        <v/>
      </c>
      <c r="B531" s="48">
        <f>IFERROR(INDEX(tbl_Finance[Date],$A531),"")</f>
        <v/>
      </c>
      <c r="C531" s="49">
        <f>IFERROR(INDEX(tbl_Finance[Xero Invoice No],$A531),"")</f>
        <v/>
      </c>
      <c r="D531" s="49">
        <f>IFERROR(INDEX(tbl_Finance[Client],$A531),"")</f>
        <v/>
      </c>
      <c r="E531" s="49">
        <f>IFERROR(INDEX(tbl_Finance[Job Number],$A531),"")</f>
        <v/>
      </c>
      <c r="F531" s="49">
        <f>IFERROR(INDEX(tbl_Finance[Cost Centre],$A531),"")</f>
        <v/>
      </c>
      <c r="G531" s="50">
        <f>IFERROR(INDEX(tbl_Finance[Ex GST],$A531),"")</f>
        <v/>
      </c>
      <c r="H531" s="48">
        <f>IFERROR(INDEX(tbl_Finance[Defer Start],$A531),"")</f>
        <v/>
      </c>
      <c r="I531" s="48">
        <f>IFERROR(INDEX(tbl_Finance[Defer End],$A531),"")</f>
        <v/>
      </c>
      <c r="J531" s="47">
        <f>IF(OR($H531="",$I531="",$G531=""),"",MAX(1,(YEAR($I531)-YEAR($H531))*12+MONTH($I531)-MONTH($H531)+1))</f>
        <v/>
      </c>
      <c r="K531" s="50">
        <f>IF($J531="","",$G531/$J531)</f>
        <v/>
      </c>
      <c r="L531" s="50">
        <f>IF($J531="",0,$K531*MAX(0,MIN(YEAR($C$3)*12+MONTH($C$3),YEAR($I531)*12+MONTH($I531))-(YEAR($H531)*12+MONTH($H531))+1))</f>
        <v/>
      </c>
      <c r="M531" s="50">
        <f>IF($J531="",0,$K531*MAX(0,MIN(YEAR($C$3)*12+MONTH($C$3)-1,YEAR($I531)*12+MONTH($I531))-(YEAR($H531)*12+MONTH($H531))+1))</f>
        <v/>
      </c>
      <c r="N531" s="50">
        <f>IF(OR($J531="",$B531=""),0,IF(YEAR($B531)*12+MONTH($B531)&lt;=YEAR($C$3)*12+MONTH($C$3),$G531,0))</f>
        <v/>
      </c>
      <c r="O531" s="50">
        <f>IF(OR($J531="",$B531=""),0,IF(YEAR($B531)*12+MONTH($B531)&lt;=YEAR($C$3)*12+MONTH($C$3)-1,$G531,0))</f>
        <v/>
      </c>
      <c r="P531" s="50">
        <f>$M531-$O531</f>
        <v/>
      </c>
      <c r="Q531" s="50">
        <f>($L531-$M531)-($N531-$O531)</f>
        <v/>
      </c>
      <c r="R531" s="50">
        <f>$L531-$N531</f>
        <v/>
      </c>
    </row>
    <row r="532">
      <c r="A532" s="47">
        <f>ROW()-5</f>
        <v/>
      </c>
      <c r="B532" s="48">
        <f>IFERROR(INDEX(tbl_Finance[Date],$A532),"")</f>
        <v/>
      </c>
      <c r="C532" s="49">
        <f>IFERROR(INDEX(tbl_Finance[Xero Invoice No],$A532),"")</f>
        <v/>
      </c>
      <c r="D532" s="49">
        <f>IFERROR(INDEX(tbl_Finance[Client],$A532),"")</f>
        <v/>
      </c>
      <c r="E532" s="49">
        <f>IFERROR(INDEX(tbl_Finance[Job Number],$A532),"")</f>
        <v/>
      </c>
      <c r="F532" s="49">
        <f>IFERROR(INDEX(tbl_Finance[Cost Centre],$A532),"")</f>
        <v/>
      </c>
      <c r="G532" s="50">
        <f>IFERROR(INDEX(tbl_Finance[Ex GST],$A532),"")</f>
        <v/>
      </c>
      <c r="H532" s="48">
        <f>IFERROR(INDEX(tbl_Finance[Defer Start],$A532),"")</f>
        <v/>
      </c>
      <c r="I532" s="48">
        <f>IFERROR(INDEX(tbl_Finance[Defer End],$A532),"")</f>
        <v/>
      </c>
      <c r="J532" s="47">
        <f>IF(OR($H532="",$I532="",$G532=""),"",MAX(1,(YEAR($I532)-YEAR($H532))*12+MONTH($I532)-MONTH($H532)+1))</f>
        <v/>
      </c>
      <c r="K532" s="50">
        <f>IF($J532="","",$G532/$J532)</f>
        <v/>
      </c>
      <c r="L532" s="50">
        <f>IF($J532="",0,$K532*MAX(0,MIN(YEAR($C$3)*12+MONTH($C$3),YEAR($I532)*12+MONTH($I532))-(YEAR($H532)*12+MONTH($H532))+1))</f>
        <v/>
      </c>
      <c r="M532" s="50">
        <f>IF($J532="",0,$K532*MAX(0,MIN(YEAR($C$3)*12+MONTH($C$3)-1,YEAR($I532)*12+MONTH($I532))-(YEAR($H532)*12+MONTH($H532))+1))</f>
        <v/>
      </c>
      <c r="N532" s="50">
        <f>IF(OR($J532="",$B532=""),0,IF(YEAR($B532)*12+MONTH($B532)&lt;=YEAR($C$3)*12+MONTH($C$3),$G532,0))</f>
        <v/>
      </c>
      <c r="O532" s="50">
        <f>IF(OR($J532="",$B532=""),0,IF(YEAR($B532)*12+MONTH($B532)&lt;=YEAR($C$3)*12+MONTH($C$3)-1,$G532,0))</f>
        <v/>
      </c>
      <c r="P532" s="50">
        <f>$M532-$O532</f>
        <v/>
      </c>
      <c r="Q532" s="50">
        <f>($L532-$M532)-($N532-$O532)</f>
        <v/>
      </c>
      <c r="R532" s="50">
        <f>$L532-$N532</f>
        <v/>
      </c>
    </row>
    <row r="533">
      <c r="A533" s="47">
        <f>ROW()-5</f>
        <v/>
      </c>
      <c r="B533" s="48">
        <f>IFERROR(INDEX(tbl_Finance[Date],$A533),"")</f>
        <v/>
      </c>
      <c r="C533" s="49">
        <f>IFERROR(INDEX(tbl_Finance[Xero Invoice No],$A533),"")</f>
        <v/>
      </c>
      <c r="D533" s="49">
        <f>IFERROR(INDEX(tbl_Finance[Client],$A533),"")</f>
        <v/>
      </c>
      <c r="E533" s="49">
        <f>IFERROR(INDEX(tbl_Finance[Job Number],$A533),"")</f>
        <v/>
      </c>
      <c r="F533" s="49">
        <f>IFERROR(INDEX(tbl_Finance[Cost Centre],$A533),"")</f>
        <v/>
      </c>
      <c r="G533" s="50">
        <f>IFERROR(INDEX(tbl_Finance[Ex GST],$A533),"")</f>
        <v/>
      </c>
      <c r="H533" s="48">
        <f>IFERROR(INDEX(tbl_Finance[Defer Start],$A533),"")</f>
        <v/>
      </c>
      <c r="I533" s="48">
        <f>IFERROR(INDEX(tbl_Finance[Defer End],$A533),"")</f>
        <v/>
      </c>
      <c r="J533" s="47">
        <f>IF(OR($H533="",$I533="",$G533=""),"",MAX(1,(YEAR($I533)-YEAR($H533))*12+MONTH($I533)-MONTH($H533)+1))</f>
        <v/>
      </c>
      <c r="K533" s="50">
        <f>IF($J533="","",$G533/$J533)</f>
        <v/>
      </c>
      <c r="L533" s="50">
        <f>IF($J533="",0,$K533*MAX(0,MIN(YEAR($C$3)*12+MONTH($C$3),YEAR($I533)*12+MONTH($I533))-(YEAR($H533)*12+MONTH($H533))+1))</f>
        <v/>
      </c>
      <c r="M533" s="50">
        <f>IF($J533="",0,$K533*MAX(0,MIN(YEAR($C$3)*12+MONTH($C$3)-1,YEAR($I533)*12+MONTH($I533))-(YEAR($H533)*12+MONTH($H533))+1))</f>
        <v/>
      </c>
      <c r="N533" s="50">
        <f>IF(OR($J533="",$B533=""),0,IF(YEAR($B533)*12+MONTH($B533)&lt;=YEAR($C$3)*12+MONTH($C$3),$G533,0))</f>
        <v/>
      </c>
      <c r="O533" s="50">
        <f>IF(OR($J533="",$B533=""),0,IF(YEAR($B533)*12+MONTH($B533)&lt;=YEAR($C$3)*12+MONTH($C$3)-1,$G533,0))</f>
        <v/>
      </c>
      <c r="P533" s="50">
        <f>$M533-$O533</f>
        <v/>
      </c>
      <c r="Q533" s="50">
        <f>($L533-$M533)-($N533-$O533)</f>
        <v/>
      </c>
      <c r="R533" s="50">
        <f>$L533-$N533</f>
        <v/>
      </c>
    </row>
    <row r="534">
      <c r="A534" s="47">
        <f>ROW()-5</f>
        <v/>
      </c>
      <c r="B534" s="48">
        <f>IFERROR(INDEX(tbl_Finance[Date],$A534),"")</f>
        <v/>
      </c>
      <c r="C534" s="49">
        <f>IFERROR(INDEX(tbl_Finance[Xero Invoice No],$A534),"")</f>
        <v/>
      </c>
      <c r="D534" s="49">
        <f>IFERROR(INDEX(tbl_Finance[Client],$A534),"")</f>
        <v/>
      </c>
      <c r="E534" s="49">
        <f>IFERROR(INDEX(tbl_Finance[Job Number],$A534),"")</f>
        <v/>
      </c>
      <c r="F534" s="49">
        <f>IFERROR(INDEX(tbl_Finance[Cost Centre],$A534),"")</f>
        <v/>
      </c>
      <c r="G534" s="50">
        <f>IFERROR(INDEX(tbl_Finance[Ex GST],$A534),"")</f>
        <v/>
      </c>
      <c r="H534" s="48">
        <f>IFERROR(INDEX(tbl_Finance[Defer Start],$A534),"")</f>
        <v/>
      </c>
      <c r="I534" s="48">
        <f>IFERROR(INDEX(tbl_Finance[Defer End],$A534),"")</f>
        <v/>
      </c>
      <c r="J534" s="47">
        <f>IF(OR($H534="",$I534="",$G534=""),"",MAX(1,(YEAR($I534)-YEAR($H534))*12+MONTH($I534)-MONTH($H534)+1))</f>
        <v/>
      </c>
      <c r="K534" s="50">
        <f>IF($J534="","",$G534/$J534)</f>
        <v/>
      </c>
      <c r="L534" s="50">
        <f>IF($J534="",0,$K534*MAX(0,MIN(YEAR($C$3)*12+MONTH($C$3),YEAR($I534)*12+MONTH($I534))-(YEAR($H534)*12+MONTH($H534))+1))</f>
        <v/>
      </c>
      <c r="M534" s="50">
        <f>IF($J534="",0,$K534*MAX(0,MIN(YEAR($C$3)*12+MONTH($C$3)-1,YEAR($I534)*12+MONTH($I534))-(YEAR($H534)*12+MONTH($H534))+1))</f>
        <v/>
      </c>
      <c r="N534" s="50">
        <f>IF(OR($J534="",$B534=""),0,IF(YEAR($B534)*12+MONTH($B534)&lt;=YEAR($C$3)*12+MONTH($C$3),$G534,0))</f>
        <v/>
      </c>
      <c r="O534" s="50">
        <f>IF(OR($J534="",$B534=""),0,IF(YEAR($B534)*12+MONTH($B534)&lt;=YEAR($C$3)*12+MONTH($C$3)-1,$G534,0))</f>
        <v/>
      </c>
      <c r="P534" s="50">
        <f>$M534-$O534</f>
        <v/>
      </c>
      <c r="Q534" s="50">
        <f>($L534-$M534)-($N534-$O534)</f>
        <v/>
      </c>
      <c r="R534" s="50">
        <f>$L534-$N534</f>
        <v/>
      </c>
    </row>
    <row r="535">
      <c r="A535" s="47">
        <f>ROW()-5</f>
        <v/>
      </c>
      <c r="B535" s="48">
        <f>IFERROR(INDEX(tbl_Finance[Date],$A535),"")</f>
        <v/>
      </c>
      <c r="C535" s="49">
        <f>IFERROR(INDEX(tbl_Finance[Xero Invoice No],$A535),"")</f>
        <v/>
      </c>
      <c r="D535" s="49">
        <f>IFERROR(INDEX(tbl_Finance[Client],$A535),"")</f>
        <v/>
      </c>
      <c r="E535" s="49">
        <f>IFERROR(INDEX(tbl_Finance[Job Number],$A535),"")</f>
        <v/>
      </c>
      <c r="F535" s="49">
        <f>IFERROR(INDEX(tbl_Finance[Cost Centre],$A535),"")</f>
        <v/>
      </c>
      <c r="G535" s="50">
        <f>IFERROR(INDEX(tbl_Finance[Ex GST],$A535),"")</f>
        <v/>
      </c>
      <c r="H535" s="48">
        <f>IFERROR(INDEX(tbl_Finance[Defer Start],$A535),"")</f>
        <v/>
      </c>
      <c r="I535" s="48">
        <f>IFERROR(INDEX(tbl_Finance[Defer End],$A535),"")</f>
        <v/>
      </c>
      <c r="J535" s="47">
        <f>IF(OR($H535="",$I535="",$G535=""),"",MAX(1,(YEAR($I535)-YEAR($H535))*12+MONTH($I535)-MONTH($H535)+1))</f>
        <v/>
      </c>
      <c r="K535" s="50">
        <f>IF($J535="","",$G535/$J535)</f>
        <v/>
      </c>
      <c r="L535" s="50">
        <f>IF($J535="",0,$K535*MAX(0,MIN(YEAR($C$3)*12+MONTH($C$3),YEAR($I535)*12+MONTH($I535))-(YEAR($H535)*12+MONTH($H535))+1))</f>
        <v/>
      </c>
      <c r="M535" s="50">
        <f>IF($J535="",0,$K535*MAX(0,MIN(YEAR($C$3)*12+MONTH($C$3)-1,YEAR($I535)*12+MONTH($I535))-(YEAR($H535)*12+MONTH($H535))+1))</f>
        <v/>
      </c>
      <c r="N535" s="50">
        <f>IF(OR($J535="",$B535=""),0,IF(YEAR($B535)*12+MONTH($B535)&lt;=YEAR($C$3)*12+MONTH($C$3),$G535,0))</f>
        <v/>
      </c>
      <c r="O535" s="50">
        <f>IF(OR($J535="",$B535=""),0,IF(YEAR($B535)*12+MONTH($B535)&lt;=YEAR($C$3)*12+MONTH($C$3)-1,$G535,0))</f>
        <v/>
      </c>
      <c r="P535" s="50">
        <f>$M535-$O535</f>
        <v/>
      </c>
      <c r="Q535" s="50">
        <f>($L535-$M535)-($N535-$O535)</f>
        <v/>
      </c>
      <c r="R535" s="50">
        <f>$L535-$N535</f>
        <v/>
      </c>
    </row>
    <row r="536">
      <c r="A536" s="47">
        <f>ROW()-5</f>
        <v/>
      </c>
      <c r="B536" s="48">
        <f>IFERROR(INDEX(tbl_Finance[Date],$A536),"")</f>
        <v/>
      </c>
      <c r="C536" s="49">
        <f>IFERROR(INDEX(tbl_Finance[Xero Invoice No],$A536),"")</f>
        <v/>
      </c>
      <c r="D536" s="49">
        <f>IFERROR(INDEX(tbl_Finance[Client],$A536),"")</f>
        <v/>
      </c>
      <c r="E536" s="49">
        <f>IFERROR(INDEX(tbl_Finance[Job Number],$A536),"")</f>
        <v/>
      </c>
      <c r="F536" s="49">
        <f>IFERROR(INDEX(tbl_Finance[Cost Centre],$A536),"")</f>
        <v/>
      </c>
      <c r="G536" s="50">
        <f>IFERROR(INDEX(tbl_Finance[Ex GST],$A536),"")</f>
        <v/>
      </c>
      <c r="H536" s="48">
        <f>IFERROR(INDEX(tbl_Finance[Defer Start],$A536),"")</f>
        <v/>
      </c>
      <c r="I536" s="48">
        <f>IFERROR(INDEX(tbl_Finance[Defer End],$A536),"")</f>
        <v/>
      </c>
      <c r="J536" s="47">
        <f>IF(OR($H536="",$I536="",$G536=""),"",MAX(1,(YEAR($I536)-YEAR($H536))*12+MONTH($I536)-MONTH($H536)+1))</f>
        <v/>
      </c>
      <c r="K536" s="50">
        <f>IF($J536="","",$G536/$J536)</f>
        <v/>
      </c>
      <c r="L536" s="50">
        <f>IF($J536="",0,$K536*MAX(0,MIN(YEAR($C$3)*12+MONTH($C$3),YEAR($I536)*12+MONTH($I536))-(YEAR($H536)*12+MONTH($H536))+1))</f>
        <v/>
      </c>
      <c r="M536" s="50">
        <f>IF($J536="",0,$K536*MAX(0,MIN(YEAR($C$3)*12+MONTH($C$3)-1,YEAR($I536)*12+MONTH($I536))-(YEAR($H536)*12+MONTH($H536))+1))</f>
        <v/>
      </c>
      <c r="N536" s="50">
        <f>IF(OR($J536="",$B536=""),0,IF(YEAR($B536)*12+MONTH($B536)&lt;=YEAR($C$3)*12+MONTH($C$3),$G536,0))</f>
        <v/>
      </c>
      <c r="O536" s="50">
        <f>IF(OR($J536="",$B536=""),0,IF(YEAR($B536)*12+MONTH($B536)&lt;=YEAR($C$3)*12+MONTH($C$3)-1,$G536,0))</f>
        <v/>
      </c>
      <c r="P536" s="50">
        <f>$M536-$O536</f>
        <v/>
      </c>
      <c r="Q536" s="50">
        <f>($L536-$M536)-($N536-$O536)</f>
        <v/>
      </c>
      <c r="R536" s="50">
        <f>$L536-$N536</f>
        <v/>
      </c>
    </row>
    <row r="537">
      <c r="A537" s="47">
        <f>ROW()-5</f>
        <v/>
      </c>
      <c r="B537" s="48">
        <f>IFERROR(INDEX(tbl_Finance[Date],$A537),"")</f>
        <v/>
      </c>
      <c r="C537" s="49">
        <f>IFERROR(INDEX(tbl_Finance[Xero Invoice No],$A537),"")</f>
        <v/>
      </c>
      <c r="D537" s="49">
        <f>IFERROR(INDEX(tbl_Finance[Client],$A537),"")</f>
        <v/>
      </c>
      <c r="E537" s="49">
        <f>IFERROR(INDEX(tbl_Finance[Job Number],$A537),"")</f>
        <v/>
      </c>
      <c r="F537" s="49">
        <f>IFERROR(INDEX(tbl_Finance[Cost Centre],$A537),"")</f>
        <v/>
      </c>
      <c r="G537" s="50">
        <f>IFERROR(INDEX(tbl_Finance[Ex GST],$A537),"")</f>
        <v/>
      </c>
      <c r="H537" s="48">
        <f>IFERROR(INDEX(tbl_Finance[Defer Start],$A537),"")</f>
        <v/>
      </c>
      <c r="I537" s="48">
        <f>IFERROR(INDEX(tbl_Finance[Defer End],$A537),"")</f>
        <v/>
      </c>
      <c r="J537" s="47">
        <f>IF(OR($H537="",$I537="",$G537=""),"",MAX(1,(YEAR($I537)-YEAR($H537))*12+MONTH($I537)-MONTH($H537)+1))</f>
        <v/>
      </c>
      <c r="K537" s="50">
        <f>IF($J537="","",$G537/$J537)</f>
        <v/>
      </c>
      <c r="L537" s="50">
        <f>IF($J537="",0,$K537*MAX(0,MIN(YEAR($C$3)*12+MONTH($C$3),YEAR($I537)*12+MONTH($I537))-(YEAR($H537)*12+MONTH($H537))+1))</f>
        <v/>
      </c>
      <c r="M537" s="50">
        <f>IF($J537="",0,$K537*MAX(0,MIN(YEAR($C$3)*12+MONTH($C$3)-1,YEAR($I537)*12+MONTH($I537))-(YEAR($H537)*12+MONTH($H537))+1))</f>
        <v/>
      </c>
      <c r="N537" s="50">
        <f>IF(OR($J537="",$B537=""),0,IF(YEAR($B537)*12+MONTH($B537)&lt;=YEAR($C$3)*12+MONTH($C$3),$G537,0))</f>
        <v/>
      </c>
      <c r="O537" s="50">
        <f>IF(OR($J537="",$B537=""),0,IF(YEAR($B537)*12+MONTH($B537)&lt;=YEAR($C$3)*12+MONTH($C$3)-1,$G537,0))</f>
        <v/>
      </c>
      <c r="P537" s="50">
        <f>$M537-$O537</f>
        <v/>
      </c>
      <c r="Q537" s="50">
        <f>($L537-$M537)-($N537-$O537)</f>
        <v/>
      </c>
      <c r="R537" s="50">
        <f>$L537-$N537</f>
        <v/>
      </c>
    </row>
    <row r="538">
      <c r="A538" s="47">
        <f>ROW()-5</f>
        <v/>
      </c>
      <c r="B538" s="48">
        <f>IFERROR(INDEX(tbl_Finance[Date],$A538),"")</f>
        <v/>
      </c>
      <c r="C538" s="49">
        <f>IFERROR(INDEX(tbl_Finance[Xero Invoice No],$A538),"")</f>
        <v/>
      </c>
      <c r="D538" s="49">
        <f>IFERROR(INDEX(tbl_Finance[Client],$A538),"")</f>
        <v/>
      </c>
      <c r="E538" s="49">
        <f>IFERROR(INDEX(tbl_Finance[Job Number],$A538),"")</f>
        <v/>
      </c>
      <c r="F538" s="49">
        <f>IFERROR(INDEX(tbl_Finance[Cost Centre],$A538),"")</f>
        <v/>
      </c>
      <c r="G538" s="50">
        <f>IFERROR(INDEX(tbl_Finance[Ex GST],$A538),"")</f>
        <v/>
      </c>
      <c r="H538" s="48">
        <f>IFERROR(INDEX(tbl_Finance[Defer Start],$A538),"")</f>
        <v/>
      </c>
      <c r="I538" s="48">
        <f>IFERROR(INDEX(tbl_Finance[Defer End],$A538),"")</f>
        <v/>
      </c>
      <c r="J538" s="47">
        <f>IF(OR($H538="",$I538="",$G538=""),"",MAX(1,(YEAR($I538)-YEAR($H538))*12+MONTH($I538)-MONTH($H538)+1))</f>
        <v/>
      </c>
      <c r="K538" s="50">
        <f>IF($J538="","",$G538/$J538)</f>
        <v/>
      </c>
      <c r="L538" s="50">
        <f>IF($J538="",0,$K538*MAX(0,MIN(YEAR($C$3)*12+MONTH($C$3),YEAR($I538)*12+MONTH($I538))-(YEAR($H538)*12+MONTH($H538))+1))</f>
        <v/>
      </c>
      <c r="M538" s="50">
        <f>IF($J538="",0,$K538*MAX(0,MIN(YEAR($C$3)*12+MONTH($C$3)-1,YEAR($I538)*12+MONTH($I538))-(YEAR($H538)*12+MONTH($H538))+1))</f>
        <v/>
      </c>
      <c r="N538" s="50">
        <f>IF(OR($J538="",$B538=""),0,IF(YEAR($B538)*12+MONTH($B538)&lt;=YEAR($C$3)*12+MONTH($C$3),$G538,0))</f>
        <v/>
      </c>
      <c r="O538" s="50">
        <f>IF(OR($J538="",$B538=""),0,IF(YEAR($B538)*12+MONTH($B538)&lt;=YEAR($C$3)*12+MONTH($C$3)-1,$G538,0))</f>
        <v/>
      </c>
      <c r="P538" s="50">
        <f>$M538-$O538</f>
        <v/>
      </c>
      <c r="Q538" s="50">
        <f>($L538-$M538)-($N538-$O538)</f>
        <v/>
      </c>
      <c r="R538" s="50">
        <f>$L538-$N538</f>
        <v/>
      </c>
    </row>
    <row r="539">
      <c r="A539" s="47">
        <f>ROW()-5</f>
        <v/>
      </c>
      <c r="B539" s="48">
        <f>IFERROR(INDEX(tbl_Finance[Date],$A539),"")</f>
        <v/>
      </c>
      <c r="C539" s="49">
        <f>IFERROR(INDEX(tbl_Finance[Xero Invoice No],$A539),"")</f>
        <v/>
      </c>
      <c r="D539" s="49">
        <f>IFERROR(INDEX(tbl_Finance[Client],$A539),"")</f>
        <v/>
      </c>
      <c r="E539" s="49">
        <f>IFERROR(INDEX(tbl_Finance[Job Number],$A539),"")</f>
        <v/>
      </c>
      <c r="F539" s="49">
        <f>IFERROR(INDEX(tbl_Finance[Cost Centre],$A539),"")</f>
        <v/>
      </c>
      <c r="G539" s="50">
        <f>IFERROR(INDEX(tbl_Finance[Ex GST],$A539),"")</f>
        <v/>
      </c>
      <c r="H539" s="48">
        <f>IFERROR(INDEX(tbl_Finance[Defer Start],$A539),"")</f>
        <v/>
      </c>
      <c r="I539" s="48">
        <f>IFERROR(INDEX(tbl_Finance[Defer End],$A539),"")</f>
        <v/>
      </c>
      <c r="J539" s="47">
        <f>IF(OR($H539="",$I539="",$G539=""),"",MAX(1,(YEAR($I539)-YEAR($H539))*12+MONTH($I539)-MONTH($H539)+1))</f>
        <v/>
      </c>
      <c r="K539" s="50">
        <f>IF($J539="","",$G539/$J539)</f>
        <v/>
      </c>
      <c r="L539" s="50">
        <f>IF($J539="",0,$K539*MAX(0,MIN(YEAR($C$3)*12+MONTH($C$3),YEAR($I539)*12+MONTH($I539))-(YEAR($H539)*12+MONTH($H539))+1))</f>
        <v/>
      </c>
      <c r="M539" s="50">
        <f>IF($J539="",0,$K539*MAX(0,MIN(YEAR($C$3)*12+MONTH($C$3)-1,YEAR($I539)*12+MONTH($I539))-(YEAR($H539)*12+MONTH($H539))+1))</f>
        <v/>
      </c>
      <c r="N539" s="50">
        <f>IF(OR($J539="",$B539=""),0,IF(YEAR($B539)*12+MONTH($B539)&lt;=YEAR($C$3)*12+MONTH($C$3),$G539,0))</f>
        <v/>
      </c>
      <c r="O539" s="50">
        <f>IF(OR($J539="",$B539=""),0,IF(YEAR($B539)*12+MONTH($B539)&lt;=YEAR($C$3)*12+MONTH($C$3)-1,$G539,0))</f>
        <v/>
      </c>
      <c r="P539" s="50">
        <f>$M539-$O539</f>
        <v/>
      </c>
      <c r="Q539" s="50">
        <f>($L539-$M539)-($N539-$O539)</f>
        <v/>
      </c>
      <c r="R539" s="50">
        <f>$L539-$N539</f>
        <v/>
      </c>
    </row>
    <row r="540">
      <c r="A540" s="47">
        <f>ROW()-5</f>
        <v/>
      </c>
      <c r="B540" s="48">
        <f>IFERROR(INDEX(tbl_Finance[Date],$A540),"")</f>
        <v/>
      </c>
      <c r="C540" s="49">
        <f>IFERROR(INDEX(tbl_Finance[Xero Invoice No],$A540),"")</f>
        <v/>
      </c>
      <c r="D540" s="49">
        <f>IFERROR(INDEX(tbl_Finance[Client],$A540),"")</f>
        <v/>
      </c>
      <c r="E540" s="49">
        <f>IFERROR(INDEX(tbl_Finance[Job Number],$A540),"")</f>
        <v/>
      </c>
      <c r="F540" s="49">
        <f>IFERROR(INDEX(tbl_Finance[Cost Centre],$A540),"")</f>
        <v/>
      </c>
      <c r="G540" s="50">
        <f>IFERROR(INDEX(tbl_Finance[Ex GST],$A540),"")</f>
        <v/>
      </c>
      <c r="H540" s="48">
        <f>IFERROR(INDEX(tbl_Finance[Defer Start],$A540),"")</f>
        <v/>
      </c>
      <c r="I540" s="48">
        <f>IFERROR(INDEX(tbl_Finance[Defer End],$A540),"")</f>
        <v/>
      </c>
      <c r="J540" s="47">
        <f>IF(OR($H540="",$I540="",$G540=""),"",MAX(1,(YEAR($I540)-YEAR($H540))*12+MONTH($I540)-MONTH($H540)+1))</f>
        <v/>
      </c>
      <c r="K540" s="50">
        <f>IF($J540="","",$G540/$J540)</f>
        <v/>
      </c>
      <c r="L540" s="50">
        <f>IF($J540="",0,$K540*MAX(0,MIN(YEAR($C$3)*12+MONTH($C$3),YEAR($I540)*12+MONTH($I540))-(YEAR($H540)*12+MONTH($H540))+1))</f>
        <v/>
      </c>
      <c r="M540" s="50">
        <f>IF($J540="",0,$K540*MAX(0,MIN(YEAR($C$3)*12+MONTH($C$3)-1,YEAR($I540)*12+MONTH($I540))-(YEAR($H540)*12+MONTH($H540))+1))</f>
        <v/>
      </c>
      <c r="N540" s="50">
        <f>IF(OR($J540="",$B540=""),0,IF(YEAR($B540)*12+MONTH($B540)&lt;=YEAR($C$3)*12+MONTH($C$3),$G540,0))</f>
        <v/>
      </c>
      <c r="O540" s="50">
        <f>IF(OR($J540="",$B540=""),0,IF(YEAR($B540)*12+MONTH($B540)&lt;=YEAR($C$3)*12+MONTH($C$3)-1,$G540,0))</f>
        <v/>
      </c>
      <c r="P540" s="50">
        <f>$M540-$O540</f>
        <v/>
      </c>
      <c r="Q540" s="50">
        <f>($L540-$M540)-($N540-$O540)</f>
        <v/>
      </c>
      <c r="R540" s="50">
        <f>$L540-$N540</f>
        <v/>
      </c>
    </row>
    <row r="541">
      <c r="A541" s="47">
        <f>ROW()-5</f>
        <v/>
      </c>
      <c r="B541" s="48">
        <f>IFERROR(INDEX(tbl_Finance[Date],$A541),"")</f>
        <v/>
      </c>
      <c r="C541" s="49">
        <f>IFERROR(INDEX(tbl_Finance[Xero Invoice No],$A541),"")</f>
        <v/>
      </c>
      <c r="D541" s="49">
        <f>IFERROR(INDEX(tbl_Finance[Client],$A541),"")</f>
        <v/>
      </c>
      <c r="E541" s="49">
        <f>IFERROR(INDEX(tbl_Finance[Job Number],$A541),"")</f>
        <v/>
      </c>
      <c r="F541" s="49">
        <f>IFERROR(INDEX(tbl_Finance[Cost Centre],$A541),"")</f>
        <v/>
      </c>
      <c r="G541" s="50">
        <f>IFERROR(INDEX(tbl_Finance[Ex GST],$A541),"")</f>
        <v/>
      </c>
      <c r="H541" s="48">
        <f>IFERROR(INDEX(tbl_Finance[Defer Start],$A541),"")</f>
        <v/>
      </c>
      <c r="I541" s="48">
        <f>IFERROR(INDEX(tbl_Finance[Defer End],$A541),"")</f>
        <v/>
      </c>
      <c r="J541" s="47">
        <f>IF(OR($H541="",$I541="",$G541=""),"",MAX(1,(YEAR($I541)-YEAR($H541))*12+MONTH($I541)-MONTH($H541)+1))</f>
        <v/>
      </c>
      <c r="K541" s="50">
        <f>IF($J541="","",$G541/$J541)</f>
        <v/>
      </c>
      <c r="L541" s="50">
        <f>IF($J541="",0,$K541*MAX(0,MIN(YEAR($C$3)*12+MONTH($C$3),YEAR($I541)*12+MONTH($I541))-(YEAR($H541)*12+MONTH($H541))+1))</f>
        <v/>
      </c>
      <c r="M541" s="50">
        <f>IF($J541="",0,$K541*MAX(0,MIN(YEAR($C$3)*12+MONTH($C$3)-1,YEAR($I541)*12+MONTH($I541))-(YEAR($H541)*12+MONTH($H541))+1))</f>
        <v/>
      </c>
      <c r="N541" s="50">
        <f>IF(OR($J541="",$B541=""),0,IF(YEAR($B541)*12+MONTH($B541)&lt;=YEAR($C$3)*12+MONTH($C$3),$G541,0))</f>
        <v/>
      </c>
      <c r="O541" s="50">
        <f>IF(OR($J541="",$B541=""),0,IF(YEAR($B541)*12+MONTH($B541)&lt;=YEAR($C$3)*12+MONTH($C$3)-1,$G541,0))</f>
        <v/>
      </c>
      <c r="P541" s="50">
        <f>$M541-$O541</f>
        <v/>
      </c>
      <c r="Q541" s="50">
        <f>($L541-$M541)-($N541-$O541)</f>
        <v/>
      </c>
      <c r="R541" s="50">
        <f>$L541-$N541</f>
        <v/>
      </c>
    </row>
    <row r="542">
      <c r="A542" s="47">
        <f>ROW()-5</f>
        <v/>
      </c>
      <c r="B542" s="48">
        <f>IFERROR(INDEX(tbl_Finance[Date],$A542),"")</f>
        <v/>
      </c>
      <c r="C542" s="49">
        <f>IFERROR(INDEX(tbl_Finance[Xero Invoice No],$A542),"")</f>
        <v/>
      </c>
      <c r="D542" s="49">
        <f>IFERROR(INDEX(tbl_Finance[Client],$A542),"")</f>
        <v/>
      </c>
      <c r="E542" s="49">
        <f>IFERROR(INDEX(tbl_Finance[Job Number],$A542),"")</f>
        <v/>
      </c>
      <c r="F542" s="49">
        <f>IFERROR(INDEX(tbl_Finance[Cost Centre],$A542),"")</f>
        <v/>
      </c>
      <c r="G542" s="50">
        <f>IFERROR(INDEX(tbl_Finance[Ex GST],$A542),"")</f>
        <v/>
      </c>
      <c r="H542" s="48">
        <f>IFERROR(INDEX(tbl_Finance[Defer Start],$A542),"")</f>
        <v/>
      </c>
      <c r="I542" s="48">
        <f>IFERROR(INDEX(tbl_Finance[Defer End],$A542),"")</f>
        <v/>
      </c>
      <c r="J542" s="47">
        <f>IF(OR($H542="",$I542="",$G542=""),"",MAX(1,(YEAR($I542)-YEAR($H542))*12+MONTH($I542)-MONTH($H542)+1))</f>
        <v/>
      </c>
      <c r="K542" s="50">
        <f>IF($J542="","",$G542/$J542)</f>
        <v/>
      </c>
      <c r="L542" s="50">
        <f>IF($J542="",0,$K542*MAX(0,MIN(YEAR($C$3)*12+MONTH($C$3),YEAR($I542)*12+MONTH($I542))-(YEAR($H542)*12+MONTH($H542))+1))</f>
        <v/>
      </c>
      <c r="M542" s="50">
        <f>IF($J542="",0,$K542*MAX(0,MIN(YEAR($C$3)*12+MONTH($C$3)-1,YEAR($I542)*12+MONTH($I542))-(YEAR($H542)*12+MONTH($H542))+1))</f>
        <v/>
      </c>
      <c r="N542" s="50">
        <f>IF(OR($J542="",$B542=""),0,IF(YEAR($B542)*12+MONTH($B542)&lt;=YEAR($C$3)*12+MONTH($C$3),$G542,0))</f>
        <v/>
      </c>
      <c r="O542" s="50">
        <f>IF(OR($J542="",$B542=""),0,IF(YEAR($B542)*12+MONTH($B542)&lt;=YEAR($C$3)*12+MONTH($C$3)-1,$G542,0))</f>
        <v/>
      </c>
      <c r="P542" s="50">
        <f>$M542-$O542</f>
        <v/>
      </c>
      <c r="Q542" s="50">
        <f>($L542-$M542)-($N542-$O542)</f>
        <v/>
      </c>
      <c r="R542" s="50">
        <f>$L542-$N542</f>
        <v/>
      </c>
    </row>
    <row r="543">
      <c r="A543" s="47">
        <f>ROW()-5</f>
        <v/>
      </c>
      <c r="B543" s="48">
        <f>IFERROR(INDEX(tbl_Finance[Date],$A543),"")</f>
        <v/>
      </c>
      <c r="C543" s="49">
        <f>IFERROR(INDEX(tbl_Finance[Xero Invoice No],$A543),"")</f>
        <v/>
      </c>
      <c r="D543" s="49">
        <f>IFERROR(INDEX(tbl_Finance[Client],$A543),"")</f>
        <v/>
      </c>
      <c r="E543" s="49">
        <f>IFERROR(INDEX(tbl_Finance[Job Number],$A543),"")</f>
        <v/>
      </c>
      <c r="F543" s="49">
        <f>IFERROR(INDEX(tbl_Finance[Cost Centre],$A543),"")</f>
        <v/>
      </c>
      <c r="G543" s="50">
        <f>IFERROR(INDEX(tbl_Finance[Ex GST],$A543),"")</f>
        <v/>
      </c>
      <c r="H543" s="48">
        <f>IFERROR(INDEX(tbl_Finance[Defer Start],$A543),"")</f>
        <v/>
      </c>
      <c r="I543" s="48">
        <f>IFERROR(INDEX(tbl_Finance[Defer End],$A543),"")</f>
        <v/>
      </c>
      <c r="J543" s="47">
        <f>IF(OR($H543="",$I543="",$G543=""),"",MAX(1,(YEAR($I543)-YEAR($H543))*12+MONTH($I543)-MONTH($H543)+1))</f>
        <v/>
      </c>
      <c r="K543" s="50">
        <f>IF($J543="","",$G543/$J543)</f>
        <v/>
      </c>
      <c r="L543" s="50">
        <f>IF($J543="",0,$K543*MAX(0,MIN(YEAR($C$3)*12+MONTH($C$3),YEAR($I543)*12+MONTH($I543))-(YEAR($H543)*12+MONTH($H543))+1))</f>
        <v/>
      </c>
      <c r="M543" s="50">
        <f>IF($J543="",0,$K543*MAX(0,MIN(YEAR($C$3)*12+MONTH($C$3)-1,YEAR($I543)*12+MONTH($I543))-(YEAR($H543)*12+MONTH($H543))+1))</f>
        <v/>
      </c>
      <c r="N543" s="50">
        <f>IF(OR($J543="",$B543=""),0,IF(YEAR($B543)*12+MONTH($B543)&lt;=YEAR($C$3)*12+MONTH($C$3),$G543,0))</f>
        <v/>
      </c>
      <c r="O543" s="50">
        <f>IF(OR($J543="",$B543=""),0,IF(YEAR($B543)*12+MONTH($B543)&lt;=YEAR($C$3)*12+MONTH($C$3)-1,$G543,0))</f>
        <v/>
      </c>
      <c r="P543" s="50">
        <f>$M543-$O543</f>
        <v/>
      </c>
      <c r="Q543" s="50">
        <f>($L543-$M543)-($N543-$O543)</f>
        <v/>
      </c>
      <c r="R543" s="50">
        <f>$L543-$N543</f>
        <v/>
      </c>
    </row>
    <row r="544">
      <c r="A544" s="47">
        <f>ROW()-5</f>
        <v/>
      </c>
      <c r="B544" s="48">
        <f>IFERROR(INDEX(tbl_Finance[Date],$A544),"")</f>
        <v/>
      </c>
      <c r="C544" s="49">
        <f>IFERROR(INDEX(tbl_Finance[Xero Invoice No],$A544),"")</f>
        <v/>
      </c>
      <c r="D544" s="49">
        <f>IFERROR(INDEX(tbl_Finance[Client],$A544),"")</f>
        <v/>
      </c>
      <c r="E544" s="49">
        <f>IFERROR(INDEX(tbl_Finance[Job Number],$A544),"")</f>
        <v/>
      </c>
      <c r="F544" s="49">
        <f>IFERROR(INDEX(tbl_Finance[Cost Centre],$A544),"")</f>
        <v/>
      </c>
      <c r="G544" s="50">
        <f>IFERROR(INDEX(tbl_Finance[Ex GST],$A544),"")</f>
        <v/>
      </c>
      <c r="H544" s="48">
        <f>IFERROR(INDEX(tbl_Finance[Defer Start],$A544),"")</f>
        <v/>
      </c>
      <c r="I544" s="48">
        <f>IFERROR(INDEX(tbl_Finance[Defer End],$A544),"")</f>
        <v/>
      </c>
      <c r="J544" s="47">
        <f>IF(OR($H544="",$I544="",$G544=""),"",MAX(1,(YEAR($I544)-YEAR($H544))*12+MONTH($I544)-MONTH($H544)+1))</f>
        <v/>
      </c>
      <c r="K544" s="50">
        <f>IF($J544="","",$G544/$J544)</f>
        <v/>
      </c>
      <c r="L544" s="50">
        <f>IF($J544="",0,$K544*MAX(0,MIN(YEAR($C$3)*12+MONTH($C$3),YEAR($I544)*12+MONTH($I544))-(YEAR($H544)*12+MONTH($H544))+1))</f>
        <v/>
      </c>
      <c r="M544" s="50">
        <f>IF($J544="",0,$K544*MAX(0,MIN(YEAR($C$3)*12+MONTH($C$3)-1,YEAR($I544)*12+MONTH($I544))-(YEAR($H544)*12+MONTH($H544))+1))</f>
        <v/>
      </c>
      <c r="N544" s="50">
        <f>IF(OR($J544="",$B544=""),0,IF(YEAR($B544)*12+MONTH($B544)&lt;=YEAR($C$3)*12+MONTH($C$3),$G544,0))</f>
        <v/>
      </c>
      <c r="O544" s="50">
        <f>IF(OR($J544="",$B544=""),0,IF(YEAR($B544)*12+MONTH($B544)&lt;=YEAR($C$3)*12+MONTH($C$3)-1,$G544,0))</f>
        <v/>
      </c>
      <c r="P544" s="50">
        <f>$M544-$O544</f>
        <v/>
      </c>
      <c r="Q544" s="50">
        <f>($L544-$M544)-($N544-$O544)</f>
        <v/>
      </c>
      <c r="R544" s="50">
        <f>$L544-$N544</f>
        <v/>
      </c>
    </row>
    <row r="545">
      <c r="A545" s="47">
        <f>ROW()-5</f>
        <v/>
      </c>
      <c r="B545" s="48">
        <f>IFERROR(INDEX(tbl_Finance[Date],$A545),"")</f>
        <v/>
      </c>
      <c r="C545" s="49">
        <f>IFERROR(INDEX(tbl_Finance[Xero Invoice No],$A545),"")</f>
        <v/>
      </c>
      <c r="D545" s="49">
        <f>IFERROR(INDEX(tbl_Finance[Client],$A545),"")</f>
        <v/>
      </c>
      <c r="E545" s="49">
        <f>IFERROR(INDEX(tbl_Finance[Job Number],$A545),"")</f>
        <v/>
      </c>
      <c r="F545" s="49">
        <f>IFERROR(INDEX(tbl_Finance[Cost Centre],$A545),"")</f>
        <v/>
      </c>
      <c r="G545" s="50">
        <f>IFERROR(INDEX(tbl_Finance[Ex GST],$A545),"")</f>
        <v/>
      </c>
      <c r="H545" s="48">
        <f>IFERROR(INDEX(tbl_Finance[Defer Start],$A545),"")</f>
        <v/>
      </c>
      <c r="I545" s="48">
        <f>IFERROR(INDEX(tbl_Finance[Defer End],$A545),"")</f>
        <v/>
      </c>
      <c r="J545" s="47">
        <f>IF(OR($H545="",$I545="",$G545=""),"",MAX(1,(YEAR($I545)-YEAR($H545))*12+MONTH($I545)-MONTH($H545)+1))</f>
        <v/>
      </c>
      <c r="K545" s="50">
        <f>IF($J545="","",$G545/$J545)</f>
        <v/>
      </c>
      <c r="L545" s="50">
        <f>IF($J545="",0,$K545*MAX(0,MIN(YEAR($C$3)*12+MONTH($C$3),YEAR($I545)*12+MONTH($I545))-(YEAR($H545)*12+MONTH($H545))+1))</f>
        <v/>
      </c>
      <c r="M545" s="50">
        <f>IF($J545="",0,$K545*MAX(0,MIN(YEAR($C$3)*12+MONTH($C$3)-1,YEAR($I545)*12+MONTH($I545))-(YEAR($H545)*12+MONTH($H545))+1))</f>
        <v/>
      </c>
      <c r="N545" s="50">
        <f>IF(OR($J545="",$B545=""),0,IF(YEAR($B545)*12+MONTH($B545)&lt;=YEAR($C$3)*12+MONTH($C$3),$G545,0))</f>
        <v/>
      </c>
      <c r="O545" s="50">
        <f>IF(OR($J545="",$B545=""),0,IF(YEAR($B545)*12+MONTH($B545)&lt;=YEAR($C$3)*12+MONTH($C$3)-1,$G545,0))</f>
        <v/>
      </c>
      <c r="P545" s="50">
        <f>$M545-$O545</f>
        <v/>
      </c>
      <c r="Q545" s="50">
        <f>($L545-$M545)-($N545-$O545)</f>
        <v/>
      </c>
      <c r="R545" s="50">
        <f>$L545-$N545</f>
        <v/>
      </c>
    </row>
    <row r="546">
      <c r="A546" s="47">
        <f>ROW()-5</f>
        <v/>
      </c>
      <c r="B546" s="48">
        <f>IFERROR(INDEX(tbl_Finance[Date],$A546),"")</f>
        <v/>
      </c>
      <c r="C546" s="49">
        <f>IFERROR(INDEX(tbl_Finance[Xero Invoice No],$A546),"")</f>
        <v/>
      </c>
      <c r="D546" s="49">
        <f>IFERROR(INDEX(tbl_Finance[Client],$A546),"")</f>
        <v/>
      </c>
      <c r="E546" s="49">
        <f>IFERROR(INDEX(tbl_Finance[Job Number],$A546),"")</f>
        <v/>
      </c>
      <c r="F546" s="49">
        <f>IFERROR(INDEX(tbl_Finance[Cost Centre],$A546),"")</f>
        <v/>
      </c>
      <c r="G546" s="50">
        <f>IFERROR(INDEX(tbl_Finance[Ex GST],$A546),"")</f>
        <v/>
      </c>
      <c r="H546" s="48">
        <f>IFERROR(INDEX(tbl_Finance[Defer Start],$A546),"")</f>
        <v/>
      </c>
      <c r="I546" s="48">
        <f>IFERROR(INDEX(tbl_Finance[Defer End],$A546),"")</f>
        <v/>
      </c>
      <c r="J546" s="47">
        <f>IF(OR($H546="",$I546="",$G546=""),"",MAX(1,(YEAR($I546)-YEAR($H546))*12+MONTH($I546)-MONTH($H546)+1))</f>
        <v/>
      </c>
      <c r="K546" s="50">
        <f>IF($J546="","",$G546/$J546)</f>
        <v/>
      </c>
      <c r="L546" s="50">
        <f>IF($J546="",0,$K546*MAX(0,MIN(YEAR($C$3)*12+MONTH($C$3),YEAR($I546)*12+MONTH($I546))-(YEAR($H546)*12+MONTH($H546))+1))</f>
        <v/>
      </c>
      <c r="M546" s="50">
        <f>IF($J546="",0,$K546*MAX(0,MIN(YEAR($C$3)*12+MONTH($C$3)-1,YEAR($I546)*12+MONTH($I546))-(YEAR($H546)*12+MONTH($H546))+1))</f>
        <v/>
      </c>
      <c r="N546" s="50">
        <f>IF(OR($J546="",$B546=""),0,IF(YEAR($B546)*12+MONTH($B546)&lt;=YEAR($C$3)*12+MONTH($C$3),$G546,0))</f>
        <v/>
      </c>
      <c r="O546" s="50">
        <f>IF(OR($J546="",$B546=""),0,IF(YEAR($B546)*12+MONTH($B546)&lt;=YEAR($C$3)*12+MONTH($C$3)-1,$G546,0))</f>
        <v/>
      </c>
      <c r="P546" s="50">
        <f>$M546-$O546</f>
        <v/>
      </c>
      <c r="Q546" s="50">
        <f>($L546-$M546)-($N546-$O546)</f>
        <v/>
      </c>
      <c r="R546" s="50">
        <f>$L546-$N546</f>
        <v/>
      </c>
    </row>
    <row r="547">
      <c r="A547" s="47">
        <f>ROW()-5</f>
        <v/>
      </c>
      <c r="B547" s="48">
        <f>IFERROR(INDEX(tbl_Finance[Date],$A547),"")</f>
        <v/>
      </c>
      <c r="C547" s="49">
        <f>IFERROR(INDEX(tbl_Finance[Xero Invoice No],$A547),"")</f>
        <v/>
      </c>
      <c r="D547" s="49">
        <f>IFERROR(INDEX(tbl_Finance[Client],$A547),"")</f>
        <v/>
      </c>
      <c r="E547" s="49">
        <f>IFERROR(INDEX(tbl_Finance[Job Number],$A547),"")</f>
        <v/>
      </c>
      <c r="F547" s="49">
        <f>IFERROR(INDEX(tbl_Finance[Cost Centre],$A547),"")</f>
        <v/>
      </c>
      <c r="G547" s="50">
        <f>IFERROR(INDEX(tbl_Finance[Ex GST],$A547),"")</f>
        <v/>
      </c>
      <c r="H547" s="48">
        <f>IFERROR(INDEX(tbl_Finance[Defer Start],$A547),"")</f>
        <v/>
      </c>
      <c r="I547" s="48">
        <f>IFERROR(INDEX(tbl_Finance[Defer End],$A547),"")</f>
        <v/>
      </c>
      <c r="J547" s="47">
        <f>IF(OR($H547="",$I547="",$G547=""),"",MAX(1,(YEAR($I547)-YEAR($H547))*12+MONTH($I547)-MONTH($H547)+1))</f>
        <v/>
      </c>
      <c r="K547" s="50">
        <f>IF($J547="","",$G547/$J547)</f>
        <v/>
      </c>
      <c r="L547" s="50">
        <f>IF($J547="",0,$K547*MAX(0,MIN(YEAR($C$3)*12+MONTH($C$3),YEAR($I547)*12+MONTH($I547))-(YEAR($H547)*12+MONTH($H547))+1))</f>
        <v/>
      </c>
      <c r="M547" s="50">
        <f>IF($J547="",0,$K547*MAX(0,MIN(YEAR($C$3)*12+MONTH($C$3)-1,YEAR($I547)*12+MONTH($I547))-(YEAR($H547)*12+MONTH($H547))+1))</f>
        <v/>
      </c>
      <c r="N547" s="50">
        <f>IF(OR($J547="",$B547=""),0,IF(YEAR($B547)*12+MONTH($B547)&lt;=YEAR($C$3)*12+MONTH($C$3),$G547,0))</f>
        <v/>
      </c>
      <c r="O547" s="50">
        <f>IF(OR($J547="",$B547=""),0,IF(YEAR($B547)*12+MONTH($B547)&lt;=YEAR($C$3)*12+MONTH($C$3)-1,$G547,0))</f>
        <v/>
      </c>
      <c r="P547" s="50">
        <f>$M547-$O547</f>
        <v/>
      </c>
      <c r="Q547" s="50">
        <f>($L547-$M547)-($N547-$O547)</f>
        <v/>
      </c>
      <c r="R547" s="50">
        <f>$L547-$N547</f>
        <v/>
      </c>
    </row>
    <row r="548">
      <c r="A548" s="47">
        <f>ROW()-5</f>
        <v/>
      </c>
      <c r="B548" s="48">
        <f>IFERROR(INDEX(tbl_Finance[Date],$A548),"")</f>
        <v/>
      </c>
      <c r="C548" s="49">
        <f>IFERROR(INDEX(tbl_Finance[Xero Invoice No],$A548),"")</f>
        <v/>
      </c>
      <c r="D548" s="49">
        <f>IFERROR(INDEX(tbl_Finance[Client],$A548),"")</f>
        <v/>
      </c>
      <c r="E548" s="49">
        <f>IFERROR(INDEX(tbl_Finance[Job Number],$A548),"")</f>
        <v/>
      </c>
      <c r="F548" s="49">
        <f>IFERROR(INDEX(tbl_Finance[Cost Centre],$A548),"")</f>
        <v/>
      </c>
      <c r="G548" s="50">
        <f>IFERROR(INDEX(tbl_Finance[Ex GST],$A548),"")</f>
        <v/>
      </c>
      <c r="H548" s="48">
        <f>IFERROR(INDEX(tbl_Finance[Defer Start],$A548),"")</f>
        <v/>
      </c>
      <c r="I548" s="48">
        <f>IFERROR(INDEX(tbl_Finance[Defer End],$A548),"")</f>
        <v/>
      </c>
      <c r="J548" s="47">
        <f>IF(OR($H548="",$I548="",$G548=""),"",MAX(1,(YEAR($I548)-YEAR($H548))*12+MONTH($I548)-MONTH($H548)+1))</f>
        <v/>
      </c>
      <c r="K548" s="50">
        <f>IF($J548="","",$G548/$J548)</f>
        <v/>
      </c>
      <c r="L548" s="50">
        <f>IF($J548="",0,$K548*MAX(0,MIN(YEAR($C$3)*12+MONTH($C$3),YEAR($I548)*12+MONTH($I548))-(YEAR($H548)*12+MONTH($H548))+1))</f>
        <v/>
      </c>
      <c r="M548" s="50">
        <f>IF($J548="",0,$K548*MAX(0,MIN(YEAR($C$3)*12+MONTH($C$3)-1,YEAR($I548)*12+MONTH($I548))-(YEAR($H548)*12+MONTH($H548))+1))</f>
        <v/>
      </c>
      <c r="N548" s="50">
        <f>IF(OR($J548="",$B548=""),0,IF(YEAR($B548)*12+MONTH($B548)&lt;=YEAR($C$3)*12+MONTH($C$3),$G548,0))</f>
        <v/>
      </c>
      <c r="O548" s="50">
        <f>IF(OR($J548="",$B548=""),0,IF(YEAR($B548)*12+MONTH($B548)&lt;=YEAR($C$3)*12+MONTH($C$3)-1,$G548,0))</f>
        <v/>
      </c>
      <c r="P548" s="50">
        <f>$M548-$O548</f>
        <v/>
      </c>
      <c r="Q548" s="50">
        <f>($L548-$M548)-($N548-$O548)</f>
        <v/>
      </c>
      <c r="R548" s="50">
        <f>$L548-$N548</f>
        <v/>
      </c>
    </row>
    <row r="549">
      <c r="A549" s="47">
        <f>ROW()-5</f>
        <v/>
      </c>
      <c r="B549" s="48">
        <f>IFERROR(INDEX(tbl_Finance[Date],$A549),"")</f>
        <v/>
      </c>
      <c r="C549" s="49">
        <f>IFERROR(INDEX(tbl_Finance[Xero Invoice No],$A549),"")</f>
        <v/>
      </c>
      <c r="D549" s="49">
        <f>IFERROR(INDEX(tbl_Finance[Client],$A549),"")</f>
        <v/>
      </c>
      <c r="E549" s="49">
        <f>IFERROR(INDEX(tbl_Finance[Job Number],$A549),"")</f>
        <v/>
      </c>
      <c r="F549" s="49">
        <f>IFERROR(INDEX(tbl_Finance[Cost Centre],$A549),"")</f>
        <v/>
      </c>
      <c r="G549" s="50">
        <f>IFERROR(INDEX(tbl_Finance[Ex GST],$A549),"")</f>
        <v/>
      </c>
      <c r="H549" s="48">
        <f>IFERROR(INDEX(tbl_Finance[Defer Start],$A549),"")</f>
        <v/>
      </c>
      <c r="I549" s="48">
        <f>IFERROR(INDEX(tbl_Finance[Defer End],$A549),"")</f>
        <v/>
      </c>
      <c r="J549" s="47">
        <f>IF(OR($H549="",$I549="",$G549=""),"",MAX(1,(YEAR($I549)-YEAR($H549))*12+MONTH($I549)-MONTH($H549)+1))</f>
        <v/>
      </c>
      <c r="K549" s="50">
        <f>IF($J549="","",$G549/$J549)</f>
        <v/>
      </c>
      <c r="L549" s="50">
        <f>IF($J549="",0,$K549*MAX(0,MIN(YEAR($C$3)*12+MONTH($C$3),YEAR($I549)*12+MONTH($I549))-(YEAR($H549)*12+MONTH($H549))+1))</f>
        <v/>
      </c>
      <c r="M549" s="50">
        <f>IF($J549="",0,$K549*MAX(0,MIN(YEAR($C$3)*12+MONTH($C$3)-1,YEAR($I549)*12+MONTH($I549))-(YEAR($H549)*12+MONTH($H549))+1))</f>
        <v/>
      </c>
      <c r="N549" s="50">
        <f>IF(OR($J549="",$B549=""),0,IF(YEAR($B549)*12+MONTH($B549)&lt;=YEAR($C$3)*12+MONTH($C$3),$G549,0))</f>
        <v/>
      </c>
      <c r="O549" s="50">
        <f>IF(OR($J549="",$B549=""),0,IF(YEAR($B549)*12+MONTH($B549)&lt;=YEAR($C$3)*12+MONTH($C$3)-1,$G549,0))</f>
        <v/>
      </c>
      <c r="P549" s="50">
        <f>$M549-$O549</f>
        <v/>
      </c>
      <c r="Q549" s="50">
        <f>($L549-$M549)-($N549-$O549)</f>
        <v/>
      </c>
      <c r="R549" s="50">
        <f>$L549-$N549</f>
        <v/>
      </c>
    </row>
    <row r="550">
      <c r="A550" s="47">
        <f>ROW()-5</f>
        <v/>
      </c>
      <c r="B550" s="48">
        <f>IFERROR(INDEX(tbl_Finance[Date],$A550),"")</f>
        <v/>
      </c>
      <c r="C550" s="49">
        <f>IFERROR(INDEX(tbl_Finance[Xero Invoice No],$A550),"")</f>
        <v/>
      </c>
      <c r="D550" s="49">
        <f>IFERROR(INDEX(tbl_Finance[Client],$A550),"")</f>
        <v/>
      </c>
      <c r="E550" s="49">
        <f>IFERROR(INDEX(tbl_Finance[Job Number],$A550),"")</f>
        <v/>
      </c>
      <c r="F550" s="49">
        <f>IFERROR(INDEX(tbl_Finance[Cost Centre],$A550),"")</f>
        <v/>
      </c>
      <c r="G550" s="50">
        <f>IFERROR(INDEX(tbl_Finance[Ex GST],$A550),"")</f>
        <v/>
      </c>
      <c r="H550" s="48">
        <f>IFERROR(INDEX(tbl_Finance[Defer Start],$A550),"")</f>
        <v/>
      </c>
      <c r="I550" s="48">
        <f>IFERROR(INDEX(tbl_Finance[Defer End],$A550),"")</f>
        <v/>
      </c>
      <c r="J550" s="47">
        <f>IF(OR($H550="",$I550="",$G550=""),"",MAX(1,(YEAR($I550)-YEAR($H550))*12+MONTH($I550)-MONTH($H550)+1))</f>
        <v/>
      </c>
      <c r="K550" s="50">
        <f>IF($J550="","",$G550/$J550)</f>
        <v/>
      </c>
      <c r="L550" s="50">
        <f>IF($J550="",0,$K550*MAX(0,MIN(YEAR($C$3)*12+MONTH($C$3),YEAR($I550)*12+MONTH($I550))-(YEAR($H550)*12+MONTH($H550))+1))</f>
        <v/>
      </c>
      <c r="M550" s="50">
        <f>IF($J550="",0,$K550*MAX(0,MIN(YEAR($C$3)*12+MONTH($C$3)-1,YEAR($I550)*12+MONTH($I550))-(YEAR($H550)*12+MONTH($H550))+1))</f>
        <v/>
      </c>
      <c r="N550" s="50">
        <f>IF(OR($J550="",$B550=""),0,IF(YEAR($B550)*12+MONTH($B550)&lt;=YEAR($C$3)*12+MONTH($C$3),$G550,0))</f>
        <v/>
      </c>
      <c r="O550" s="50">
        <f>IF(OR($J550="",$B550=""),0,IF(YEAR($B550)*12+MONTH($B550)&lt;=YEAR($C$3)*12+MONTH($C$3)-1,$G550,0))</f>
        <v/>
      </c>
      <c r="P550" s="50">
        <f>$M550-$O550</f>
        <v/>
      </c>
      <c r="Q550" s="50">
        <f>($L550-$M550)-($N550-$O550)</f>
        <v/>
      </c>
      <c r="R550" s="50">
        <f>$L550-$N550</f>
        <v/>
      </c>
    </row>
    <row r="551">
      <c r="A551" s="47">
        <f>ROW()-5</f>
        <v/>
      </c>
      <c r="B551" s="48">
        <f>IFERROR(INDEX(tbl_Finance[Date],$A551),"")</f>
        <v/>
      </c>
      <c r="C551" s="49">
        <f>IFERROR(INDEX(tbl_Finance[Xero Invoice No],$A551),"")</f>
        <v/>
      </c>
      <c r="D551" s="49">
        <f>IFERROR(INDEX(tbl_Finance[Client],$A551),"")</f>
        <v/>
      </c>
      <c r="E551" s="49">
        <f>IFERROR(INDEX(tbl_Finance[Job Number],$A551),"")</f>
        <v/>
      </c>
      <c r="F551" s="49">
        <f>IFERROR(INDEX(tbl_Finance[Cost Centre],$A551),"")</f>
        <v/>
      </c>
      <c r="G551" s="50">
        <f>IFERROR(INDEX(tbl_Finance[Ex GST],$A551),"")</f>
        <v/>
      </c>
      <c r="H551" s="48">
        <f>IFERROR(INDEX(tbl_Finance[Defer Start],$A551),"")</f>
        <v/>
      </c>
      <c r="I551" s="48">
        <f>IFERROR(INDEX(tbl_Finance[Defer End],$A551),"")</f>
        <v/>
      </c>
      <c r="J551" s="47">
        <f>IF(OR($H551="",$I551="",$G551=""),"",MAX(1,(YEAR($I551)-YEAR($H551))*12+MONTH($I551)-MONTH($H551)+1))</f>
        <v/>
      </c>
      <c r="K551" s="50">
        <f>IF($J551="","",$G551/$J551)</f>
        <v/>
      </c>
      <c r="L551" s="50">
        <f>IF($J551="",0,$K551*MAX(0,MIN(YEAR($C$3)*12+MONTH($C$3),YEAR($I551)*12+MONTH($I551))-(YEAR($H551)*12+MONTH($H551))+1))</f>
        <v/>
      </c>
      <c r="M551" s="50">
        <f>IF($J551="",0,$K551*MAX(0,MIN(YEAR($C$3)*12+MONTH($C$3)-1,YEAR($I551)*12+MONTH($I551))-(YEAR($H551)*12+MONTH($H551))+1))</f>
        <v/>
      </c>
      <c r="N551" s="50">
        <f>IF(OR($J551="",$B551=""),0,IF(YEAR($B551)*12+MONTH($B551)&lt;=YEAR($C$3)*12+MONTH($C$3),$G551,0))</f>
        <v/>
      </c>
      <c r="O551" s="50">
        <f>IF(OR($J551="",$B551=""),0,IF(YEAR($B551)*12+MONTH($B551)&lt;=YEAR($C$3)*12+MONTH($C$3)-1,$G551,0))</f>
        <v/>
      </c>
      <c r="P551" s="50">
        <f>$M551-$O551</f>
        <v/>
      </c>
      <c r="Q551" s="50">
        <f>($L551-$M551)-($N551-$O551)</f>
        <v/>
      </c>
      <c r="R551" s="50">
        <f>$L551-$N551</f>
        <v/>
      </c>
    </row>
    <row r="552">
      <c r="A552" s="47">
        <f>ROW()-5</f>
        <v/>
      </c>
      <c r="B552" s="48">
        <f>IFERROR(INDEX(tbl_Finance[Date],$A552),"")</f>
        <v/>
      </c>
      <c r="C552" s="49">
        <f>IFERROR(INDEX(tbl_Finance[Xero Invoice No],$A552),"")</f>
        <v/>
      </c>
      <c r="D552" s="49">
        <f>IFERROR(INDEX(tbl_Finance[Client],$A552),"")</f>
        <v/>
      </c>
      <c r="E552" s="49">
        <f>IFERROR(INDEX(tbl_Finance[Job Number],$A552),"")</f>
        <v/>
      </c>
      <c r="F552" s="49">
        <f>IFERROR(INDEX(tbl_Finance[Cost Centre],$A552),"")</f>
        <v/>
      </c>
      <c r="G552" s="50">
        <f>IFERROR(INDEX(tbl_Finance[Ex GST],$A552),"")</f>
        <v/>
      </c>
      <c r="H552" s="48">
        <f>IFERROR(INDEX(tbl_Finance[Defer Start],$A552),"")</f>
        <v/>
      </c>
      <c r="I552" s="48">
        <f>IFERROR(INDEX(tbl_Finance[Defer End],$A552),"")</f>
        <v/>
      </c>
      <c r="J552" s="47">
        <f>IF(OR($H552="",$I552="",$G552=""),"",MAX(1,(YEAR($I552)-YEAR($H552))*12+MONTH($I552)-MONTH($H552)+1))</f>
        <v/>
      </c>
      <c r="K552" s="50">
        <f>IF($J552="","",$G552/$J552)</f>
        <v/>
      </c>
      <c r="L552" s="50">
        <f>IF($J552="",0,$K552*MAX(0,MIN(YEAR($C$3)*12+MONTH($C$3),YEAR($I552)*12+MONTH($I552))-(YEAR($H552)*12+MONTH($H552))+1))</f>
        <v/>
      </c>
      <c r="M552" s="50">
        <f>IF($J552="",0,$K552*MAX(0,MIN(YEAR($C$3)*12+MONTH($C$3)-1,YEAR($I552)*12+MONTH($I552))-(YEAR($H552)*12+MONTH($H552))+1))</f>
        <v/>
      </c>
      <c r="N552" s="50">
        <f>IF(OR($J552="",$B552=""),0,IF(YEAR($B552)*12+MONTH($B552)&lt;=YEAR($C$3)*12+MONTH($C$3),$G552,0))</f>
        <v/>
      </c>
      <c r="O552" s="50">
        <f>IF(OR($J552="",$B552=""),0,IF(YEAR($B552)*12+MONTH($B552)&lt;=YEAR($C$3)*12+MONTH($C$3)-1,$G552,0))</f>
        <v/>
      </c>
      <c r="P552" s="50">
        <f>$M552-$O552</f>
        <v/>
      </c>
      <c r="Q552" s="50">
        <f>($L552-$M552)-($N552-$O552)</f>
        <v/>
      </c>
      <c r="R552" s="50">
        <f>$L552-$N552</f>
        <v/>
      </c>
    </row>
    <row r="553">
      <c r="A553" s="47">
        <f>ROW()-5</f>
        <v/>
      </c>
      <c r="B553" s="48">
        <f>IFERROR(INDEX(tbl_Finance[Date],$A553),"")</f>
        <v/>
      </c>
      <c r="C553" s="49">
        <f>IFERROR(INDEX(tbl_Finance[Xero Invoice No],$A553),"")</f>
        <v/>
      </c>
      <c r="D553" s="49">
        <f>IFERROR(INDEX(tbl_Finance[Client],$A553),"")</f>
        <v/>
      </c>
      <c r="E553" s="49">
        <f>IFERROR(INDEX(tbl_Finance[Job Number],$A553),"")</f>
        <v/>
      </c>
      <c r="F553" s="49">
        <f>IFERROR(INDEX(tbl_Finance[Cost Centre],$A553),"")</f>
        <v/>
      </c>
      <c r="G553" s="50">
        <f>IFERROR(INDEX(tbl_Finance[Ex GST],$A553),"")</f>
        <v/>
      </c>
      <c r="H553" s="48">
        <f>IFERROR(INDEX(tbl_Finance[Defer Start],$A553),"")</f>
        <v/>
      </c>
      <c r="I553" s="48">
        <f>IFERROR(INDEX(tbl_Finance[Defer End],$A553),"")</f>
        <v/>
      </c>
      <c r="J553" s="47">
        <f>IF(OR($H553="",$I553="",$G553=""),"",MAX(1,(YEAR($I553)-YEAR($H553))*12+MONTH($I553)-MONTH($H553)+1))</f>
        <v/>
      </c>
      <c r="K553" s="50">
        <f>IF($J553="","",$G553/$J553)</f>
        <v/>
      </c>
      <c r="L553" s="50">
        <f>IF($J553="",0,$K553*MAX(0,MIN(YEAR($C$3)*12+MONTH($C$3),YEAR($I553)*12+MONTH($I553))-(YEAR($H553)*12+MONTH($H553))+1))</f>
        <v/>
      </c>
      <c r="M553" s="50">
        <f>IF($J553="",0,$K553*MAX(0,MIN(YEAR($C$3)*12+MONTH($C$3)-1,YEAR($I553)*12+MONTH($I553))-(YEAR($H553)*12+MONTH($H553))+1))</f>
        <v/>
      </c>
      <c r="N553" s="50">
        <f>IF(OR($J553="",$B553=""),0,IF(YEAR($B553)*12+MONTH($B553)&lt;=YEAR($C$3)*12+MONTH($C$3),$G553,0))</f>
        <v/>
      </c>
      <c r="O553" s="50">
        <f>IF(OR($J553="",$B553=""),0,IF(YEAR($B553)*12+MONTH($B553)&lt;=YEAR($C$3)*12+MONTH($C$3)-1,$G553,0))</f>
        <v/>
      </c>
      <c r="P553" s="50">
        <f>$M553-$O553</f>
        <v/>
      </c>
      <c r="Q553" s="50">
        <f>($L553-$M553)-($N553-$O553)</f>
        <v/>
      </c>
      <c r="R553" s="50">
        <f>$L553-$N553</f>
        <v/>
      </c>
    </row>
    <row r="554">
      <c r="A554" s="47">
        <f>ROW()-5</f>
        <v/>
      </c>
      <c r="B554" s="48">
        <f>IFERROR(INDEX(tbl_Finance[Date],$A554),"")</f>
        <v/>
      </c>
      <c r="C554" s="49">
        <f>IFERROR(INDEX(tbl_Finance[Xero Invoice No],$A554),"")</f>
        <v/>
      </c>
      <c r="D554" s="49">
        <f>IFERROR(INDEX(tbl_Finance[Client],$A554),"")</f>
        <v/>
      </c>
      <c r="E554" s="49">
        <f>IFERROR(INDEX(tbl_Finance[Job Number],$A554),"")</f>
        <v/>
      </c>
      <c r="F554" s="49">
        <f>IFERROR(INDEX(tbl_Finance[Cost Centre],$A554),"")</f>
        <v/>
      </c>
      <c r="G554" s="50">
        <f>IFERROR(INDEX(tbl_Finance[Ex GST],$A554),"")</f>
        <v/>
      </c>
      <c r="H554" s="48">
        <f>IFERROR(INDEX(tbl_Finance[Defer Start],$A554),"")</f>
        <v/>
      </c>
      <c r="I554" s="48">
        <f>IFERROR(INDEX(tbl_Finance[Defer End],$A554),"")</f>
        <v/>
      </c>
      <c r="J554" s="47">
        <f>IF(OR($H554="",$I554="",$G554=""),"",MAX(1,(YEAR($I554)-YEAR($H554))*12+MONTH($I554)-MONTH($H554)+1))</f>
        <v/>
      </c>
      <c r="K554" s="50">
        <f>IF($J554="","",$G554/$J554)</f>
        <v/>
      </c>
      <c r="L554" s="50">
        <f>IF($J554="",0,$K554*MAX(0,MIN(YEAR($C$3)*12+MONTH($C$3),YEAR($I554)*12+MONTH($I554))-(YEAR($H554)*12+MONTH($H554))+1))</f>
        <v/>
      </c>
      <c r="M554" s="50">
        <f>IF($J554="",0,$K554*MAX(0,MIN(YEAR($C$3)*12+MONTH($C$3)-1,YEAR($I554)*12+MONTH($I554))-(YEAR($H554)*12+MONTH($H554))+1))</f>
        <v/>
      </c>
      <c r="N554" s="50">
        <f>IF(OR($J554="",$B554=""),0,IF(YEAR($B554)*12+MONTH($B554)&lt;=YEAR($C$3)*12+MONTH($C$3),$G554,0))</f>
        <v/>
      </c>
      <c r="O554" s="50">
        <f>IF(OR($J554="",$B554=""),0,IF(YEAR($B554)*12+MONTH($B554)&lt;=YEAR($C$3)*12+MONTH($C$3)-1,$G554,0))</f>
        <v/>
      </c>
      <c r="P554" s="50">
        <f>$M554-$O554</f>
        <v/>
      </c>
      <c r="Q554" s="50">
        <f>($L554-$M554)-($N554-$O554)</f>
        <v/>
      </c>
      <c r="R554" s="50">
        <f>$L554-$N554</f>
        <v/>
      </c>
    </row>
    <row r="555">
      <c r="A555" s="47">
        <f>ROW()-5</f>
        <v/>
      </c>
      <c r="B555" s="48">
        <f>IFERROR(INDEX(tbl_Finance[Date],$A555),"")</f>
        <v/>
      </c>
      <c r="C555" s="49">
        <f>IFERROR(INDEX(tbl_Finance[Xero Invoice No],$A555),"")</f>
        <v/>
      </c>
      <c r="D555" s="49">
        <f>IFERROR(INDEX(tbl_Finance[Client],$A555),"")</f>
        <v/>
      </c>
      <c r="E555" s="49">
        <f>IFERROR(INDEX(tbl_Finance[Job Number],$A555),"")</f>
        <v/>
      </c>
      <c r="F555" s="49">
        <f>IFERROR(INDEX(tbl_Finance[Cost Centre],$A555),"")</f>
        <v/>
      </c>
      <c r="G555" s="50">
        <f>IFERROR(INDEX(tbl_Finance[Ex GST],$A555),"")</f>
        <v/>
      </c>
      <c r="H555" s="48">
        <f>IFERROR(INDEX(tbl_Finance[Defer Start],$A555),"")</f>
        <v/>
      </c>
      <c r="I555" s="48">
        <f>IFERROR(INDEX(tbl_Finance[Defer End],$A555),"")</f>
        <v/>
      </c>
      <c r="J555" s="47">
        <f>IF(OR($H555="",$I555="",$G555=""),"",MAX(1,(YEAR($I555)-YEAR($H555))*12+MONTH($I555)-MONTH($H555)+1))</f>
        <v/>
      </c>
      <c r="K555" s="50">
        <f>IF($J555="","",$G555/$J555)</f>
        <v/>
      </c>
      <c r="L555" s="50">
        <f>IF($J555="",0,$K555*MAX(0,MIN(YEAR($C$3)*12+MONTH($C$3),YEAR($I555)*12+MONTH($I555))-(YEAR($H555)*12+MONTH($H555))+1))</f>
        <v/>
      </c>
      <c r="M555" s="50">
        <f>IF($J555="",0,$K555*MAX(0,MIN(YEAR($C$3)*12+MONTH($C$3)-1,YEAR($I555)*12+MONTH($I555))-(YEAR($H555)*12+MONTH($H555))+1))</f>
        <v/>
      </c>
      <c r="N555" s="50">
        <f>IF(OR($J555="",$B555=""),0,IF(YEAR($B555)*12+MONTH($B555)&lt;=YEAR($C$3)*12+MONTH($C$3),$G555,0))</f>
        <v/>
      </c>
      <c r="O555" s="50">
        <f>IF(OR($J555="",$B555=""),0,IF(YEAR($B555)*12+MONTH($B555)&lt;=YEAR($C$3)*12+MONTH($C$3)-1,$G555,0))</f>
        <v/>
      </c>
      <c r="P555" s="50">
        <f>$M555-$O555</f>
        <v/>
      </c>
      <c r="Q555" s="50">
        <f>($L555-$M555)-($N555-$O555)</f>
        <v/>
      </c>
      <c r="R555" s="50">
        <f>$L555-$N555</f>
        <v/>
      </c>
    </row>
    <row r="556">
      <c r="A556" s="47">
        <f>ROW()-5</f>
        <v/>
      </c>
      <c r="B556" s="48">
        <f>IFERROR(INDEX(tbl_Finance[Date],$A556),"")</f>
        <v/>
      </c>
      <c r="C556" s="49">
        <f>IFERROR(INDEX(tbl_Finance[Xero Invoice No],$A556),"")</f>
        <v/>
      </c>
      <c r="D556" s="49">
        <f>IFERROR(INDEX(tbl_Finance[Client],$A556),"")</f>
        <v/>
      </c>
      <c r="E556" s="49">
        <f>IFERROR(INDEX(tbl_Finance[Job Number],$A556),"")</f>
        <v/>
      </c>
      <c r="F556" s="49">
        <f>IFERROR(INDEX(tbl_Finance[Cost Centre],$A556),"")</f>
        <v/>
      </c>
      <c r="G556" s="50">
        <f>IFERROR(INDEX(tbl_Finance[Ex GST],$A556),"")</f>
        <v/>
      </c>
      <c r="H556" s="48">
        <f>IFERROR(INDEX(tbl_Finance[Defer Start],$A556),"")</f>
        <v/>
      </c>
      <c r="I556" s="48">
        <f>IFERROR(INDEX(tbl_Finance[Defer End],$A556),"")</f>
        <v/>
      </c>
      <c r="J556" s="47">
        <f>IF(OR($H556="",$I556="",$G556=""),"",MAX(1,(YEAR($I556)-YEAR($H556))*12+MONTH($I556)-MONTH($H556)+1))</f>
        <v/>
      </c>
      <c r="K556" s="50">
        <f>IF($J556="","",$G556/$J556)</f>
        <v/>
      </c>
      <c r="L556" s="50">
        <f>IF($J556="",0,$K556*MAX(0,MIN(YEAR($C$3)*12+MONTH($C$3),YEAR($I556)*12+MONTH($I556))-(YEAR($H556)*12+MONTH($H556))+1))</f>
        <v/>
      </c>
      <c r="M556" s="50">
        <f>IF($J556="",0,$K556*MAX(0,MIN(YEAR($C$3)*12+MONTH($C$3)-1,YEAR($I556)*12+MONTH($I556))-(YEAR($H556)*12+MONTH($H556))+1))</f>
        <v/>
      </c>
      <c r="N556" s="50">
        <f>IF(OR($J556="",$B556=""),0,IF(YEAR($B556)*12+MONTH($B556)&lt;=YEAR($C$3)*12+MONTH($C$3),$G556,0))</f>
        <v/>
      </c>
      <c r="O556" s="50">
        <f>IF(OR($J556="",$B556=""),0,IF(YEAR($B556)*12+MONTH($B556)&lt;=YEAR($C$3)*12+MONTH($C$3)-1,$G556,0))</f>
        <v/>
      </c>
      <c r="P556" s="50">
        <f>$M556-$O556</f>
        <v/>
      </c>
      <c r="Q556" s="50">
        <f>($L556-$M556)-($N556-$O556)</f>
        <v/>
      </c>
      <c r="R556" s="50">
        <f>$L556-$N556</f>
        <v/>
      </c>
    </row>
    <row r="557">
      <c r="A557" s="47">
        <f>ROW()-5</f>
        <v/>
      </c>
      <c r="B557" s="48">
        <f>IFERROR(INDEX(tbl_Finance[Date],$A557),"")</f>
        <v/>
      </c>
      <c r="C557" s="49">
        <f>IFERROR(INDEX(tbl_Finance[Xero Invoice No],$A557),"")</f>
        <v/>
      </c>
      <c r="D557" s="49">
        <f>IFERROR(INDEX(tbl_Finance[Client],$A557),"")</f>
        <v/>
      </c>
      <c r="E557" s="49">
        <f>IFERROR(INDEX(tbl_Finance[Job Number],$A557),"")</f>
        <v/>
      </c>
      <c r="F557" s="49">
        <f>IFERROR(INDEX(tbl_Finance[Cost Centre],$A557),"")</f>
        <v/>
      </c>
      <c r="G557" s="50">
        <f>IFERROR(INDEX(tbl_Finance[Ex GST],$A557),"")</f>
        <v/>
      </c>
      <c r="H557" s="48">
        <f>IFERROR(INDEX(tbl_Finance[Defer Start],$A557),"")</f>
        <v/>
      </c>
      <c r="I557" s="48">
        <f>IFERROR(INDEX(tbl_Finance[Defer End],$A557),"")</f>
        <v/>
      </c>
      <c r="J557" s="47">
        <f>IF(OR($H557="",$I557="",$G557=""),"",MAX(1,(YEAR($I557)-YEAR($H557))*12+MONTH($I557)-MONTH($H557)+1))</f>
        <v/>
      </c>
      <c r="K557" s="50">
        <f>IF($J557="","",$G557/$J557)</f>
        <v/>
      </c>
      <c r="L557" s="50">
        <f>IF($J557="",0,$K557*MAX(0,MIN(YEAR($C$3)*12+MONTH($C$3),YEAR($I557)*12+MONTH($I557))-(YEAR($H557)*12+MONTH($H557))+1))</f>
        <v/>
      </c>
      <c r="M557" s="50">
        <f>IF($J557="",0,$K557*MAX(0,MIN(YEAR($C$3)*12+MONTH($C$3)-1,YEAR($I557)*12+MONTH($I557))-(YEAR($H557)*12+MONTH($H557))+1))</f>
        <v/>
      </c>
      <c r="N557" s="50">
        <f>IF(OR($J557="",$B557=""),0,IF(YEAR($B557)*12+MONTH($B557)&lt;=YEAR($C$3)*12+MONTH($C$3),$G557,0))</f>
        <v/>
      </c>
      <c r="O557" s="50">
        <f>IF(OR($J557="",$B557=""),0,IF(YEAR($B557)*12+MONTH($B557)&lt;=YEAR($C$3)*12+MONTH($C$3)-1,$G557,0))</f>
        <v/>
      </c>
      <c r="P557" s="50">
        <f>$M557-$O557</f>
        <v/>
      </c>
      <c r="Q557" s="50">
        <f>($L557-$M557)-($N557-$O557)</f>
        <v/>
      </c>
      <c r="R557" s="50">
        <f>$L557-$N557</f>
        <v/>
      </c>
    </row>
    <row r="558">
      <c r="A558" s="47">
        <f>ROW()-5</f>
        <v/>
      </c>
      <c r="B558" s="48">
        <f>IFERROR(INDEX(tbl_Finance[Date],$A558),"")</f>
        <v/>
      </c>
      <c r="C558" s="49">
        <f>IFERROR(INDEX(tbl_Finance[Xero Invoice No],$A558),"")</f>
        <v/>
      </c>
      <c r="D558" s="49">
        <f>IFERROR(INDEX(tbl_Finance[Client],$A558),"")</f>
        <v/>
      </c>
      <c r="E558" s="49">
        <f>IFERROR(INDEX(tbl_Finance[Job Number],$A558),"")</f>
        <v/>
      </c>
      <c r="F558" s="49">
        <f>IFERROR(INDEX(tbl_Finance[Cost Centre],$A558),"")</f>
        <v/>
      </c>
      <c r="G558" s="50">
        <f>IFERROR(INDEX(tbl_Finance[Ex GST],$A558),"")</f>
        <v/>
      </c>
      <c r="H558" s="48">
        <f>IFERROR(INDEX(tbl_Finance[Defer Start],$A558),"")</f>
        <v/>
      </c>
      <c r="I558" s="48">
        <f>IFERROR(INDEX(tbl_Finance[Defer End],$A558),"")</f>
        <v/>
      </c>
      <c r="J558" s="47">
        <f>IF(OR($H558="",$I558="",$G558=""),"",MAX(1,(YEAR($I558)-YEAR($H558))*12+MONTH($I558)-MONTH($H558)+1))</f>
        <v/>
      </c>
      <c r="K558" s="50">
        <f>IF($J558="","",$G558/$J558)</f>
        <v/>
      </c>
      <c r="L558" s="50">
        <f>IF($J558="",0,$K558*MAX(0,MIN(YEAR($C$3)*12+MONTH($C$3),YEAR($I558)*12+MONTH($I558))-(YEAR($H558)*12+MONTH($H558))+1))</f>
        <v/>
      </c>
      <c r="M558" s="50">
        <f>IF($J558="",0,$K558*MAX(0,MIN(YEAR($C$3)*12+MONTH($C$3)-1,YEAR($I558)*12+MONTH($I558))-(YEAR($H558)*12+MONTH($H558))+1))</f>
        <v/>
      </c>
      <c r="N558" s="50">
        <f>IF(OR($J558="",$B558=""),0,IF(YEAR($B558)*12+MONTH($B558)&lt;=YEAR($C$3)*12+MONTH($C$3),$G558,0))</f>
        <v/>
      </c>
      <c r="O558" s="50">
        <f>IF(OR($J558="",$B558=""),0,IF(YEAR($B558)*12+MONTH($B558)&lt;=YEAR($C$3)*12+MONTH($C$3)-1,$G558,0))</f>
        <v/>
      </c>
      <c r="P558" s="50">
        <f>$M558-$O558</f>
        <v/>
      </c>
      <c r="Q558" s="50">
        <f>($L558-$M558)-($N558-$O558)</f>
        <v/>
      </c>
      <c r="R558" s="50">
        <f>$L558-$N558</f>
        <v/>
      </c>
    </row>
    <row r="559">
      <c r="A559" s="47">
        <f>ROW()-5</f>
        <v/>
      </c>
      <c r="B559" s="48">
        <f>IFERROR(INDEX(tbl_Finance[Date],$A559),"")</f>
        <v/>
      </c>
      <c r="C559" s="49">
        <f>IFERROR(INDEX(tbl_Finance[Xero Invoice No],$A559),"")</f>
        <v/>
      </c>
      <c r="D559" s="49">
        <f>IFERROR(INDEX(tbl_Finance[Client],$A559),"")</f>
        <v/>
      </c>
      <c r="E559" s="49">
        <f>IFERROR(INDEX(tbl_Finance[Job Number],$A559),"")</f>
        <v/>
      </c>
      <c r="F559" s="49">
        <f>IFERROR(INDEX(tbl_Finance[Cost Centre],$A559),"")</f>
        <v/>
      </c>
      <c r="G559" s="50">
        <f>IFERROR(INDEX(tbl_Finance[Ex GST],$A559),"")</f>
        <v/>
      </c>
      <c r="H559" s="48">
        <f>IFERROR(INDEX(tbl_Finance[Defer Start],$A559),"")</f>
        <v/>
      </c>
      <c r="I559" s="48">
        <f>IFERROR(INDEX(tbl_Finance[Defer End],$A559),"")</f>
        <v/>
      </c>
      <c r="J559" s="47">
        <f>IF(OR($H559="",$I559="",$G559=""),"",MAX(1,(YEAR($I559)-YEAR($H559))*12+MONTH($I559)-MONTH($H559)+1))</f>
        <v/>
      </c>
      <c r="K559" s="50">
        <f>IF($J559="","",$G559/$J559)</f>
        <v/>
      </c>
      <c r="L559" s="50">
        <f>IF($J559="",0,$K559*MAX(0,MIN(YEAR($C$3)*12+MONTH($C$3),YEAR($I559)*12+MONTH($I559))-(YEAR($H559)*12+MONTH($H559))+1))</f>
        <v/>
      </c>
      <c r="M559" s="50">
        <f>IF($J559="",0,$K559*MAX(0,MIN(YEAR($C$3)*12+MONTH($C$3)-1,YEAR($I559)*12+MONTH($I559))-(YEAR($H559)*12+MONTH($H559))+1))</f>
        <v/>
      </c>
      <c r="N559" s="50">
        <f>IF(OR($J559="",$B559=""),0,IF(YEAR($B559)*12+MONTH($B559)&lt;=YEAR($C$3)*12+MONTH($C$3),$G559,0))</f>
        <v/>
      </c>
      <c r="O559" s="50">
        <f>IF(OR($J559="",$B559=""),0,IF(YEAR($B559)*12+MONTH($B559)&lt;=YEAR($C$3)*12+MONTH($C$3)-1,$G559,0))</f>
        <v/>
      </c>
      <c r="P559" s="50">
        <f>$M559-$O559</f>
        <v/>
      </c>
      <c r="Q559" s="50">
        <f>($L559-$M559)-($N559-$O559)</f>
        <v/>
      </c>
      <c r="R559" s="50">
        <f>$L559-$N559</f>
        <v/>
      </c>
    </row>
    <row r="560">
      <c r="A560" s="47">
        <f>ROW()-5</f>
        <v/>
      </c>
      <c r="B560" s="48">
        <f>IFERROR(INDEX(tbl_Finance[Date],$A560),"")</f>
        <v/>
      </c>
      <c r="C560" s="49">
        <f>IFERROR(INDEX(tbl_Finance[Xero Invoice No],$A560),"")</f>
        <v/>
      </c>
      <c r="D560" s="49">
        <f>IFERROR(INDEX(tbl_Finance[Client],$A560),"")</f>
        <v/>
      </c>
      <c r="E560" s="49">
        <f>IFERROR(INDEX(tbl_Finance[Job Number],$A560),"")</f>
        <v/>
      </c>
      <c r="F560" s="49">
        <f>IFERROR(INDEX(tbl_Finance[Cost Centre],$A560),"")</f>
        <v/>
      </c>
      <c r="G560" s="50">
        <f>IFERROR(INDEX(tbl_Finance[Ex GST],$A560),"")</f>
        <v/>
      </c>
      <c r="H560" s="48">
        <f>IFERROR(INDEX(tbl_Finance[Defer Start],$A560),"")</f>
        <v/>
      </c>
      <c r="I560" s="48">
        <f>IFERROR(INDEX(tbl_Finance[Defer End],$A560),"")</f>
        <v/>
      </c>
      <c r="J560" s="47">
        <f>IF(OR($H560="",$I560="",$G560=""),"",MAX(1,(YEAR($I560)-YEAR($H560))*12+MONTH($I560)-MONTH($H560)+1))</f>
        <v/>
      </c>
      <c r="K560" s="50">
        <f>IF($J560="","",$G560/$J560)</f>
        <v/>
      </c>
      <c r="L560" s="50">
        <f>IF($J560="",0,$K560*MAX(0,MIN(YEAR($C$3)*12+MONTH($C$3),YEAR($I560)*12+MONTH($I560))-(YEAR($H560)*12+MONTH($H560))+1))</f>
        <v/>
      </c>
      <c r="M560" s="50">
        <f>IF($J560="",0,$K560*MAX(0,MIN(YEAR($C$3)*12+MONTH($C$3)-1,YEAR($I560)*12+MONTH($I560))-(YEAR($H560)*12+MONTH($H560))+1))</f>
        <v/>
      </c>
      <c r="N560" s="50">
        <f>IF(OR($J560="",$B560=""),0,IF(YEAR($B560)*12+MONTH($B560)&lt;=YEAR($C$3)*12+MONTH($C$3),$G560,0))</f>
        <v/>
      </c>
      <c r="O560" s="50">
        <f>IF(OR($J560="",$B560=""),0,IF(YEAR($B560)*12+MONTH($B560)&lt;=YEAR($C$3)*12+MONTH($C$3)-1,$G560,0))</f>
        <v/>
      </c>
      <c r="P560" s="50">
        <f>$M560-$O560</f>
        <v/>
      </c>
      <c r="Q560" s="50">
        <f>($L560-$M560)-($N560-$O560)</f>
        <v/>
      </c>
      <c r="R560" s="50">
        <f>$L560-$N560</f>
        <v/>
      </c>
    </row>
    <row r="561">
      <c r="A561" s="47">
        <f>ROW()-5</f>
        <v/>
      </c>
      <c r="B561" s="48">
        <f>IFERROR(INDEX(tbl_Finance[Date],$A561),"")</f>
        <v/>
      </c>
      <c r="C561" s="49">
        <f>IFERROR(INDEX(tbl_Finance[Xero Invoice No],$A561),"")</f>
        <v/>
      </c>
      <c r="D561" s="49">
        <f>IFERROR(INDEX(tbl_Finance[Client],$A561),"")</f>
        <v/>
      </c>
      <c r="E561" s="49">
        <f>IFERROR(INDEX(tbl_Finance[Job Number],$A561),"")</f>
        <v/>
      </c>
      <c r="F561" s="49">
        <f>IFERROR(INDEX(tbl_Finance[Cost Centre],$A561),"")</f>
        <v/>
      </c>
      <c r="G561" s="50">
        <f>IFERROR(INDEX(tbl_Finance[Ex GST],$A561),"")</f>
        <v/>
      </c>
      <c r="H561" s="48">
        <f>IFERROR(INDEX(tbl_Finance[Defer Start],$A561),"")</f>
        <v/>
      </c>
      <c r="I561" s="48">
        <f>IFERROR(INDEX(tbl_Finance[Defer End],$A561),"")</f>
        <v/>
      </c>
      <c r="J561" s="47">
        <f>IF(OR($H561="",$I561="",$G561=""),"",MAX(1,(YEAR($I561)-YEAR($H561))*12+MONTH($I561)-MONTH($H561)+1))</f>
        <v/>
      </c>
      <c r="K561" s="50">
        <f>IF($J561="","",$G561/$J561)</f>
        <v/>
      </c>
      <c r="L561" s="50">
        <f>IF($J561="",0,$K561*MAX(0,MIN(YEAR($C$3)*12+MONTH($C$3),YEAR($I561)*12+MONTH($I561))-(YEAR($H561)*12+MONTH($H561))+1))</f>
        <v/>
      </c>
      <c r="M561" s="50">
        <f>IF($J561="",0,$K561*MAX(0,MIN(YEAR($C$3)*12+MONTH($C$3)-1,YEAR($I561)*12+MONTH($I561))-(YEAR($H561)*12+MONTH($H561))+1))</f>
        <v/>
      </c>
      <c r="N561" s="50">
        <f>IF(OR($J561="",$B561=""),0,IF(YEAR($B561)*12+MONTH($B561)&lt;=YEAR($C$3)*12+MONTH($C$3),$G561,0))</f>
        <v/>
      </c>
      <c r="O561" s="50">
        <f>IF(OR($J561="",$B561=""),0,IF(YEAR($B561)*12+MONTH($B561)&lt;=YEAR($C$3)*12+MONTH($C$3)-1,$G561,0))</f>
        <v/>
      </c>
      <c r="P561" s="50">
        <f>$M561-$O561</f>
        <v/>
      </c>
      <c r="Q561" s="50">
        <f>($L561-$M561)-($N561-$O561)</f>
        <v/>
      </c>
      <c r="R561" s="50">
        <f>$L561-$N561</f>
        <v/>
      </c>
    </row>
    <row r="562">
      <c r="A562" s="47">
        <f>ROW()-5</f>
        <v/>
      </c>
      <c r="B562" s="48">
        <f>IFERROR(INDEX(tbl_Finance[Date],$A562),"")</f>
        <v/>
      </c>
      <c r="C562" s="49">
        <f>IFERROR(INDEX(tbl_Finance[Xero Invoice No],$A562),"")</f>
        <v/>
      </c>
      <c r="D562" s="49">
        <f>IFERROR(INDEX(tbl_Finance[Client],$A562),"")</f>
        <v/>
      </c>
      <c r="E562" s="49">
        <f>IFERROR(INDEX(tbl_Finance[Job Number],$A562),"")</f>
        <v/>
      </c>
      <c r="F562" s="49">
        <f>IFERROR(INDEX(tbl_Finance[Cost Centre],$A562),"")</f>
        <v/>
      </c>
      <c r="G562" s="50">
        <f>IFERROR(INDEX(tbl_Finance[Ex GST],$A562),"")</f>
        <v/>
      </c>
      <c r="H562" s="48">
        <f>IFERROR(INDEX(tbl_Finance[Defer Start],$A562),"")</f>
        <v/>
      </c>
      <c r="I562" s="48">
        <f>IFERROR(INDEX(tbl_Finance[Defer End],$A562),"")</f>
        <v/>
      </c>
      <c r="J562" s="47">
        <f>IF(OR($H562="",$I562="",$G562=""),"",MAX(1,(YEAR($I562)-YEAR($H562))*12+MONTH($I562)-MONTH($H562)+1))</f>
        <v/>
      </c>
      <c r="K562" s="50">
        <f>IF($J562="","",$G562/$J562)</f>
        <v/>
      </c>
      <c r="L562" s="50">
        <f>IF($J562="",0,$K562*MAX(0,MIN(YEAR($C$3)*12+MONTH($C$3),YEAR($I562)*12+MONTH($I562))-(YEAR($H562)*12+MONTH($H562))+1))</f>
        <v/>
      </c>
      <c r="M562" s="50">
        <f>IF($J562="",0,$K562*MAX(0,MIN(YEAR($C$3)*12+MONTH($C$3)-1,YEAR($I562)*12+MONTH($I562))-(YEAR($H562)*12+MONTH($H562))+1))</f>
        <v/>
      </c>
      <c r="N562" s="50">
        <f>IF(OR($J562="",$B562=""),0,IF(YEAR($B562)*12+MONTH($B562)&lt;=YEAR($C$3)*12+MONTH($C$3),$G562,0))</f>
        <v/>
      </c>
      <c r="O562" s="50">
        <f>IF(OR($J562="",$B562=""),0,IF(YEAR($B562)*12+MONTH($B562)&lt;=YEAR($C$3)*12+MONTH($C$3)-1,$G562,0))</f>
        <v/>
      </c>
      <c r="P562" s="50">
        <f>$M562-$O562</f>
        <v/>
      </c>
      <c r="Q562" s="50">
        <f>($L562-$M562)-($N562-$O562)</f>
        <v/>
      </c>
      <c r="R562" s="50">
        <f>$L562-$N562</f>
        <v/>
      </c>
    </row>
    <row r="563">
      <c r="A563" s="47">
        <f>ROW()-5</f>
        <v/>
      </c>
      <c r="B563" s="48">
        <f>IFERROR(INDEX(tbl_Finance[Date],$A563),"")</f>
        <v/>
      </c>
      <c r="C563" s="49">
        <f>IFERROR(INDEX(tbl_Finance[Xero Invoice No],$A563),"")</f>
        <v/>
      </c>
      <c r="D563" s="49">
        <f>IFERROR(INDEX(tbl_Finance[Client],$A563),"")</f>
        <v/>
      </c>
      <c r="E563" s="49">
        <f>IFERROR(INDEX(tbl_Finance[Job Number],$A563),"")</f>
        <v/>
      </c>
      <c r="F563" s="49">
        <f>IFERROR(INDEX(tbl_Finance[Cost Centre],$A563),"")</f>
        <v/>
      </c>
      <c r="G563" s="50">
        <f>IFERROR(INDEX(tbl_Finance[Ex GST],$A563),"")</f>
        <v/>
      </c>
      <c r="H563" s="48">
        <f>IFERROR(INDEX(tbl_Finance[Defer Start],$A563),"")</f>
        <v/>
      </c>
      <c r="I563" s="48">
        <f>IFERROR(INDEX(tbl_Finance[Defer End],$A563),"")</f>
        <v/>
      </c>
      <c r="J563" s="47">
        <f>IF(OR($H563="",$I563="",$G563=""),"",MAX(1,(YEAR($I563)-YEAR($H563))*12+MONTH($I563)-MONTH($H563)+1))</f>
        <v/>
      </c>
      <c r="K563" s="50">
        <f>IF($J563="","",$G563/$J563)</f>
        <v/>
      </c>
      <c r="L563" s="50">
        <f>IF($J563="",0,$K563*MAX(0,MIN(YEAR($C$3)*12+MONTH($C$3),YEAR($I563)*12+MONTH($I563))-(YEAR($H563)*12+MONTH($H563))+1))</f>
        <v/>
      </c>
      <c r="M563" s="50">
        <f>IF($J563="",0,$K563*MAX(0,MIN(YEAR($C$3)*12+MONTH($C$3)-1,YEAR($I563)*12+MONTH($I563))-(YEAR($H563)*12+MONTH($H563))+1))</f>
        <v/>
      </c>
      <c r="N563" s="50">
        <f>IF(OR($J563="",$B563=""),0,IF(YEAR($B563)*12+MONTH($B563)&lt;=YEAR($C$3)*12+MONTH($C$3),$G563,0))</f>
        <v/>
      </c>
      <c r="O563" s="50">
        <f>IF(OR($J563="",$B563=""),0,IF(YEAR($B563)*12+MONTH($B563)&lt;=YEAR($C$3)*12+MONTH($C$3)-1,$G563,0))</f>
        <v/>
      </c>
      <c r="P563" s="50">
        <f>$M563-$O563</f>
        <v/>
      </c>
      <c r="Q563" s="50">
        <f>($L563-$M563)-($N563-$O563)</f>
        <v/>
      </c>
      <c r="R563" s="50">
        <f>$L563-$N563</f>
        <v/>
      </c>
    </row>
    <row r="564">
      <c r="A564" s="47">
        <f>ROW()-5</f>
        <v/>
      </c>
      <c r="B564" s="48">
        <f>IFERROR(INDEX(tbl_Finance[Date],$A564),"")</f>
        <v/>
      </c>
      <c r="C564" s="49">
        <f>IFERROR(INDEX(tbl_Finance[Xero Invoice No],$A564),"")</f>
        <v/>
      </c>
      <c r="D564" s="49">
        <f>IFERROR(INDEX(tbl_Finance[Client],$A564),"")</f>
        <v/>
      </c>
      <c r="E564" s="49">
        <f>IFERROR(INDEX(tbl_Finance[Job Number],$A564),"")</f>
        <v/>
      </c>
      <c r="F564" s="49">
        <f>IFERROR(INDEX(tbl_Finance[Cost Centre],$A564),"")</f>
        <v/>
      </c>
      <c r="G564" s="50">
        <f>IFERROR(INDEX(tbl_Finance[Ex GST],$A564),"")</f>
        <v/>
      </c>
      <c r="H564" s="48">
        <f>IFERROR(INDEX(tbl_Finance[Defer Start],$A564),"")</f>
        <v/>
      </c>
      <c r="I564" s="48">
        <f>IFERROR(INDEX(tbl_Finance[Defer End],$A564),"")</f>
        <v/>
      </c>
      <c r="J564" s="47">
        <f>IF(OR($H564="",$I564="",$G564=""),"",MAX(1,(YEAR($I564)-YEAR($H564))*12+MONTH($I564)-MONTH($H564)+1))</f>
        <v/>
      </c>
      <c r="K564" s="50">
        <f>IF($J564="","",$G564/$J564)</f>
        <v/>
      </c>
      <c r="L564" s="50">
        <f>IF($J564="",0,$K564*MAX(0,MIN(YEAR($C$3)*12+MONTH($C$3),YEAR($I564)*12+MONTH($I564))-(YEAR($H564)*12+MONTH($H564))+1))</f>
        <v/>
      </c>
      <c r="M564" s="50">
        <f>IF($J564="",0,$K564*MAX(0,MIN(YEAR($C$3)*12+MONTH($C$3)-1,YEAR($I564)*12+MONTH($I564))-(YEAR($H564)*12+MONTH($H564))+1))</f>
        <v/>
      </c>
      <c r="N564" s="50">
        <f>IF(OR($J564="",$B564=""),0,IF(YEAR($B564)*12+MONTH($B564)&lt;=YEAR($C$3)*12+MONTH($C$3),$G564,0))</f>
        <v/>
      </c>
      <c r="O564" s="50">
        <f>IF(OR($J564="",$B564=""),0,IF(YEAR($B564)*12+MONTH($B564)&lt;=YEAR($C$3)*12+MONTH($C$3)-1,$G564,0))</f>
        <v/>
      </c>
      <c r="P564" s="50">
        <f>$M564-$O564</f>
        <v/>
      </c>
      <c r="Q564" s="50">
        <f>($L564-$M564)-($N564-$O564)</f>
        <v/>
      </c>
      <c r="R564" s="50">
        <f>$L564-$N564</f>
        <v/>
      </c>
    </row>
    <row r="565">
      <c r="A565" s="47">
        <f>ROW()-5</f>
        <v/>
      </c>
      <c r="B565" s="48">
        <f>IFERROR(INDEX(tbl_Finance[Date],$A565),"")</f>
        <v/>
      </c>
      <c r="C565" s="49">
        <f>IFERROR(INDEX(tbl_Finance[Xero Invoice No],$A565),"")</f>
        <v/>
      </c>
      <c r="D565" s="49">
        <f>IFERROR(INDEX(tbl_Finance[Client],$A565),"")</f>
        <v/>
      </c>
      <c r="E565" s="49">
        <f>IFERROR(INDEX(tbl_Finance[Job Number],$A565),"")</f>
        <v/>
      </c>
      <c r="F565" s="49">
        <f>IFERROR(INDEX(tbl_Finance[Cost Centre],$A565),"")</f>
        <v/>
      </c>
      <c r="G565" s="50">
        <f>IFERROR(INDEX(tbl_Finance[Ex GST],$A565),"")</f>
        <v/>
      </c>
      <c r="H565" s="48">
        <f>IFERROR(INDEX(tbl_Finance[Defer Start],$A565),"")</f>
        <v/>
      </c>
      <c r="I565" s="48">
        <f>IFERROR(INDEX(tbl_Finance[Defer End],$A565),"")</f>
        <v/>
      </c>
      <c r="J565" s="47">
        <f>IF(OR($H565="",$I565="",$G565=""),"",MAX(1,(YEAR($I565)-YEAR($H565))*12+MONTH($I565)-MONTH($H565)+1))</f>
        <v/>
      </c>
      <c r="K565" s="50">
        <f>IF($J565="","",$G565/$J565)</f>
        <v/>
      </c>
      <c r="L565" s="50">
        <f>IF($J565="",0,$K565*MAX(0,MIN(YEAR($C$3)*12+MONTH($C$3),YEAR($I565)*12+MONTH($I565))-(YEAR($H565)*12+MONTH($H565))+1))</f>
        <v/>
      </c>
      <c r="M565" s="50">
        <f>IF($J565="",0,$K565*MAX(0,MIN(YEAR($C$3)*12+MONTH($C$3)-1,YEAR($I565)*12+MONTH($I565))-(YEAR($H565)*12+MONTH($H565))+1))</f>
        <v/>
      </c>
      <c r="N565" s="50">
        <f>IF(OR($J565="",$B565=""),0,IF(YEAR($B565)*12+MONTH($B565)&lt;=YEAR($C$3)*12+MONTH($C$3),$G565,0))</f>
        <v/>
      </c>
      <c r="O565" s="50">
        <f>IF(OR($J565="",$B565=""),0,IF(YEAR($B565)*12+MONTH($B565)&lt;=YEAR($C$3)*12+MONTH($C$3)-1,$G565,0))</f>
        <v/>
      </c>
      <c r="P565" s="50">
        <f>$M565-$O565</f>
        <v/>
      </c>
      <c r="Q565" s="50">
        <f>($L565-$M565)-($N565-$O565)</f>
        <v/>
      </c>
      <c r="R565" s="50">
        <f>$L565-$N565</f>
        <v/>
      </c>
    </row>
    <row r="566">
      <c r="A566" s="47">
        <f>ROW()-5</f>
        <v/>
      </c>
      <c r="B566" s="48">
        <f>IFERROR(INDEX(tbl_Finance[Date],$A566),"")</f>
        <v/>
      </c>
      <c r="C566" s="49">
        <f>IFERROR(INDEX(tbl_Finance[Xero Invoice No],$A566),"")</f>
        <v/>
      </c>
      <c r="D566" s="49">
        <f>IFERROR(INDEX(tbl_Finance[Client],$A566),"")</f>
        <v/>
      </c>
      <c r="E566" s="49">
        <f>IFERROR(INDEX(tbl_Finance[Job Number],$A566),"")</f>
        <v/>
      </c>
      <c r="F566" s="49">
        <f>IFERROR(INDEX(tbl_Finance[Cost Centre],$A566),"")</f>
        <v/>
      </c>
      <c r="G566" s="50">
        <f>IFERROR(INDEX(tbl_Finance[Ex GST],$A566),"")</f>
        <v/>
      </c>
      <c r="H566" s="48">
        <f>IFERROR(INDEX(tbl_Finance[Defer Start],$A566),"")</f>
        <v/>
      </c>
      <c r="I566" s="48">
        <f>IFERROR(INDEX(tbl_Finance[Defer End],$A566),"")</f>
        <v/>
      </c>
      <c r="J566" s="47">
        <f>IF(OR($H566="",$I566="",$G566=""),"",MAX(1,(YEAR($I566)-YEAR($H566))*12+MONTH($I566)-MONTH($H566)+1))</f>
        <v/>
      </c>
      <c r="K566" s="50">
        <f>IF($J566="","",$G566/$J566)</f>
        <v/>
      </c>
      <c r="L566" s="50">
        <f>IF($J566="",0,$K566*MAX(0,MIN(YEAR($C$3)*12+MONTH($C$3),YEAR($I566)*12+MONTH($I566))-(YEAR($H566)*12+MONTH($H566))+1))</f>
        <v/>
      </c>
      <c r="M566" s="50">
        <f>IF($J566="",0,$K566*MAX(0,MIN(YEAR($C$3)*12+MONTH($C$3)-1,YEAR($I566)*12+MONTH($I566))-(YEAR($H566)*12+MONTH($H566))+1))</f>
        <v/>
      </c>
      <c r="N566" s="50">
        <f>IF(OR($J566="",$B566=""),0,IF(YEAR($B566)*12+MONTH($B566)&lt;=YEAR($C$3)*12+MONTH($C$3),$G566,0))</f>
        <v/>
      </c>
      <c r="O566" s="50">
        <f>IF(OR($J566="",$B566=""),0,IF(YEAR($B566)*12+MONTH($B566)&lt;=YEAR($C$3)*12+MONTH($C$3)-1,$G566,0))</f>
        <v/>
      </c>
      <c r="P566" s="50">
        <f>$M566-$O566</f>
        <v/>
      </c>
      <c r="Q566" s="50">
        <f>($L566-$M566)-($N566-$O566)</f>
        <v/>
      </c>
      <c r="R566" s="50">
        <f>$L566-$N566</f>
        <v/>
      </c>
    </row>
    <row r="567">
      <c r="A567" s="47">
        <f>ROW()-5</f>
        <v/>
      </c>
      <c r="B567" s="48">
        <f>IFERROR(INDEX(tbl_Finance[Date],$A567),"")</f>
        <v/>
      </c>
      <c r="C567" s="49">
        <f>IFERROR(INDEX(tbl_Finance[Xero Invoice No],$A567),"")</f>
        <v/>
      </c>
      <c r="D567" s="49">
        <f>IFERROR(INDEX(tbl_Finance[Client],$A567),"")</f>
        <v/>
      </c>
      <c r="E567" s="49">
        <f>IFERROR(INDEX(tbl_Finance[Job Number],$A567),"")</f>
        <v/>
      </c>
      <c r="F567" s="49">
        <f>IFERROR(INDEX(tbl_Finance[Cost Centre],$A567),"")</f>
        <v/>
      </c>
      <c r="G567" s="50">
        <f>IFERROR(INDEX(tbl_Finance[Ex GST],$A567),"")</f>
        <v/>
      </c>
      <c r="H567" s="48">
        <f>IFERROR(INDEX(tbl_Finance[Defer Start],$A567),"")</f>
        <v/>
      </c>
      <c r="I567" s="48">
        <f>IFERROR(INDEX(tbl_Finance[Defer End],$A567),"")</f>
        <v/>
      </c>
      <c r="J567" s="47">
        <f>IF(OR($H567="",$I567="",$G567=""),"",MAX(1,(YEAR($I567)-YEAR($H567))*12+MONTH($I567)-MONTH($H567)+1))</f>
        <v/>
      </c>
      <c r="K567" s="50">
        <f>IF($J567="","",$G567/$J567)</f>
        <v/>
      </c>
      <c r="L567" s="50">
        <f>IF($J567="",0,$K567*MAX(0,MIN(YEAR($C$3)*12+MONTH($C$3),YEAR($I567)*12+MONTH($I567))-(YEAR($H567)*12+MONTH($H567))+1))</f>
        <v/>
      </c>
      <c r="M567" s="50">
        <f>IF($J567="",0,$K567*MAX(0,MIN(YEAR($C$3)*12+MONTH($C$3)-1,YEAR($I567)*12+MONTH($I567))-(YEAR($H567)*12+MONTH($H567))+1))</f>
        <v/>
      </c>
      <c r="N567" s="50">
        <f>IF(OR($J567="",$B567=""),0,IF(YEAR($B567)*12+MONTH($B567)&lt;=YEAR($C$3)*12+MONTH($C$3),$G567,0))</f>
        <v/>
      </c>
      <c r="O567" s="50">
        <f>IF(OR($J567="",$B567=""),0,IF(YEAR($B567)*12+MONTH($B567)&lt;=YEAR($C$3)*12+MONTH($C$3)-1,$G567,0))</f>
        <v/>
      </c>
      <c r="P567" s="50">
        <f>$M567-$O567</f>
        <v/>
      </c>
      <c r="Q567" s="50">
        <f>($L567-$M567)-($N567-$O567)</f>
        <v/>
      </c>
      <c r="R567" s="50">
        <f>$L567-$N567</f>
        <v/>
      </c>
    </row>
    <row r="568">
      <c r="A568" s="47">
        <f>ROW()-5</f>
        <v/>
      </c>
      <c r="B568" s="48">
        <f>IFERROR(INDEX(tbl_Finance[Date],$A568),"")</f>
        <v/>
      </c>
      <c r="C568" s="49">
        <f>IFERROR(INDEX(tbl_Finance[Xero Invoice No],$A568),"")</f>
        <v/>
      </c>
      <c r="D568" s="49">
        <f>IFERROR(INDEX(tbl_Finance[Client],$A568),"")</f>
        <v/>
      </c>
      <c r="E568" s="49">
        <f>IFERROR(INDEX(tbl_Finance[Job Number],$A568),"")</f>
        <v/>
      </c>
      <c r="F568" s="49">
        <f>IFERROR(INDEX(tbl_Finance[Cost Centre],$A568),"")</f>
        <v/>
      </c>
      <c r="G568" s="50">
        <f>IFERROR(INDEX(tbl_Finance[Ex GST],$A568),"")</f>
        <v/>
      </c>
      <c r="H568" s="48">
        <f>IFERROR(INDEX(tbl_Finance[Defer Start],$A568),"")</f>
        <v/>
      </c>
      <c r="I568" s="48">
        <f>IFERROR(INDEX(tbl_Finance[Defer End],$A568),"")</f>
        <v/>
      </c>
      <c r="J568" s="47">
        <f>IF(OR($H568="",$I568="",$G568=""),"",MAX(1,(YEAR($I568)-YEAR($H568))*12+MONTH($I568)-MONTH($H568)+1))</f>
        <v/>
      </c>
      <c r="K568" s="50">
        <f>IF($J568="","",$G568/$J568)</f>
        <v/>
      </c>
      <c r="L568" s="50">
        <f>IF($J568="",0,$K568*MAX(0,MIN(YEAR($C$3)*12+MONTH($C$3),YEAR($I568)*12+MONTH($I568))-(YEAR($H568)*12+MONTH($H568))+1))</f>
        <v/>
      </c>
      <c r="M568" s="50">
        <f>IF($J568="",0,$K568*MAX(0,MIN(YEAR($C$3)*12+MONTH($C$3)-1,YEAR($I568)*12+MONTH($I568))-(YEAR($H568)*12+MONTH($H568))+1))</f>
        <v/>
      </c>
      <c r="N568" s="50">
        <f>IF(OR($J568="",$B568=""),0,IF(YEAR($B568)*12+MONTH($B568)&lt;=YEAR($C$3)*12+MONTH($C$3),$G568,0))</f>
        <v/>
      </c>
      <c r="O568" s="50">
        <f>IF(OR($J568="",$B568=""),0,IF(YEAR($B568)*12+MONTH($B568)&lt;=YEAR($C$3)*12+MONTH($C$3)-1,$G568,0))</f>
        <v/>
      </c>
      <c r="P568" s="50">
        <f>$M568-$O568</f>
        <v/>
      </c>
      <c r="Q568" s="50">
        <f>($L568-$M568)-($N568-$O568)</f>
        <v/>
      </c>
      <c r="R568" s="50">
        <f>$L568-$N568</f>
        <v/>
      </c>
    </row>
    <row r="569">
      <c r="A569" s="47">
        <f>ROW()-5</f>
        <v/>
      </c>
      <c r="B569" s="48">
        <f>IFERROR(INDEX(tbl_Finance[Date],$A569),"")</f>
        <v/>
      </c>
      <c r="C569" s="49">
        <f>IFERROR(INDEX(tbl_Finance[Xero Invoice No],$A569),"")</f>
        <v/>
      </c>
      <c r="D569" s="49">
        <f>IFERROR(INDEX(tbl_Finance[Client],$A569),"")</f>
        <v/>
      </c>
      <c r="E569" s="49">
        <f>IFERROR(INDEX(tbl_Finance[Job Number],$A569),"")</f>
        <v/>
      </c>
      <c r="F569" s="49">
        <f>IFERROR(INDEX(tbl_Finance[Cost Centre],$A569),"")</f>
        <v/>
      </c>
      <c r="G569" s="50">
        <f>IFERROR(INDEX(tbl_Finance[Ex GST],$A569),"")</f>
        <v/>
      </c>
      <c r="H569" s="48">
        <f>IFERROR(INDEX(tbl_Finance[Defer Start],$A569),"")</f>
        <v/>
      </c>
      <c r="I569" s="48">
        <f>IFERROR(INDEX(tbl_Finance[Defer End],$A569),"")</f>
        <v/>
      </c>
      <c r="J569" s="47">
        <f>IF(OR($H569="",$I569="",$G569=""),"",MAX(1,(YEAR($I569)-YEAR($H569))*12+MONTH($I569)-MONTH($H569)+1))</f>
        <v/>
      </c>
      <c r="K569" s="50">
        <f>IF($J569="","",$G569/$J569)</f>
        <v/>
      </c>
      <c r="L569" s="50">
        <f>IF($J569="",0,$K569*MAX(0,MIN(YEAR($C$3)*12+MONTH($C$3),YEAR($I569)*12+MONTH($I569))-(YEAR($H569)*12+MONTH($H569))+1))</f>
        <v/>
      </c>
      <c r="M569" s="50">
        <f>IF($J569="",0,$K569*MAX(0,MIN(YEAR($C$3)*12+MONTH($C$3)-1,YEAR($I569)*12+MONTH($I569))-(YEAR($H569)*12+MONTH($H569))+1))</f>
        <v/>
      </c>
      <c r="N569" s="50">
        <f>IF(OR($J569="",$B569=""),0,IF(YEAR($B569)*12+MONTH($B569)&lt;=YEAR($C$3)*12+MONTH($C$3),$G569,0))</f>
        <v/>
      </c>
      <c r="O569" s="50">
        <f>IF(OR($J569="",$B569=""),0,IF(YEAR($B569)*12+MONTH($B569)&lt;=YEAR($C$3)*12+MONTH($C$3)-1,$G569,0))</f>
        <v/>
      </c>
      <c r="P569" s="50">
        <f>$M569-$O569</f>
        <v/>
      </c>
      <c r="Q569" s="50">
        <f>($L569-$M569)-($N569-$O569)</f>
        <v/>
      </c>
      <c r="R569" s="50">
        <f>$L569-$N569</f>
        <v/>
      </c>
    </row>
    <row r="570">
      <c r="A570" s="47">
        <f>ROW()-5</f>
        <v/>
      </c>
      <c r="B570" s="48">
        <f>IFERROR(INDEX(tbl_Finance[Date],$A570),"")</f>
        <v/>
      </c>
      <c r="C570" s="49">
        <f>IFERROR(INDEX(tbl_Finance[Xero Invoice No],$A570),"")</f>
        <v/>
      </c>
      <c r="D570" s="49">
        <f>IFERROR(INDEX(tbl_Finance[Client],$A570),"")</f>
        <v/>
      </c>
      <c r="E570" s="49">
        <f>IFERROR(INDEX(tbl_Finance[Job Number],$A570),"")</f>
        <v/>
      </c>
      <c r="F570" s="49">
        <f>IFERROR(INDEX(tbl_Finance[Cost Centre],$A570),"")</f>
        <v/>
      </c>
      <c r="G570" s="50">
        <f>IFERROR(INDEX(tbl_Finance[Ex GST],$A570),"")</f>
        <v/>
      </c>
      <c r="H570" s="48">
        <f>IFERROR(INDEX(tbl_Finance[Defer Start],$A570),"")</f>
        <v/>
      </c>
      <c r="I570" s="48">
        <f>IFERROR(INDEX(tbl_Finance[Defer End],$A570),"")</f>
        <v/>
      </c>
      <c r="J570" s="47">
        <f>IF(OR($H570="",$I570="",$G570=""),"",MAX(1,(YEAR($I570)-YEAR($H570))*12+MONTH($I570)-MONTH($H570)+1))</f>
        <v/>
      </c>
      <c r="K570" s="50">
        <f>IF($J570="","",$G570/$J570)</f>
        <v/>
      </c>
      <c r="L570" s="50">
        <f>IF($J570="",0,$K570*MAX(0,MIN(YEAR($C$3)*12+MONTH($C$3),YEAR($I570)*12+MONTH($I570))-(YEAR($H570)*12+MONTH($H570))+1))</f>
        <v/>
      </c>
      <c r="M570" s="50">
        <f>IF($J570="",0,$K570*MAX(0,MIN(YEAR($C$3)*12+MONTH($C$3)-1,YEAR($I570)*12+MONTH($I570))-(YEAR($H570)*12+MONTH($H570))+1))</f>
        <v/>
      </c>
      <c r="N570" s="50">
        <f>IF(OR($J570="",$B570=""),0,IF(YEAR($B570)*12+MONTH($B570)&lt;=YEAR($C$3)*12+MONTH($C$3),$G570,0))</f>
        <v/>
      </c>
      <c r="O570" s="50">
        <f>IF(OR($J570="",$B570=""),0,IF(YEAR($B570)*12+MONTH($B570)&lt;=YEAR($C$3)*12+MONTH($C$3)-1,$G570,0))</f>
        <v/>
      </c>
      <c r="P570" s="50">
        <f>$M570-$O570</f>
        <v/>
      </c>
      <c r="Q570" s="50">
        <f>($L570-$M570)-($N570-$O570)</f>
        <v/>
      </c>
      <c r="R570" s="50">
        <f>$L570-$N570</f>
        <v/>
      </c>
    </row>
    <row r="571">
      <c r="A571" s="47">
        <f>ROW()-5</f>
        <v/>
      </c>
      <c r="B571" s="48">
        <f>IFERROR(INDEX(tbl_Finance[Date],$A571),"")</f>
        <v/>
      </c>
      <c r="C571" s="49">
        <f>IFERROR(INDEX(tbl_Finance[Xero Invoice No],$A571),"")</f>
        <v/>
      </c>
      <c r="D571" s="49">
        <f>IFERROR(INDEX(tbl_Finance[Client],$A571),"")</f>
        <v/>
      </c>
      <c r="E571" s="49">
        <f>IFERROR(INDEX(tbl_Finance[Job Number],$A571),"")</f>
        <v/>
      </c>
      <c r="F571" s="49">
        <f>IFERROR(INDEX(tbl_Finance[Cost Centre],$A571),"")</f>
        <v/>
      </c>
      <c r="G571" s="50">
        <f>IFERROR(INDEX(tbl_Finance[Ex GST],$A571),"")</f>
        <v/>
      </c>
      <c r="H571" s="48">
        <f>IFERROR(INDEX(tbl_Finance[Defer Start],$A571),"")</f>
        <v/>
      </c>
      <c r="I571" s="48">
        <f>IFERROR(INDEX(tbl_Finance[Defer End],$A571),"")</f>
        <v/>
      </c>
      <c r="J571" s="47">
        <f>IF(OR($H571="",$I571="",$G571=""),"",MAX(1,(YEAR($I571)-YEAR($H571))*12+MONTH($I571)-MONTH($H571)+1))</f>
        <v/>
      </c>
      <c r="K571" s="50">
        <f>IF($J571="","",$G571/$J571)</f>
        <v/>
      </c>
      <c r="L571" s="50">
        <f>IF($J571="",0,$K571*MAX(0,MIN(YEAR($C$3)*12+MONTH($C$3),YEAR($I571)*12+MONTH($I571))-(YEAR($H571)*12+MONTH($H571))+1))</f>
        <v/>
      </c>
      <c r="M571" s="50">
        <f>IF($J571="",0,$K571*MAX(0,MIN(YEAR($C$3)*12+MONTH($C$3)-1,YEAR($I571)*12+MONTH($I571))-(YEAR($H571)*12+MONTH($H571))+1))</f>
        <v/>
      </c>
      <c r="N571" s="50">
        <f>IF(OR($J571="",$B571=""),0,IF(YEAR($B571)*12+MONTH($B571)&lt;=YEAR($C$3)*12+MONTH($C$3),$G571,0))</f>
        <v/>
      </c>
      <c r="O571" s="50">
        <f>IF(OR($J571="",$B571=""),0,IF(YEAR($B571)*12+MONTH($B571)&lt;=YEAR($C$3)*12+MONTH($C$3)-1,$G571,0))</f>
        <v/>
      </c>
      <c r="P571" s="50">
        <f>$M571-$O571</f>
        <v/>
      </c>
      <c r="Q571" s="50">
        <f>($L571-$M571)-($N571-$O571)</f>
        <v/>
      </c>
      <c r="R571" s="50">
        <f>$L571-$N571</f>
        <v/>
      </c>
    </row>
    <row r="572">
      <c r="A572" s="47">
        <f>ROW()-5</f>
        <v/>
      </c>
      <c r="B572" s="48">
        <f>IFERROR(INDEX(tbl_Finance[Date],$A572),"")</f>
        <v/>
      </c>
      <c r="C572" s="49">
        <f>IFERROR(INDEX(tbl_Finance[Xero Invoice No],$A572),"")</f>
        <v/>
      </c>
      <c r="D572" s="49">
        <f>IFERROR(INDEX(tbl_Finance[Client],$A572),"")</f>
        <v/>
      </c>
      <c r="E572" s="49">
        <f>IFERROR(INDEX(tbl_Finance[Job Number],$A572),"")</f>
        <v/>
      </c>
      <c r="F572" s="49">
        <f>IFERROR(INDEX(tbl_Finance[Cost Centre],$A572),"")</f>
        <v/>
      </c>
      <c r="G572" s="50">
        <f>IFERROR(INDEX(tbl_Finance[Ex GST],$A572),"")</f>
        <v/>
      </c>
      <c r="H572" s="48">
        <f>IFERROR(INDEX(tbl_Finance[Defer Start],$A572),"")</f>
        <v/>
      </c>
      <c r="I572" s="48">
        <f>IFERROR(INDEX(tbl_Finance[Defer End],$A572),"")</f>
        <v/>
      </c>
      <c r="J572" s="47">
        <f>IF(OR($H572="",$I572="",$G572=""),"",MAX(1,(YEAR($I572)-YEAR($H572))*12+MONTH($I572)-MONTH($H572)+1))</f>
        <v/>
      </c>
      <c r="K572" s="50">
        <f>IF($J572="","",$G572/$J572)</f>
        <v/>
      </c>
      <c r="L572" s="50">
        <f>IF($J572="",0,$K572*MAX(0,MIN(YEAR($C$3)*12+MONTH($C$3),YEAR($I572)*12+MONTH($I572))-(YEAR($H572)*12+MONTH($H572))+1))</f>
        <v/>
      </c>
      <c r="M572" s="50">
        <f>IF($J572="",0,$K572*MAX(0,MIN(YEAR($C$3)*12+MONTH($C$3)-1,YEAR($I572)*12+MONTH($I572))-(YEAR($H572)*12+MONTH($H572))+1))</f>
        <v/>
      </c>
      <c r="N572" s="50">
        <f>IF(OR($J572="",$B572=""),0,IF(YEAR($B572)*12+MONTH($B572)&lt;=YEAR($C$3)*12+MONTH($C$3),$G572,0))</f>
        <v/>
      </c>
      <c r="O572" s="50">
        <f>IF(OR($J572="",$B572=""),0,IF(YEAR($B572)*12+MONTH($B572)&lt;=YEAR($C$3)*12+MONTH($C$3)-1,$G572,0))</f>
        <v/>
      </c>
      <c r="P572" s="50">
        <f>$M572-$O572</f>
        <v/>
      </c>
      <c r="Q572" s="50">
        <f>($L572-$M572)-($N572-$O572)</f>
        <v/>
      </c>
      <c r="R572" s="50">
        <f>$L572-$N572</f>
        <v/>
      </c>
    </row>
    <row r="573">
      <c r="A573" s="47">
        <f>ROW()-5</f>
        <v/>
      </c>
      <c r="B573" s="48">
        <f>IFERROR(INDEX(tbl_Finance[Date],$A573),"")</f>
        <v/>
      </c>
      <c r="C573" s="49">
        <f>IFERROR(INDEX(tbl_Finance[Xero Invoice No],$A573),"")</f>
        <v/>
      </c>
      <c r="D573" s="49">
        <f>IFERROR(INDEX(tbl_Finance[Client],$A573),"")</f>
        <v/>
      </c>
      <c r="E573" s="49">
        <f>IFERROR(INDEX(tbl_Finance[Job Number],$A573),"")</f>
        <v/>
      </c>
      <c r="F573" s="49">
        <f>IFERROR(INDEX(tbl_Finance[Cost Centre],$A573),"")</f>
        <v/>
      </c>
      <c r="G573" s="50">
        <f>IFERROR(INDEX(tbl_Finance[Ex GST],$A573),"")</f>
        <v/>
      </c>
      <c r="H573" s="48">
        <f>IFERROR(INDEX(tbl_Finance[Defer Start],$A573),"")</f>
        <v/>
      </c>
      <c r="I573" s="48">
        <f>IFERROR(INDEX(tbl_Finance[Defer End],$A573),"")</f>
        <v/>
      </c>
      <c r="J573" s="47">
        <f>IF(OR($H573="",$I573="",$G573=""),"",MAX(1,(YEAR($I573)-YEAR($H573))*12+MONTH($I573)-MONTH($H573)+1))</f>
        <v/>
      </c>
      <c r="K573" s="50">
        <f>IF($J573="","",$G573/$J573)</f>
        <v/>
      </c>
      <c r="L573" s="50">
        <f>IF($J573="",0,$K573*MAX(0,MIN(YEAR($C$3)*12+MONTH($C$3),YEAR($I573)*12+MONTH($I573))-(YEAR($H573)*12+MONTH($H573))+1))</f>
        <v/>
      </c>
      <c r="M573" s="50">
        <f>IF($J573="",0,$K573*MAX(0,MIN(YEAR($C$3)*12+MONTH($C$3)-1,YEAR($I573)*12+MONTH($I573))-(YEAR($H573)*12+MONTH($H573))+1))</f>
        <v/>
      </c>
      <c r="N573" s="50">
        <f>IF(OR($J573="",$B573=""),0,IF(YEAR($B573)*12+MONTH($B573)&lt;=YEAR($C$3)*12+MONTH($C$3),$G573,0))</f>
        <v/>
      </c>
      <c r="O573" s="50">
        <f>IF(OR($J573="",$B573=""),0,IF(YEAR($B573)*12+MONTH($B573)&lt;=YEAR($C$3)*12+MONTH($C$3)-1,$G573,0))</f>
        <v/>
      </c>
      <c r="P573" s="50">
        <f>$M573-$O573</f>
        <v/>
      </c>
      <c r="Q573" s="50">
        <f>($L573-$M573)-($N573-$O573)</f>
        <v/>
      </c>
      <c r="R573" s="50">
        <f>$L573-$N573</f>
        <v/>
      </c>
    </row>
    <row r="574">
      <c r="A574" s="47">
        <f>ROW()-5</f>
        <v/>
      </c>
      <c r="B574" s="48">
        <f>IFERROR(INDEX(tbl_Finance[Date],$A574),"")</f>
        <v/>
      </c>
      <c r="C574" s="49">
        <f>IFERROR(INDEX(tbl_Finance[Xero Invoice No],$A574),"")</f>
        <v/>
      </c>
      <c r="D574" s="49">
        <f>IFERROR(INDEX(tbl_Finance[Client],$A574),"")</f>
        <v/>
      </c>
      <c r="E574" s="49">
        <f>IFERROR(INDEX(tbl_Finance[Job Number],$A574),"")</f>
        <v/>
      </c>
      <c r="F574" s="49">
        <f>IFERROR(INDEX(tbl_Finance[Cost Centre],$A574),"")</f>
        <v/>
      </c>
      <c r="G574" s="50">
        <f>IFERROR(INDEX(tbl_Finance[Ex GST],$A574),"")</f>
        <v/>
      </c>
      <c r="H574" s="48">
        <f>IFERROR(INDEX(tbl_Finance[Defer Start],$A574),"")</f>
        <v/>
      </c>
      <c r="I574" s="48">
        <f>IFERROR(INDEX(tbl_Finance[Defer End],$A574),"")</f>
        <v/>
      </c>
      <c r="J574" s="47">
        <f>IF(OR($H574="",$I574="",$G574=""),"",MAX(1,(YEAR($I574)-YEAR($H574))*12+MONTH($I574)-MONTH($H574)+1))</f>
        <v/>
      </c>
      <c r="K574" s="50">
        <f>IF($J574="","",$G574/$J574)</f>
        <v/>
      </c>
      <c r="L574" s="50">
        <f>IF($J574="",0,$K574*MAX(0,MIN(YEAR($C$3)*12+MONTH($C$3),YEAR($I574)*12+MONTH($I574))-(YEAR($H574)*12+MONTH($H574))+1))</f>
        <v/>
      </c>
      <c r="M574" s="50">
        <f>IF($J574="",0,$K574*MAX(0,MIN(YEAR($C$3)*12+MONTH($C$3)-1,YEAR($I574)*12+MONTH($I574))-(YEAR($H574)*12+MONTH($H574))+1))</f>
        <v/>
      </c>
      <c r="N574" s="50">
        <f>IF(OR($J574="",$B574=""),0,IF(YEAR($B574)*12+MONTH($B574)&lt;=YEAR($C$3)*12+MONTH($C$3),$G574,0))</f>
        <v/>
      </c>
      <c r="O574" s="50">
        <f>IF(OR($J574="",$B574=""),0,IF(YEAR($B574)*12+MONTH($B574)&lt;=YEAR($C$3)*12+MONTH($C$3)-1,$G574,0))</f>
        <v/>
      </c>
      <c r="P574" s="50">
        <f>$M574-$O574</f>
        <v/>
      </c>
      <c r="Q574" s="50">
        <f>($L574-$M574)-($N574-$O574)</f>
        <v/>
      </c>
      <c r="R574" s="50">
        <f>$L574-$N574</f>
        <v/>
      </c>
    </row>
    <row r="575">
      <c r="A575" s="47">
        <f>ROW()-5</f>
        <v/>
      </c>
      <c r="B575" s="48">
        <f>IFERROR(INDEX(tbl_Finance[Date],$A575),"")</f>
        <v/>
      </c>
      <c r="C575" s="49">
        <f>IFERROR(INDEX(tbl_Finance[Xero Invoice No],$A575),"")</f>
        <v/>
      </c>
      <c r="D575" s="49">
        <f>IFERROR(INDEX(tbl_Finance[Client],$A575),"")</f>
        <v/>
      </c>
      <c r="E575" s="49">
        <f>IFERROR(INDEX(tbl_Finance[Job Number],$A575),"")</f>
        <v/>
      </c>
      <c r="F575" s="49">
        <f>IFERROR(INDEX(tbl_Finance[Cost Centre],$A575),"")</f>
        <v/>
      </c>
      <c r="G575" s="50">
        <f>IFERROR(INDEX(tbl_Finance[Ex GST],$A575),"")</f>
        <v/>
      </c>
      <c r="H575" s="48">
        <f>IFERROR(INDEX(tbl_Finance[Defer Start],$A575),"")</f>
        <v/>
      </c>
      <c r="I575" s="48">
        <f>IFERROR(INDEX(tbl_Finance[Defer End],$A575),"")</f>
        <v/>
      </c>
      <c r="J575" s="47">
        <f>IF(OR($H575="",$I575="",$G575=""),"",MAX(1,(YEAR($I575)-YEAR($H575))*12+MONTH($I575)-MONTH($H575)+1))</f>
        <v/>
      </c>
      <c r="K575" s="50">
        <f>IF($J575="","",$G575/$J575)</f>
        <v/>
      </c>
      <c r="L575" s="50">
        <f>IF($J575="",0,$K575*MAX(0,MIN(YEAR($C$3)*12+MONTH($C$3),YEAR($I575)*12+MONTH($I575))-(YEAR($H575)*12+MONTH($H575))+1))</f>
        <v/>
      </c>
      <c r="M575" s="50">
        <f>IF($J575="",0,$K575*MAX(0,MIN(YEAR($C$3)*12+MONTH($C$3)-1,YEAR($I575)*12+MONTH($I575))-(YEAR($H575)*12+MONTH($H575))+1))</f>
        <v/>
      </c>
      <c r="N575" s="50">
        <f>IF(OR($J575="",$B575=""),0,IF(YEAR($B575)*12+MONTH($B575)&lt;=YEAR($C$3)*12+MONTH($C$3),$G575,0))</f>
        <v/>
      </c>
      <c r="O575" s="50">
        <f>IF(OR($J575="",$B575=""),0,IF(YEAR($B575)*12+MONTH($B575)&lt;=YEAR($C$3)*12+MONTH($C$3)-1,$G575,0))</f>
        <v/>
      </c>
      <c r="P575" s="50">
        <f>$M575-$O575</f>
        <v/>
      </c>
      <c r="Q575" s="50">
        <f>($L575-$M575)-($N575-$O575)</f>
        <v/>
      </c>
      <c r="R575" s="50">
        <f>$L575-$N575</f>
        <v/>
      </c>
    </row>
    <row r="576">
      <c r="A576" s="47">
        <f>ROW()-5</f>
        <v/>
      </c>
      <c r="B576" s="48">
        <f>IFERROR(INDEX(tbl_Finance[Date],$A576),"")</f>
        <v/>
      </c>
      <c r="C576" s="49">
        <f>IFERROR(INDEX(tbl_Finance[Xero Invoice No],$A576),"")</f>
        <v/>
      </c>
      <c r="D576" s="49">
        <f>IFERROR(INDEX(tbl_Finance[Client],$A576),"")</f>
        <v/>
      </c>
      <c r="E576" s="49">
        <f>IFERROR(INDEX(tbl_Finance[Job Number],$A576),"")</f>
        <v/>
      </c>
      <c r="F576" s="49">
        <f>IFERROR(INDEX(tbl_Finance[Cost Centre],$A576),"")</f>
        <v/>
      </c>
      <c r="G576" s="50">
        <f>IFERROR(INDEX(tbl_Finance[Ex GST],$A576),"")</f>
        <v/>
      </c>
      <c r="H576" s="48">
        <f>IFERROR(INDEX(tbl_Finance[Defer Start],$A576),"")</f>
        <v/>
      </c>
      <c r="I576" s="48">
        <f>IFERROR(INDEX(tbl_Finance[Defer End],$A576),"")</f>
        <v/>
      </c>
      <c r="J576" s="47">
        <f>IF(OR($H576="",$I576="",$G576=""),"",MAX(1,(YEAR($I576)-YEAR($H576))*12+MONTH($I576)-MONTH($H576)+1))</f>
        <v/>
      </c>
      <c r="K576" s="50">
        <f>IF($J576="","",$G576/$J576)</f>
        <v/>
      </c>
      <c r="L576" s="50">
        <f>IF($J576="",0,$K576*MAX(0,MIN(YEAR($C$3)*12+MONTH($C$3),YEAR($I576)*12+MONTH($I576))-(YEAR($H576)*12+MONTH($H576))+1))</f>
        <v/>
      </c>
      <c r="M576" s="50">
        <f>IF($J576="",0,$K576*MAX(0,MIN(YEAR($C$3)*12+MONTH($C$3)-1,YEAR($I576)*12+MONTH($I576))-(YEAR($H576)*12+MONTH($H576))+1))</f>
        <v/>
      </c>
      <c r="N576" s="50">
        <f>IF(OR($J576="",$B576=""),0,IF(YEAR($B576)*12+MONTH($B576)&lt;=YEAR($C$3)*12+MONTH($C$3),$G576,0))</f>
        <v/>
      </c>
      <c r="O576" s="50">
        <f>IF(OR($J576="",$B576=""),0,IF(YEAR($B576)*12+MONTH($B576)&lt;=YEAR($C$3)*12+MONTH($C$3)-1,$G576,0))</f>
        <v/>
      </c>
      <c r="P576" s="50">
        <f>$M576-$O576</f>
        <v/>
      </c>
      <c r="Q576" s="50">
        <f>($L576-$M576)-($N576-$O576)</f>
        <v/>
      </c>
      <c r="R576" s="50">
        <f>$L576-$N576</f>
        <v/>
      </c>
    </row>
    <row r="577">
      <c r="A577" s="47">
        <f>ROW()-5</f>
        <v/>
      </c>
      <c r="B577" s="48">
        <f>IFERROR(INDEX(tbl_Finance[Date],$A577),"")</f>
        <v/>
      </c>
      <c r="C577" s="49">
        <f>IFERROR(INDEX(tbl_Finance[Xero Invoice No],$A577),"")</f>
        <v/>
      </c>
      <c r="D577" s="49">
        <f>IFERROR(INDEX(tbl_Finance[Client],$A577),"")</f>
        <v/>
      </c>
      <c r="E577" s="49">
        <f>IFERROR(INDEX(tbl_Finance[Job Number],$A577),"")</f>
        <v/>
      </c>
      <c r="F577" s="49">
        <f>IFERROR(INDEX(tbl_Finance[Cost Centre],$A577),"")</f>
        <v/>
      </c>
      <c r="G577" s="50">
        <f>IFERROR(INDEX(tbl_Finance[Ex GST],$A577),"")</f>
        <v/>
      </c>
      <c r="H577" s="48">
        <f>IFERROR(INDEX(tbl_Finance[Defer Start],$A577),"")</f>
        <v/>
      </c>
      <c r="I577" s="48">
        <f>IFERROR(INDEX(tbl_Finance[Defer End],$A577),"")</f>
        <v/>
      </c>
      <c r="J577" s="47">
        <f>IF(OR($H577="",$I577="",$G577=""),"",MAX(1,(YEAR($I577)-YEAR($H577))*12+MONTH($I577)-MONTH($H577)+1))</f>
        <v/>
      </c>
      <c r="K577" s="50">
        <f>IF($J577="","",$G577/$J577)</f>
        <v/>
      </c>
      <c r="L577" s="50">
        <f>IF($J577="",0,$K577*MAX(0,MIN(YEAR($C$3)*12+MONTH($C$3),YEAR($I577)*12+MONTH($I577))-(YEAR($H577)*12+MONTH($H577))+1))</f>
        <v/>
      </c>
      <c r="M577" s="50">
        <f>IF($J577="",0,$K577*MAX(0,MIN(YEAR($C$3)*12+MONTH($C$3)-1,YEAR($I577)*12+MONTH($I577))-(YEAR($H577)*12+MONTH($H577))+1))</f>
        <v/>
      </c>
      <c r="N577" s="50">
        <f>IF(OR($J577="",$B577=""),0,IF(YEAR($B577)*12+MONTH($B577)&lt;=YEAR($C$3)*12+MONTH($C$3),$G577,0))</f>
        <v/>
      </c>
      <c r="O577" s="50">
        <f>IF(OR($J577="",$B577=""),0,IF(YEAR($B577)*12+MONTH($B577)&lt;=YEAR($C$3)*12+MONTH($C$3)-1,$G577,0))</f>
        <v/>
      </c>
      <c r="P577" s="50">
        <f>$M577-$O577</f>
        <v/>
      </c>
      <c r="Q577" s="50">
        <f>($L577-$M577)-($N577-$O577)</f>
        <v/>
      </c>
      <c r="R577" s="50">
        <f>$L577-$N577</f>
        <v/>
      </c>
    </row>
    <row r="578">
      <c r="A578" s="47">
        <f>ROW()-5</f>
        <v/>
      </c>
      <c r="B578" s="48">
        <f>IFERROR(INDEX(tbl_Finance[Date],$A578),"")</f>
        <v/>
      </c>
      <c r="C578" s="49">
        <f>IFERROR(INDEX(tbl_Finance[Xero Invoice No],$A578),"")</f>
        <v/>
      </c>
      <c r="D578" s="49">
        <f>IFERROR(INDEX(tbl_Finance[Client],$A578),"")</f>
        <v/>
      </c>
      <c r="E578" s="49">
        <f>IFERROR(INDEX(tbl_Finance[Job Number],$A578),"")</f>
        <v/>
      </c>
      <c r="F578" s="49">
        <f>IFERROR(INDEX(tbl_Finance[Cost Centre],$A578),"")</f>
        <v/>
      </c>
      <c r="G578" s="50">
        <f>IFERROR(INDEX(tbl_Finance[Ex GST],$A578),"")</f>
        <v/>
      </c>
      <c r="H578" s="48">
        <f>IFERROR(INDEX(tbl_Finance[Defer Start],$A578),"")</f>
        <v/>
      </c>
      <c r="I578" s="48">
        <f>IFERROR(INDEX(tbl_Finance[Defer End],$A578),"")</f>
        <v/>
      </c>
      <c r="J578" s="47">
        <f>IF(OR($H578="",$I578="",$G578=""),"",MAX(1,(YEAR($I578)-YEAR($H578))*12+MONTH($I578)-MONTH($H578)+1))</f>
        <v/>
      </c>
      <c r="K578" s="50">
        <f>IF($J578="","",$G578/$J578)</f>
        <v/>
      </c>
      <c r="L578" s="50">
        <f>IF($J578="",0,$K578*MAX(0,MIN(YEAR($C$3)*12+MONTH($C$3),YEAR($I578)*12+MONTH($I578))-(YEAR($H578)*12+MONTH($H578))+1))</f>
        <v/>
      </c>
      <c r="M578" s="50">
        <f>IF($J578="",0,$K578*MAX(0,MIN(YEAR($C$3)*12+MONTH($C$3)-1,YEAR($I578)*12+MONTH($I578))-(YEAR($H578)*12+MONTH($H578))+1))</f>
        <v/>
      </c>
      <c r="N578" s="50">
        <f>IF(OR($J578="",$B578=""),0,IF(YEAR($B578)*12+MONTH($B578)&lt;=YEAR($C$3)*12+MONTH($C$3),$G578,0))</f>
        <v/>
      </c>
      <c r="O578" s="50">
        <f>IF(OR($J578="",$B578=""),0,IF(YEAR($B578)*12+MONTH($B578)&lt;=YEAR($C$3)*12+MONTH($C$3)-1,$G578,0))</f>
        <v/>
      </c>
      <c r="P578" s="50">
        <f>$M578-$O578</f>
        <v/>
      </c>
      <c r="Q578" s="50">
        <f>($L578-$M578)-($N578-$O578)</f>
        <v/>
      </c>
      <c r="R578" s="50">
        <f>$L578-$N578</f>
        <v/>
      </c>
    </row>
  </sheetData>
  <autoFilter ref="A5:R578"/>
  <pageMargins left="0.75" right="0.75" top="1" bottom="1" header="0.5" footer="0.5"/>
</worksheet>
</file>

<file path=xl/worksheets/sheet6.xml><?xml version="1.0" encoding="utf-8"?>
<worksheet xmlns="http://schemas.openxmlformats.org/spreadsheetml/2006/main">
  <sheetPr>
    <tabColor rgb="005B708A"/>
    <outlinePr summaryBelow="1" summaryRight="1"/>
    <pageSetUpPr/>
  </sheetPr>
  <dimension ref="A1:O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18" customWidth="1" min="10" max="10"/>
    <col width="40" customWidth="1" min="11" max="11"/>
    <col width="14" customWidth="1" min="12" max="12"/>
    <col width="13" customWidth="1" min="13" max="13"/>
    <col width="16" customWidth="1" min="14" max="14"/>
    <col width="38" customWidth="1" min="15" max="15"/>
  </cols>
  <sheetData>
    <row r="1" ht="24" customHeight="1">
      <c r="A1" s="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9">
        <f>"Revenue Ex GST  "&amp;TEXT(SUBTOTAL(109,tbl_Onsite[Revenue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PO / Reference</t>
        </is>
      </c>
      <c r="K4" s="10" t="inlineStr">
        <is>
          <t>Qwilr Quote</t>
        </is>
      </c>
      <c r="L4" s="11" t="inlineStr">
        <is>
          <t>Open Qwilr</t>
        </is>
      </c>
      <c r="M4" s="10" t="inlineStr">
        <is>
          <t>Billable Hours</t>
        </is>
      </c>
      <c r="N4" s="10" t="inlineStr">
        <is>
          <t>Approved By</t>
        </is>
      </c>
      <c r="O4" s="10" t="inlineStr">
        <is>
          <t>Notes</t>
        </is>
      </c>
    </row>
    <row r="5" ht="15" customHeight="1">
      <c r="A5" s="51">
        <f>IF(C5="","",IFERROR(IF(SUMPRODUCT(MAX((tbl_Finance[Job Number]=C5&amp;"")*tbl_Finance[Date]))=0,"",SUMPRODUCT(MAX((tbl_Finance[Job Number]=C5&amp;"")*tbl_Finance[Date]))),""))</f>
        <v/>
      </c>
      <c r="B5" s="15">
        <f>IF(A5="","",IFERROR(LOOKUP(2,1/((tbl_Finance[Job Number]=C5&amp;"")*(tbl_Finance[Date]=A5)),tbl_Finance[Xero Invoice No]),""))</f>
        <v/>
      </c>
      <c r="C5" s="14" t="inlineStr">
        <is>
          <t>1350</t>
        </is>
      </c>
      <c r="D5" s="15">
        <f>IF(C5="","",IF(COUNTIF(lst_Jobs,C5&amp;"")&gt;0,"OK","CHECK"))</f>
        <v/>
      </c>
      <c r="E5" s="15">
        <f>IF(C5="","",IFERROR(INDEX(lst_JobName,MATCH(C5&amp;"",lst_Jobs,0)),""))</f>
        <v/>
      </c>
      <c r="F5" s="15">
        <f>IF(C5="","",IFERROR(INDEX(tbl_Finance[Client],MATCH(C5&amp;"",tbl_Finance[Job Number],0)),""))</f>
        <v/>
      </c>
      <c r="G5" s="52">
        <f>IF(C5="","",COUNTIFS(tbl_Finance[Job Number],C5&amp;"",tbl_Finance[Ex GST],"&lt;&gt;"))</f>
        <v/>
      </c>
      <c r="H5" s="17">
        <f>IF(C5="","",SUMIFS(tbl_Finance[Ex GST],tbl_Finance[Job Number],C5&amp;""))</f>
        <v/>
      </c>
      <c r="I5" s="15">
        <f>IF(C5="","",IFERROR(INDEX(tbl_Finance[Cost Centre],MATCH(C5&amp;"",tbl_Finance[Job Number],0)),"not invoiced yet"))</f>
        <v/>
      </c>
      <c r="J5" s="14" t="n"/>
      <c r="K5" s="14" t="n"/>
      <c r="L5" s="15">
        <f>IF(K5="","",HYPERLINK(IF(LEFT(K5,4)="http",K5,set_QwilrBase&amp;K5),"Open quote"))</f>
        <v/>
      </c>
      <c r="M5" s="53" t="n"/>
      <c r="N5" s="14" t="n"/>
      <c r="O5" s="14" t="inlineStr">
        <is>
          <t>174.05 hours</t>
        </is>
      </c>
    </row>
    <row r="6" ht="15" customHeight="1">
      <c r="A6" s="51">
        <f>IF(C6="","",IFERROR(IF(SUMPRODUCT(MAX((tbl_Finance[Job Number]=C6&amp;"")*tbl_Finance[Date]))=0,"",SUMPRODUCT(MAX((tbl_Finance[Job Number]=C6&amp;"")*tbl_Finance[Date]))),""))</f>
        <v/>
      </c>
      <c r="B6" s="15">
        <f>IF(A6="","",IFERROR(LOOKUP(2,1/((tbl_Finance[Job Number]=C6&amp;"")*(tbl_Finance[Date]=A6)),tbl_Finance[Xero Invoice No]),""))</f>
        <v/>
      </c>
      <c r="C6" s="14" t="inlineStr">
        <is>
          <t>585/586/1755</t>
        </is>
      </c>
      <c r="D6" s="15">
        <f>IF(C6="","",IF(COUNTIF(lst_Jobs,C6&amp;"")&gt;0,"OK","CHECK"))</f>
        <v/>
      </c>
      <c r="E6" s="15">
        <f>IF(C6="","",IFERROR(INDEX(lst_JobName,MATCH(C6&amp;"",lst_Jobs,0)),""))</f>
        <v/>
      </c>
      <c r="F6" s="15">
        <f>IF(C6="","",IFERROR(INDEX(tbl_Finance[Client],MATCH(C6&amp;"",tbl_Finance[Job Number],0)),""))</f>
        <v/>
      </c>
      <c r="G6" s="52">
        <f>IF(C6="","",COUNTIFS(tbl_Finance[Job Number],C6&amp;"",tbl_Finance[Ex GST],"&lt;&gt;"))</f>
        <v/>
      </c>
      <c r="H6" s="17">
        <f>IF(C6="","",SUMIFS(tbl_Finance[Ex GST],tbl_Finance[Job Number],C6&amp;""))</f>
        <v/>
      </c>
      <c r="I6" s="15">
        <f>IF(C6="","",IFERROR(INDEX(tbl_Finance[Cost Centre],MATCH(C6&amp;"",tbl_Finance[Job Number],0)),"not invoiced yet"))</f>
        <v/>
      </c>
      <c r="J6" s="14" t="n"/>
      <c r="K6" s="14" t="n"/>
      <c r="L6" s="15">
        <f>IF(K6="","",HYPERLINK(IF(LEFT(K6,4)="http",K6,set_QwilrBase&amp;K6),"Open quote"))</f>
        <v/>
      </c>
      <c r="M6" s="53" t="n"/>
      <c r="N6" s="14" t="n"/>
      <c r="O6" s="14" t="inlineStr">
        <is>
          <t>Deduct 3hrs for TN 01/07 &amp; 6hrs for NP 14/07</t>
        </is>
      </c>
    </row>
    <row r="7" ht="15" customHeight="1">
      <c r="A7" s="51">
        <f>IF(C7="","",IFERROR(IF(SUMPRODUCT(MAX((tbl_Finance[Job Number]=C7&amp;"")*tbl_Finance[Date]))=0,"",SUMPRODUCT(MAX((tbl_Finance[Job Number]=C7&amp;"")*tbl_Finance[Date]))),""))</f>
        <v/>
      </c>
      <c r="B7" s="15">
        <f>IF(A7="","",IFERROR(LOOKUP(2,1/((tbl_Finance[Job Number]=C7&amp;"")*(tbl_Finance[Date]=A7)),tbl_Finance[Xero Invoice No]),""))</f>
        <v/>
      </c>
      <c r="C7" s="14" t="inlineStr">
        <is>
          <t>587</t>
        </is>
      </c>
      <c r="D7" s="15">
        <f>IF(C7="","",IF(COUNTIF(lst_Jobs,C7&amp;"")&gt;0,"OK","CHECK"))</f>
        <v/>
      </c>
      <c r="E7" s="15">
        <f>IF(C7="","",IFERROR(INDEX(lst_JobName,MATCH(C7&amp;"",lst_Jobs,0)),""))</f>
        <v/>
      </c>
      <c r="F7" s="15">
        <f>IF(C7="","",IFERROR(INDEX(tbl_Finance[Client],MATCH(C7&amp;"",tbl_Finance[Job Number],0)),""))</f>
        <v/>
      </c>
      <c r="G7" s="52">
        <f>IF(C7="","",COUNTIFS(tbl_Finance[Job Number],C7&amp;"",tbl_Finance[Ex GST],"&lt;&gt;"))</f>
        <v/>
      </c>
      <c r="H7" s="17">
        <f>IF(C7="","",SUMIFS(tbl_Finance[Ex GST],tbl_Finance[Job Number],C7&amp;""))</f>
        <v/>
      </c>
      <c r="I7" s="15">
        <f>IF(C7="","",IFERROR(INDEX(tbl_Finance[Cost Centre],MATCH(C7&amp;"",tbl_Finance[Job Number],0)),"not invoiced yet"))</f>
        <v/>
      </c>
      <c r="J7" s="14" t="n"/>
      <c r="K7" s="14" t="n"/>
      <c r="L7" s="15">
        <f>IF(K7="","",HYPERLINK(IF(LEFT(K7,4)="http",K7,set_QwilrBase&amp;K7),"Open quote"))</f>
        <v/>
      </c>
      <c r="M7" s="53" t="n"/>
      <c r="N7" s="14" t="n"/>
      <c r="O7" s="14" t="n"/>
    </row>
    <row r="8" ht="15" customHeight="1">
      <c r="A8" s="51">
        <f>IF(C8="","",IFERROR(IF(SUMPRODUCT(MAX((tbl_Finance[Job Number]=C8&amp;"")*tbl_Finance[Date]))=0,"",SUMPRODUCT(MAX((tbl_Finance[Job Number]=C8&amp;"")*tbl_Finance[Date]))),""))</f>
        <v/>
      </c>
      <c r="B8" s="15">
        <f>IF(A8="","",IFERROR(LOOKUP(2,1/((tbl_Finance[Job Number]=C8&amp;"")*(tbl_Finance[Date]=A8)),tbl_Finance[Xero Invoice No]),""))</f>
        <v/>
      </c>
      <c r="C8" s="14" t="inlineStr">
        <is>
          <t>2846/1401/725/1400/1530/1862/2402/2849/974</t>
        </is>
      </c>
      <c r="D8" s="15">
        <f>IF(C8="","",IF(COUNTIF(lst_Jobs,C8&amp;"")&gt;0,"OK","CHECK"))</f>
        <v/>
      </c>
      <c r="E8" s="15">
        <f>IF(C8="","",IFERROR(INDEX(lst_JobName,MATCH(C8&amp;"",lst_Jobs,0)),""))</f>
        <v/>
      </c>
      <c r="F8" s="15">
        <f>IF(C8="","",IFERROR(INDEX(tbl_Finance[Client],MATCH(C8&amp;"",tbl_Finance[Job Number],0)),""))</f>
        <v/>
      </c>
      <c r="G8" s="52">
        <f>IF(C8="","",COUNTIFS(tbl_Finance[Job Number],C8&amp;"",tbl_Finance[Ex GST],"&lt;&gt;"))</f>
        <v/>
      </c>
      <c r="H8" s="17">
        <f>IF(C8="","",SUMIFS(tbl_Finance[Ex GST],tbl_Finance[Job Number],C8&amp;""))</f>
        <v/>
      </c>
      <c r="I8" s="15">
        <f>IF(C8="","",IFERROR(INDEX(tbl_Finance[Cost Centre],MATCH(C8&amp;"",tbl_Finance[Job Number],0)),"not invoiced yet"))</f>
        <v/>
      </c>
      <c r="J8" s="14" t="n"/>
      <c r="K8" s="14" t="n"/>
      <c r="L8" s="15">
        <f>IF(K8="","",HYPERLINK(IF(LEFT(K8,4)="http",K8,set_QwilrBase&amp;K8),"Open quote"))</f>
        <v/>
      </c>
      <c r="M8" s="53" t="n"/>
      <c r="N8" s="14" t="n"/>
      <c r="O8" s="14" t="n"/>
    </row>
    <row r="9" ht="15" customHeight="1">
      <c r="A9" s="51">
        <f>IF(C9="","",IFERROR(IF(SUMPRODUCT(MAX((tbl_Finance[Job Number]=C9&amp;"")*tbl_Finance[Date]))=0,"",SUMPRODUCT(MAX((tbl_Finance[Job Number]=C9&amp;"")*tbl_Finance[Date]))),""))</f>
        <v/>
      </c>
      <c r="B9" s="15">
        <f>IF(A9="","",IFERROR(LOOKUP(2,1/((tbl_Finance[Job Number]=C9&amp;"")*(tbl_Finance[Date]=A9)),tbl_Finance[Xero Invoice No]),""))</f>
        <v/>
      </c>
      <c r="C9" s="14" t="inlineStr">
        <is>
          <t>732/1144</t>
        </is>
      </c>
      <c r="D9" s="15">
        <f>IF(C9="","",IF(COUNTIF(lst_Jobs,C9&amp;"")&gt;0,"OK","CHECK"))</f>
        <v/>
      </c>
      <c r="E9" s="15">
        <f>IF(C9="","",IFERROR(INDEX(lst_JobName,MATCH(C9&amp;"",lst_Jobs,0)),""))</f>
        <v/>
      </c>
      <c r="F9" s="15">
        <f>IF(C9="","",IFERROR(INDEX(tbl_Finance[Client],MATCH(C9&amp;"",tbl_Finance[Job Number],0)),""))</f>
        <v/>
      </c>
      <c r="G9" s="52">
        <f>IF(C9="","",COUNTIFS(tbl_Finance[Job Number],C9&amp;"",tbl_Finance[Ex GST],"&lt;&gt;"))</f>
        <v/>
      </c>
      <c r="H9" s="17">
        <f>IF(C9="","",SUMIFS(tbl_Finance[Ex GST],tbl_Finance[Job Number],C9&amp;""))</f>
        <v/>
      </c>
      <c r="I9" s="15">
        <f>IF(C9="","",IFERROR(INDEX(tbl_Finance[Cost Centre],MATCH(C9&amp;"",tbl_Finance[Job Number],0)),"not invoiced yet"))</f>
        <v/>
      </c>
      <c r="J9" s="14" t="n"/>
      <c r="K9" s="14" t="n"/>
      <c r="L9" s="15">
        <f>IF(K9="","",HYPERLINK(IF(LEFT(K9,4)="http",K9,set_QwilrBase&amp;K9),"Open quote"))</f>
        <v/>
      </c>
      <c r="M9" s="53" t="n"/>
      <c r="N9" s="14" t="n"/>
      <c r="O9" s="14" t="n"/>
    </row>
    <row r="10" ht="15" customHeight="1">
      <c r="A10" s="51">
        <f>IF(C10="","",IFERROR(IF(SUMPRODUCT(MAX((tbl_Finance[Job Number]=C10&amp;"")*tbl_Finance[Date]))=0,"",SUMPRODUCT(MAX((tbl_Finance[Job Number]=C10&amp;"")*tbl_Finance[Date]))),""))</f>
        <v/>
      </c>
      <c r="B10" s="15">
        <f>IF(A10="","",IFERROR(LOOKUP(2,1/((tbl_Finance[Job Number]=C10&amp;"")*(tbl_Finance[Date]=A10)),tbl_Finance[Xero Invoice No]),""))</f>
        <v/>
      </c>
      <c r="C10" s="14" t="inlineStr">
        <is>
          <t>2192</t>
        </is>
      </c>
      <c r="D10" s="15">
        <f>IF(C10="","",IF(COUNTIF(lst_Jobs,C10&amp;"")&gt;0,"OK","CHECK"))</f>
        <v/>
      </c>
      <c r="E10" s="15">
        <f>IF(C10="","",IFERROR(INDEX(lst_JobName,MATCH(C10&amp;"",lst_Jobs,0)),""))</f>
        <v/>
      </c>
      <c r="F10" s="15">
        <f>IF(C10="","",IFERROR(INDEX(tbl_Finance[Client],MATCH(C10&amp;"",tbl_Finance[Job Number],0)),""))</f>
        <v/>
      </c>
      <c r="G10" s="52">
        <f>IF(C10="","",COUNTIFS(tbl_Finance[Job Number],C10&amp;"",tbl_Finance[Ex GST],"&lt;&gt;"))</f>
        <v/>
      </c>
      <c r="H10" s="17">
        <f>IF(C10="","",SUMIFS(tbl_Finance[Ex GST],tbl_Finance[Job Number],C10&amp;""))</f>
        <v/>
      </c>
      <c r="I10" s="15">
        <f>IF(C10="","",IFERROR(INDEX(tbl_Finance[Cost Centre],MATCH(C10&amp;"",tbl_Finance[Job Number],0)),"not invoiced yet"))</f>
        <v/>
      </c>
      <c r="J10" s="14" t="n"/>
      <c r="K10" s="14" t="n"/>
      <c r="L10" s="15">
        <f>IF(K10="","",HYPERLINK(IF(LEFT(K10,4)="http",K10,set_QwilrBase&amp;K10),"Open quote"))</f>
        <v/>
      </c>
      <c r="M10" s="53" t="n"/>
      <c r="N10" s="14" t="n"/>
      <c r="O10" s="14" t="n"/>
    </row>
    <row r="11" ht="15" customHeight="1">
      <c r="A11" s="51">
        <f>IF(C11="","",IFERROR(IF(SUMPRODUCT(MAX((tbl_Finance[Job Number]=C11&amp;"")*tbl_Finance[Date]))=0,"",SUMPRODUCT(MAX((tbl_Finance[Job Number]=C11&amp;"")*tbl_Finance[Date]))),""))</f>
        <v/>
      </c>
      <c r="B11" s="15">
        <f>IF(A11="","",IFERROR(LOOKUP(2,1/((tbl_Finance[Job Number]=C11&amp;"")*(tbl_Finance[Date]=A11)),tbl_Finance[Xero Invoice No]),""))</f>
        <v/>
      </c>
      <c r="C11" s="14" t="inlineStr">
        <is>
          <t>2488</t>
        </is>
      </c>
      <c r="D11" s="15">
        <f>IF(C11="","",IF(COUNTIF(lst_Jobs,C11&amp;"")&gt;0,"OK","CHECK"))</f>
        <v/>
      </c>
      <c r="E11" s="15">
        <f>IF(C11="","",IFERROR(INDEX(lst_JobName,MATCH(C11&amp;"",lst_Jobs,0)),""))</f>
        <v/>
      </c>
      <c r="F11" s="15">
        <f>IF(C11="","",IFERROR(INDEX(tbl_Finance[Client],MATCH(C11&amp;"",tbl_Finance[Job Number],0)),""))</f>
        <v/>
      </c>
      <c r="G11" s="52">
        <f>IF(C11="","",COUNTIFS(tbl_Finance[Job Number],C11&amp;"",tbl_Finance[Ex GST],"&lt;&gt;"))</f>
        <v/>
      </c>
      <c r="H11" s="17">
        <f>IF(C11="","",SUMIFS(tbl_Finance[Ex GST],tbl_Finance[Job Number],C11&amp;""))</f>
        <v/>
      </c>
      <c r="I11" s="15">
        <f>IF(C11="","",IFERROR(INDEX(tbl_Finance[Cost Centre],MATCH(C11&amp;"",tbl_Finance[Job Number],0)),"not invoiced yet"))</f>
        <v/>
      </c>
      <c r="J11" s="14" t="n"/>
      <c r="K11" s="14" t="n"/>
      <c r="L11" s="15">
        <f>IF(K11="","",HYPERLINK(IF(LEFT(K11,4)="http",K11,set_QwilrBase&amp;K11),"Open quote"))</f>
        <v/>
      </c>
      <c r="M11" s="53" t="n"/>
      <c r="N11" s="14" t="n"/>
      <c r="O11" s="14" t="n"/>
    </row>
    <row r="12" ht="15" customHeight="1">
      <c r="A12" s="51">
        <f>IF(C12="","",IFERROR(IF(SUMPRODUCT(MAX((tbl_Finance[Job Number]=C12&amp;"")*tbl_Finance[Date]))=0,"",SUMPRODUCT(MAX((tbl_Finance[Job Number]=C12&amp;"")*tbl_Finance[Date]))),""))</f>
        <v/>
      </c>
      <c r="B12" s="15">
        <f>IF(A12="","",IFERROR(LOOKUP(2,1/((tbl_Finance[Job Number]=C12&amp;"")*(tbl_Finance[Date]=A12)),tbl_Finance[Xero Invoice No]),""))</f>
        <v/>
      </c>
      <c r="C12" s="14" t="inlineStr">
        <is>
          <t>26021602</t>
        </is>
      </c>
      <c r="D12" s="15">
        <f>IF(C12="","",IF(COUNTIF(lst_Jobs,C12&amp;"")&gt;0,"OK","CHECK"))</f>
        <v/>
      </c>
      <c r="E12" s="15">
        <f>IF(C12="","",IFERROR(INDEX(lst_JobName,MATCH(C12&amp;"",lst_Jobs,0)),""))</f>
        <v/>
      </c>
      <c r="F12" s="15">
        <f>IF(C12="","",IFERROR(INDEX(tbl_Finance[Client],MATCH(C12&amp;"",tbl_Finance[Job Number],0)),""))</f>
        <v/>
      </c>
      <c r="G12" s="52">
        <f>IF(C12="","",COUNTIFS(tbl_Finance[Job Number],C12&amp;"",tbl_Finance[Ex GST],"&lt;&gt;"))</f>
        <v/>
      </c>
      <c r="H12" s="17">
        <f>IF(C12="","",SUMIFS(tbl_Finance[Ex GST],tbl_Finance[Job Number],C12&amp;""))</f>
        <v/>
      </c>
      <c r="I12" s="15">
        <f>IF(C12="","",IFERROR(INDEX(tbl_Finance[Cost Centre],MATCH(C12&amp;"",tbl_Finance[Job Number],0)),"not invoiced yet"))</f>
        <v/>
      </c>
      <c r="J12" s="14" t="n"/>
      <c r="K12" s="14" t="n"/>
      <c r="L12" s="15">
        <f>IF(K12="","",HYPERLINK(IF(LEFT(K12,4)="http",K12,set_QwilrBase&amp;K12),"Open quote"))</f>
        <v/>
      </c>
      <c r="M12" s="53" t="n"/>
      <c r="N12" s="14" t="n"/>
      <c r="O12" s="14" t="n"/>
    </row>
    <row r="13" ht="15" customHeight="1">
      <c r="A13" s="51">
        <f>IF(C13="","",IFERROR(IF(SUMPRODUCT(MAX((tbl_Finance[Job Number]=C13&amp;"")*tbl_Finance[Date]))=0,"",SUMPRODUCT(MAX((tbl_Finance[Job Number]=C13&amp;"")*tbl_Finance[Date]))),""))</f>
        <v/>
      </c>
      <c r="B13" s="15">
        <f>IF(A13="","",IFERROR(LOOKUP(2,1/((tbl_Finance[Job Number]=C13&amp;"")*(tbl_Finance[Date]=A13)),tbl_Finance[Xero Invoice No]),""))</f>
        <v/>
      </c>
      <c r="C13" s="14" t="inlineStr">
        <is>
          <t>26043001</t>
        </is>
      </c>
      <c r="D13" s="15">
        <f>IF(C13="","",IF(COUNTIF(lst_Jobs,C13&amp;"")&gt;0,"OK","CHECK"))</f>
        <v/>
      </c>
      <c r="E13" s="15">
        <f>IF(C13="","",IFERROR(INDEX(lst_JobName,MATCH(C13&amp;"",lst_Jobs,0)),""))</f>
        <v/>
      </c>
      <c r="F13" s="15">
        <f>IF(C13="","",IFERROR(INDEX(tbl_Finance[Client],MATCH(C13&amp;"",tbl_Finance[Job Number],0)),""))</f>
        <v/>
      </c>
      <c r="G13" s="52">
        <f>IF(C13="","",COUNTIFS(tbl_Finance[Job Number],C13&amp;"",tbl_Finance[Ex GST],"&lt;&gt;"))</f>
        <v/>
      </c>
      <c r="H13" s="17">
        <f>IF(C13="","",SUMIFS(tbl_Finance[Ex GST],tbl_Finance[Job Number],C13&amp;""))</f>
        <v/>
      </c>
      <c r="I13" s="15">
        <f>IF(C13="","",IFERROR(INDEX(tbl_Finance[Cost Centre],MATCH(C13&amp;"",tbl_Finance[Job Number],0)),"not invoiced yet"))</f>
        <v/>
      </c>
      <c r="J13" s="14" t="n"/>
      <c r="K13" s="14" t="n"/>
      <c r="L13" s="15">
        <f>IF(K13="","",HYPERLINK(IF(LEFT(K13,4)="http",K13,set_QwilrBase&amp;K13),"Open quote"))</f>
        <v/>
      </c>
      <c r="M13" s="53" t="n"/>
      <c r="N13" s="14" t="n"/>
      <c r="O13" s="14" t="inlineStr">
        <is>
          <t>Deduct 8hrs CN for 03/07</t>
        </is>
      </c>
    </row>
    <row r="14" ht="15" customHeight="1">
      <c r="A14" s="51">
        <f>IF(C14="","",IFERROR(IF(SUMPRODUCT(MAX((tbl_Finance[Job Number]=C14&amp;"")*tbl_Finance[Date]))=0,"",SUMPRODUCT(MAX((tbl_Finance[Job Number]=C14&amp;"")*tbl_Finance[Date]))),""))</f>
        <v/>
      </c>
      <c r="B14" s="15">
        <f>IF(A14="","",IFERROR(LOOKUP(2,1/((tbl_Finance[Job Number]=C14&amp;"")*(tbl_Finance[Date]=A14)),tbl_Finance[Xero Invoice No]),""))</f>
        <v/>
      </c>
      <c r="C14" s="14" t="inlineStr">
        <is>
          <t>25101301B</t>
        </is>
      </c>
      <c r="D14" s="15">
        <f>IF(C14="","",IF(COUNTIF(lst_Jobs,C14&amp;"")&gt;0,"OK","CHECK"))</f>
        <v/>
      </c>
      <c r="E14" s="15">
        <f>IF(C14="","",IFERROR(INDEX(lst_JobName,MATCH(C14&amp;"",lst_Jobs,0)),""))</f>
        <v/>
      </c>
      <c r="F14" s="15">
        <f>IF(C14="","",IFERROR(INDEX(tbl_Finance[Client],MATCH(C14&amp;"",tbl_Finance[Job Number],0)),""))</f>
        <v/>
      </c>
      <c r="G14" s="52">
        <f>IF(C14="","",COUNTIFS(tbl_Finance[Job Number],C14&amp;"",tbl_Finance[Ex GST],"&lt;&gt;"))</f>
        <v/>
      </c>
      <c r="H14" s="17">
        <f>IF(C14="","",SUMIFS(tbl_Finance[Ex GST],tbl_Finance[Job Number],C14&amp;""))</f>
        <v/>
      </c>
      <c r="I14" s="15">
        <f>IF(C14="","",IFERROR(INDEX(tbl_Finance[Cost Centre],MATCH(C14&amp;"",tbl_Finance[Job Number],0)),"not invoiced yet"))</f>
        <v/>
      </c>
      <c r="J14" s="14" t="n"/>
      <c r="K14" s="14" t="n"/>
      <c r="L14" s="15">
        <f>IF(K14="","",HYPERLINK(IF(LEFT(K14,4)="http",K14,set_QwilrBase&amp;K14),"Open quote"))</f>
        <v/>
      </c>
      <c r="M14" s="53" t="n"/>
      <c r="N14" s="14" t="n"/>
      <c r="O14" s="14" t="n"/>
    </row>
    <row r="15" ht="15" customHeight="1">
      <c r="A15" s="51">
        <f>IF(C15="","",IFERROR(IF(SUMPRODUCT(MAX((tbl_Finance[Job Number]=C15&amp;"")*tbl_Finance[Date]))=0,"",SUMPRODUCT(MAX((tbl_Finance[Job Number]=C15&amp;"")*tbl_Finance[Date]))),""))</f>
        <v/>
      </c>
      <c r="B15" s="15">
        <f>IF(A15="","",IFERROR(LOOKUP(2,1/((tbl_Finance[Job Number]=C15&amp;"")*(tbl_Finance[Date]=A15)),tbl_Finance[Xero Invoice No]),""))</f>
        <v/>
      </c>
      <c r="C15" s="14" t="inlineStr">
        <is>
          <t>2880</t>
        </is>
      </c>
      <c r="D15" s="15">
        <f>IF(C15="","",IF(COUNTIF(lst_Jobs,C15&amp;"")&gt;0,"OK","CHECK"))</f>
        <v/>
      </c>
      <c r="E15" s="15">
        <f>IF(C15="","",IFERROR(INDEX(lst_JobName,MATCH(C15&amp;"",lst_Jobs,0)),""))</f>
        <v/>
      </c>
      <c r="F15" s="15">
        <f>IF(C15="","",IFERROR(INDEX(tbl_Finance[Client],MATCH(C15&amp;"",tbl_Finance[Job Number],0)),""))</f>
        <v/>
      </c>
      <c r="G15" s="52">
        <f>IF(C15="","",COUNTIFS(tbl_Finance[Job Number],C15&amp;"",tbl_Finance[Ex GST],"&lt;&gt;"))</f>
        <v/>
      </c>
      <c r="H15" s="17">
        <f>IF(C15="","",SUMIFS(tbl_Finance[Ex GST],tbl_Finance[Job Number],C15&amp;""))</f>
        <v/>
      </c>
      <c r="I15" s="15">
        <f>IF(C15="","",IFERROR(INDEX(tbl_Finance[Cost Centre],MATCH(C15&amp;"",tbl_Finance[Job Number],0)),"not invoiced yet"))</f>
        <v/>
      </c>
      <c r="J15" s="14" t="n"/>
      <c r="K15" s="14" t="n"/>
      <c r="L15" s="15">
        <f>IF(K15="","",HYPERLINK(IF(LEFT(K15,4)="http",K15,set_QwilrBase&amp;K15),"Open quote"))</f>
        <v/>
      </c>
      <c r="M15" s="53" t="n"/>
      <c r="N15" s="14" t="n"/>
      <c r="O15" s="14" t="inlineStr">
        <is>
          <t>2 months extension</t>
        </is>
      </c>
    </row>
    <row r="16" ht="15" customHeight="1">
      <c r="A16" s="51">
        <f>IF(C16="","",IFERROR(IF(SUMPRODUCT(MAX((tbl_Finance[Job Number]=C16&amp;"")*tbl_Finance[Date]))=0,"",SUMPRODUCT(MAX((tbl_Finance[Job Number]=C16&amp;"")*tbl_Finance[Date]))),""))</f>
        <v/>
      </c>
      <c r="B16" s="15">
        <f>IF(A16="","",IFERROR(LOOKUP(2,1/((tbl_Finance[Job Number]=C16&amp;"")*(tbl_Finance[Date]=A16)),tbl_Finance[Xero Invoice No]),""))</f>
        <v/>
      </c>
      <c r="C16" s="14" t="inlineStr">
        <is>
          <t>3056</t>
        </is>
      </c>
      <c r="D16" s="15">
        <f>IF(C16="","",IF(COUNTIF(lst_Jobs,C16&amp;"")&gt;0,"OK","CHECK"))</f>
        <v/>
      </c>
      <c r="E16" s="15">
        <f>IF(C16="","",IFERROR(INDEX(lst_JobName,MATCH(C16&amp;"",lst_Jobs,0)),""))</f>
        <v/>
      </c>
      <c r="F16" s="15">
        <f>IF(C16="","",IFERROR(INDEX(tbl_Finance[Client],MATCH(C16&amp;"",tbl_Finance[Job Number],0)),""))</f>
        <v/>
      </c>
      <c r="G16" s="52">
        <f>IF(C16="","",COUNTIFS(tbl_Finance[Job Number],C16&amp;"",tbl_Finance[Ex GST],"&lt;&gt;"))</f>
        <v/>
      </c>
      <c r="H16" s="17">
        <f>IF(C16="","",SUMIFS(tbl_Finance[Ex GST],tbl_Finance[Job Number],C16&amp;""))</f>
        <v/>
      </c>
      <c r="I16" s="15">
        <f>IF(C16="","",IFERROR(INDEX(tbl_Finance[Cost Centre],MATCH(C16&amp;"",tbl_Finance[Job Number],0)),"not invoiced yet"))</f>
        <v/>
      </c>
      <c r="J16" s="14" t="n"/>
      <c r="K16" s="14" t="n"/>
      <c r="L16" s="15">
        <f>IF(K16="","",HYPERLINK(IF(LEFT(K16,4)="http",K16,set_QwilrBase&amp;K16),"Open quote"))</f>
        <v/>
      </c>
      <c r="M16" s="53" t="n"/>
      <c r="N16" s="14" t="n"/>
      <c r="O16" s="14" t="n"/>
    </row>
    <row r="17" ht="15" customHeight="1">
      <c r="A17" s="51">
        <f>IF(C17="","",IFERROR(IF(SUMPRODUCT(MAX((tbl_Finance[Job Number]=C17&amp;"")*tbl_Finance[Date]))=0,"",SUMPRODUCT(MAX((tbl_Finance[Job Number]=C17&amp;"")*tbl_Finance[Date]))),""))</f>
        <v/>
      </c>
      <c r="B17" s="15">
        <f>IF(A17="","",IFERROR(LOOKUP(2,1/((tbl_Finance[Job Number]=C17&amp;"")*(tbl_Finance[Date]=A17)),tbl_Finance[Xero Invoice No]),""))</f>
        <v/>
      </c>
      <c r="C17" s="14" t="inlineStr">
        <is>
          <t>20250731</t>
        </is>
      </c>
      <c r="D17" s="15">
        <f>IF(C17="","",IF(COUNTIF(lst_Jobs,C17&amp;"")&gt;0,"OK","CHECK"))</f>
        <v/>
      </c>
      <c r="E17" s="15">
        <f>IF(C17="","",IFERROR(INDEX(lst_JobName,MATCH(C17&amp;"",lst_Jobs,0)),""))</f>
        <v/>
      </c>
      <c r="F17" s="15">
        <f>IF(C17="","",IFERROR(INDEX(tbl_Finance[Client],MATCH(C17&amp;"",tbl_Finance[Job Number],0)),""))</f>
        <v/>
      </c>
      <c r="G17" s="52">
        <f>IF(C17="","",COUNTIFS(tbl_Finance[Job Number],C17&amp;"",tbl_Finance[Ex GST],"&lt;&gt;"))</f>
        <v/>
      </c>
      <c r="H17" s="17">
        <f>IF(C17="","",SUMIFS(tbl_Finance[Ex GST],tbl_Finance[Job Number],C17&amp;""))</f>
        <v/>
      </c>
      <c r="I17" s="15">
        <f>IF(C17="","",IFERROR(INDEX(tbl_Finance[Cost Centre],MATCH(C17&amp;"",tbl_Finance[Job Number],0)),"not invoiced yet"))</f>
        <v/>
      </c>
      <c r="J17" s="14" t="n"/>
      <c r="K17" s="14" t="n"/>
      <c r="L17" s="15">
        <f>IF(K17="","",HYPERLINK(IF(LEFT(K17,4)="http",K17,set_QwilrBase&amp;K17),"Open quote"))</f>
        <v/>
      </c>
      <c r="M17" s="53" t="n"/>
      <c r="N17" s="14" t="n"/>
      <c r="O17" s="14" t="inlineStr">
        <is>
          <t>PO2601703215</t>
        </is>
      </c>
    </row>
    <row r="18" ht="15" customHeight="1">
      <c r="A18" s="51">
        <f>IF(C18="","",IFERROR(IF(SUMPRODUCT(MAX((tbl_Finance[Job Number]=C18&amp;"")*tbl_Finance[Date]))=0,"",SUMPRODUCT(MAX((tbl_Finance[Job Number]=C18&amp;"")*tbl_Finance[Date]))),""))</f>
        <v/>
      </c>
      <c r="B18" s="15">
        <f>IF(A18="","",IFERROR(LOOKUP(2,1/((tbl_Finance[Job Number]=C18&amp;"")*(tbl_Finance[Date]=A18)),tbl_Finance[Xero Invoice No]),""))</f>
        <v/>
      </c>
      <c r="C18" s="14" t="inlineStr">
        <is>
          <t>1668</t>
        </is>
      </c>
      <c r="D18" s="15">
        <f>IF(C18="","",IF(COUNTIF(lst_Jobs,C18&amp;"")&gt;0,"OK","CHECK"))</f>
        <v/>
      </c>
      <c r="E18" s="15">
        <f>IF(C18="","",IFERROR(INDEX(lst_JobName,MATCH(C18&amp;"",lst_Jobs,0)),""))</f>
        <v/>
      </c>
      <c r="F18" s="15">
        <f>IF(C18="","",IFERROR(INDEX(tbl_Finance[Client],MATCH(C18&amp;"",tbl_Finance[Job Number],0)),""))</f>
        <v/>
      </c>
      <c r="G18" s="52">
        <f>IF(C18="","",COUNTIFS(tbl_Finance[Job Number],C18&amp;"",tbl_Finance[Ex GST],"&lt;&gt;"))</f>
        <v/>
      </c>
      <c r="H18" s="17">
        <f>IF(C18="","",SUMIFS(tbl_Finance[Ex GST],tbl_Finance[Job Number],C18&amp;""))</f>
        <v/>
      </c>
      <c r="I18" s="15">
        <f>IF(C18="","",IFERROR(INDEX(tbl_Finance[Cost Centre],MATCH(C18&amp;"",tbl_Finance[Job Number],0)),"not invoiced yet"))</f>
        <v/>
      </c>
      <c r="J18" s="14" t="n"/>
      <c r="K18" s="14" t="n"/>
      <c r="L18" s="15">
        <f>IF(K18="","",HYPERLINK(IF(LEFT(K18,4)="http",K18,set_QwilrBase&amp;K18),"Open quote"))</f>
        <v/>
      </c>
      <c r="M18" s="53" t="n"/>
      <c r="N18" s="14" t="n"/>
      <c r="O18" s="14" t="n"/>
    </row>
    <row r="19" ht="15" customHeight="1">
      <c r="A19" s="51">
        <f>IF(C19="","",IFERROR(IF(SUMPRODUCT(MAX((tbl_Finance[Job Number]=C19&amp;"")*tbl_Finance[Date]))=0,"",SUMPRODUCT(MAX((tbl_Finance[Job Number]=C19&amp;"")*tbl_Finance[Date]))),""))</f>
        <v/>
      </c>
      <c r="B19" s="15">
        <f>IF(A19="","",IFERROR(LOOKUP(2,1/((tbl_Finance[Job Number]=C19&amp;"")*(tbl_Finance[Date]=A19)),tbl_Finance[Xero Invoice No]),""))</f>
        <v/>
      </c>
      <c r="C19" s="14" t="inlineStr">
        <is>
          <t>2540</t>
        </is>
      </c>
      <c r="D19" s="15">
        <f>IF(C19="","",IF(COUNTIF(lst_Jobs,C19&amp;"")&gt;0,"OK","CHECK"))</f>
        <v/>
      </c>
      <c r="E19" s="15">
        <f>IF(C19="","",IFERROR(INDEX(lst_JobName,MATCH(C19&amp;"",lst_Jobs,0)),""))</f>
        <v/>
      </c>
      <c r="F19" s="15">
        <f>IF(C19="","",IFERROR(INDEX(tbl_Finance[Client],MATCH(C19&amp;"",tbl_Finance[Job Number],0)),""))</f>
        <v/>
      </c>
      <c r="G19" s="52">
        <f>IF(C19="","",COUNTIFS(tbl_Finance[Job Number],C19&amp;"",tbl_Finance[Ex GST],"&lt;&gt;"))</f>
        <v/>
      </c>
      <c r="H19" s="17">
        <f>IF(C19="","",SUMIFS(tbl_Finance[Ex GST],tbl_Finance[Job Number],C19&amp;""))</f>
        <v/>
      </c>
      <c r="I19" s="15">
        <f>IF(C19="","",IFERROR(INDEX(tbl_Finance[Cost Centre],MATCH(C19&amp;"",tbl_Finance[Job Number],0)),"not invoiced yet"))</f>
        <v/>
      </c>
      <c r="J19" s="14" t="n"/>
      <c r="K19" s="14" t="n"/>
      <c r="L19" s="15">
        <f>IF(K19="","",HYPERLINK(IF(LEFT(K19,4)="http",K19,set_QwilrBase&amp;K19),"Open quote"))</f>
        <v/>
      </c>
      <c r="M19" s="53" t="n"/>
      <c r="N19" s="14" t="n"/>
      <c r="O19" s="14" t="inlineStr">
        <is>
          <t>PO2601703274</t>
        </is>
      </c>
    </row>
    <row r="20" ht="15" customHeight="1">
      <c r="A20" s="51">
        <f>IF(C20="","",IFERROR(IF(SUMPRODUCT(MAX((tbl_Finance[Job Number]=C20&amp;"")*tbl_Finance[Date]))=0,"",SUMPRODUCT(MAX((tbl_Finance[Job Number]=C20&amp;"")*tbl_Finance[Date]))),""))</f>
        <v/>
      </c>
      <c r="B20" s="15">
        <f>IF(A20="","",IFERROR(LOOKUP(2,1/((tbl_Finance[Job Number]=C20&amp;"")*(tbl_Finance[Date]=A20)),tbl_Finance[Xero Invoice No]),""))</f>
        <v/>
      </c>
      <c r="C20" s="14" t="inlineStr">
        <is>
          <t>26062501/2347</t>
        </is>
      </c>
      <c r="D20" s="15">
        <f>IF(C20="","",IF(COUNTIF(lst_Jobs,C20&amp;"")&gt;0,"OK","CHECK"))</f>
        <v/>
      </c>
      <c r="E20" s="15">
        <f>IF(C20="","",IFERROR(INDEX(lst_JobName,MATCH(C20&amp;"",lst_Jobs,0)),""))</f>
        <v/>
      </c>
      <c r="F20" s="15">
        <f>IF(C20="","",IFERROR(INDEX(tbl_Finance[Client],MATCH(C20&amp;"",tbl_Finance[Job Number],0)),""))</f>
        <v/>
      </c>
      <c r="G20" s="52">
        <f>IF(C20="","",COUNTIFS(tbl_Finance[Job Number],C20&amp;"",tbl_Finance[Ex GST],"&lt;&gt;"))</f>
        <v/>
      </c>
      <c r="H20" s="17">
        <f>IF(C20="","",SUMIFS(tbl_Finance[Ex GST],tbl_Finance[Job Number],C20&amp;""))</f>
        <v/>
      </c>
      <c r="I20" s="15">
        <f>IF(C20="","",IFERROR(INDEX(tbl_Finance[Cost Centre],MATCH(C20&amp;"",tbl_Finance[Job Number],0)),"not invoiced yet"))</f>
        <v/>
      </c>
      <c r="J20" s="14" t="n"/>
      <c r="K20" s="14" t="n"/>
      <c r="L20" s="15">
        <f>IF(K20="","",HYPERLINK(IF(LEFT(K20,4)="http",K20,set_QwilrBase&amp;K20),"Open quote"))</f>
        <v/>
      </c>
      <c r="M20" s="53" t="n"/>
      <c r="N20" s="14" t="n"/>
      <c r="O20" s="14" t="n"/>
    </row>
    <row r="21" ht="15" customHeight="1">
      <c r="A21" s="51">
        <f>IF(C21="","",IFERROR(IF(SUMPRODUCT(MAX((tbl_Finance[Job Number]=C21&amp;"")*tbl_Finance[Date]))=0,"",SUMPRODUCT(MAX((tbl_Finance[Job Number]=C21&amp;"")*tbl_Finance[Date]))),""))</f>
        <v/>
      </c>
      <c r="B21" s="15">
        <f>IF(A21="","",IFERROR(LOOKUP(2,1/((tbl_Finance[Job Number]=C21&amp;"")*(tbl_Finance[Date]=A21)),tbl_Finance[Xero Invoice No]),""))</f>
        <v/>
      </c>
      <c r="C21" s="14" t="inlineStr">
        <is>
          <t>2026021101</t>
        </is>
      </c>
      <c r="D21" s="15">
        <f>IF(C21="","",IF(COUNTIF(lst_Jobs,C21&amp;"")&gt;0,"OK","CHECK"))</f>
        <v/>
      </c>
      <c r="E21" s="15">
        <f>IF(C21="","",IFERROR(INDEX(lst_JobName,MATCH(C21&amp;"",lst_Jobs,0)),""))</f>
        <v/>
      </c>
      <c r="F21" s="15">
        <f>IF(C21="","",IFERROR(INDEX(tbl_Finance[Client],MATCH(C21&amp;"",tbl_Finance[Job Number],0)),""))</f>
        <v/>
      </c>
      <c r="G21" s="52">
        <f>IF(C21="","",COUNTIFS(tbl_Finance[Job Number],C21&amp;"",tbl_Finance[Ex GST],"&lt;&gt;"))</f>
        <v/>
      </c>
      <c r="H21" s="17">
        <f>IF(C21="","",SUMIFS(tbl_Finance[Ex GST],tbl_Finance[Job Number],C21&amp;""))</f>
        <v/>
      </c>
      <c r="I21" s="15">
        <f>IF(C21="","",IFERROR(INDEX(tbl_Finance[Cost Centre],MATCH(C21&amp;"",tbl_Finance[Job Number],0)),"not invoiced yet"))</f>
        <v/>
      </c>
      <c r="J21" s="14" t="n"/>
      <c r="K21" s="14" t="n"/>
      <c r="L21" s="15">
        <f>IF(K21="","",HYPERLINK(IF(LEFT(K21,4)="http",K21,set_QwilrBase&amp;K21),"Open quote"))</f>
        <v/>
      </c>
      <c r="M21" s="53" t="n"/>
      <c r="N21" s="14" t="n"/>
      <c r="O21" s="14" t="inlineStr">
        <is>
          <t>Invoice 1/2</t>
        </is>
      </c>
    </row>
    <row r="22" ht="15" customHeight="1">
      <c r="A22" s="51">
        <f>IF(C22="","",IFERROR(IF(SUMPRODUCT(MAX((tbl_Finance[Job Number]=C22&amp;"")*tbl_Finance[Date]))=0,"",SUMPRODUCT(MAX((tbl_Finance[Job Number]=C22&amp;"")*tbl_Finance[Date]))),""))</f>
        <v/>
      </c>
      <c r="B22" s="15">
        <f>IF(A22="","",IFERROR(LOOKUP(2,1/((tbl_Finance[Job Number]=C22&amp;"")*(tbl_Finance[Date]=A22)),tbl_Finance[Xero Invoice No]),""))</f>
        <v/>
      </c>
      <c r="C22" s="14" t="inlineStr">
        <is>
          <t>26022301</t>
        </is>
      </c>
      <c r="D22" s="15">
        <f>IF(C22="","",IF(COUNTIF(lst_Jobs,C22&amp;"")&gt;0,"OK","CHECK"))</f>
        <v/>
      </c>
      <c r="E22" s="15">
        <f>IF(C22="","",IFERROR(INDEX(lst_JobName,MATCH(C22&amp;"",lst_Jobs,0)),""))</f>
        <v/>
      </c>
      <c r="F22" s="15">
        <f>IF(C22="","",IFERROR(INDEX(tbl_Finance[Client],MATCH(C22&amp;"",tbl_Finance[Job Number],0)),""))</f>
        <v/>
      </c>
      <c r="G22" s="52">
        <f>IF(C22="","",COUNTIFS(tbl_Finance[Job Number],C22&amp;"",tbl_Finance[Ex GST],"&lt;&gt;"))</f>
        <v/>
      </c>
      <c r="H22" s="17">
        <f>IF(C22="","",SUMIFS(tbl_Finance[Ex GST],tbl_Finance[Job Number],C22&amp;""))</f>
        <v/>
      </c>
      <c r="I22" s="15">
        <f>IF(C22="","",IFERROR(INDEX(tbl_Finance[Cost Centre],MATCH(C22&amp;"",tbl_Finance[Job Number],0)),"not invoiced yet"))</f>
        <v/>
      </c>
      <c r="J22" s="14" t="n"/>
      <c r="K22" s="14" t="n"/>
      <c r="L22" s="15">
        <f>IF(K22="","",HYPERLINK(IF(LEFT(K22,4)="http",K22,set_QwilrBase&amp;K22),"Open quote"))</f>
        <v/>
      </c>
      <c r="M22" s="53" t="n"/>
      <c r="N22" s="14" t="n"/>
      <c r="O22" s="14" t="inlineStr">
        <is>
          <t>Split TBC - Xero split this with production ($850)</t>
        </is>
      </c>
    </row>
    <row r="23" ht="15" customHeight="1">
      <c r="A23" s="51">
        <f>IF(C23="","",IFERROR(IF(SUMPRODUCT(MAX((tbl_Finance[Job Number]=C23&amp;"")*tbl_Finance[Date]))=0,"",SUMPRODUCT(MAX((tbl_Finance[Job Number]=C23&amp;"")*tbl_Finance[Date]))),""))</f>
        <v/>
      </c>
      <c r="B23" s="15">
        <f>IF(A23="","",IFERROR(LOOKUP(2,1/((tbl_Finance[Job Number]=C23&amp;"")*(tbl_Finance[Date]=A23)),tbl_Finance[Xero Invoice No]),""))</f>
        <v/>
      </c>
      <c r="C23" s="14" t="inlineStr">
        <is>
          <t>2608502</t>
        </is>
      </c>
      <c r="D23" s="15">
        <f>IF(C23="","",IF(COUNTIF(lst_Jobs,C23&amp;"")&gt;0,"OK","CHECK"))</f>
        <v/>
      </c>
      <c r="E23" s="15">
        <f>IF(C23="","",IFERROR(INDEX(lst_JobName,MATCH(C23&amp;"",lst_Jobs,0)),""))</f>
        <v/>
      </c>
      <c r="F23" s="15">
        <f>IF(C23="","",IFERROR(INDEX(tbl_Finance[Client],MATCH(C23&amp;"",tbl_Finance[Job Number],0)),""))</f>
        <v/>
      </c>
      <c r="G23" s="52">
        <f>IF(C23="","",COUNTIFS(tbl_Finance[Job Number],C23&amp;"",tbl_Finance[Ex GST],"&lt;&gt;"))</f>
        <v/>
      </c>
      <c r="H23" s="17">
        <f>IF(C23="","",SUMIFS(tbl_Finance[Ex GST],tbl_Finance[Job Number],C23&amp;""))</f>
        <v/>
      </c>
      <c r="I23" s="15">
        <f>IF(C23="","",IFERROR(INDEX(tbl_Finance[Cost Centre],MATCH(C23&amp;"",tbl_Finance[Job Number],0)),"not invoiced yet"))</f>
        <v/>
      </c>
      <c r="J23" s="14" t="n"/>
      <c r="K23" s="14" t="n"/>
      <c r="L23" s="15">
        <f>IF(K23="","",HYPERLINK(IF(LEFT(K23,4)="http",K23,set_QwilrBase&amp;K23),"Open quote"))</f>
        <v/>
      </c>
      <c r="M23" s="53" t="n"/>
      <c r="N23" s="14" t="n"/>
      <c r="O23" s="14" t="inlineStr">
        <is>
          <t>8419.62 differe from invoice amount</t>
        </is>
      </c>
    </row>
    <row r="24" ht="15" customHeight="1">
      <c r="A24" s="51">
        <f>IF(C24="","",IFERROR(IF(SUMPRODUCT(MAX((tbl_Finance[Job Number]=C24&amp;"")*tbl_Finance[Date]))=0,"",SUMPRODUCT(MAX((tbl_Finance[Job Number]=C24&amp;"")*tbl_Finance[Date]))),""))</f>
        <v/>
      </c>
      <c r="B24" s="15">
        <f>IF(A24="","",IFERROR(LOOKUP(2,1/((tbl_Finance[Job Number]=C24&amp;"")*(tbl_Finance[Date]=A24)),tbl_Finance[Xero Invoice No]),""))</f>
        <v/>
      </c>
      <c r="C24" s="14" t="inlineStr">
        <is>
          <t>26073102</t>
        </is>
      </c>
      <c r="D24" s="15">
        <f>IF(C24="","",IF(COUNTIF(lst_Jobs,C24&amp;"")&gt;0,"OK","CHECK"))</f>
        <v/>
      </c>
      <c r="E24" s="15">
        <f>IF(C24="","",IFERROR(INDEX(lst_JobName,MATCH(C24&amp;"",lst_Jobs,0)),""))</f>
        <v/>
      </c>
      <c r="F24" s="15">
        <f>IF(C24="","",IFERROR(INDEX(tbl_Finance[Client],MATCH(C24&amp;"",tbl_Finance[Job Number],0)),""))</f>
        <v/>
      </c>
      <c r="G24" s="52">
        <f>IF(C24="","",COUNTIFS(tbl_Finance[Job Number],C24&amp;"",tbl_Finance[Ex GST],"&lt;&gt;"))</f>
        <v/>
      </c>
      <c r="H24" s="17">
        <f>IF(C24="","",SUMIFS(tbl_Finance[Ex GST],tbl_Finance[Job Number],C24&amp;""))</f>
        <v/>
      </c>
      <c r="I24" s="15">
        <f>IF(C24="","",IFERROR(INDEX(tbl_Finance[Cost Centre],MATCH(C24&amp;"",tbl_Finance[Job Number],0)),"not invoiced yet"))</f>
        <v/>
      </c>
      <c r="J24" s="14" t="n"/>
      <c r="K24" s="14" t="n"/>
      <c r="L24" s="15">
        <f>IF(K24="","",HYPERLINK(IF(LEFT(K24,4)="http",K24,set_QwilrBase&amp;K24),"Open quote"))</f>
        <v/>
      </c>
      <c r="M24" s="53" t="n"/>
      <c r="N24" s="14" t="n"/>
      <c r="O24" s="14" t="n"/>
    </row>
    <row r="25" ht="15" customHeight="1">
      <c r="A25" s="51">
        <f>IF(C25="","",IFERROR(IF(SUMPRODUCT(MAX((tbl_Finance[Job Number]=C25&amp;"")*tbl_Finance[Date]))=0,"",SUMPRODUCT(MAX((tbl_Finance[Job Number]=C25&amp;"")*tbl_Finance[Date]))),""))</f>
        <v/>
      </c>
      <c r="B25" s="15">
        <f>IF(A25="","",IFERROR(LOOKUP(2,1/((tbl_Finance[Job Number]=C25&amp;"")*(tbl_Finance[Date]=A25)),tbl_Finance[Xero Invoice No]),""))</f>
        <v/>
      </c>
      <c r="C25" s="14" t="inlineStr">
        <is>
          <t>26081301</t>
        </is>
      </c>
      <c r="D25" s="15">
        <f>IF(C25="","",IF(COUNTIF(lst_Jobs,C25&amp;"")&gt;0,"OK","CHECK"))</f>
        <v/>
      </c>
      <c r="E25" s="15">
        <f>IF(C25="","",IFERROR(INDEX(lst_JobName,MATCH(C25&amp;"",lst_Jobs,0)),""))</f>
        <v/>
      </c>
      <c r="F25" s="15">
        <f>IF(C25="","",IFERROR(INDEX(tbl_Finance[Client],MATCH(C25&amp;"",tbl_Finance[Job Number],0)),""))</f>
        <v/>
      </c>
      <c r="G25" s="52">
        <f>IF(C25="","",COUNTIFS(tbl_Finance[Job Number],C25&amp;"",tbl_Finance[Ex GST],"&lt;&gt;"))</f>
        <v/>
      </c>
      <c r="H25" s="17">
        <f>IF(C25="","",SUMIFS(tbl_Finance[Ex GST],tbl_Finance[Job Number],C25&amp;""))</f>
        <v/>
      </c>
      <c r="I25" s="15">
        <f>IF(C25="","",IFERROR(INDEX(tbl_Finance[Cost Centre],MATCH(C25&amp;"",tbl_Finance[Job Number],0)),"not invoiced yet"))</f>
        <v/>
      </c>
      <c r="J25" s="14" t="n"/>
      <c r="K25" s="14" t="n"/>
      <c r="L25" s="15">
        <f>IF(K25="","",HYPERLINK(IF(LEFT(K25,4)="http",K25,set_QwilrBase&amp;K25),"Open quote"))</f>
        <v/>
      </c>
      <c r="M25" s="53" t="n"/>
      <c r="N25" s="14" t="n"/>
      <c r="O25" s="14" t="inlineStr">
        <is>
          <t>November</t>
        </is>
      </c>
    </row>
    <row r="26" ht="15" customHeight="1">
      <c r="A26" s="51">
        <f>IF(C26="","",IFERROR(IF(SUMPRODUCT(MAX((tbl_Finance[Job Number]=C26&amp;"")*tbl_Finance[Date]))=0,"",SUMPRODUCT(MAX((tbl_Finance[Job Number]=C26&amp;"")*tbl_Finance[Date]))),""))</f>
        <v/>
      </c>
      <c r="B26" s="15">
        <f>IF(A26="","",IFERROR(LOOKUP(2,1/((tbl_Finance[Job Number]=C26&amp;"")*(tbl_Finance[Date]=A26)),tbl_Finance[Xero Invoice No]),""))</f>
        <v/>
      </c>
      <c r="C26" s="14" t="inlineStr">
        <is>
          <t>585, 586</t>
        </is>
      </c>
      <c r="D26" s="15">
        <f>IF(C26="","",IF(COUNTIF(lst_Jobs,C26&amp;"")&gt;0,"OK","CHECK"))</f>
        <v/>
      </c>
      <c r="E26" s="15">
        <f>IF(C26="","",IFERROR(INDEX(lst_JobName,MATCH(C26&amp;"",lst_Jobs,0)),""))</f>
        <v/>
      </c>
      <c r="F26" s="15">
        <f>IF(C26="","",IFERROR(INDEX(tbl_Finance[Client],MATCH(C26&amp;"",tbl_Finance[Job Number],0)),""))</f>
        <v/>
      </c>
      <c r="G26" s="52">
        <f>IF(C26="","",COUNTIFS(tbl_Finance[Job Number],C26&amp;"",tbl_Finance[Ex GST],"&lt;&gt;"))</f>
        <v/>
      </c>
      <c r="H26" s="17">
        <f>IF(C26="","",SUMIFS(tbl_Finance[Ex GST],tbl_Finance[Job Number],C26&amp;""))</f>
        <v/>
      </c>
      <c r="I26" s="15">
        <f>IF(C26="","",IFERROR(INDEX(tbl_Finance[Cost Centre],MATCH(C26&amp;"",tbl_Finance[Job Number],0)),"not invoiced yet"))</f>
        <v/>
      </c>
      <c r="J26" s="14" t="n"/>
      <c r="K26" s="14" t="n"/>
      <c r="L26" s="15">
        <f>IF(K26="","",HYPERLINK(IF(LEFT(K26,4)="http",K26,set_QwilrBase&amp;K26),"Open quote"))</f>
        <v/>
      </c>
      <c r="M26" s="53" t="n"/>
      <c r="N26" s="14" t="n"/>
      <c r="O26" s="14" t="n"/>
    </row>
    <row r="27" ht="15" customHeight="1">
      <c r="A27" s="51">
        <f>IF(C27="","",IFERROR(IF(SUMPRODUCT(MAX((tbl_Finance[Job Number]=C27&amp;"")*tbl_Finance[Date]))=0,"",SUMPRODUCT(MAX((tbl_Finance[Job Number]=C27&amp;"")*tbl_Finance[Date]))),""))</f>
        <v/>
      </c>
      <c r="B27" s="15">
        <f>IF(A27="","",IFERROR(LOOKUP(2,1/((tbl_Finance[Job Number]=C27&amp;"")*(tbl_Finance[Date]=A27)),tbl_Finance[Xero Invoice No]),""))</f>
        <v/>
      </c>
      <c r="C27" s="14" t="inlineStr">
        <is>
          <t>26073103</t>
        </is>
      </c>
      <c r="D27" s="15">
        <f>IF(C27="","",IF(COUNTIF(lst_Jobs,C27&amp;"")&gt;0,"OK","CHECK"))</f>
        <v/>
      </c>
      <c r="E27" s="15">
        <f>IF(C27="","",IFERROR(INDEX(lst_JobName,MATCH(C27&amp;"",lst_Jobs,0)),""))</f>
        <v/>
      </c>
      <c r="F27" s="15">
        <f>IF(C27="","",IFERROR(INDEX(tbl_Finance[Client],MATCH(C27&amp;"",tbl_Finance[Job Number],0)),""))</f>
        <v/>
      </c>
      <c r="G27" s="52">
        <f>IF(C27="","",COUNTIFS(tbl_Finance[Job Number],C27&amp;"",tbl_Finance[Ex GST],"&lt;&gt;"))</f>
        <v/>
      </c>
      <c r="H27" s="17">
        <f>IF(C27="","",SUMIFS(tbl_Finance[Ex GST],tbl_Finance[Job Number],C27&amp;""))</f>
        <v/>
      </c>
      <c r="I27" s="15">
        <f>IF(C27="","",IFERROR(INDEX(tbl_Finance[Cost Centre],MATCH(C27&amp;"",tbl_Finance[Job Number],0)),"not invoiced yet"))</f>
        <v/>
      </c>
      <c r="J27" s="14" t="n"/>
      <c r="K27" s="14" t="n"/>
      <c r="L27" s="15">
        <f>IF(K27="","",HYPERLINK(IF(LEFT(K27,4)="http",K27,set_QwilrBase&amp;K27),"Open quote"))</f>
        <v/>
      </c>
      <c r="M27" s="53" t="n"/>
      <c r="N27" s="14" t="n"/>
      <c r="O27"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51">
        <f>IF(C28="","",IFERROR(IF(SUMPRODUCT(MAX((tbl_Finance[Job Number]=C28&amp;"")*tbl_Finance[Date]))=0,"",SUMPRODUCT(MAX((tbl_Finance[Job Number]=C28&amp;"")*tbl_Finance[Date]))),""))</f>
        <v/>
      </c>
      <c r="B28" s="15">
        <f>IF(A28="","",IFERROR(LOOKUP(2,1/((tbl_Finance[Job Number]=C28&amp;"")*(tbl_Finance[Date]=A28)),tbl_Finance[Xero Invoice No]),""))</f>
        <v/>
      </c>
      <c r="C28" s="14" t="inlineStr">
        <is>
          <t>26082801</t>
        </is>
      </c>
      <c r="D28" s="15">
        <f>IF(C28="","",IF(COUNTIF(lst_Jobs,C28&amp;"")&gt;0,"OK","CHECK"))</f>
        <v/>
      </c>
      <c r="E28" s="15">
        <f>IF(C28="","",IFERROR(INDEX(lst_JobName,MATCH(C28&amp;"",lst_Jobs,0)),""))</f>
        <v/>
      </c>
      <c r="F28" s="15">
        <f>IF(C28="","",IFERROR(INDEX(tbl_Finance[Client],MATCH(C28&amp;"",tbl_Finance[Job Number],0)),""))</f>
        <v/>
      </c>
      <c r="G28" s="52">
        <f>IF(C28="","",COUNTIFS(tbl_Finance[Job Number],C28&amp;"",tbl_Finance[Ex GST],"&lt;&gt;"))</f>
        <v/>
      </c>
      <c r="H28" s="17">
        <f>IF(C28="","",SUMIFS(tbl_Finance[Ex GST],tbl_Finance[Job Number],C28&amp;""))</f>
        <v/>
      </c>
      <c r="I28" s="15">
        <f>IF(C28="","",IFERROR(INDEX(tbl_Finance[Cost Centre],MATCH(C28&amp;"",tbl_Finance[Job Number],0)),"not invoiced yet"))</f>
        <v/>
      </c>
      <c r="J28" s="14" t="n"/>
      <c r="K28" s="14" t="n"/>
      <c r="L28" s="15">
        <f>IF(K28="","",HYPERLINK(IF(LEFT(K28,4)="http",K28,set_QwilrBase&amp;K28),"Open quote"))</f>
        <v/>
      </c>
      <c r="M28" s="53" t="n"/>
      <c r="N28" s="14" t="n"/>
      <c r="O28" s="14" t="inlineStr">
        <is>
          <t>This was not actually for Shell - error in quote. End client was Wotton Kearney.</t>
        </is>
      </c>
    </row>
    <row r="29" ht="15" customHeight="1">
      <c r="A29" s="51">
        <f>IF(C29="","",IFERROR(IF(SUMPRODUCT(MAX((tbl_Finance[Job Number]=C29&amp;"")*tbl_Finance[Date]))=0,"",SUMPRODUCT(MAX((tbl_Finance[Job Number]=C29&amp;"")*tbl_Finance[Date]))),""))</f>
        <v/>
      </c>
      <c r="B29" s="15">
        <f>IF(A29="","",IFERROR(LOOKUP(2,1/((tbl_Finance[Job Number]=C29&amp;"")*(tbl_Finance[Date]=A29)),tbl_Finance[Xero Invoice No]),""))</f>
        <v/>
      </c>
      <c r="C29" s="14" t="inlineStr">
        <is>
          <t>2608603</t>
        </is>
      </c>
      <c r="D29" s="15">
        <f>IF(C29="","",IF(COUNTIF(lst_Jobs,C29&amp;"")&gt;0,"OK","CHECK"))</f>
        <v/>
      </c>
      <c r="E29" s="15">
        <f>IF(C29="","",IFERROR(INDEX(lst_JobName,MATCH(C29&amp;"",lst_Jobs,0)),""))</f>
        <v/>
      </c>
      <c r="F29" s="15">
        <f>IF(C29="","",IFERROR(INDEX(tbl_Finance[Client],MATCH(C29&amp;"",tbl_Finance[Job Number],0)),""))</f>
        <v/>
      </c>
      <c r="G29" s="52">
        <f>IF(C29="","",COUNTIFS(tbl_Finance[Job Number],C29&amp;"",tbl_Finance[Ex GST],"&lt;&gt;"))</f>
        <v/>
      </c>
      <c r="H29" s="17">
        <f>IF(C29="","",SUMIFS(tbl_Finance[Ex GST],tbl_Finance[Job Number],C29&amp;""))</f>
        <v/>
      </c>
      <c r="I29" s="15">
        <f>IF(C29="","",IFERROR(INDEX(tbl_Finance[Cost Centre],MATCH(C29&amp;"",tbl_Finance[Job Number],0)),"not invoiced yet"))</f>
        <v/>
      </c>
      <c r="J29" s="14" t="n"/>
      <c r="K29" s="14" t="n"/>
      <c r="L29" s="15">
        <f>IF(K29="","",HYPERLINK(IF(LEFT(K29,4)="http",K29,set_QwilrBase&amp;K29),"Open quote"))</f>
        <v/>
      </c>
      <c r="M29" s="53" t="n"/>
      <c r="N29" s="14" t="n"/>
      <c r="O29" s="14" t="n"/>
    </row>
    <row r="30" ht="15" customHeight="1">
      <c r="A30" s="51">
        <f>IF(C30="","",IFERROR(IF(SUMPRODUCT(MAX((tbl_Finance[Job Number]=C30&amp;"")*tbl_Finance[Date]))=0,"",SUMPRODUCT(MAX((tbl_Finance[Job Number]=C30&amp;"")*tbl_Finance[Date]))),""))</f>
        <v/>
      </c>
      <c r="B30" s="15">
        <f>IF(A30="","",IFERROR(LOOKUP(2,1/((tbl_Finance[Job Number]=C30&amp;"")*(tbl_Finance[Date]=A30)),tbl_Finance[Xero Invoice No]),""))</f>
        <v/>
      </c>
      <c r="C30" s="14" t="inlineStr">
        <is>
          <t>26073107</t>
        </is>
      </c>
      <c r="D30" s="15">
        <f>IF(C30="","",IF(COUNTIF(lst_Jobs,C30&amp;"")&gt;0,"OK","CHECK"))</f>
        <v/>
      </c>
      <c r="E30" s="15">
        <f>IF(C30="","",IFERROR(INDEX(lst_JobName,MATCH(C30&amp;"",lst_Jobs,0)),""))</f>
        <v/>
      </c>
      <c r="F30" s="15">
        <f>IF(C30="","",IFERROR(INDEX(tbl_Finance[Client],MATCH(C30&amp;"",tbl_Finance[Job Number],0)),""))</f>
        <v/>
      </c>
      <c r="G30" s="52">
        <f>IF(C30="","",COUNTIFS(tbl_Finance[Job Number],C30&amp;"",tbl_Finance[Ex GST],"&lt;&gt;"))</f>
        <v/>
      </c>
      <c r="H30" s="17">
        <f>IF(C30="","",SUMIFS(tbl_Finance[Ex GST],tbl_Finance[Job Number],C30&amp;""))</f>
        <v/>
      </c>
      <c r="I30" s="15">
        <f>IF(C30="","",IFERROR(INDEX(tbl_Finance[Cost Centre],MATCH(C30&amp;"",tbl_Finance[Job Number],0)),"not invoiced yet"))</f>
        <v/>
      </c>
      <c r="J30" s="14" t="n"/>
      <c r="K30" s="14" t="n"/>
      <c r="L30" s="15">
        <f>IF(K30="","",HYPERLINK(IF(LEFT(K30,4)="http",K30,set_QwilrBase&amp;K30),"Open quote"))</f>
        <v/>
      </c>
      <c r="M30" s="53" t="n"/>
      <c r="N30" s="14" t="n"/>
      <c r="O30" s="14" t="n"/>
    </row>
    <row r="31" ht="15" customHeight="1">
      <c r="A31" s="51">
        <f>IF(C31="","",IFERROR(IF(SUMPRODUCT(MAX((tbl_Finance[Job Number]=C31&amp;"")*tbl_Finance[Date]))=0,"",SUMPRODUCT(MAX((tbl_Finance[Job Number]=C31&amp;"")*tbl_Finance[Date]))),""))</f>
        <v/>
      </c>
      <c r="B31" s="15">
        <f>IF(A31="","",IFERROR(LOOKUP(2,1/((tbl_Finance[Job Number]=C31&amp;"")*(tbl_Finance[Date]=A31)),tbl_Finance[Xero Invoice No]),""))</f>
        <v/>
      </c>
      <c r="C31" s="14" t="inlineStr">
        <is>
          <t>26082704</t>
        </is>
      </c>
      <c r="D31" s="15">
        <f>IF(C31="","",IF(COUNTIF(lst_Jobs,C31&amp;"")&gt;0,"OK","CHECK"))</f>
        <v/>
      </c>
      <c r="E31" s="15">
        <f>IF(C31="","",IFERROR(INDEX(lst_JobName,MATCH(C31&amp;"",lst_Jobs,0)),""))</f>
        <v/>
      </c>
      <c r="F31" s="15">
        <f>IF(C31="","",IFERROR(INDEX(tbl_Finance[Client],MATCH(C31&amp;"",tbl_Finance[Job Number],0)),""))</f>
        <v/>
      </c>
      <c r="G31" s="52">
        <f>IF(C31="","",COUNTIFS(tbl_Finance[Job Number],C31&amp;"",tbl_Finance[Ex GST],"&lt;&gt;"))</f>
        <v/>
      </c>
      <c r="H31" s="17">
        <f>IF(C31="","",SUMIFS(tbl_Finance[Ex GST],tbl_Finance[Job Number],C31&amp;""))</f>
        <v/>
      </c>
      <c r="I31" s="15">
        <f>IF(C31="","",IFERROR(INDEX(tbl_Finance[Cost Centre],MATCH(C31&amp;"",tbl_Finance[Job Number],0)),"not invoiced yet"))</f>
        <v/>
      </c>
      <c r="J31" s="14" t="n"/>
      <c r="K31" s="14" t="n"/>
      <c r="L31" s="15">
        <f>IF(K31="","",HYPERLINK(IF(LEFT(K31,4)="http",K31,set_QwilrBase&amp;K31),"Open quote"))</f>
        <v/>
      </c>
      <c r="M31" s="53" t="n"/>
      <c r="N31" s="14" t="n"/>
      <c r="O31" s="14" t="n"/>
    </row>
    <row r="32" ht="15" customHeight="1">
      <c r="A32" s="51">
        <f>IF(C32="","",IFERROR(IF(SUMPRODUCT(MAX((tbl_Finance[Job Number]=C32&amp;"")*tbl_Finance[Date]))=0,"",SUMPRODUCT(MAX((tbl_Finance[Job Number]=C32&amp;"")*tbl_Finance[Date]))),""))</f>
        <v/>
      </c>
      <c r="B32" s="15">
        <f>IF(A32="","",IFERROR(LOOKUP(2,1/((tbl_Finance[Job Number]=C32&amp;"")*(tbl_Finance[Date]=A32)),tbl_Finance[Xero Invoice No]),""))</f>
        <v/>
      </c>
      <c r="C32" s="14" t="n"/>
      <c r="D32" s="15">
        <f>IF(C32="","",IF(COUNTIF(lst_Jobs,C32&amp;"")&gt;0,"OK","CHECK"))</f>
        <v/>
      </c>
      <c r="E32" s="15">
        <f>IF(C32="","",IFERROR(INDEX(lst_JobName,MATCH(C32&amp;"",lst_Jobs,0)),""))</f>
        <v/>
      </c>
      <c r="F32" s="15">
        <f>IF(C32="","",IFERROR(INDEX(tbl_Finance[Client],MATCH(C32&amp;"",tbl_Finance[Job Number],0)),""))</f>
        <v/>
      </c>
      <c r="G32" s="52">
        <f>IF(C32="","",COUNTIFS(tbl_Finance[Job Number],C32&amp;"",tbl_Finance[Ex GST],"&lt;&gt;"))</f>
        <v/>
      </c>
      <c r="H32" s="17">
        <f>IF(C32="","",SUMIFS(tbl_Finance[Ex GST],tbl_Finance[Job Number],C32&amp;""))</f>
        <v/>
      </c>
      <c r="I32" s="15">
        <f>IF(C32="","",IFERROR(INDEX(tbl_Finance[Cost Centre],MATCH(C32&amp;"",tbl_Finance[Job Number],0)),"not invoiced yet"))</f>
        <v/>
      </c>
      <c r="J32" s="14" t="n"/>
      <c r="K32" s="14" t="n"/>
      <c r="L32" s="15">
        <f>IF(K32="","",HYPERLINK(IF(LEFT(K32,4)="http",K32,set_QwilrBase&amp;K32),"Open quote"))</f>
        <v/>
      </c>
      <c r="M32" s="53" t="n"/>
      <c r="N32" s="14" t="n"/>
      <c r="O32" s="14" t="n"/>
    </row>
    <row r="33" ht="15" customHeight="1">
      <c r="A33" s="51">
        <f>IF(C33="","",IFERROR(IF(SUMPRODUCT(MAX((tbl_Finance[Job Number]=C33&amp;"")*tbl_Finance[Date]))=0,"",SUMPRODUCT(MAX((tbl_Finance[Job Number]=C33&amp;"")*tbl_Finance[Date]))),""))</f>
        <v/>
      </c>
      <c r="B33" s="15">
        <f>IF(A33="","",IFERROR(LOOKUP(2,1/((tbl_Finance[Job Number]=C33&amp;"")*(tbl_Finance[Date]=A33)),tbl_Finance[Xero Invoice No]),""))</f>
        <v/>
      </c>
      <c r="C33" s="14" t="n"/>
      <c r="D33" s="15">
        <f>IF(C33="","",IF(COUNTIF(lst_Jobs,C33&amp;"")&gt;0,"OK","CHECK"))</f>
        <v/>
      </c>
      <c r="E33" s="15">
        <f>IF(C33="","",IFERROR(INDEX(lst_JobName,MATCH(C33&amp;"",lst_Jobs,0)),""))</f>
        <v/>
      </c>
      <c r="F33" s="15">
        <f>IF(C33="","",IFERROR(INDEX(tbl_Finance[Client],MATCH(C33&amp;"",tbl_Finance[Job Number],0)),""))</f>
        <v/>
      </c>
      <c r="G33" s="52">
        <f>IF(C33="","",COUNTIFS(tbl_Finance[Job Number],C33&amp;"",tbl_Finance[Ex GST],"&lt;&gt;"))</f>
        <v/>
      </c>
      <c r="H33" s="17">
        <f>IF(C33="","",SUMIFS(tbl_Finance[Ex GST],tbl_Finance[Job Number],C33&amp;""))</f>
        <v/>
      </c>
      <c r="I33" s="15">
        <f>IF(C33="","",IFERROR(INDEX(tbl_Finance[Cost Centre],MATCH(C33&amp;"",tbl_Finance[Job Number],0)),"not invoiced yet"))</f>
        <v/>
      </c>
      <c r="J33" s="14" t="n"/>
      <c r="K33" s="14" t="n"/>
      <c r="L33" s="15">
        <f>IF(K33="","",HYPERLINK(IF(LEFT(K33,4)="http",K33,set_QwilrBase&amp;K33),"Open quote"))</f>
        <v/>
      </c>
      <c r="M33" s="53" t="n"/>
      <c r="N33" s="14" t="n"/>
      <c r="O33" s="14" t="n"/>
    </row>
    <row r="34" ht="15" customHeight="1">
      <c r="A34" s="51">
        <f>IF(C34="","",IFERROR(IF(SUMPRODUCT(MAX((tbl_Finance[Job Number]=C34&amp;"")*tbl_Finance[Date]))=0,"",SUMPRODUCT(MAX((tbl_Finance[Job Number]=C34&amp;"")*tbl_Finance[Date]))),""))</f>
        <v/>
      </c>
      <c r="B34" s="15">
        <f>IF(A34="","",IFERROR(LOOKUP(2,1/((tbl_Finance[Job Number]=C34&amp;"")*(tbl_Finance[Date]=A34)),tbl_Finance[Xero Invoice No]),""))</f>
        <v/>
      </c>
      <c r="C34" s="14" t="n"/>
      <c r="D34" s="15">
        <f>IF(C34="","",IF(COUNTIF(lst_Jobs,C34&amp;"")&gt;0,"OK","CHECK"))</f>
        <v/>
      </c>
      <c r="E34" s="15">
        <f>IF(C34="","",IFERROR(INDEX(lst_JobName,MATCH(C34&amp;"",lst_Jobs,0)),""))</f>
        <v/>
      </c>
      <c r="F34" s="15">
        <f>IF(C34="","",IFERROR(INDEX(tbl_Finance[Client],MATCH(C34&amp;"",tbl_Finance[Job Number],0)),""))</f>
        <v/>
      </c>
      <c r="G34" s="52">
        <f>IF(C34="","",COUNTIFS(tbl_Finance[Job Number],C34&amp;"",tbl_Finance[Ex GST],"&lt;&gt;"))</f>
        <v/>
      </c>
      <c r="H34" s="17">
        <f>IF(C34="","",SUMIFS(tbl_Finance[Ex GST],tbl_Finance[Job Number],C34&amp;""))</f>
        <v/>
      </c>
      <c r="I34" s="15">
        <f>IF(C34="","",IFERROR(INDEX(tbl_Finance[Cost Centre],MATCH(C34&amp;"",tbl_Finance[Job Number],0)),"not invoiced yet"))</f>
        <v/>
      </c>
      <c r="J34" s="14" t="n"/>
      <c r="K34" s="14" t="n"/>
      <c r="L34" s="15">
        <f>IF(K34="","",HYPERLINK(IF(LEFT(K34,4)="http",K34,set_QwilrBase&amp;K34),"Open quote"))</f>
        <v/>
      </c>
      <c r="M34" s="53" t="n"/>
      <c r="N34" s="14" t="n"/>
      <c r="O34" s="14" t="n"/>
    </row>
    <row r="35" ht="15" customHeight="1">
      <c r="A35" s="51">
        <f>IF(C35="","",IFERROR(IF(SUMPRODUCT(MAX((tbl_Finance[Job Number]=C35&amp;"")*tbl_Finance[Date]))=0,"",SUMPRODUCT(MAX((tbl_Finance[Job Number]=C35&amp;"")*tbl_Finance[Date]))),""))</f>
        <v/>
      </c>
      <c r="B35" s="15">
        <f>IF(A35="","",IFERROR(LOOKUP(2,1/((tbl_Finance[Job Number]=C35&amp;"")*(tbl_Finance[Date]=A35)),tbl_Finance[Xero Invoice No]),""))</f>
        <v/>
      </c>
      <c r="C35" s="14" t="n"/>
      <c r="D35" s="15">
        <f>IF(C35="","",IF(COUNTIF(lst_Jobs,C35&amp;"")&gt;0,"OK","CHECK"))</f>
        <v/>
      </c>
      <c r="E35" s="15">
        <f>IF(C35="","",IFERROR(INDEX(lst_JobName,MATCH(C35&amp;"",lst_Jobs,0)),""))</f>
        <v/>
      </c>
      <c r="F35" s="15">
        <f>IF(C35="","",IFERROR(INDEX(tbl_Finance[Client],MATCH(C35&amp;"",tbl_Finance[Job Number],0)),""))</f>
        <v/>
      </c>
      <c r="G35" s="52">
        <f>IF(C35="","",COUNTIFS(tbl_Finance[Job Number],C35&amp;"",tbl_Finance[Ex GST],"&lt;&gt;"))</f>
        <v/>
      </c>
      <c r="H35" s="17">
        <f>IF(C35="","",SUMIFS(tbl_Finance[Ex GST],tbl_Finance[Job Number],C35&amp;""))</f>
        <v/>
      </c>
      <c r="I35" s="15">
        <f>IF(C35="","",IFERROR(INDEX(tbl_Finance[Cost Centre],MATCH(C35&amp;"",tbl_Finance[Job Number],0)),"not invoiced yet"))</f>
        <v/>
      </c>
      <c r="J35" s="14" t="n"/>
      <c r="K35" s="14" t="n"/>
      <c r="L35" s="15">
        <f>IF(K35="","",HYPERLINK(IF(LEFT(K35,4)="http",K35,set_QwilrBase&amp;K35),"Open quote"))</f>
        <v/>
      </c>
      <c r="M35" s="53" t="n"/>
      <c r="N35" s="14" t="n"/>
      <c r="O35" s="14" t="n"/>
    </row>
    <row r="36" ht="15" customHeight="1">
      <c r="A36" s="51">
        <f>IF(C36="","",IFERROR(IF(SUMPRODUCT(MAX((tbl_Finance[Job Number]=C36&amp;"")*tbl_Finance[Date]))=0,"",SUMPRODUCT(MAX((tbl_Finance[Job Number]=C36&amp;"")*tbl_Finance[Date]))),""))</f>
        <v/>
      </c>
      <c r="B36" s="15">
        <f>IF(A36="","",IFERROR(LOOKUP(2,1/((tbl_Finance[Job Number]=C36&amp;"")*(tbl_Finance[Date]=A36)),tbl_Finance[Xero Invoice No]),""))</f>
        <v/>
      </c>
      <c r="C36" s="14" t="n"/>
      <c r="D36" s="15">
        <f>IF(C36="","",IF(COUNTIF(lst_Jobs,C36&amp;"")&gt;0,"OK","CHECK"))</f>
        <v/>
      </c>
      <c r="E36" s="15">
        <f>IF(C36="","",IFERROR(INDEX(lst_JobName,MATCH(C36&amp;"",lst_Jobs,0)),""))</f>
        <v/>
      </c>
      <c r="F36" s="15">
        <f>IF(C36="","",IFERROR(INDEX(tbl_Finance[Client],MATCH(C36&amp;"",tbl_Finance[Job Number],0)),""))</f>
        <v/>
      </c>
      <c r="G36" s="52">
        <f>IF(C36="","",COUNTIFS(tbl_Finance[Job Number],C36&amp;"",tbl_Finance[Ex GST],"&lt;&gt;"))</f>
        <v/>
      </c>
      <c r="H36" s="17">
        <f>IF(C36="","",SUMIFS(tbl_Finance[Ex GST],tbl_Finance[Job Number],C36&amp;""))</f>
        <v/>
      </c>
      <c r="I36" s="15">
        <f>IF(C36="","",IFERROR(INDEX(tbl_Finance[Cost Centre],MATCH(C36&amp;"",tbl_Finance[Job Number],0)),"not invoiced yet"))</f>
        <v/>
      </c>
      <c r="J36" s="14" t="n"/>
      <c r="K36" s="14" t="n"/>
      <c r="L36" s="15">
        <f>IF(K36="","",HYPERLINK(IF(LEFT(K36,4)="http",K36,set_QwilrBase&amp;K36),"Open quote"))</f>
        <v/>
      </c>
      <c r="M36" s="53" t="n"/>
      <c r="N36" s="14" t="n"/>
      <c r="O36" s="14" t="n"/>
    </row>
    <row r="37" ht="15" customHeight="1">
      <c r="A37" s="51">
        <f>IF(C37="","",IFERROR(IF(SUMPRODUCT(MAX((tbl_Finance[Job Number]=C37&amp;"")*tbl_Finance[Date]))=0,"",SUMPRODUCT(MAX((tbl_Finance[Job Number]=C37&amp;"")*tbl_Finance[Date]))),""))</f>
        <v/>
      </c>
      <c r="B37" s="15">
        <f>IF(A37="","",IFERROR(LOOKUP(2,1/((tbl_Finance[Job Number]=C37&amp;"")*(tbl_Finance[Date]=A37)),tbl_Finance[Xero Invoice No]),""))</f>
        <v/>
      </c>
      <c r="C37" s="14" t="n"/>
      <c r="D37" s="15">
        <f>IF(C37="","",IF(COUNTIF(lst_Jobs,C37&amp;"")&gt;0,"OK","CHECK"))</f>
        <v/>
      </c>
      <c r="E37" s="15">
        <f>IF(C37="","",IFERROR(INDEX(lst_JobName,MATCH(C37&amp;"",lst_Jobs,0)),""))</f>
        <v/>
      </c>
      <c r="F37" s="15">
        <f>IF(C37="","",IFERROR(INDEX(tbl_Finance[Client],MATCH(C37&amp;"",tbl_Finance[Job Number],0)),""))</f>
        <v/>
      </c>
      <c r="G37" s="52">
        <f>IF(C37="","",COUNTIFS(tbl_Finance[Job Number],C37&amp;"",tbl_Finance[Ex GST],"&lt;&gt;"))</f>
        <v/>
      </c>
      <c r="H37" s="17">
        <f>IF(C37="","",SUMIFS(tbl_Finance[Ex GST],tbl_Finance[Job Number],C37&amp;""))</f>
        <v/>
      </c>
      <c r="I37" s="15">
        <f>IF(C37="","",IFERROR(INDEX(tbl_Finance[Cost Centre],MATCH(C37&amp;"",tbl_Finance[Job Number],0)),"not invoiced yet"))</f>
        <v/>
      </c>
      <c r="J37" s="14" t="n"/>
      <c r="K37" s="14" t="n"/>
      <c r="L37" s="15">
        <f>IF(K37="","",HYPERLINK(IF(LEFT(K37,4)="http",K37,set_QwilrBase&amp;K37),"Open quote"))</f>
        <v/>
      </c>
      <c r="M37" s="53" t="n"/>
      <c r="N37" s="14" t="n"/>
      <c r="O37" s="14" t="n"/>
    </row>
    <row r="38" ht="15" customHeight="1">
      <c r="A38" s="51">
        <f>IF(C38="","",IFERROR(IF(SUMPRODUCT(MAX((tbl_Finance[Job Number]=C38&amp;"")*tbl_Finance[Date]))=0,"",SUMPRODUCT(MAX((tbl_Finance[Job Number]=C38&amp;"")*tbl_Finance[Date]))),""))</f>
        <v/>
      </c>
      <c r="B38" s="15">
        <f>IF(A38="","",IFERROR(LOOKUP(2,1/((tbl_Finance[Job Number]=C38&amp;"")*(tbl_Finance[Date]=A38)),tbl_Finance[Xero Invoice No]),""))</f>
        <v/>
      </c>
      <c r="C38" s="14" t="n"/>
      <c r="D38" s="15">
        <f>IF(C38="","",IF(COUNTIF(lst_Jobs,C38&amp;"")&gt;0,"OK","CHECK"))</f>
        <v/>
      </c>
      <c r="E38" s="15">
        <f>IF(C38="","",IFERROR(INDEX(lst_JobName,MATCH(C38&amp;"",lst_Jobs,0)),""))</f>
        <v/>
      </c>
      <c r="F38" s="15">
        <f>IF(C38="","",IFERROR(INDEX(tbl_Finance[Client],MATCH(C38&amp;"",tbl_Finance[Job Number],0)),""))</f>
        <v/>
      </c>
      <c r="G38" s="52">
        <f>IF(C38="","",COUNTIFS(tbl_Finance[Job Number],C38&amp;"",tbl_Finance[Ex GST],"&lt;&gt;"))</f>
        <v/>
      </c>
      <c r="H38" s="17">
        <f>IF(C38="","",SUMIFS(tbl_Finance[Ex GST],tbl_Finance[Job Number],C38&amp;""))</f>
        <v/>
      </c>
      <c r="I38" s="15">
        <f>IF(C38="","",IFERROR(INDEX(tbl_Finance[Cost Centre],MATCH(C38&amp;"",tbl_Finance[Job Number],0)),"not invoiced yet"))</f>
        <v/>
      </c>
      <c r="J38" s="14" t="n"/>
      <c r="K38" s="14" t="n"/>
      <c r="L38" s="15">
        <f>IF(K38="","",HYPERLINK(IF(LEFT(K38,4)="http",K38,set_QwilrBase&amp;K38),"Open quote"))</f>
        <v/>
      </c>
      <c r="M38" s="53" t="n"/>
      <c r="N38" s="14" t="n"/>
      <c r="O38" s="14" t="n"/>
    </row>
    <row r="39" ht="15" customHeight="1">
      <c r="A39" s="51">
        <f>IF(C39="","",IFERROR(IF(SUMPRODUCT(MAX((tbl_Finance[Job Number]=C39&amp;"")*tbl_Finance[Date]))=0,"",SUMPRODUCT(MAX((tbl_Finance[Job Number]=C39&amp;"")*tbl_Finance[Date]))),""))</f>
        <v/>
      </c>
      <c r="B39" s="15">
        <f>IF(A39="","",IFERROR(LOOKUP(2,1/((tbl_Finance[Job Number]=C39&amp;"")*(tbl_Finance[Date]=A39)),tbl_Finance[Xero Invoice No]),""))</f>
        <v/>
      </c>
      <c r="C39" s="14" t="n"/>
      <c r="D39" s="15">
        <f>IF(C39="","",IF(COUNTIF(lst_Jobs,C39&amp;"")&gt;0,"OK","CHECK"))</f>
        <v/>
      </c>
      <c r="E39" s="15">
        <f>IF(C39="","",IFERROR(INDEX(lst_JobName,MATCH(C39&amp;"",lst_Jobs,0)),""))</f>
        <v/>
      </c>
      <c r="F39" s="15">
        <f>IF(C39="","",IFERROR(INDEX(tbl_Finance[Client],MATCH(C39&amp;"",tbl_Finance[Job Number],0)),""))</f>
        <v/>
      </c>
      <c r="G39" s="52">
        <f>IF(C39="","",COUNTIFS(tbl_Finance[Job Number],C39&amp;"",tbl_Finance[Ex GST],"&lt;&gt;"))</f>
        <v/>
      </c>
      <c r="H39" s="17">
        <f>IF(C39="","",SUMIFS(tbl_Finance[Ex GST],tbl_Finance[Job Number],C39&amp;""))</f>
        <v/>
      </c>
      <c r="I39" s="15">
        <f>IF(C39="","",IFERROR(INDEX(tbl_Finance[Cost Centre],MATCH(C39&amp;"",tbl_Finance[Job Number],0)),"not invoiced yet"))</f>
        <v/>
      </c>
      <c r="J39" s="14" t="n"/>
      <c r="K39" s="14" t="n"/>
      <c r="L39" s="15">
        <f>IF(K39="","",HYPERLINK(IF(LEFT(K39,4)="http",K39,set_QwilrBase&amp;K39),"Open quote"))</f>
        <v/>
      </c>
      <c r="M39" s="53" t="n"/>
      <c r="N39" s="14" t="n"/>
      <c r="O39" s="14" t="n"/>
    </row>
    <row r="40" ht="15" customHeight="1">
      <c r="A40" s="51">
        <f>IF(C40="","",IFERROR(IF(SUMPRODUCT(MAX((tbl_Finance[Job Number]=C40&amp;"")*tbl_Finance[Date]))=0,"",SUMPRODUCT(MAX((tbl_Finance[Job Number]=C40&amp;"")*tbl_Finance[Date]))),""))</f>
        <v/>
      </c>
      <c r="B40" s="15">
        <f>IF(A40="","",IFERROR(LOOKUP(2,1/((tbl_Finance[Job Number]=C40&amp;"")*(tbl_Finance[Date]=A40)),tbl_Finance[Xero Invoice No]),""))</f>
        <v/>
      </c>
      <c r="C40" s="14" t="n"/>
      <c r="D40" s="15">
        <f>IF(C40="","",IF(COUNTIF(lst_Jobs,C40&amp;"")&gt;0,"OK","CHECK"))</f>
        <v/>
      </c>
      <c r="E40" s="15">
        <f>IF(C40="","",IFERROR(INDEX(lst_JobName,MATCH(C40&amp;"",lst_Jobs,0)),""))</f>
        <v/>
      </c>
      <c r="F40" s="15">
        <f>IF(C40="","",IFERROR(INDEX(tbl_Finance[Client],MATCH(C40&amp;"",tbl_Finance[Job Number],0)),""))</f>
        <v/>
      </c>
      <c r="G40" s="52">
        <f>IF(C40="","",COUNTIFS(tbl_Finance[Job Number],C40&amp;"",tbl_Finance[Ex GST],"&lt;&gt;"))</f>
        <v/>
      </c>
      <c r="H40" s="17">
        <f>IF(C40="","",SUMIFS(tbl_Finance[Ex GST],tbl_Finance[Job Number],C40&amp;""))</f>
        <v/>
      </c>
      <c r="I40" s="15">
        <f>IF(C40="","",IFERROR(INDEX(tbl_Finance[Cost Centre],MATCH(C40&amp;"",tbl_Finance[Job Number],0)),"not invoiced yet"))</f>
        <v/>
      </c>
      <c r="J40" s="14" t="n"/>
      <c r="K40" s="14" t="n"/>
      <c r="L40" s="15">
        <f>IF(K40="","",HYPERLINK(IF(LEFT(K40,4)="http",K40,set_QwilrBase&amp;K40),"Open quote"))</f>
        <v/>
      </c>
      <c r="M40" s="53" t="n"/>
      <c r="N40" s="14" t="n"/>
      <c r="O40" s="14" t="n"/>
    </row>
    <row r="41" ht="15" customHeight="1">
      <c r="A41" s="51">
        <f>IF(C41="","",IFERROR(IF(SUMPRODUCT(MAX((tbl_Finance[Job Number]=C41&amp;"")*tbl_Finance[Date]))=0,"",SUMPRODUCT(MAX((tbl_Finance[Job Number]=C41&amp;"")*tbl_Finance[Date]))),""))</f>
        <v/>
      </c>
      <c r="B41" s="15">
        <f>IF(A41="","",IFERROR(LOOKUP(2,1/((tbl_Finance[Job Number]=C41&amp;"")*(tbl_Finance[Date]=A41)),tbl_Finance[Xero Invoice No]),""))</f>
        <v/>
      </c>
      <c r="C41" s="14" t="n"/>
      <c r="D41" s="15">
        <f>IF(C41="","",IF(COUNTIF(lst_Jobs,C41&amp;"")&gt;0,"OK","CHECK"))</f>
        <v/>
      </c>
      <c r="E41" s="15">
        <f>IF(C41="","",IFERROR(INDEX(lst_JobName,MATCH(C41&amp;"",lst_Jobs,0)),""))</f>
        <v/>
      </c>
      <c r="F41" s="15">
        <f>IF(C41="","",IFERROR(INDEX(tbl_Finance[Client],MATCH(C41&amp;"",tbl_Finance[Job Number],0)),""))</f>
        <v/>
      </c>
      <c r="G41" s="52">
        <f>IF(C41="","",COUNTIFS(tbl_Finance[Job Number],C41&amp;"",tbl_Finance[Ex GST],"&lt;&gt;"))</f>
        <v/>
      </c>
      <c r="H41" s="17">
        <f>IF(C41="","",SUMIFS(tbl_Finance[Ex GST],tbl_Finance[Job Number],C41&amp;""))</f>
        <v/>
      </c>
      <c r="I41" s="15">
        <f>IF(C41="","",IFERROR(INDEX(tbl_Finance[Cost Centre],MATCH(C41&amp;"",tbl_Finance[Job Number],0)),"not invoiced yet"))</f>
        <v/>
      </c>
      <c r="J41" s="14" t="n"/>
      <c r="K41" s="14" t="n"/>
      <c r="L41" s="15">
        <f>IF(K41="","",HYPERLINK(IF(LEFT(K41,4)="http",K41,set_QwilrBase&amp;K41),"Open quote"))</f>
        <v/>
      </c>
      <c r="M41" s="53" t="n"/>
      <c r="N41" s="14" t="n"/>
      <c r="O41" s="14" t="n"/>
    </row>
    <row r="42" ht="15" customHeight="1">
      <c r="A42" s="51">
        <f>IF(C42="","",IFERROR(IF(SUMPRODUCT(MAX((tbl_Finance[Job Number]=C42&amp;"")*tbl_Finance[Date]))=0,"",SUMPRODUCT(MAX((tbl_Finance[Job Number]=C42&amp;"")*tbl_Finance[Date]))),""))</f>
        <v/>
      </c>
      <c r="B42" s="15">
        <f>IF(A42="","",IFERROR(LOOKUP(2,1/((tbl_Finance[Job Number]=C42&amp;"")*(tbl_Finance[Date]=A42)),tbl_Finance[Xero Invoice No]),""))</f>
        <v/>
      </c>
      <c r="C42" s="14" t="n"/>
      <c r="D42" s="15">
        <f>IF(C42="","",IF(COUNTIF(lst_Jobs,C42&amp;"")&gt;0,"OK","CHECK"))</f>
        <v/>
      </c>
      <c r="E42" s="15">
        <f>IF(C42="","",IFERROR(INDEX(lst_JobName,MATCH(C42&amp;"",lst_Jobs,0)),""))</f>
        <v/>
      </c>
      <c r="F42" s="15">
        <f>IF(C42="","",IFERROR(INDEX(tbl_Finance[Client],MATCH(C42&amp;"",tbl_Finance[Job Number],0)),""))</f>
        <v/>
      </c>
      <c r="G42" s="52">
        <f>IF(C42="","",COUNTIFS(tbl_Finance[Job Number],C42&amp;"",tbl_Finance[Ex GST],"&lt;&gt;"))</f>
        <v/>
      </c>
      <c r="H42" s="17">
        <f>IF(C42="","",SUMIFS(tbl_Finance[Ex GST],tbl_Finance[Job Number],C42&amp;""))</f>
        <v/>
      </c>
      <c r="I42" s="15">
        <f>IF(C42="","",IFERROR(INDEX(tbl_Finance[Cost Centre],MATCH(C42&amp;"",tbl_Finance[Job Number],0)),"not invoiced yet"))</f>
        <v/>
      </c>
      <c r="J42" s="14" t="n"/>
      <c r="K42" s="14" t="n"/>
      <c r="L42" s="15">
        <f>IF(K42="","",HYPERLINK(IF(LEFT(K42,4)="http",K42,set_QwilrBase&amp;K42),"Open quote"))</f>
        <v/>
      </c>
      <c r="M42" s="53" t="n"/>
      <c r="N42" s="14" t="n"/>
      <c r="O42" s="14" t="n"/>
    </row>
    <row r="43" ht="15" customHeight="1">
      <c r="A43" s="51">
        <f>IF(C43="","",IFERROR(IF(SUMPRODUCT(MAX((tbl_Finance[Job Number]=C43&amp;"")*tbl_Finance[Date]))=0,"",SUMPRODUCT(MAX((tbl_Finance[Job Number]=C43&amp;"")*tbl_Finance[Date]))),""))</f>
        <v/>
      </c>
      <c r="B43" s="15">
        <f>IF(A43="","",IFERROR(LOOKUP(2,1/((tbl_Finance[Job Number]=C43&amp;"")*(tbl_Finance[Date]=A43)),tbl_Finance[Xero Invoice No]),""))</f>
        <v/>
      </c>
      <c r="C43" s="14" t="n"/>
      <c r="D43" s="15">
        <f>IF(C43="","",IF(COUNTIF(lst_Jobs,C43&amp;"")&gt;0,"OK","CHECK"))</f>
        <v/>
      </c>
      <c r="E43" s="15">
        <f>IF(C43="","",IFERROR(INDEX(lst_JobName,MATCH(C43&amp;"",lst_Jobs,0)),""))</f>
        <v/>
      </c>
      <c r="F43" s="15">
        <f>IF(C43="","",IFERROR(INDEX(tbl_Finance[Client],MATCH(C43&amp;"",tbl_Finance[Job Number],0)),""))</f>
        <v/>
      </c>
      <c r="G43" s="52">
        <f>IF(C43="","",COUNTIFS(tbl_Finance[Job Number],C43&amp;"",tbl_Finance[Ex GST],"&lt;&gt;"))</f>
        <v/>
      </c>
      <c r="H43" s="17">
        <f>IF(C43="","",SUMIFS(tbl_Finance[Ex GST],tbl_Finance[Job Number],C43&amp;""))</f>
        <v/>
      </c>
      <c r="I43" s="15">
        <f>IF(C43="","",IFERROR(INDEX(tbl_Finance[Cost Centre],MATCH(C43&amp;"",tbl_Finance[Job Number],0)),"not invoiced yet"))</f>
        <v/>
      </c>
      <c r="J43" s="14" t="n"/>
      <c r="K43" s="14" t="n"/>
      <c r="L43" s="15">
        <f>IF(K43="","",HYPERLINK(IF(LEFT(K43,4)="http",K43,set_QwilrBase&amp;K43),"Open quote"))</f>
        <v/>
      </c>
      <c r="M43" s="53" t="n"/>
      <c r="N43" s="14" t="n"/>
      <c r="O43" s="14" t="n"/>
    </row>
    <row r="44" ht="15" customHeight="1">
      <c r="A44" s="51">
        <f>IF(C44="","",IFERROR(IF(SUMPRODUCT(MAX((tbl_Finance[Job Number]=C44&amp;"")*tbl_Finance[Date]))=0,"",SUMPRODUCT(MAX((tbl_Finance[Job Number]=C44&amp;"")*tbl_Finance[Date]))),""))</f>
        <v/>
      </c>
      <c r="B44" s="15">
        <f>IF(A44="","",IFERROR(LOOKUP(2,1/((tbl_Finance[Job Number]=C44&amp;"")*(tbl_Finance[Date]=A44)),tbl_Finance[Xero Invoice No]),""))</f>
        <v/>
      </c>
      <c r="C44" s="14" t="n"/>
      <c r="D44" s="15">
        <f>IF(C44="","",IF(COUNTIF(lst_Jobs,C44&amp;"")&gt;0,"OK","CHECK"))</f>
        <v/>
      </c>
      <c r="E44" s="15">
        <f>IF(C44="","",IFERROR(INDEX(lst_JobName,MATCH(C44&amp;"",lst_Jobs,0)),""))</f>
        <v/>
      </c>
      <c r="F44" s="15">
        <f>IF(C44="","",IFERROR(INDEX(tbl_Finance[Client],MATCH(C44&amp;"",tbl_Finance[Job Number],0)),""))</f>
        <v/>
      </c>
      <c r="G44" s="52">
        <f>IF(C44="","",COUNTIFS(tbl_Finance[Job Number],C44&amp;"",tbl_Finance[Ex GST],"&lt;&gt;"))</f>
        <v/>
      </c>
      <c r="H44" s="17">
        <f>IF(C44="","",SUMIFS(tbl_Finance[Ex GST],tbl_Finance[Job Number],C44&amp;""))</f>
        <v/>
      </c>
      <c r="I44" s="15">
        <f>IF(C44="","",IFERROR(INDEX(tbl_Finance[Cost Centre],MATCH(C44&amp;"",tbl_Finance[Job Number],0)),"not invoiced yet"))</f>
        <v/>
      </c>
      <c r="J44" s="14" t="n"/>
      <c r="K44" s="14" t="n"/>
      <c r="L44" s="15">
        <f>IF(K44="","",HYPERLINK(IF(LEFT(K44,4)="http",K44,set_QwilrBase&amp;K44),"Open quote"))</f>
        <v/>
      </c>
      <c r="M44" s="53" t="n"/>
      <c r="N44" s="14" t="n"/>
      <c r="O44" s="14" t="n"/>
    </row>
    <row r="45" ht="15" customHeight="1">
      <c r="A45" s="51">
        <f>IF(C45="","",IFERROR(IF(SUMPRODUCT(MAX((tbl_Finance[Job Number]=C45&amp;"")*tbl_Finance[Date]))=0,"",SUMPRODUCT(MAX((tbl_Finance[Job Number]=C45&amp;"")*tbl_Finance[Date]))),""))</f>
        <v/>
      </c>
      <c r="B45" s="15">
        <f>IF(A45="","",IFERROR(LOOKUP(2,1/((tbl_Finance[Job Number]=C45&amp;"")*(tbl_Finance[Date]=A45)),tbl_Finance[Xero Invoice No]),""))</f>
        <v/>
      </c>
      <c r="C45" s="14" t="n"/>
      <c r="D45" s="15">
        <f>IF(C45="","",IF(COUNTIF(lst_Jobs,C45&amp;"")&gt;0,"OK","CHECK"))</f>
        <v/>
      </c>
      <c r="E45" s="15">
        <f>IF(C45="","",IFERROR(INDEX(lst_JobName,MATCH(C45&amp;"",lst_Jobs,0)),""))</f>
        <v/>
      </c>
      <c r="F45" s="15">
        <f>IF(C45="","",IFERROR(INDEX(tbl_Finance[Client],MATCH(C45&amp;"",tbl_Finance[Job Number],0)),""))</f>
        <v/>
      </c>
      <c r="G45" s="52">
        <f>IF(C45="","",COUNTIFS(tbl_Finance[Job Number],C45&amp;"",tbl_Finance[Ex GST],"&lt;&gt;"))</f>
        <v/>
      </c>
      <c r="H45" s="17">
        <f>IF(C45="","",SUMIFS(tbl_Finance[Ex GST],tbl_Finance[Job Number],C45&amp;""))</f>
        <v/>
      </c>
      <c r="I45" s="15">
        <f>IF(C45="","",IFERROR(INDEX(tbl_Finance[Cost Centre],MATCH(C45&amp;"",tbl_Finance[Job Number],0)),"not invoiced yet"))</f>
        <v/>
      </c>
      <c r="J45" s="14" t="n"/>
      <c r="K45" s="14" t="n"/>
      <c r="L45" s="15">
        <f>IF(K45="","",HYPERLINK(IF(LEFT(K45,4)="http",K45,set_QwilrBase&amp;K45),"Open quote"))</f>
        <v/>
      </c>
      <c r="M45" s="53" t="n"/>
      <c r="N45" s="14" t="n"/>
      <c r="O45" s="14" t="n"/>
    </row>
    <row r="46" ht="15" customHeight="1">
      <c r="A46" s="51">
        <f>IF(C46="","",IFERROR(IF(SUMPRODUCT(MAX((tbl_Finance[Job Number]=C46&amp;"")*tbl_Finance[Date]))=0,"",SUMPRODUCT(MAX((tbl_Finance[Job Number]=C46&amp;"")*tbl_Finance[Date]))),""))</f>
        <v/>
      </c>
      <c r="B46" s="15">
        <f>IF(A46="","",IFERROR(LOOKUP(2,1/((tbl_Finance[Job Number]=C46&amp;"")*(tbl_Finance[Date]=A46)),tbl_Finance[Xero Invoice No]),""))</f>
        <v/>
      </c>
      <c r="C46" s="14" t="n"/>
      <c r="D46" s="15">
        <f>IF(C46="","",IF(COUNTIF(lst_Jobs,C46&amp;"")&gt;0,"OK","CHECK"))</f>
        <v/>
      </c>
      <c r="E46" s="15">
        <f>IF(C46="","",IFERROR(INDEX(lst_JobName,MATCH(C46&amp;"",lst_Jobs,0)),""))</f>
        <v/>
      </c>
      <c r="F46" s="15">
        <f>IF(C46="","",IFERROR(INDEX(tbl_Finance[Client],MATCH(C46&amp;"",tbl_Finance[Job Number],0)),""))</f>
        <v/>
      </c>
      <c r="G46" s="52">
        <f>IF(C46="","",COUNTIFS(tbl_Finance[Job Number],C46&amp;"",tbl_Finance[Ex GST],"&lt;&gt;"))</f>
        <v/>
      </c>
      <c r="H46" s="17">
        <f>IF(C46="","",SUMIFS(tbl_Finance[Ex GST],tbl_Finance[Job Number],C46&amp;""))</f>
        <v/>
      </c>
      <c r="I46" s="15">
        <f>IF(C46="","",IFERROR(INDEX(tbl_Finance[Cost Centre],MATCH(C46&amp;"",tbl_Finance[Job Number],0)),"not invoiced yet"))</f>
        <v/>
      </c>
      <c r="J46" s="14" t="n"/>
      <c r="K46" s="14" t="n"/>
      <c r="L46" s="15">
        <f>IF(K46="","",HYPERLINK(IF(LEFT(K46,4)="http",K46,set_QwilrBase&amp;K46),"Open quote"))</f>
        <v/>
      </c>
      <c r="M46" s="53" t="n"/>
      <c r="N46" s="14" t="n"/>
      <c r="O46" s="14" t="n"/>
    </row>
    <row r="47" ht="15" customHeight="1">
      <c r="A47" s="51">
        <f>IF(C47="","",IFERROR(IF(SUMPRODUCT(MAX((tbl_Finance[Job Number]=C47&amp;"")*tbl_Finance[Date]))=0,"",SUMPRODUCT(MAX((tbl_Finance[Job Number]=C47&amp;"")*tbl_Finance[Date]))),""))</f>
        <v/>
      </c>
      <c r="B47" s="15">
        <f>IF(A47="","",IFERROR(LOOKUP(2,1/((tbl_Finance[Job Number]=C47&amp;"")*(tbl_Finance[Date]=A47)),tbl_Finance[Xero Invoice No]),""))</f>
        <v/>
      </c>
      <c r="C47" s="14" t="n"/>
      <c r="D47" s="15">
        <f>IF(C47="","",IF(COUNTIF(lst_Jobs,C47&amp;"")&gt;0,"OK","CHECK"))</f>
        <v/>
      </c>
      <c r="E47" s="15">
        <f>IF(C47="","",IFERROR(INDEX(lst_JobName,MATCH(C47&amp;"",lst_Jobs,0)),""))</f>
        <v/>
      </c>
      <c r="F47" s="15">
        <f>IF(C47="","",IFERROR(INDEX(tbl_Finance[Client],MATCH(C47&amp;"",tbl_Finance[Job Number],0)),""))</f>
        <v/>
      </c>
      <c r="G47" s="52">
        <f>IF(C47="","",COUNTIFS(tbl_Finance[Job Number],C47&amp;"",tbl_Finance[Ex GST],"&lt;&gt;"))</f>
        <v/>
      </c>
      <c r="H47" s="17">
        <f>IF(C47="","",SUMIFS(tbl_Finance[Ex GST],tbl_Finance[Job Number],C47&amp;""))</f>
        <v/>
      </c>
      <c r="I47" s="15">
        <f>IF(C47="","",IFERROR(INDEX(tbl_Finance[Cost Centre],MATCH(C47&amp;"",tbl_Finance[Job Number],0)),"not invoiced yet"))</f>
        <v/>
      </c>
      <c r="J47" s="14" t="n"/>
      <c r="K47" s="14" t="n"/>
      <c r="L47" s="15">
        <f>IF(K47="","",HYPERLINK(IF(LEFT(K47,4)="http",K47,set_QwilrBase&amp;K47),"Open quote"))</f>
        <v/>
      </c>
      <c r="M47" s="53" t="n"/>
      <c r="N47" s="14" t="n"/>
      <c r="O47" s="14" t="n"/>
    </row>
    <row r="48" ht="15" customHeight="1">
      <c r="A48" s="51">
        <f>IF(C48="","",IFERROR(IF(SUMPRODUCT(MAX((tbl_Finance[Job Number]=C48&amp;"")*tbl_Finance[Date]))=0,"",SUMPRODUCT(MAX((tbl_Finance[Job Number]=C48&amp;"")*tbl_Finance[Date]))),""))</f>
        <v/>
      </c>
      <c r="B48" s="15">
        <f>IF(A48="","",IFERROR(LOOKUP(2,1/((tbl_Finance[Job Number]=C48&amp;"")*(tbl_Finance[Date]=A48)),tbl_Finance[Xero Invoice No]),""))</f>
        <v/>
      </c>
      <c r="C48" s="14" t="n"/>
      <c r="D48" s="15">
        <f>IF(C48="","",IF(COUNTIF(lst_Jobs,C48&amp;"")&gt;0,"OK","CHECK"))</f>
        <v/>
      </c>
      <c r="E48" s="15">
        <f>IF(C48="","",IFERROR(INDEX(lst_JobName,MATCH(C48&amp;"",lst_Jobs,0)),""))</f>
        <v/>
      </c>
      <c r="F48" s="15">
        <f>IF(C48="","",IFERROR(INDEX(tbl_Finance[Client],MATCH(C48&amp;"",tbl_Finance[Job Number],0)),""))</f>
        <v/>
      </c>
      <c r="G48" s="52">
        <f>IF(C48="","",COUNTIFS(tbl_Finance[Job Number],C48&amp;"",tbl_Finance[Ex GST],"&lt;&gt;"))</f>
        <v/>
      </c>
      <c r="H48" s="17">
        <f>IF(C48="","",SUMIFS(tbl_Finance[Ex GST],tbl_Finance[Job Number],C48&amp;""))</f>
        <v/>
      </c>
      <c r="I48" s="15">
        <f>IF(C48="","",IFERROR(INDEX(tbl_Finance[Cost Centre],MATCH(C48&amp;"",tbl_Finance[Job Number],0)),"not invoiced yet"))</f>
        <v/>
      </c>
      <c r="J48" s="14" t="n"/>
      <c r="K48" s="14" t="n"/>
      <c r="L48" s="15">
        <f>IF(K48="","",HYPERLINK(IF(LEFT(K48,4)="http",K48,set_QwilrBase&amp;K48),"Open quote"))</f>
        <v/>
      </c>
      <c r="M48" s="53" t="n"/>
      <c r="N48" s="14" t="n"/>
      <c r="O48" s="14" t="n"/>
    </row>
    <row r="49" ht="15" customHeight="1">
      <c r="A49" s="51">
        <f>IF(C49="","",IFERROR(IF(SUMPRODUCT(MAX((tbl_Finance[Job Number]=C49&amp;"")*tbl_Finance[Date]))=0,"",SUMPRODUCT(MAX((tbl_Finance[Job Number]=C49&amp;"")*tbl_Finance[Date]))),""))</f>
        <v/>
      </c>
      <c r="B49" s="15">
        <f>IF(A49="","",IFERROR(LOOKUP(2,1/((tbl_Finance[Job Number]=C49&amp;"")*(tbl_Finance[Date]=A49)),tbl_Finance[Xero Invoice No]),""))</f>
        <v/>
      </c>
      <c r="C49" s="14" t="n"/>
      <c r="D49" s="15">
        <f>IF(C49="","",IF(COUNTIF(lst_Jobs,C49&amp;"")&gt;0,"OK","CHECK"))</f>
        <v/>
      </c>
      <c r="E49" s="15">
        <f>IF(C49="","",IFERROR(INDEX(lst_JobName,MATCH(C49&amp;"",lst_Jobs,0)),""))</f>
        <v/>
      </c>
      <c r="F49" s="15">
        <f>IF(C49="","",IFERROR(INDEX(tbl_Finance[Client],MATCH(C49&amp;"",tbl_Finance[Job Number],0)),""))</f>
        <v/>
      </c>
      <c r="G49" s="52">
        <f>IF(C49="","",COUNTIFS(tbl_Finance[Job Number],C49&amp;"",tbl_Finance[Ex GST],"&lt;&gt;"))</f>
        <v/>
      </c>
      <c r="H49" s="17">
        <f>IF(C49="","",SUMIFS(tbl_Finance[Ex GST],tbl_Finance[Job Number],C49&amp;""))</f>
        <v/>
      </c>
      <c r="I49" s="15">
        <f>IF(C49="","",IFERROR(INDEX(tbl_Finance[Cost Centre],MATCH(C49&amp;"",tbl_Finance[Job Number],0)),"not invoiced yet"))</f>
        <v/>
      </c>
      <c r="J49" s="14" t="n"/>
      <c r="K49" s="14" t="n"/>
      <c r="L49" s="15">
        <f>IF(K49="","",HYPERLINK(IF(LEFT(K49,4)="http",K49,set_QwilrBase&amp;K49),"Open quote"))</f>
        <v/>
      </c>
      <c r="M49" s="53" t="n"/>
      <c r="N49" s="14" t="n"/>
      <c r="O49" s="14" t="n"/>
    </row>
    <row r="50" ht="15" customHeight="1">
      <c r="A50" s="51">
        <f>IF(C50="","",IFERROR(IF(SUMPRODUCT(MAX((tbl_Finance[Job Number]=C50&amp;"")*tbl_Finance[Date]))=0,"",SUMPRODUCT(MAX((tbl_Finance[Job Number]=C50&amp;"")*tbl_Finance[Date]))),""))</f>
        <v/>
      </c>
      <c r="B50" s="15">
        <f>IF(A50="","",IFERROR(LOOKUP(2,1/((tbl_Finance[Job Number]=C50&amp;"")*(tbl_Finance[Date]=A50)),tbl_Finance[Xero Invoice No]),""))</f>
        <v/>
      </c>
      <c r="C50" s="14" t="n"/>
      <c r="D50" s="15">
        <f>IF(C50="","",IF(COUNTIF(lst_Jobs,C50&amp;"")&gt;0,"OK","CHECK"))</f>
        <v/>
      </c>
      <c r="E50" s="15">
        <f>IF(C50="","",IFERROR(INDEX(lst_JobName,MATCH(C50&amp;"",lst_Jobs,0)),""))</f>
        <v/>
      </c>
      <c r="F50" s="15">
        <f>IF(C50="","",IFERROR(INDEX(tbl_Finance[Client],MATCH(C50&amp;"",tbl_Finance[Job Number],0)),""))</f>
        <v/>
      </c>
      <c r="G50" s="52">
        <f>IF(C50="","",COUNTIFS(tbl_Finance[Job Number],C50&amp;"",tbl_Finance[Ex GST],"&lt;&gt;"))</f>
        <v/>
      </c>
      <c r="H50" s="17">
        <f>IF(C50="","",SUMIFS(tbl_Finance[Ex GST],tbl_Finance[Job Number],C50&amp;""))</f>
        <v/>
      </c>
      <c r="I50" s="15">
        <f>IF(C50="","",IFERROR(INDEX(tbl_Finance[Cost Centre],MATCH(C50&amp;"",tbl_Finance[Job Number],0)),"not invoiced yet"))</f>
        <v/>
      </c>
      <c r="J50" s="14" t="n"/>
      <c r="K50" s="14" t="n"/>
      <c r="L50" s="15">
        <f>IF(K50="","",HYPERLINK(IF(LEFT(K50,4)="http",K50,set_QwilrBase&amp;K50),"Open quote"))</f>
        <v/>
      </c>
      <c r="M50" s="53" t="n"/>
      <c r="N50" s="14" t="n"/>
      <c r="O50" s="14" t="n"/>
    </row>
    <row r="51" ht="15" customHeight="1">
      <c r="A51" s="51">
        <f>IF(C51="","",IFERROR(IF(SUMPRODUCT(MAX((tbl_Finance[Job Number]=C51&amp;"")*tbl_Finance[Date]))=0,"",SUMPRODUCT(MAX((tbl_Finance[Job Number]=C51&amp;"")*tbl_Finance[Date]))),""))</f>
        <v/>
      </c>
      <c r="B51" s="15">
        <f>IF(A51="","",IFERROR(LOOKUP(2,1/((tbl_Finance[Job Number]=C51&amp;"")*(tbl_Finance[Date]=A51)),tbl_Finance[Xero Invoice No]),""))</f>
        <v/>
      </c>
      <c r="C51" s="14" t="n"/>
      <c r="D51" s="15">
        <f>IF(C51="","",IF(COUNTIF(lst_Jobs,C51&amp;"")&gt;0,"OK","CHECK"))</f>
        <v/>
      </c>
      <c r="E51" s="15">
        <f>IF(C51="","",IFERROR(INDEX(lst_JobName,MATCH(C51&amp;"",lst_Jobs,0)),""))</f>
        <v/>
      </c>
      <c r="F51" s="15">
        <f>IF(C51="","",IFERROR(INDEX(tbl_Finance[Client],MATCH(C51&amp;"",tbl_Finance[Job Number],0)),""))</f>
        <v/>
      </c>
      <c r="G51" s="52">
        <f>IF(C51="","",COUNTIFS(tbl_Finance[Job Number],C51&amp;"",tbl_Finance[Ex GST],"&lt;&gt;"))</f>
        <v/>
      </c>
      <c r="H51" s="17">
        <f>IF(C51="","",SUMIFS(tbl_Finance[Ex GST],tbl_Finance[Job Number],C51&amp;""))</f>
        <v/>
      </c>
      <c r="I51" s="15">
        <f>IF(C51="","",IFERROR(INDEX(tbl_Finance[Cost Centre],MATCH(C51&amp;"",tbl_Finance[Job Number],0)),"not invoiced yet"))</f>
        <v/>
      </c>
      <c r="J51" s="14" t="n"/>
      <c r="K51" s="14" t="n"/>
      <c r="L51" s="15">
        <f>IF(K51="","",HYPERLINK(IF(LEFT(K51,4)="http",K51,set_QwilrBase&amp;K51),"Open quote"))</f>
        <v/>
      </c>
      <c r="M51" s="53" t="n"/>
      <c r="N51" s="14" t="n"/>
      <c r="O51" s="14" t="n"/>
    </row>
    <row r="52" ht="15" customHeight="1">
      <c r="A52" s="51">
        <f>IF(C52="","",IFERROR(IF(SUMPRODUCT(MAX((tbl_Finance[Job Number]=C52&amp;"")*tbl_Finance[Date]))=0,"",SUMPRODUCT(MAX((tbl_Finance[Job Number]=C52&amp;"")*tbl_Finance[Date]))),""))</f>
        <v/>
      </c>
      <c r="B52" s="15">
        <f>IF(A52="","",IFERROR(LOOKUP(2,1/((tbl_Finance[Job Number]=C52&amp;"")*(tbl_Finance[Date]=A52)),tbl_Finance[Xero Invoice No]),""))</f>
        <v/>
      </c>
      <c r="C52" s="14" t="n"/>
      <c r="D52" s="15">
        <f>IF(C52="","",IF(COUNTIF(lst_Jobs,C52&amp;"")&gt;0,"OK","CHECK"))</f>
        <v/>
      </c>
      <c r="E52" s="15">
        <f>IF(C52="","",IFERROR(INDEX(lst_JobName,MATCH(C52&amp;"",lst_Jobs,0)),""))</f>
        <v/>
      </c>
      <c r="F52" s="15">
        <f>IF(C52="","",IFERROR(INDEX(tbl_Finance[Client],MATCH(C52&amp;"",tbl_Finance[Job Number],0)),""))</f>
        <v/>
      </c>
      <c r="G52" s="52">
        <f>IF(C52="","",COUNTIFS(tbl_Finance[Job Number],C52&amp;"",tbl_Finance[Ex GST],"&lt;&gt;"))</f>
        <v/>
      </c>
      <c r="H52" s="17">
        <f>IF(C52="","",SUMIFS(tbl_Finance[Ex GST],tbl_Finance[Job Number],C52&amp;""))</f>
        <v/>
      </c>
      <c r="I52" s="15">
        <f>IF(C52="","",IFERROR(INDEX(tbl_Finance[Cost Centre],MATCH(C52&amp;"",tbl_Finance[Job Number],0)),"not invoiced yet"))</f>
        <v/>
      </c>
      <c r="J52" s="14" t="n"/>
      <c r="K52" s="14" t="n"/>
      <c r="L52" s="15">
        <f>IF(K52="","",HYPERLINK(IF(LEFT(K52,4)="http",K52,set_QwilrBase&amp;K52),"Open quote"))</f>
        <v/>
      </c>
      <c r="M52" s="53" t="n"/>
      <c r="N52" s="14" t="n"/>
      <c r="O52" s="14" t="n"/>
    </row>
    <row r="53" ht="15" customHeight="1">
      <c r="A53" s="51">
        <f>IF(C53="","",IFERROR(IF(SUMPRODUCT(MAX((tbl_Finance[Job Number]=C53&amp;"")*tbl_Finance[Date]))=0,"",SUMPRODUCT(MAX((tbl_Finance[Job Number]=C53&amp;"")*tbl_Finance[Date]))),""))</f>
        <v/>
      </c>
      <c r="B53" s="15">
        <f>IF(A53="","",IFERROR(LOOKUP(2,1/((tbl_Finance[Job Number]=C53&amp;"")*(tbl_Finance[Date]=A53)),tbl_Finance[Xero Invoice No]),""))</f>
        <v/>
      </c>
      <c r="C53" s="14" t="n"/>
      <c r="D53" s="15">
        <f>IF(C53="","",IF(COUNTIF(lst_Jobs,C53&amp;"")&gt;0,"OK","CHECK"))</f>
        <v/>
      </c>
      <c r="E53" s="15">
        <f>IF(C53="","",IFERROR(INDEX(lst_JobName,MATCH(C53&amp;"",lst_Jobs,0)),""))</f>
        <v/>
      </c>
      <c r="F53" s="15">
        <f>IF(C53="","",IFERROR(INDEX(tbl_Finance[Client],MATCH(C53&amp;"",tbl_Finance[Job Number],0)),""))</f>
        <v/>
      </c>
      <c r="G53" s="52">
        <f>IF(C53="","",COUNTIFS(tbl_Finance[Job Number],C53&amp;"",tbl_Finance[Ex GST],"&lt;&gt;"))</f>
        <v/>
      </c>
      <c r="H53" s="17">
        <f>IF(C53="","",SUMIFS(tbl_Finance[Ex GST],tbl_Finance[Job Number],C53&amp;""))</f>
        <v/>
      </c>
      <c r="I53" s="15">
        <f>IF(C53="","",IFERROR(INDEX(tbl_Finance[Cost Centre],MATCH(C53&amp;"",tbl_Finance[Job Number],0)),"not invoiced yet"))</f>
        <v/>
      </c>
      <c r="J53" s="14" t="n"/>
      <c r="K53" s="14" t="n"/>
      <c r="L53" s="15">
        <f>IF(K53="","",HYPERLINK(IF(LEFT(K53,4)="http",K53,set_QwilrBase&amp;K53),"Open quote"))</f>
        <v/>
      </c>
      <c r="M53" s="53" t="n"/>
      <c r="N53" s="14" t="n"/>
      <c r="O53" s="14" t="n"/>
    </row>
    <row r="54" ht="15" customHeight="1">
      <c r="A54" s="51">
        <f>IF(C54="","",IFERROR(IF(SUMPRODUCT(MAX((tbl_Finance[Job Number]=C54&amp;"")*tbl_Finance[Date]))=0,"",SUMPRODUCT(MAX((tbl_Finance[Job Number]=C54&amp;"")*tbl_Finance[Date]))),""))</f>
        <v/>
      </c>
      <c r="B54" s="15">
        <f>IF(A54="","",IFERROR(LOOKUP(2,1/((tbl_Finance[Job Number]=C54&amp;"")*(tbl_Finance[Date]=A54)),tbl_Finance[Xero Invoice No]),""))</f>
        <v/>
      </c>
      <c r="C54" s="14" t="n"/>
      <c r="D54" s="15">
        <f>IF(C54="","",IF(COUNTIF(lst_Jobs,C54&amp;"")&gt;0,"OK","CHECK"))</f>
        <v/>
      </c>
      <c r="E54" s="15">
        <f>IF(C54="","",IFERROR(INDEX(lst_JobName,MATCH(C54&amp;"",lst_Jobs,0)),""))</f>
        <v/>
      </c>
      <c r="F54" s="15">
        <f>IF(C54="","",IFERROR(INDEX(tbl_Finance[Client],MATCH(C54&amp;"",tbl_Finance[Job Number],0)),""))</f>
        <v/>
      </c>
      <c r="G54" s="52">
        <f>IF(C54="","",COUNTIFS(tbl_Finance[Job Number],C54&amp;"",tbl_Finance[Ex GST],"&lt;&gt;"))</f>
        <v/>
      </c>
      <c r="H54" s="17">
        <f>IF(C54="","",SUMIFS(tbl_Finance[Ex GST],tbl_Finance[Job Number],C54&amp;""))</f>
        <v/>
      </c>
      <c r="I54" s="15">
        <f>IF(C54="","",IFERROR(INDEX(tbl_Finance[Cost Centre],MATCH(C54&amp;"",tbl_Finance[Job Number],0)),"not invoiced yet"))</f>
        <v/>
      </c>
      <c r="J54" s="14" t="n"/>
      <c r="K54" s="14" t="n"/>
      <c r="L54" s="15">
        <f>IF(K54="","",HYPERLINK(IF(LEFT(K54,4)="http",K54,set_QwilrBase&amp;K54),"Open quote"))</f>
        <v/>
      </c>
      <c r="M54" s="53" t="n"/>
      <c r="N54" s="14" t="n"/>
      <c r="O54" s="14" t="n"/>
    </row>
    <row r="55" ht="15" customHeight="1">
      <c r="A55" s="51">
        <f>IF(C55="","",IFERROR(IF(SUMPRODUCT(MAX((tbl_Finance[Job Number]=C55&amp;"")*tbl_Finance[Date]))=0,"",SUMPRODUCT(MAX((tbl_Finance[Job Number]=C55&amp;"")*tbl_Finance[Date]))),""))</f>
        <v/>
      </c>
      <c r="B55" s="15">
        <f>IF(A55="","",IFERROR(LOOKUP(2,1/((tbl_Finance[Job Number]=C55&amp;"")*(tbl_Finance[Date]=A55)),tbl_Finance[Xero Invoice No]),""))</f>
        <v/>
      </c>
      <c r="C55" s="14" t="n"/>
      <c r="D55" s="15">
        <f>IF(C55="","",IF(COUNTIF(lst_Jobs,C55&amp;"")&gt;0,"OK","CHECK"))</f>
        <v/>
      </c>
      <c r="E55" s="15">
        <f>IF(C55="","",IFERROR(INDEX(lst_JobName,MATCH(C55&amp;"",lst_Jobs,0)),""))</f>
        <v/>
      </c>
      <c r="F55" s="15">
        <f>IF(C55="","",IFERROR(INDEX(tbl_Finance[Client],MATCH(C55&amp;"",tbl_Finance[Job Number],0)),""))</f>
        <v/>
      </c>
      <c r="G55" s="52">
        <f>IF(C55="","",COUNTIFS(tbl_Finance[Job Number],C55&amp;"",tbl_Finance[Ex GST],"&lt;&gt;"))</f>
        <v/>
      </c>
      <c r="H55" s="17">
        <f>IF(C55="","",SUMIFS(tbl_Finance[Ex GST],tbl_Finance[Job Number],C55&amp;""))</f>
        <v/>
      </c>
      <c r="I55" s="15">
        <f>IF(C55="","",IFERROR(INDEX(tbl_Finance[Cost Centre],MATCH(C55&amp;"",tbl_Finance[Job Number],0)),"not invoiced yet"))</f>
        <v/>
      </c>
      <c r="J55" s="14" t="n"/>
      <c r="K55" s="14" t="n"/>
      <c r="L55" s="15">
        <f>IF(K55="","",HYPERLINK(IF(LEFT(K55,4)="http",K55,set_QwilrBase&amp;K55),"Open quote"))</f>
        <v/>
      </c>
      <c r="M55" s="53" t="n"/>
      <c r="N55" s="14" t="n"/>
      <c r="O55" s="14" t="n"/>
    </row>
    <row r="56" ht="15" customHeight="1">
      <c r="A56" s="51">
        <f>IF(C56="","",IFERROR(IF(SUMPRODUCT(MAX((tbl_Finance[Job Number]=C56&amp;"")*tbl_Finance[Date]))=0,"",SUMPRODUCT(MAX((tbl_Finance[Job Number]=C56&amp;"")*tbl_Finance[Date]))),""))</f>
        <v/>
      </c>
      <c r="B56" s="15">
        <f>IF(A56="","",IFERROR(LOOKUP(2,1/((tbl_Finance[Job Number]=C56&amp;"")*(tbl_Finance[Date]=A56)),tbl_Finance[Xero Invoice No]),""))</f>
        <v/>
      </c>
      <c r="C56" s="14" t="n"/>
      <c r="D56" s="15">
        <f>IF(C56="","",IF(COUNTIF(lst_Jobs,C56&amp;"")&gt;0,"OK","CHECK"))</f>
        <v/>
      </c>
      <c r="E56" s="15">
        <f>IF(C56="","",IFERROR(INDEX(lst_JobName,MATCH(C56&amp;"",lst_Jobs,0)),""))</f>
        <v/>
      </c>
      <c r="F56" s="15">
        <f>IF(C56="","",IFERROR(INDEX(tbl_Finance[Client],MATCH(C56&amp;"",tbl_Finance[Job Number],0)),""))</f>
        <v/>
      </c>
      <c r="G56" s="52">
        <f>IF(C56="","",COUNTIFS(tbl_Finance[Job Number],C56&amp;"",tbl_Finance[Ex GST],"&lt;&gt;"))</f>
        <v/>
      </c>
      <c r="H56" s="17">
        <f>IF(C56="","",SUMIFS(tbl_Finance[Ex GST],tbl_Finance[Job Number],C56&amp;""))</f>
        <v/>
      </c>
      <c r="I56" s="15">
        <f>IF(C56="","",IFERROR(INDEX(tbl_Finance[Cost Centre],MATCH(C56&amp;"",tbl_Finance[Job Number],0)),"not invoiced yet"))</f>
        <v/>
      </c>
      <c r="J56" s="14" t="n"/>
      <c r="K56" s="14" t="n"/>
      <c r="L56" s="15">
        <f>IF(K56="","",HYPERLINK(IF(LEFT(K56,4)="http",K56,set_QwilrBase&amp;K56),"Open quote"))</f>
        <v/>
      </c>
      <c r="M56" s="53" t="n"/>
      <c r="N56" s="14" t="n"/>
      <c r="O56" s="14" t="n"/>
    </row>
    <row r="57" ht="15" customHeight="1">
      <c r="A57" s="51">
        <f>IF(C57="","",IFERROR(IF(SUMPRODUCT(MAX((tbl_Finance[Job Number]=C57&amp;"")*tbl_Finance[Date]))=0,"",SUMPRODUCT(MAX((tbl_Finance[Job Number]=C57&amp;"")*tbl_Finance[Date]))),""))</f>
        <v/>
      </c>
      <c r="B57" s="15">
        <f>IF(A57="","",IFERROR(LOOKUP(2,1/((tbl_Finance[Job Number]=C57&amp;"")*(tbl_Finance[Date]=A57)),tbl_Finance[Xero Invoice No]),""))</f>
        <v/>
      </c>
      <c r="C57" s="14" t="n"/>
      <c r="D57" s="15">
        <f>IF(C57="","",IF(COUNTIF(lst_Jobs,C57&amp;"")&gt;0,"OK","CHECK"))</f>
        <v/>
      </c>
      <c r="E57" s="15">
        <f>IF(C57="","",IFERROR(INDEX(lst_JobName,MATCH(C57&amp;"",lst_Jobs,0)),""))</f>
        <v/>
      </c>
      <c r="F57" s="15">
        <f>IF(C57="","",IFERROR(INDEX(tbl_Finance[Client],MATCH(C57&amp;"",tbl_Finance[Job Number],0)),""))</f>
        <v/>
      </c>
      <c r="G57" s="52">
        <f>IF(C57="","",COUNTIFS(tbl_Finance[Job Number],C57&amp;"",tbl_Finance[Ex GST],"&lt;&gt;"))</f>
        <v/>
      </c>
      <c r="H57" s="17">
        <f>IF(C57="","",SUMIFS(tbl_Finance[Ex GST],tbl_Finance[Job Number],C57&amp;""))</f>
        <v/>
      </c>
      <c r="I57" s="15">
        <f>IF(C57="","",IFERROR(INDEX(tbl_Finance[Cost Centre],MATCH(C57&amp;"",tbl_Finance[Job Number],0)),"not invoiced yet"))</f>
        <v/>
      </c>
      <c r="J57" s="14" t="n"/>
      <c r="K57" s="14" t="n"/>
      <c r="L57" s="15">
        <f>IF(K57="","",HYPERLINK(IF(LEFT(K57,4)="http",K57,set_QwilrBase&amp;K57),"Open quote"))</f>
        <v/>
      </c>
      <c r="M57" s="53" t="n"/>
      <c r="N57" s="14" t="n"/>
      <c r="O57" s="14" t="n"/>
    </row>
    <row r="58" ht="15" customHeight="1">
      <c r="A58" s="51">
        <f>IF(C58="","",IFERROR(IF(SUMPRODUCT(MAX((tbl_Finance[Job Number]=C58&amp;"")*tbl_Finance[Date]))=0,"",SUMPRODUCT(MAX((tbl_Finance[Job Number]=C58&amp;"")*tbl_Finance[Date]))),""))</f>
        <v/>
      </c>
      <c r="B58" s="15">
        <f>IF(A58="","",IFERROR(LOOKUP(2,1/((tbl_Finance[Job Number]=C58&amp;"")*(tbl_Finance[Date]=A58)),tbl_Finance[Xero Invoice No]),""))</f>
        <v/>
      </c>
      <c r="C58" s="14" t="n"/>
      <c r="D58" s="15">
        <f>IF(C58="","",IF(COUNTIF(lst_Jobs,C58&amp;"")&gt;0,"OK","CHECK"))</f>
        <v/>
      </c>
      <c r="E58" s="15">
        <f>IF(C58="","",IFERROR(INDEX(lst_JobName,MATCH(C58&amp;"",lst_Jobs,0)),""))</f>
        <v/>
      </c>
      <c r="F58" s="15">
        <f>IF(C58="","",IFERROR(INDEX(tbl_Finance[Client],MATCH(C58&amp;"",tbl_Finance[Job Number],0)),""))</f>
        <v/>
      </c>
      <c r="G58" s="52">
        <f>IF(C58="","",COUNTIFS(tbl_Finance[Job Number],C58&amp;"",tbl_Finance[Ex GST],"&lt;&gt;"))</f>
        <v/>
      </c>
      <c r="H58" s="17">
        <f>IF(C58="","",SUMIFS(tbl_Finance[Ex GST],tbl_Finance[Job Number],C58&amp;""))</f>
        <v/>
      </c>
      <c r="I58" s="15">
        <f>IF(C58="","",IFERROR(INDEX(tbl_Finance[Cost Centre],MATCH(C58&amp;"",tbl_Finance[Job Number],0)),"not invoiced yet"))</f>
        <v/>
      </c>
      <c r="J58" s="14" t="n"/>
      <c r="K58" s="14" t="n"/>
      <c r="L58" s="15">
        <f>IF(K58="","",HYPERLINK(IF(LEFT(K58,4)="http",K58,set_QwilrBase&amp;K58),"Open quote"))</f>
        <v/>
      </c>
      <c r="M58" s="53" t="n"/>
      <c r="N58" s="14" t="n"/>
      <c r="O58" s="14" t="n"/>
    </row>
    <row r="59" ht="15" customHeight="1">
      <c r="A59" s="51">
        <f>IF(C59="","",IFERROR(IF(SUMPRODUCT(MAX((tbl_Finance[Job Number]=C59&amp;"")*tbl_Finance[Date]))=0,"",SUMPRODUCT(MAX((tbl_Finance[Job Number]=C59&amp;"")*tbl_Finance[Date]))),""))</f>
        <v/>
      </c>
      <c r="B59" s="15">
        <f>IF(A59="","",IFERROR(LOOKUP(2,1/((tbl_Finance[Job Number]=C59&amp;"")*(tbl_Finance[Date]=A59)),tbl_Finance[Xero Invoice No]),""))</f>
        <v/>
      </c>
      <c r="C59" s="14" t="n"/>
      <c r="D59" s="15">
        <f>IF(C59="","",IF(COUNTIF(lst_Jobs,C59&amp;"")&gt;0,"OK","CHECK"))</f>
        <v/>
      </c>
      <c r="E59" s="15">
        <f>IF(C59="","",IFERROR(INDEX(lst_JobName,MATCH(C59&amp;"",lst_Jobs,0)),""))</f>
        <v/>
      </c>
      <c r="F59" s="15">
        <f>IF(C59="","",IFERROR(INDEX(tbl_Finance[Client],MATCH(C59&amp;"",tbl_Finance[Job Number],0)),""))</f>
        <v/>
      </c>
      <c r="G59" s="52">
        <f>IF(C59="","",COUNTIFS(tbl_Finance[Job Number],C59&amp;"",tbl_Finance[Ex GST],"&lt;&gt;"))</f>
        <v/>
      </c>
      <c r="H59" s="17">
        <f>IF(C59="","",SUMIFS(tbl_Finance[Ex GST],tbl_Finance[Job Number],C59&amp;""))</f>
        <v/>
      </c>
      <c r="I59" s="15">
        <f>IF(C59="","",IFERROR(INDEX(tbl_Finance[Cost Centre],MATCH(C59&amp;"",tbl_Finance[Job Number],0)),"not invoiced yet"))</f>
        <v/>
      </c>
      <c r="J59" s="14" t="n"/>
      <c r="K59" s="14" t="n"/>
      <c r="L59" s="15">
        <f>IF(K59="","",HYPERLINK(IF(LEFT(K59,4)="http",K59,set_QwilrBase&amp;K59),"Open quote"))</f>
        <v/>
      </c>
      <c r="M59" s="53" t="n"/>
      <c r="N59" s="14" t="n"/>
      <c r="O59" s="14" t="n"/>
    </row>
    <row r="60" ht="15" customHeight="1">
      <c r="A60" s="51">
        <f>IF(C60="","",IFERROR(IF(SUMPRODUCT(MAX((tbl_Finance[Job Number]=C60&amp;"")*tbl_Finance[Date]))=0,"",SUMPRODUCT(MAX((tbl_Finance[Job Number]=C60&amp;"")*tbl_Finance[Date]))),""))</f>
        <v/>
      </c>
      <c r="B60" s="15">
        <f>IF(A60="","",IFERROR(LOOKUP(2,1/((tbl_Finance[Job Number]=C60&amp;"")*(tbl_Finance[Date]=A60)),tbl_Finance[Xero Invoice No]),""))</f>
        <v/>
      </c>
      <c r="C60" s="14" t="n"/>
      <c r="D60" s="15">
        <f>IF(C60="","",IF(COUNTIF(lst_Jobs,C60&amp;"")&gt;0,"OK","CHECK"))</f>
        <v/>
      </c>
      <c r="E60" s="15">
        <f>IF(C60="","",IFERROR(INDEX(lst_JobName,MATCH(C60&amp;"",lst_Jobs,0)),""))</f>
        <v/>
      </c>
      <c r="F60" s="15">
        <f>IF(C60="","",IFERROR(INDEX(tbl_Finance[Client],MATCH(C60&amp;"",tbl_Finance[Job Number],0)),""))</f>
        <v/>
      </c>
      <c r="G60" s="52">
        <f>IF(C60="","",COUNTIFS(tbl_Finance[Job Number],C60&amp;"",tbl_Finance[Ex GST],"&lt;&gt;"))</f>
        <v/>
      </c>
      <c r="H60" s="17">
        <f>IF(C60="","",SUMIFS(tbl_Finance[Ex GST],tbl_Finance[Job Number],C60&amp;""))</f>
        <v/>
      </c>
      <c r="I60" s="15">
        <f>IF(C60="","",IFERROR(INDEX(tbl_Finance[Cost Centre],MATCH(C60&amp;"",tbl_Finance[Job Number],0)),"not invoiced yet"))</f>
        <v/>
      </c>
      <c r="J60" s="14" t="n"/>
      <c r="K60" s="14" t="n"/>
      <c r="L60" s="15">
        <f>IF(K60="","",HYPERLINK(IF(LEFT(K60,4)="http",K60,set_QwilrBase&amp;K60),"Open quote"))</f>
        <v/>
      </c>
      <c r="M60" s="53" t="n"/>
      <c r="N60" s="14" t="n"/>
      <c r="O60" s="14" t="n"/>
    </row>
    <row r="61" ht="15" customHeight="1">
      <c r="A61" s="51">
        <f>IF(C61="","",IFERROR(IF(SUMPRODUCT(MAX((tbl_Finance[Job Number]=C61&amp;"")*tbl_Finance[Date]))=0,"",SUMPRODUCT(MAX((tbl_Finance[Job Number]=C61&amp;"")*tbl_Finance[Date]))),""))</f>
        <v/>
      </c>
      <c r="B61" s="15">
        <f>IF(A61="","",IFERROR(LOOKUP(2,1/((tbl_Finance[Job Number]=C61&amp;"")*(tbl_Finance[Date]=A61)),tbl_Finance[Xero Invoice No]),""))</f>
        <v/>
      </c>
      <c r="C61" s="14" t="n"/>
      <c r="D61" s="15">
        <f>IF(C61="","",IF(COUNTIF(lst_Jobs,C61&amp;"")&gt;0,"OK","CHECK"))</f>
        <v/>
      </c>
      <c r="E61" s="15">
        <f>IF(C61="","",IFERROR(INDEX(lst_JobName,MATCH(C61&amp;"",lst_Jobs,0)),""))</f>
        <v/>
      </c>
      <c r="F61" s="15">
        <f>IF(C61="","",IFERROR(INDEX(tbl_Finance[Client],MATCH(C61&amp;"",tbl_Finance[Job Number],0)),""))</f>
        <v/>
      </c>
      <c r="G61" s="52">
        <f>IF(C61="","",COUNTIFS(tbl_Finance[Job Number],C61&amp;"",tbl_Finance[Ex GST],"&lt;&gt;"))</f>
        <v/>
      </c>
      <c r="H61" s="17">
        <f>IF(C61="","",SUMIFS(tbl_Finance[Ex GST],tbl_Finance[Job Number],C61&amp;""))</f>
        <v/>
      </c>
      <c r="I61" s="15">
        <f>IF(C61="","",IFERROR(INDEX(tbl_Finance[Cost Centre],MATCH(C61&amp;"",tbl_Finance[Job Number],0)),"not invoiced yet"))</f>
        <v/>
      </c>
      <c r="J61" s="14" t="n"/>
      <c r="K61" s="14" t="n"/>
      <c r="L61" s="15">
        <f>IF(K61="","",HYPERLINK(IF(LEFT(K61,4)="http",K61,set_QwilrBase&amp;K61),"Open quote"))</f>
        <v/>
      </c>
      <c r="M61" s="53" t="n"/>
      <c r="N61" s="14" t="n"/>
      <c r="O61" s="14" t="n"/>
    </row>
    <row r="62" ht="15" customHeight="1">
      <c r="A62" s="51">
        <f>IF(C62="","",IFERROR(IF(SUMPRODUCT(MAX((tbl_Finance[Job Number]=C62&amp;"")*tbl_Finance[Date]))=0,"",SUMPRODUCT(MAX((tbl_Finance[Job Number]=C62&amp;"")*tbl_Finance[Date]))),""))</f>
        <v/>
      </c>
      <c r="B62" s="15">
        <f>IF(A62="","",IFERROR(LOOKUP(2,1/((tbl_Finance[Job Number]=C62&amp;"")*(tbl_Finance[Date]=A62)),tbl_Finance[Xero Invoice No]),""))</f>
        <v/>
      </c>
      <c r="C62" s="14" t="n"/>
      <c r="D62" s="15">
        <f>IF(C62="","",IF(COUNTIF(lst_Jobs,C62&amp;"")&gt;0,"OK","CHECK"))</f>
        <v/>
      </c>
      <c r="E62" s="15">
        <f>IF(C62="","",IFERROR(INDEX(lst_JobName,MATCH(C62&amp;"",lst_Jobs,0)),""))</f>
        <v/>
      </c>
      <c r="F62" s="15">
        <f>IF(C62="","",IFERROR(INDEX(tbl_Finance[Client],MATCH(C62&amp;"",tbl_Finance[Job Number],0)),""))</f>
        <v/>
      </c>
      <c r="G62" s="52">
        <f>IF(C62="","",COUNTIFS(tbl_Finance[Job Number],C62&amp;"",tbl_Finance[Ex GST],"&lt;&gt;"))</f>
        <v/>
      </c>
      <c r="H62" s="17">
        <f>IF(C62="","",SUMIFS(tbl_Finance[Ex GST],tbl_Finance[Job Number],C62&amp;""))</f>
        <v/>
      </c>
      <c r="I62" s="15">
        <f>IF(C62="","",IFERROR(INDEX(tbl_Finance[Cost Centre],MATCH(C62&amp;"",tbl_Finance[Job Number],0)),"not invoiced yet"))</f>
        <v/>
      </c>
      <c r="J62" s="14" t="n"/>
      <c r="K62" s="14" t="n"/>
      <c r="L62" s="15">
        <f>IF(K62="","",HYPERLINK(IF(LEFT(K62,4)="http",K62,set_QwilrBase&amp;K62),"Open quote"))</f>
        <v/>
      </c>
      <c r="M62" s="53" t="n"/>
      <c r="N62" s="14" t="n"/>
      <c r="O62" s="14" t="n"/>
    </row>
    <row r="63" ht="15" customHeight="1">
      <c r="A63" s="51">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52">
        <f>IF(C63="","",COUNTIFS(tbl_Finance[Job Number],C63&amp;"",tbl_Finance[Ex GST],"&lt;&gt;"))</f>
        <v/>
      </c>
      <c r="H63" s="17">
        <f>IF(C63="","",SUMIFS(tbl_Finance[Ex GST],tbl_Finance[Job Number],C63&amp;""))</f>
        <v/>
      </c>
      <c r="I63" s="15">
        <f>IF(C63="","",IFERROR(INDEX(tbl_Finance[Cost Centre],MATCH(C63&amp;"",tbl_Finance[Job Number],0)),"not invoiced yet"))</f>
        <v/>
      </c>
      <c r="J63" s="14" t="n"/>
      <c r="K63" s="14" t="n"/>
      <c r="L63" s="15">
        <f>IF(K63="","",HYPERLINK(IF(LEFT(K63,4)="http",K63,set_QwilrBase&amp;K63),"Open quote"))</f>
        <v/>
      </c>
      <c r="M63" s="53" t="n"/>
      <c r="N63" s="14" t="n"/>
      <c r="O63" s="14" t="n"/>
    </row>
    <row r="64" ht="15" customHeight="1">
      <c r="A64" s="51">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52">
        <f>IF(C64="","",COUNTIFS(tbl_Finance[Job Number],C64&amp;"",tbl_Finance[Ex GST],"&lt;&gt;"))</f>
        <v/>
      </c>
      <c r="H64" s="17">
        <f>IF(C64="","",SUMIFS(tbl_Finance[Ex GST],tbl_Finance[Job Number],C64&amp;""))</f>
        <v/>
      </c>
      <c r="I64" s="15">
        <f>IF(C64="","",IFERROR(INDEX(tbl_Finance[Cost Centre],MATCH(C64&amp;"",tbl_Finance[Job Number],0)),"not invoiced yet"))</f>
        <v/>
      </c>
      <c r="J64" s="14" t="n"/>
      <c r="K64" s="14" t="n"/>
      <c r="L64" s="15">
        <f>IF(K64="","",HYPERLINK(IF(LEFT(K64,4)="http",K64,set_QwilrBase&amp;K64),"Open quote"))</f>
        <v/>
      </c>
      <c r="M64" s="53" t="n"/>
      <c r="N64" s="14" t="n"/>
      <c r="O64" s="14" t="n"/>
    </row>
    <row r="65" ht="15" customHeight="1">
      <c r="A65" s="51">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52">
        <f>IF(C65="","",COUNTIFS(tbl_Finance[Job Number],C65&amp;"",tbl_Finance[Ex GST],"&lt;&gt;"))</f>
        <v/>
      </c>
      <c r="H65" s="17">
        <f>IF(C65="","",SUMIFS(tbl_Finance[Ex GST],tbl_Finance[Job Number],C65&amp;""))</f>
        <v/>
      </c>
      <c r="I65" s="15">
        <f>IF(C65="","",IFERROR(INDEX(tbl_Finance[Cost Centre],MATCH(C65&amp;"",tbl_Finance[Job Number],0)),"not invoiced yet"))</f>
        <v/>
      </c>
      <c r="J65" s="14" t="n"/>
      <c r="K65" s="14" t="n"/>
      <c r="L65" s="15">
        <f>IF(K65="","",HYPERLINK(IF(LEFT(K65,4)="http",K65,set_QwilrBase&amp;K65),"Open quote"))</f>
        <v/>
      </c>
      <c r="M65" s="53" t="n"/>
      <c r="N65" s="14" t="n"/>
      <c r="O65" s="14" t="n"/>
    </row>
    <row r="66" ht="15" customHeight="1">
      <c r="A66" s="51">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52">
        <f>IF(C66="","",COUNTIFS(tbl_Finance[Job Number],C66&amp;"",tbl_Finance[Ex GST],"&lt;&gt;"))</f>
        <v/>
      </c>
      <c r="H66" s="17">
        <f>IF(C66="","",SUMIFS(tbl_Finance[Ex GST],tbl_Finance[Job Number],C66&amp;""))</f>
        <v/>
      </c>
      <c r="I66" s="15">
        <f>IF(C66="","",IFERROR(INDEX(tbl_Finance[Cost Centre],MATCH(C66&amp;"",tbl_Finance[Job Number],0)),"not invoiced yet"))</f>
        <v/>
      </c>
      <c r="J66" s="14" t="n"/>
      <c r="K66" s="14" t="n"/>
      <c r="L66" s="15">
        <f>IF(K66="","",HYPERLINK(IF(LEFT(K66,4)="http",K66,set_QwilrBase&amp;K66),"Open quote"))</f>
        <v/>
      </c>
      <c r="M66" s="53" t="n"/>
      <c r="N66" s="14" t="n"/>
      <c r="O66" s="14" t="n"/>
    </row>
    <row r="67" ht="15" customHeight="1">
      <c r="A67" s="51">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52">
        <f>IF(C67="","",COUNTIFS(tbl_Finance[Job Number],C67&amp;"",tbl_Finance[Ex GST],"&lt;&gt;"))</f>
        <v/>
      </c>
      <c r="H67" s="17">
        <f>IF(C67="","",SUMIFS(tbl_Finance[Ex GST],tbl_Finance[Job Number],C67&amp;""))</f>
        <v/>
      </c>
      <c r="I67" s="15">
        <f>IF(C67="","",IFERROR(INDEX(tbl_Finance[Cost Centre],MATCH(C67&amp;"",tbl_Finance[Job Number],0)),"not invoiced yet"))</f>
        <v/>
      </c>
      <c r="J67" s="14" t="n"/>
      <c r="K67" s="14" t="n"/>
      <c r="L67" s="15">
        <f>IF(K67="","",HYPERLINK(IF(LEFT(K67,4)="http",K67,set_QwilrBase&amp;K67),"Open quote"))</f>
        <v/>
      </c>
      <c r="M67" s="53" t="n"/>
      <c r="N67" s="14" t="n"/>
      <c r="O67" s="14" t="n"/>
    </row>
    <row r="68" ht="15" customHeight="1">
      <c r="A68" s="51">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52">
        <f>IF(C68="","",COUNTIFS(tbl_Finance[Job Number],C68&amp;"",tbl_Finance[Ex GST],"&lt;&gt;"))</f>
        <v/>
      </c>
      <c r="H68" s="17">
        <f>IF(C68="","",SUMIFS(tbl_Finance[Ex GST],tbl_Finance[Job Number],C68&amp;""))</f>
        <v/>
      </c>
      <c r="I68" s="15">
        <f>IF(C68="","",IFERROR(INDEX(tbl_Finance[Cost Centre],MATCH(C68&amp;"",tbl_Finance[Job Number],0)),"not invoiced yet"))</f>
        <v/>
      </c>
      <c r="J68" s="14" t="n"/>
      <c r="K68" s="14" t="n"/>
      <c r="L68" s="15">
        <f>IF(K68="","",HYPERLINK(IF(LEFT(K68,4)="http",K68,set_QwilrBase&amp;K68),"Open quote"))</f>
        <v/>
      </c>
      <c r="M68" s="53" t="n"/>
      <c r="N68" s="14" t="n"/>
      <c r="O68" s="14" t="n"/>
    </row>
    <row r="69" ht="15" customHeight="1">
      <c r="A69" s="51">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52">
        <f>IF(C69="","",COUNTIFS(tbl_Finance[Job Number],C69&amp;"",tbl_Finance[Ex GST],"&lt;&gt;"))</f>
        <v/>
      </c>
      <c r="H69" s="17">
        <f>IF(C69="","",SUMIFS(tbl_Finance[Ex GST],tbl_Finance[Job Number],C69&amp;""))</f>
        <v/>
      </c>
      <c r="I69" s="15">
        <f>IF(C69="","",IFERROR(INDEX(tbl_Finance[Cost Centre],MATCH(C69&amp;"",tbl_Finance[Job Number],0)),"not invoiced yet"))</f>
        <v/>
      </c>
      <c r="J69" s="14" t="n"/>
      <c r="K69" s="14" t="n"/>
      <c r="L69" s="15">
        <f>IF(K69="","",HYPERLINK(IF(LEFT(K69,4)="http",K69,set_QwilrBase&amp;K69),"Open quote"))</f>
        <v/>
      </c>
      <c r="M69" s="53" t="n"/>
      <c r="N69" s="14" t="n"/>
      <c r="O69" s="14" t="n"/>
    </row>
    <row r="70" ht="15" customHeight="1">
      <c r="A70" s="51">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52">
        <f>IF(C70="","",COUNTIFS(tbl_Finance[Job Number],C70&amp;"",tbl_Finance[Ex GST],"&lt;&gt;"))</f>
        <v/>
      </c>
      <c r="H70" s="17">
        <f>IF(C70="","",SUMIFS(tbl_Finance[Ex GST],tbl_Finance[Job Number],C70&amp;""))</f>
        <v/>
      </c>
      <c r="I70" s="15">
        <f>IF(C70="","",IFERROR(INDEX(tbl_Finance[Cost Centre],MATCH(C70&amp;"",tbl_Finance[Job Number],0)),"not invoiced yet"))</f>
        <v/>
      </c>
      <c r="J70" s="14" t="n"/>
      <c r="K70" s="14" t="n"/>
      <c r="L70" s="15">
        <f>IF(K70="","",HYPERLINK(IF(LEFT(K70,4)="http",K70,set_QwilrBase&amp;K70),"Open quote"))</f>
        <v/>
      </c>
      <c r="M70" s="53" t="n"/>
      <c r="N70" s="14" t="n"/>
      <c r="O70" s="14" t="n"/>
    </row>
    <row r="71" ht="15" customHeight="1">
      <c r="A71" s="51">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52">
        <f>IF(C71="","",COUNTIFS(tbl_Finance[Job Number],C71&amp;"",tbl_Finance[Ex GST],"&lt;&gt;"))</f>
        <v/>
      </c>
      <c r="H71" s="17">
        <f>IF(C71="","",SUMIFS(tbl_Finance[Ex GST],tbl_Finance[Job Number],C71&amp;""))</f>
        <v/>
      </c>
      <c r="I71" s="15">
        <f>IF(C71="","",IFERROR(INDEX(tbl_Finance[Cost Centre],MATCH(C71&amp;"",tbl_Finance[Job Number],0)),"not invoiced yet"))</f>
        <v/>
      </c>
      <c r="J71" s="14" t="n"/>
      <c r="K71" s="14" t="n"/>
      <c r="L71" s="15">
        <f>IF(K71="","",HYPERLINK(IF(LEFT(K71,4)="http",K71,set_QwilrBase&amp;K71),"Open quote"))</f>
        <v/>
      </c>
      <c r="M71" s="53" t="n"/>
      <c r="N71" s="14" t="n"/>
      <c r="O71" s="14" t="n"/>
    </row>
    <row r="72" ht="15" customHeight="1">
      <c r="A72" s="51">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52">
        <f>IF(C72="","",COUNTIFS(tbl_Finance[Job Number],C72&amp;"",tbl_Finance[Ex GST],"&lt;&gt;"))</f>
        <v/>
      </c>
      <c r="H72" s="17">
        <f>IF(C72="","",SUMIFS(tbl_Finance[Ex GST],tbl_Finance[Job Number],C72&amp;""))</f>
        <v/>
      </c>
      <c r="I72" s="15">
        <f>IF(C72="","",IFERROR(INDEX(tbl_Finance[Cost Centre],MATCH(C72&amp;"",tbl_Finance[Job Number],0)),"not invoiced yet"))</f>
        <v/>
      </c>
      <c r="J72" s="14" t="n"/>
      <c r="K72" s="14" t="n"/>
      <c r="L72" s="15">
        <f>IF(K72="","",HYPERLINK(IF(LEFT(K72,4)="http",K72,set_QwilrBase&amp;K72),"Open quote"))</f>
        <v/>
      </c>
      <c r="M72" s="53" t="n"/>
      <c r="N72" s="14" t="n"/>
      <c r="O72" s="14" t="n"/>
    </row>
    <row r="73" ht="15" customHeight="1">
      <c r="A73" s="51">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52">
        <f>IF(C73="","",COUNTIFS(tbl_Finance[Job Number],C73&amp;"",tbl_Finance[Ex GST],"&lt;&gt;"))</f>
        <v/>
      </c>
      <c r="H73" s="17">
        <f>IF(C73="","",SUMIFS(tbl_Finance[Ex GST],tbl_Finance[Job Number],C73&amp;""))</f>
        <v/>
      </c>
      <c r="I73" s="15">
        <f>IF(C73="","",IFERROR(INDEX(tbl_Finance[Cost Centre],MATCH(C73&amp;"",tbl_Finance[Job Number],0)),"not invoiced yet"))</f>
        <v/>
      </c>
      <c r="J73" s="14" t="n"/>
      <c r="K73" s="14" t="n"/>
      <c r="L73" s="15">
        <f>IF(K73="","",HYPERLINK(IF(LEFT(K73,4)="http",K73,set_QwilrBase&amp;K73),"Open quote"))</f>
        <v/>
      </c>
      <c r="M73" s="53" t="n"/>
      <c r="N73" s="14" t="n"/>
      <c r="O73" s="14" t="n"/>
    </row>
    <row r="74" ht="15" customHeight="1">
      <c r="A74" s="51">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52">
        <f>IF(C74="","",COUNTIFS(tbl_Finance[Job Number],C74&amp;"",tbl_Finance[Ex GST],"&lt;&gt;"))</f>
        <v/>
      </c>
      <c r="H74" s="17">
        <f>IF(C74="","",SUMIFS(tbl_Finance[Ex GST],tbl_Finance[Job Number],C74&amp;""))</f>
        <v/>
      </c>
      <c r="I74" s="15">
        <f>IF(C74="","",IFERROR(INDEX(tbl_Finance[Cost Centre],MATCH(C74&amp;"",tbl_Finance[Job Number],0)),"not invoiced yet"))</f>
        <v/>
      </c>
      <c r="J74" s="14" t="n"/>
      <c r="K74" s="14" t="n"/>
      <c r="L74" s="15">
        <f>IF(K74="","",HYPERLINK(IF(LEFT(K74,4)="http",K74,set_QwilrBase&amp;K74),"Open quote"))</f>
        <v/>
      </c>
      <c r="M74" s="53" t="n"/>
      <c r="N74" s="14" t="n"/>
      <c r="O74" s="14" t="n"/>
    </row>
    <row r="75" ht="15" customHeight="1">
      <c r="A75" s="51">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52">
        <f>IF(C75="","",COUNTIFS(tbl_Finance[Job Number],C75&amp;"",tbl_Finance[Ex GST],"&lt;&gt;"))</f>
        <v/>
      </c>
      <c r="H75" s="17">
        <f>IF(C75="","",SUMIFS(tbl_Finance[Ex GST],tbl_Finance[Job Number],C75&amp;""))</f>
        <v/>
      </c>
      <c r="I75" s="15">
        <f>IF(C75="","",IFERROR(INDEX(tbl_Finance[Cost Centre],MATCH(C75&amp;"",tbl_Finance[Job Number],0)),"not invoiced yet"))</f>
        <v/>
      </c>
      <c r="J75" s="14" t="n"/>
      <c r="K75" s="14" t="n"/>
      <c r="L75" s="15">
        <f>IF(K75="","",HYPERLINK(IF(LEFT(K75,4)="http",K75,set_QwilrBase&amp;K75),"Open quote"))</f>
        <v/>
      </c>
      <c r="M75" s="53" t="n"/>
      <c r="N75" s="14" t="n"/>
      <c r="O75" s="14" t="n"/>
    </row>
    <row r="76" ht="15" customHeight="1">
      <c r="A76" s="51">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52">
        <f>IF(C76="","",COUNTIFS(tbl_Finance[Job Number],C76&amp;"",tbl_Finance[Ex GST],"&lt;&gt;"))</f>
        <v/>
      </c>
      <c r="H76" s="17">
        <f>IF(C76="","",SUMIFS(tbl_Finance[Ex GST],tbl_Finance[Job Number],C76&amp;""))</f>
        <v/>
      </c>
      <c r="I76" s="15">
        <f>IF(C76="","",IFERROR(INDEX(tbl_Finance[Cost Centre],MATCH(C76&amp;"",tbl_Finance[Job Number],0)),"not invoiced yet"))</f>
        <v/>
      </c>
      <c r="J76" s="14" t="n"/>
      <c r="K76" s="14" t="n"/>
      <c r="L76" s="15">
        <f>IF(K76="","",HYPERLINK(IF(LEFT(K76,4)="http",K76,set_QwilrBase&amp;K76),"Open quote"))</f>
        <v/>
      </c>
      <c r="M76" s="53" t="n"/>
      <c r="N76" s="14" t="n"/>
      <c r="O76" s="14" t="n"/>
    </row>
    <row r="77" ht="15" customHeight="1">
      <c r="A77" s="51">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52">
        <f>IF(C77="","",COUNTIFS(tbl_Finance[Job Number],C77&amp;"",tbl_Finance[Ex GST],"&lt;&gt;"))</f>
        <v/>
      </c>
      <c r="H77" s="17">
        <f>IF(C77="","",SUMIFS(tbl_Finance[Ex GST],tbl_Finance[Job Number],C77&amp;""))</f>
        <v/>
      </c>
      <c r="I77" s="15">
        <f>IF(C77="","",IFERROR(INDEX(tbl_Finance[Cost Centre],MATCH(C77&amp;"",tbl_Finance[Job Number],0)),"not invoiced yet"))</f>
        <v/>
      </c>
      <c r="J77" s="14" t="n"/>
      <c r="K77" s="14" t="n"/>
      <c r="L77" s="15">
        <f>IF(K77="","",HYPERLINK(IF(LEFT(K77,4)="http",K77,set_QwilrBase&amp;K77),"Open quote"))</f>
        <v/>
      </c>
      <c r="M77" s="53" t="n"/>
      <c r="N77" s="14" t="n"/>
      <c r="O77" s="14" t="n"/>
    </row>
    <row r="78" ht="15" customHeight="1">
      <c r="A78" s="51">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52">
        <f>IF(C78="","",COUNTIFS(tbl_Finance[Job Number],C78&amp;"",tbl_Finance[Ex GST],"&lt;&gt;"))</f>
        <v/>
      </c>
      <c r="H78" s="17">
        <f>IF(C78="","",SUMIFS(tbl_Finance[Ex GST],tbl_Finance[Job Number],C78&amp;""))</f>
        <v/>
      </c>
      <c r="I78" s="15">
        <f>IF(C78="","",IFERROR(INDEX(tbl_Finance[Cost Centre],MATCH(C78&amp;"",tbl_Finance[Job Number],0)),"not invoiced yet"))</f>
        <v/>
      </c>
      <c r="J78" s="14" t="n"/>
      <c r="K78" s="14" t="n"/>
      <c r="L78" s="15">
        <f>IF(K78="","",HYPERLINK(IF(LEFT(K78,4)="http",K78,set_QwilrBase&amp;K78),"Open quote"))</f>
        <v/>
      </c>
      <c r="M78" s="53" t="n"/>
      <c r="N78" s="14" t="n"/>
      <c r="O78" s="14" t="n"/>
    </row>
    <row r="79" ht="15" customHeight="1">
      <c r="A79" s="51">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52">
        <f>IF(C79="","",COUNTIFS(tbl_Finance[Job Number],C79&amp;"",tbl_Finance[Ex GST],"&lt;&gt;"))</f>
        <v/>
      </c>
      <c r="H79" s="17">
        <f>IF(C79="","",SUMIFS(tbl_Finance[Ex GST],tbl_Finance[Job Number],C79&amp;""))</f>
        <v/>
      </c>
      <c r="I79" s="15">
        <f>IF(C79="","",IFERROR(INDEX(tbl_Finance[Cost Centre],MATCH(C79&amp;"",tbl_Finance[Job Number],0)),"not invoiced yet"))</f>
        <v/>
      </c>
      <c r="J79" s="14" t="n"/>
      <c r="K79" s="14" t="n"/>
      <c r="L79" s="15">
        <f>IF(K79="","",HYPERLINK(IF(LEFT(K79,4)="http",K79,set_QwilrBase&amp;K79),"Open quote"))</f>
        <v/>
      </c>
      <c r="M79" s="53" t="n"/>
      <c r="N79" s="14" t="n"/>
      <c r="O79" s="14" t="n"/>
    </row>
    <row r="80" ht="15" customHeight="1">
      <c r="A80" s="51">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52">
        <f>IF(C80="","",COUNTIFS(tbl_Finance[Job Number],C80&amp;"",tbl_Finance[Ex GST],"&lt;&gt;"))</f>
        <v/>
      </c>
      <c r="H80" s="17">
        <f>IF(C80="","",SUMIFS(tbl_Finance[Ex GST],tbl_Finance[Job Number],C80&amp;""))</f>
        <v/>
      </c>
      <c r="I80" s="15">
        <f>IF(C80="","",IFERROR(INDEX(tbl_Finance[Cost Centre],MATCH(C80&amp;"",tbl_Finance[Job Number],0)),"not invoiced yet"))</f>
        <v/>
      </c>
      <c r="J80" s="14" t="n"/>
      <c r="K80" s="14" t="n"/>
      <c r="L80" s="15">
        <f>IF(K80="","",HYPERLINK(IF(LEFT(K80,4)="http",K80,set_QwilrBase&amp;K80),"Open quote"))</f>
        <v/>
      </c>
      <c r="M80" s="53" t="n"/>
      <c r="N80" s="14" t="n"/>
      <c r="O80" s="14" t="n"/>
    </row>
    <row r="81" ht="15" customHeight="1">
      <c r="A81" s="51">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52">
        <f>IF(C81="","",COUNTIFS(tbl_Finance[Job Number],C81&amp;"",tbl_Finance[Ex GST],"&lt;&gt;"))</f>
        <v/>
      </c>
      <c r="H81" s="17">
        <f>IF(C81="","",SUMIFS(tbl_Finance[Ex GST],tbl_Finance[Job Number],C81&amp;""))</f>
        <v/>
      </c>
      <c r="I81" s="15">
        <f>IF(C81="","",IFERROR(INDEX(tbl_Finance[Cost Centre],MATCH(C81&amp;"",tbl_Finance[Job Number],0)),"not invoiced yet"))</f>
        <v/>
      </c>
      <c r="J81" s="14" t="n"/>
      <c r="K81" s="14" t="n"/>
      <c r="L81" s="15">
        <f>IF(K81="","",HYPERLINK(IF(LEFT(K81,4)="http",K81,set_QwilrBase&amp;K81),"Open quote"))</f>
        <v/>
      </c>
      <c r="M81" s="53" t="n"/>
      <c r="N81" s="14" t="n"/>
      <c r="O81" s="14" t="n"/>
    </row>
    <row r="82" ht="15" customHeight="1">
      <c r="A82" s="51">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52">
        <f>IF(C82="","",COUNTIFS(tbl_Finance[Job Number],C82&amp;"",tbl_Finance[Ex GST],"&lt;&gt;"))</f>
        <v/>
      </c>
      <c r="H82" s="17">
        <f>IF(C82="","",SUMIFS(tbl_Finance[Ex GST],tbl_Finance[Job Number],C82&amp;""))</f>
        <v/>
      </c>
      <c r="I82" s="15">
        <f>IF(C82="","",IFERROR(INDEX(tbl_Finance[Cost Centre],MATCH(C82&amp;"",tbl_Finance[Job Number],0)),"not invoiced yet"))</f>
        <v/>
      </c>
      <c r="J82" s="14" t="n"/>
      <c r="K82" s="14" t="n"/>
      <c r="L82" s="15">
        <f>IF(K82="","",HYPERLINK(IF(LEFT(K82,4)="http",K82,set_QwilrBase&amp;K82),"Open quote"))</f>
        <v/>
      </c>
      <c r="M82" s="53" t="n"/>
      <c r="N82" s="14" t="n"/>
      <c r="O82" s="14" t="n"/>
    </row>
    <row r="83" ht="15" customHeight="1">
      <c r="A83" s="51">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52">
        <f>IF(C83="","",COUNTIFS(tbl_Finance[Job Number],C83&amp;"",tbl_Finance[Ex GST],"&lt;&gt;"))</f>
        <v/>
      </c>
      <c r="H83" s="17">
        <f>IF(C83="","",SUMIFS(tbl_Finance[Ex GST],tbl_Finance[Job Number],C83&amp;""))</f>
        <v/>
      </c>
      <c r="I83" s="15">
        <f>IF(C83="","",IFERROR(INDEX(tbl_Finance[Cost Centre],MATCH(C83&amp;"",tbl_Finance[Job Number],0)),"not invoiced yet"))</f>
        <v/>
      </c>
      <c r="J83" s="14" t="n"/>
      <c r="K83" s="14" t="n"/>
      <c r="L83" s="15">
        <f>IF(K83="","",HYPERLINK(IF(LEFT(K83,4)="http",K83,set_QwilrBase&amp;K83),"Open quote"))</f>
        <v/>
      </c>
      <c r="M83" s="53" t="n"/>
      <c r="N83" s="14" t="n"/>
      <c r="O83" s="14" t="n"/>
    </row>
    <row r="84" ht="15" customHeight="1">
      <c r="A84" s="51">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52">
        <f>IF(C84="","",COUNTIFS(tbl_Finance[Job Number],C84&amp;"",tbl_Finance[Ex GST],"&lt;&gt;"))</f>
        <v/>
      </c>
      <c r="H84" s="17">
        <f>IF(C84="","",SUMIFS(tbl_Finance[Ex GST],tbl_Finance[Job Number],C84&amp;""))</f>
        <v/>
      </c>
      <c r="I84" s="15">
        <f>IF(C84="","",IFERROR(INDEX(tbl_Finance[Cost Centre],MATCH(C84&amp;"",tbl_Finance[Job Number],0)),"not invoiced yet"))</f>
        <v/>
      </c>
      <c r="J84" s="14" t="n"/>
      <c r="K84" s="14" t="n"/>
      <c r="L84" s="15">
        <f>IF(K84="","",HYPERLINK(IF(LEFT(K84,4)="http",K84,set_QwilrBase&amp;K84),"Open quote"))</f>
        <v/>
      </c>
      <c r="M84" s="53" t="n"/>
      <c r="N84" s="14" t="n"/>
      <c r="O84" s="14" t="n"/>
    </row>
    <row r="85" ht="15" customHeight="1">
      <c r="A85" s="51">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52">
        <f>IF(C85="","",COUNTIFS(tbl_Finance[Job Number],C85&amp;"",tbl_Finance[Ex GST],"&lt;&gt;"))</f>
        <v/>
      </c>
      <c r="H85" s="17">
        <f>IF(C85="","",SUMIFS(tbl_Finance[Ex GST],tbl_Finance[Job Number],C85&amp;""))</f>
        <v/>
      </c>
      <c r="I85" s="15">
        <f>IF(C85="","",IFERROR(INDEX(tbl_Finance[Cost Centre],MATCH(C85&amp;"",tbl_Finance[Job Number],0)),"not invoiced yet"))</f>
        <v/>
      </c>
      <c r="J85" s="14" t="n"/>
      <c r="K85" s="14" t="n"/>
      <c r="L85" s="15">
        <f>IF(K85="","",HYPERLINK(IF(LEFT(K85,4)="http",K85,set_QwilrBase&amp;K85),"Open quote"))</f>
        <v/>
      </c>
      <c r="M85" s="53" t="n"/>
      <c r="N85" s="14" t="n"/>
      <c r="O85" s="14" t="n"/>
    </row>
    <row r="86" ht="15" customHeight="1">
      <c r="A86" s="51">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52">
        <f>IF(C86="","",COUNTIFS(tbl_Finance[Job Number],C86&amp;"",tbl_Finance[Ex GST],"&lt;&gt;"))</f>
        <v/>
      </c>
      <c r="H86" s="17">
        <f>IF(C86="","",SUMIFS(tbl_Finance[Ex GST],tbl_Finance[Job Number],C86&amp;""))</f>
        <v/>
      </c>
      <c r="I86" s="15">
        <f>IF(C86="","",IFERROR(INDEX(tbl_Finance[Cost Centre],MATCH(C86&amp;"",tbl_Finance[Job Number],0)),"not invoiced yet"))</f>
        <v/>
      </c>
      <c r="J86" s="14" t="n"/>
      <c r="K86" s="14" t="n"/>
      <c r="L86" s="15">
        <f>IF(K86="","",HYPERLINK(IF(LEFT(K86,4)="http",K86,set_QwilrBase&amp;K86),"Open quote"))</f>
        <v/>
      </c>
      <c r="M86" s="53" t="n"/>
      <c r="N86" s="14" t="n"/>
      <c r="O86" s="14" t="n"/>
    </row>
    <row r="87" ht="15" customHeight="1">
      <c r="A87" s="51">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52">
        <f>IF(C87="","",COUNTIFS(tbl_Finance[Job Number],C87&amp;"",tbl_Finance[Ex GST],"&lt;&gt;"))</f>
        <v/>
      </c>
      <c r="H87" s="17">
        <f>IF(C87="","",SUMIFS(tbl_Finance[Ex GST],tbl_Finance[Job Number],C87&amp;""))</f>
        <v/>
      </c>
      <c r="I87" s="15">
        <f>IF(C87="","",IFERROR(INDEX(tbl_Finance[Cost Centre],MATCH(C87&amp;"",tbl_Finance[Job Number],0)),"not invoiced yet"))</f>
        <v/>
      </c>
      <c r="J87" s="14" t="n"/>
      <c r="K87" s="14" t="n"/>
      <c r="L87" s="15">
        <f>IF(K87="","",HYPERLINK(IF(LEFT(K87,4)="http",K87,set_QwilrBase&amp;K87),"Open quote"))</f>
        <v/>
      </c>
      <c r="M87" s="53" t="n"/>
      <c r="N87" s="14" t="n"/>
      <c r="O87" s="14" t="n"/>
    </row>
    <row r="88" ht="15" customHeight="1">
      <c r="A88" s="51">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52">
        <f>IF(C88="","",COUNTIFS(tbl_Finance[Job Number],C88&amp;"",tbl_Finance[Ex GST],"&lt;&gt;"))</f>
        <v/>
      </c>
      <c r="H88" s="17">
        <f>IF(C88="","",SUMIFS(tbl_Finance[Ex GST],tbl_Finance[Job Number],C88&amp;""))</f>
        <v/>
      </c>
      <c r="I88" s="15">
        <f>IF(C88="","",IFERROR(INDEX(tbl_Finance[Cost Centre],MATCH(C88&amp;"",tbl_Finance[Job Number],0)),"not invoiced yet"))</f>
        <v/>
      </c>
      <c r="J88" s="14" t="n"/>
      <c r="K88" s="14" t="n"/>
      <c r="L88" s="15">
        <f>IF(K88="","",HYPERLINK(IF(LEFT(K88,4)="http",K88,set_QwilrBase&amp;K88),"Open quote"))</f>
        <v/>
      </c>
      <c r="M88" s="53" t="n"/>
      <c r="N88" s="14" t="n"/>
      <c r="O88" s="14" t="n"/>
    </row>
    <row r="89" ht="15" customHeight="1">
      <c r="A89" s="51">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52">
        <f>IF(C89="","",COUNTIFS(tbl_Finance[Job Number],C89&amp;"",tbl_Finance[Ex GST],"&lt;&gt;"))</f>
        <v/>
      </c>
      <c r="H89" s="17">
        <f>IF(C89="","",SUMIFS(tbl_Finance[Ex GST],tbl_Finance[Job Number],C89&amp;""))</f>
        <v/>
      </c>
      <c r="I89" s="15">
        <f>IF(C89="","",IFERROR(INDEX(tbl_Finance[Cost Centre],MATCH(C89&amp;"",tbl_Finance[Job Number],0)),"not invoiced yet"))</f>
        <v/>
      </c>
      <c r="J89" s="14" t="n"/>
      <c r="K89" s="14" t="n"/>
      <c r="L89" s="15">
        <f>IF(K89="","",HYPERLINK(IF(LEFT(K89,4)="http",K89,set_QwilrBase&amp;K89),"Open quote"))</f>
        <v/>
      </c>
      <c r="M89" s="53" t="n"/>
      <c r="N89" s="14" t="n"/>
      <c r="O89" s="14" t="n"/>
    </row>
    <row r="90" ht="15" customHeight="1">
      <c r="A90" s="51">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52">
        <f>IF(C90="","",COUNTIFS(tbl_Finance[Job Number],C90&amp;"",tbl_Finance[Ex GST],"&lt;&gt;"))</f>
        <v/>
      </c>
      <c r="H90" s="17">
        <f>IF(C90="","",SUMIFS(tbl_Finance[Ex GST],tbl_Finance[Job Number],C90&amp;""))</f>
        <v/>
      </c>
      <c r="I90" s="15">
        <f>IF(C90="","",IFERROR(INDEX(tbl_Finance[Cost Centre],MATCH(C90&amp;"",tbl_Finance[Job Number],0)),"not invoiced yet"))</f>
        <v/>
      </c>
      <c r="J90" s="14" t="n"/>
      <c r="K90" s="14" t="n"/>
      <c r="L90" s="15">
        <f>IF(K90="","",HYPERLINK(IF(LEFT(K90,4)="http",K90,set_QwilrBase&amp;K90),"Open quote"))</f>
        <v/>
      </c>
      <c r="M90" s="53" t="n"/>
      <c r="N90" s="14" t="n"/>
      <c r="O90" s="14" t="n"/>
    </row>
    <row r="91" ht="15" customHeight="1">
      <c r="A91" s="51">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52">
        <f>IF(C91="","",COUNTIFS(tbl_Finance[Job Number],C91&amp;"",tbl_Finance[Ex GST],"&lt;&gt;"))</f>
        <v/>
      </c>
      <c r="H91" s="17">
        <f>IF(C91="","",SUMIFS(tbl_Finance[Ex GST],tbl_Finance[Job Number],C91&amp;""))</f>
        <v/>
      </c>
      <c r="I91" s="15">
        <f>IF(C91="","",IFERROR(INDEX(tbl_Finance[Cost Centre],MATCH(C91&amp;"",tbl_Finance[Job Number],0)),"not invoiced yet"))</f>
        <v/>
      </c>
      <c r="J91" s="14" t="n"/>
      <c r="K91" s="14" t="n"/>
      <c r="L91" s="15">
        <f>IF(K91="","",HYPERLINK(IF(LEFT(K91,4)="http",K91,set_QwilrBase&amp;K91),"Open quote"))</f>
        <v/>
      </c>
      <c r="M91" s="53" t="n"/>
      <c r="N91" s="14" t="n"/>
      <c r="O91" s="14" t="n"/>
    </row>
    <row r="92" ht="15" customHeight="1">
      <c r="A92" s="51">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52">
        <f>IF(C92="","",COUNTIFS(tbl_Finance[Job Number],C92&amp;"",tbl_Finance[Ex GST],"&lt;&gt;"))</f>
        <v/>
      </c>
      <c r="H92" s="17">
        <f>IF(C92="","",SUMIFS(tbl_Finance[Ex GST],tbl_Finance[Job Number],C92&amp;""))</f>
        <v/>
      </c>
      <c r="I92" s="15">
        <f>IF(C92="","",IFERROR(INDEX(tbl_Finance[Cost Centre],MATCH(C92&amp;"",tbl_Finance[Job Number],0)),"not invoiced yet"))</f>
        <v/>
      </c>
      <c r="J92" s="14" t="n"/>
      <c r="K92" s="14" t="n"/>
      <c r="L92" s="15">
        <f>IF(K92="","",HYPERLINK(IF(LEFT(K92,4)="http",K92,set_QwilrBase&amp;K92),"Open quote"))</f>
        <v/>
      </c>
      <c r="M92" s="53" t="n"/>
      <c r="N92" s="14" t="n"/>
      <c r="O92" s="14" t="n"/>
    </row>
    <row r="93" ht="15" customHeight="1">
      <c r="A93" s="51">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52">
        <f>IF(C93="","",COUNTIFS(tbl_Finance[Job Number],C93&amp;"",tbl_Finance[Ex GST],"&lt;&gt;"))</f>
        <v/>
      </c>
      <c r="H93" s="17">
        <f>IF(C93="","",SUMIFS(tbl_Finance[Ex GST],tbl_Finance[Job Number],C93&amp;""))</f>
        <v/>
      </c>
      <c r="I93" s="15">
        <f>IF(C93="","",IFERROR(INDEX(tbl_Finance[Cost Centre],MATCH(C93&amp;"",tbl_Finance[Job Number],0)),"not invoiced yet"))</f>
        <v/>
      </c>
      <c r="J93" s="14" t="n"/>
      <c r="K93" s="14" t="n"/>
      <c r="L93" s="15">
        <f>IF(K93="","",HYPERLINK(IF(LEFT(K93,4)="http",K93,set_QwilrBase&amp;K93),"Open quote"))</f>
        <v/>
      </c>
      <c r="M93" s="53" t="n"/>
      <c r="N93" s="14" t="n"/>
      <c r="O93" s="14" t="n"/>
    </row>
    <row r="94" ht="15" customHeight="1">
      <c r="A94" s="51">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52">
        <f>IF(C94="","",COUNTIFS(tbl_Finance[Job Number],C94&amp;"",tbl_Finance[Ex GST],"&lt;&gt;"))</f>
        <v/>
      </c>
      <c r="H94" s="17">
        <f>IF(C94="","",SUMIFS(tbl_Finance[Ex GST],tbl_Finance[Job Number],C94&amp;""))</f>
        <v/>
      </c>
      <c r="I94" s="15">
        <f>IF(C94="","",IFERROR(INDEX(tbl_Finance[Cost Centre],MATCH(C94&amp;"",tbl_Finance[Job Number],0)),"not invoiced yet"))</f>
        <v/>
      </c>
      <c r="J94" s="14" t="n"/>
      <c r="K94" s="14" t="n"/>
      <c r="L94" s="15">
        <f>IF(K94="","",HYPERLINK(IF(LEFT(K94,4)="http",K94,set_QwilrBase&amp;K94),"Open quote"))</f>
        <v/>
      </c>
      <c r="M94" s="53" t="n"/>
      <c r="N94" s="14" t="n"/>
      <c r="O94" s="14" t="n"/>
    </row>
    <row r="95" ht="15" customHeight="1">
      <c r="A95" s="51">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52">
        <f>IF(C95="","",COUNTIFS(tbl_Finance[Job Number],C95&amp;"",tbl_Finance[Ex GST],"&lt;&gt;"))</f>
        <v/>
      </c>
      <c r="H95" s="17">
        <f>IF(C95="","",SUMIFS(tbl_Finance[Ex GST],tbl_Finance[Job Number],C95&amp;""))</f>
        <v/>
      </c>
      <c r="I95" s="15">
        <f>IF(C95="","",IFERROR(INDEX(tbl_Finance[Cost Centre],MATCH(C95&amp;"",tbl_Finance[Job Number],0)),"not invoiced yet"))</f>
        <v/>
      </c>
      <c r="J95" s="14" t="n"/>
      <c r="K95" s="14" t="n"/>
      <c r="L95" s="15">
        <f>IF(K95="","",HYPERLINK(IF(LEFT(K95,4)="http",K95,set_QwilrBase&amp;K95),"Open quote"))</f>
        <v/>
      </c>
      <c r="M95" s="53" t="n"/>
      <c r="N95" s="14" t="n"/>
      <c r="O95" s="14" t="n"/>
    </row>
    <row r="96" ht="15" customHeight="1">
      <c r="A96" s="51">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52">
        <f>IF(C96="","",COUNTIFS(tbl_Finance[Job Number],C96&amp;"",tbl_Finance[Ex GST],"&lt;&gt;"))</f>
        <v/>
      </c>
      <c r="H96" s="17">
        <f>IF(C96="","",SUMIFS(tbl_Finance[Ex GST],tbl_Finance[Job Number],C96&amp;""))</f>
        <v/>
      </c>
      <c r="I96" s="15">
        <f>IF(C96="","",IFERROR(INDEX(tbl_Finance[Cost Centre],MATCH(C96&amp;"",tbl_Finance[Job Number],0)),"not invoiced yet"))</f>
        <v/>
      </c>
      <c r="J96" s="14" t="n"/>
      <c r="K96" s="14" t="n"/>
      <c r="L96" s="15">
        <f>IF(K96="","",HYPERLINK(IF(LEFT(K96,4)="http",K96,set_QwilrBase&amp;K96),"Open quote"))</f>
        <v/>
      </c>
      <c r="M96" s="53" t="n"/>
      <c r="N96" s="14" t="n"/>
      <c r="O96" s="14" t="n"/>
    </row>
    <row r="97" ht="15" customHeight="1">
      <c r="A97" s="51">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52">
        <f>IF(C97="","",COUNTIFS(tbl_Finance[Job Number],C97&amp;"",tbl_Finance[Ex GST],"&lt;&gt;"))</f>
        <v/>
      </c>
      <c r="H97" s="17">
        <f>IF(C97="","",SUMIFS(tbl_Finance[Ex GST],tbl_Finance[Job Number],C97&amp;""))</f>
        <v/>
      </c>
      <c r="I97" s="15">
        <f>IF(C97="","",IFERROR(INDEX(tbl_Finance[Cost Centre],MATCH(C97&amp;"",tbl_Finance[Job Number],0)),"not invoiced yet"))</f>
        <v/>
      </c>
      <c r="J97" s="14" t="n"/>
      <c r="K97" s="14" t="n"/>
      <c r="L97" s="15">
        <f>IF(K97="","",HYPERLINK(IF(LEFT(K97,4)="http",K97,set_QwilrBase&amp;K97),"Open quote"))</f>
        <v/>
      </c>
      <c r="M97" s="53" t="n"/>
      <c r="N97" s="14" t="n"/>
      <c r="O97" s="14" t="n"/>
    </row>
    <row r="98" ht="15" customHeight="1">
      <c r="A98" s="51">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52">
        <f>IF(C98="","",COUNTIFS(tbl_Finance[Job Number],C98&amp;"",tbl_Finance[Ex GST],"&lt;&gt;"))</f>
        <v/>
      </c>
      <c r="H98" s="17">
        <f>IF(C98="","",SUMIFS(tbl_Finance[Ex GST],tbl_Finance[Job Number],C98&amp;""))</f>
        <v/>
      </c>
      <c r="I98" s="15">
        <f>IF(C98="","",IFERROR(INDEX(tbl_Finance[Cost Centre],MATCH(C98&amp;"",tbl_Finance[Job Number],0)),"not invoiced yet"))</f>
        <v/>
      </c>
      <c r="J98" s="14" t="n"/>
      <c r="K98" s="14" t="n"/>
      <c r="L98" s="15">
        <f>IF(K98="","",HYPERLINK(IF(LEFT(K98,4)="http",K98,set_QwilrBase&amp;K98),"Open quote"))</f>
        <v/>
      </c>
      <c r="M98" s="53" t="n"/>
      <c r="N98" s="14" t="n"/>
      <c r="O98" s="14" t="n"/>
    </row>
    <row r="99" ht="15" customHeight="1">
      <c r="A99" s="51">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52">
        <f>IF(C99="","",COUNTIFS(tbl_Finance[Job Number],C99&amp;"",tbl_Finance[Ex GST],"&lt;&gt;"))</f>
        <v/>
      </c>
      <c r="H99" s="17">
        <f>IF(C99="","",SUMIFS(tbl_Finance[Ex GST],tbl_Finance[Job Number],C99&amp;""))</f>
        <v/>
      </c>
      <c r="I99" s="15">
        <f>IF(C99="","",IFERROR(INDEX(tbl_Finance[Cost Centre],MATCH(C99&amp;"",tbl_Finance[Job Number],0)),"not invoiced yet"))</f>
        <v/>
      </c>
      <c r="J99" s="14" t="n"/>
      <c r="K99" s="14" t="n"/>
      <c r="L99" s="15">
        <f>IF(K99="","",HYPERLINK(IF(LEFT(K99,4)="http",K99,set_QwilrBase&amp;K99),"Open quote"))</f>
        <v/>
      </c>
      <c r="M99" s="53" t="n"/>
      <c r="N99" s="14" t="n"/>
      <c r="O99" s="14" t="n"/>
    </row>
    <row r="100" ht="15" customHeight="1">
      <c r="A100" s="51">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52">
        <f>IF(C100="","",COUNTIFS(tbl_Finance[Job Number],C100&amp;"",tbl_Finance[Ex GST],"&lt;&gt;"))</f>
        <v/>
      </c>
      <c r="H100" s="17">
        <f>IF(C100="","",SUMIFS(tbl_Finance[Ex GST],tbl_Finance[Job Number],C100&amp;""))</f>
        <v/>
      </c>
      <c r="I100" s="15">
        <f>IF(C100="","",IFERROR(INDEX(tbl_Finance[Cost Centre],MATCH(C100&amp;"",tbl_Finance[Job Number],0)),"not invoiced yet"))</f>
        <v/>
      </c>
      <c r="J100" s="14" t="n"/>
      <c r="K100" s="14" t="n"/>
      <c r="L100" s="15">
        <f>IF(K100="","",HYPERLINK(IF(LEFT(K100,4)="http",K100,set_QwilrBase&amp;K100),"Open quote"))</f>
        <v/>
      </c>
      <c r="M100" s="53" t="n"/>
      <c r="N100" s="14" t="n"/>
      <c r="O100" s="14" t="n"/>
    </row>
    <row r="101" ht="15" customHeight="1">
      <c r="A101" s="51">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52">
        <f>IF(C101="","",COUNTIFS(tbl_Finance[Job Number],C101&amp;"",tbl_Finance[Ex GST],"&lt;&gt;"))</f>
        <v/>
      </c>
      <c r="H101" s="17">
        <f>IF(C101="","",SUMIFS(tbl_Finance[Ex GST],tbl_Finance[Job Number],C101&amp;""))</f>
        <v/>
      </c>
      <c r="I101" s="15">
        <f>IF(C101="","",IFERROR(INDEX(tbl_Finance[Cost Centre],MATCH(C101&amp;"",tbl_Finance[Job Number],0)),"not invoiced yet"))</f>
        <v/>
      </c>
      <c r="J101" s="14" t="n"/>
      <c r="K101" s="14" t="n"/>
      <c r="L101" s="15">
        <f>IF(K101="","",HYPERLINK(IF(LEFT(K101,4)="http",K101,set_QwilrBase&amp;K101),"Open quote"))</f>
        <v/>
      </c>
      <c r="M101" s="53" t="n"/>
      <c r="N101" s="14" t="n"/>
      <c r="O101" s="14" t="n"/>
    </row>
    <row r="102" ht="15" customHeight="1">
      <c r="A102" s="51">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52">
        <f>IF(C102="","",COUNTIFS(tbl_Finance[Job Number],C102&amp;"",tbl_Finance[Ex GST],"&lt;&gt;"))</f>
        <v/>
      </c>
      <c r="H102" s="17">
        <f>IF(C102="","",SUMIFS(tbl_Finance[Ex GST],tbl_Finance[Job Number],C102&amp;""))</f>
        <v/>
      </c>
      <c r="I102" s="15">
        <f>IF(C102="","",IFERROR(INDEX(tbl_Finance[Cost Centre],MATCH(C102&amp;"",tbl_Finance[Job Number],0)),"not invoiced yet"))</f>
        <v/>
      </c>
      <c r="J102" s="14" t="n"/>
      <c r="K102" s="14" t="n"/>
      <c r="L102" s="15">
        <f>IF(K102="","",HYPERLINK(IF(LEFT(K102,4)="http",K102,set_QwilrBase&amp;K102),"Open quote"))</f>
        <v/>
      </c>
      <c r="M102" s="53" t="n"/>
      <c r="N102" s="14" t="n"/>
      <c r="O102" s="14" t="n"/>
    </row>
    <row r="103" ht="15" customHeight="1">
      <c r="A103" s="51">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52">
        <f>IF(C103="","",COUNTIFS(tbl_Finance[Job Number],C103&amp;"",tbl_Finance[Ex GST],"&lt;&gt;"))</f>
        <v/>
      </c>
      <c r="H103" s="17">
        <f>IF(C103="","",SUMIFS(tbl_Finance[Ex GST],tbl_Finance[Job Number],C103&amp;""))</f>
        <v/>
      </c>
      <c r="I103" s="15">
        <f>IF(C103="","",IFERROR(INDEX(tbl_Finance[Cost Centre],MATCH(C103&amp;"",tbl_Finance[Job Number],0)),"not invoiced yet"))</f>
        <v/>
      </c>
      <c r="J103" s="14" t="n"/>
      <c r="K103" s="14" t="n"/>
      <c r="L103" s="15">
        <f>IF(K103="","",HYPERLINK(IF(LEFT(K103,4)="http",K103,set_QwilrBase&amp;K103),"Open quote"))</f>
        <v/>
      </c>
      <c r="M103" s="53" t="n"/>
      <c r="N103" s="14" t="n"/>
      <c r="O103" s="14" t="n"/>
    </row>
    <row r="104" ht="15" customHeight="1">
      <c r="A104" s="51">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52">
        <f>IF(C104="","",COUNTIFS(tbl_Finance[Job Number],C104&amp;"",tbl_Finance[Ex GST],"&lt;&gt;"))</f>
        <v/>
      </c>
      <c r="H104" s="17">
        <f>IF(C104="","",SUMIFS(tbl_Finance[Ex GST],tbl_Finance[Job Number],C104&amp;""))</f>
        <v/>
      </c>
      <c r="I104" s="15">
        <f>IF(C104="","",IFERROR(INDEX(tbl_Finance[Cost Centre],MATCH(C104&amp;"",tbl_Finance[Job Number],0)),"not invoiced yet"))</f>
        <v/>
      </c>
      <c r="J104" s="14" t="n"/>
      <c r="K104" s="14" t="n"/>
      <c r="L104" s="15">
        <f>IF(K104="","",HYPERLINK(IF(LEFT(K104,4)="http",K104,set_QwilrBase&amp;K104),"Open quote"))</f>
        <v/>
      </c>
      <c r="M104" s="53" t="n"/>
      <c r="N104" s="14" t="n"/>
      <c r="O104" s="14" t="n"/>
    </row>
    <row r="105" ht="15" customHeight="1">
      <c r="A105" s="51">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52">
        <f>IF(C105="","",COUNTIFS(tbl_Finance[Job Number],C105&amp;"",tbl_Finance[Ex GST],"&lt;&gt;"))</f>
        <v/>
      </c>
      <c r="H105" s="17">
        <f>IF(C105="","",SUMIFS(tbl_Finance[Ex GST],tbl_Finance[Job Number],C105&amp;""))</f>
        <v/>
      </c>
      <c r="I105" s="15">
        <f>IF(C105="","",IFERROR(INDEX(tbl_Finance[Cost Centre],MATCH(C105&amp;"",tbl_Finance[Job Number],0)),"not invoiced yet"))</f>
        <v/>
      </c>
      <c r="J105" s="14" t="n"/>
      <c r="K105" s="14" t="n"/>
      <c r="L105" s="15">
        <f>IF(K105="","",HYPERLINK(IF(LEFT(K105,4)="http",K105,set_QwilrBase&amp;K105),"Open quote"))</f>
        <v/>
      </c>
      <c r="M105" s="53" t="n"/>
      <c r="N105" s="14" t="n"/>
      <c r="O105" s="14" t="n"/>
    </row>
    <row r="106" ht="15" customHeight="1">
      <c r="A106" s="51">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52">
        <f>IF(C106="","",COUNTIFS(tbl_Finance[Job Number],C106&amp;"",tbl_Finance[Ex GST],"&lt;&gt;"))</f>
        <v/>
      </c>
      <c r="H106" s="17">
        <f>IF(C106="","",SUMIFS(tbl_Finance[Ex GST],tbl_Finance[Job Number],C106&amp;""))</f>
        <v/>
      </c>
      <c r="I106" s="15">
        <f>IF(C106="","",IFERROR(INDEX(tbl_Finance[Cost Centre],MATCH(C106&amp;"",tbl_Finance[Job Number],0)),"not invoiced yet"))</f>
        <v/>
      </c>
      <c r="J106" s="14" t="n"/>
      <c r="K106" s="14" t="n"/>
      <c r="L106" s="15">
        <f>IF(K106="","",HYPERLINK(IF(LEFT(K106,4)="http",K106,set_QwilrBase&amp;K106),"Open quote"))</f>
        <v/>
      </c>
      <c r="M106" s="53" t="n"/>
      <c r="N106" s="14" t="n"/>
      <c r="O106" s="14" t="n"/>
    </row>
    <row r="107" ht="15" customHeight="1">
      <c r="A107" s="51">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52">
        <f>IF(C107="","",COUNTIFS(tbl_Finance[Job Number],C107&amp;"",tbl_Finance[Ex GST],"&lt;&gt;"))</f>
        <v/>
      </c>
      <c r="H107" s="17">
        <f>IF(C107="","",SUMIFS(tbl_Finance[Ex GST],tbl_Finance[Job Number],C107&amp;""))</f>
        <v/>
      </c>
      <c r="I107" s="15">
        <f>IF(C107="","",IFERROR(INDEX(tbl_Finance[Cost Centre],MATCH(C107&amp;"",tbl_Finance[Job Number],0)),"not invoiced yet"))</f>
        <v/>
      </c>
      <c r="J107" s="14" t="n"/>
      <c r="K107" s="14" t="n"/>
      <c r="L107" s="15">
        <f>IF(K107="","",HYPERLINK(IF(LEFT(K107,4)="http",K107,set_QwilrBase&amp;K107),"Open quote"))</f>
        <v/>
      </c>
      <c r="M107" s="53" t="n"/>
      <c r="N107" s="14" t="n"/>
      <c r="O107" s="14" t="n"/>
    </row>
    <row r="108" ht="15" customHeight="1">
      <c r="A108" s="51">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52">
        <f>IF(C108="","",COUNTIFS(tbl_Finance[Job Number],C108&amp;"",tbl_Finance[Ex GST],"&lt;&gt;"))</f>
        <v/>
      </c>
      <c r="H108" s="17">
        <f>IF(C108="","",SUMIFS(tbl_Finance[Ex GST],tbl_Finance[Job Number],C108&amp;""))</f>
        <v/>
      </c>
      <c r="I108" s="15">
        <f>IF(C108="","",IFERROR(INDEX(tbl_Finance[Cost Centre],MATCH(C108&amp;"",tbl_Finance[Job Number],0)),"not invoiced yet"))</f>
        <v/>
      </c>
      <c r="J108" s="14" t="n"/>
      <c r="K108" s="14" t="n"/>
      <c r="L108" s="15">
        <f>IF(K108="","",HYPERLINK(IF(LEFT(K108,4)="http",K108,set_QwilrBase&amp;K108),"Open quote"))</f>
        <v/>
      </c>
      <c r="M108" s="53" t="n"/>
      <c r="N108" s="14" t="n"/>
      <c r="O108" s="14" t="n"/>
    </row>
    <row r="109" ht="15" customHeight="1">
      <c r="A109" s="51">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52">
        <f>IF(C109="","",COUNTIFS(tbl_Finance[Job Number],C109&amp;"",tbl_Finance[Ex GST],"&lt;&gt;"))</f>
        <v/>
      </c>
      <c r="H109" s="17">
        <f>IF(C109="","",SUMIFS(tbl_Finance[Ex GST],tbl_Finance[Job Number],C109&amp;""))</f>
        <v/>
      </c>
      <c r="I109" s="15">
        <f>IF(C109="","",IFERROR(INDEX(tbl_Finance[Cost Centre],MATCH(C109&amp;"",tbl_Finance[Job Number],0)),"not invoiced yet"))</f>
        <v/>
      </c>
      <c r="J109" s="14" t="n"/>
      <c r="K109" s="14" t="n"/>
      <c r="L109" s="15">
        <f>IF(K109="","",HYPERLINK(IF(LEFT(K109,4)="http",K109,set_QwilrBase&amp;K109),"Open quote"))</f>
        <v/>
      </c>
      <c r="M109" s="53" t="n"/>
      <c r="N109" s="14" t="n"/>
      <c r="O109" s="14" t="n"/>
    </row>
    <row r="110" ht="15" customHeight="1">
      <c r="A110" s="51">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52">
        <f>IF(C110="","",COUNTIFS(tbl_Finance[Job Number],C110&amp;"",tbl_Finance[Ex GST],"&lt;&gt;"))</f>
        <v/>
      </c>
      <c r="H110" s="17">
        <f>IF(C110="","",SUMIFS(tbl_Finance[Ex GST],tbl_Finance[Job Number],C110&amp;""))</f>
        <v/>
      </c>
      <c r="I110" s="15">
        <f>IF(C110="","",IFERROR(INDEX(tbl_Finance[Cost Centre],MATCH(C110&amp;"",tbl_Finance[Job Number],0)),"not invoiced yet"))</f>
        <v/>
      </c>
      <c r="J110" s="14" t="n"/>
      <c r="K110" s="14" t="n"/>
      <c r="L110" s="15">
        <f>IF(K110="","",HYPERLINK(IF(LEFT(K110,4)="http",K110,set_QwilrBase&amp;K110),"Open quote"))</f>
        <v/>
      </c>
      <c r="M110" s="53" t="n"/>
      <c r="N110" s="14" t="n"/>
      <c r="O110" s="14" t="n"/>
    </row>
    <row r="111" ht="15" customHeight="1">
      <c r="A111" s="51">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52">
        <f>IF(C111="","",COUNTIFS(tbl_Finance[Job Number],C111&amp;"",tbl_Finance[Ex GST],"&lt;&gt;"))</f>
        <v/>
      </c>
      <c r="H111" s="17">
        <f>IF(C111="","",SUMIFS(tbl_Finance[Ex GST],tbl_Finance[Job Number],C111&amp;""))</f>
        <v/>
      </c>
      <c r="I111" s="15">
        <f>IF(C111="","",IFERROR(INDEX(tbl_Finance[Cost Centre],MATCH(C111&amp;"",tbl_Finance[Job Number],0)),"not invoiced yet"))</f>
        <v/>
      </c>
      <c r="J111" s="14" t="n"/>
      <c r="K111" s="14" t="n"/>
      <c r="L111" s="15">
        <f>IF(K111="","",HYPERLINK(IF(LEFT(K111,4)="http",K111,set_QwilrBase&amp;K111),"Open quote"))</f>
        <v/>
      </c>
      <c r="M111" s="53" t="n"/>
      <c r="N111" s="14" t="n"/>
      <c r="O111" s="14" t="n"/>
    </row>
    <row r="112" ht="15" customHeight="1">
      <c r="A112" s="51">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52">
        <f>IF(C112="","",COUNTIFS(tbl_Finance[Job Number],C112&amp;"",tbl_Finance[Ex GST],"&lt;&gt;"))</f>
        <v/>
      </c>
      <c r="H112" s="17">
        <f>IF(C112="","",SUMIFS(tbl_Finance[Ex GST],tbl_Finance[Job Number],C112&amp;""))</f>
        <v/>
      </c>
      <c r="I112" s="15">
        <f>IF(C112="","",IFERROR(INDEX(tbl_Finance[Cost Centre],MATCH(C112&amp;"",tbl_Finance[Job Number],0)),"not invoiced yet"))</f>
        <v/>
      </c>
      <c r="J112" s="14" t="n"/>
      <c r="K112" s="14" t="n"/>
      <c r="L112" s="15">
        <f>IF(K112="","",HYPERLINK(IF(LEFT(K112,4)="http",K112,set_QwilrBase&amp;K112),"Open quote"))</f>
        <v/>
      </c>
      <c r="M112" s="53" t="n"/>
      <c r="N112" s="14" t="n"/>
      <c r="O112" s="14" t="n"/>
    </row>
    <row r="113" ht="15" customHeight="1">
      <c r="A113" s="51">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52">
        <f>IF(C113="","",COUNTIFS(tbl_Finance[Job Number],C113&amp;"",tbl_Finance[Ex GST],"&lt;&gt;"))</f>
        <v/>
      </c>
      <c r="H113" s="17">
        <f>IF(C113="","",SUMIFS(tbl_Finance[Ex GST],tbl_Finance[Job Number],C113&amp;""))</f>
        <v/>
      </c>
      <c r="I113" s="15">
        <f>IF(C113="","",IFERROR(INDEX(tbl_Finance[Cost Centre],MATCH(C113&amp;"",tbl_Finance[Job Number],0)),"not invoiced yet"))</f>
        <v/>
      </c>
      <c r="J113" s="14" t="n"/>
      <c r="K113" s="14" t="n"/>
      <c r="L113" s="15">
        <f>IF(K113="","",HYPERLINK(IF(LEFT(K113,4)="http",K113,set_QwilrBase&amp;K113),"Open quote"))</f>
        <v/>
      </c>
      <c r="M113" s="53" t="n"/>
      <c r="N113" s="14" t="n"/>
      <c r="O113" s="14" t="n"/>
    </row>
    <row r="114" ht="15" customHeight="1">
      <c r="A114" s="51">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52">
        <f>IF(C114="","",COUNTIFS(tbl_Finance[Job Number],C114&amp;"",tbl_Finance[Ex GST],"&lt;&gt;"))</f>
        <v/>
      </c>
      <c r="H114" s="17">
        <f>IF(C114="","",SUMIFS(tbl_Finance[Ex GST],tbl_Finance[Job Number],C114&amp;""))</f>
        <v/>
      </c>
      <c r="I114" s="15">
        <f>IF(C114="","",IFERROR(INDEX(tbl_Finance[Cost Centre],MATCH(C114&amp;"",tbl_Finance[Job Number],0)),"not invoiced yet"))</f>
        <v/>
      </c>
      <c r="J114" s="14" t="n"/>
      <c r="K114" s="14" t="n"/>
      <c r="L114" s="15">
        <f>IF(K114="","",HYPERLINK(IF(LEFT(K114,4)="http",K114,set_QwilrBase&amp;K114),"Open quote"))</f>
        <v/>
      </c>
      <c r="M114" s="53" t="n"/>
      <c r="N114" s="14" t="n"/>
      <c r="O114" s="14" t="n"/>
    </row>
    <row r="115" ht="15" customHeight="1">
      <c r="A115" s="51">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52">
        <f>IF(C115="","",COUNTIFS(tbl_Finance[Job Number],C115&amp;"",tbl_Finance[Ex GST],"&lt;&gt;"))</f>
        <v/>
      </c>
      <c r="H115" s="17">
        <f>IF(C115="","",SUMIFS(tbl_Finance[Ex GST],tbl_Finance[Job Number],C115&amp;""))</f>
        <v/>
      </c>
      <c r="I115" s="15">
        <f>IF(C115="","",IFERROR(INDEX(tbl_Finance[Cost Centre],MATCH(C115&amp;"",tbl_Finance[Job Number],0)),"not invoiced yet"))</f>
        <v/>
      </c>
      <c r="J115" s="14" t="n"/>
      <c r="K115" s="14" t="n"/>
      <c r="L115" s="15">
        <f>IF(K115="","",HYPERLINK(IF(LEFT(K115,4)="http",K115,set_QwilrBase&amp;K115),"Open quote"))</f>
        <v/>
      </c>
      <c r="M115" s="53" t="n"/>
      <c r="N115" s="14" t="n"/>
      <c r="O115" s="14" t="n"/>
    </row>
    <row r="116" ht="15" customHeight="1">
      <c r="A116" s="51">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52">
        <f>IF(C116="","",COUNTIFS(tbl_Finance[Job Number],C116&amp;"",tbl_Finance[Ex GST],"&lt;&gt;"))</f>
        <v/>
      </c>
      <c r="H116" s="17">
        <f>IF(C116="","",SUMIFS(tbl_Finance[Ex GST],tbl_Finance[Job Number],C116&amp;""))</f>
        <v/>
      </c>
      <c r="I116" s="15">
        <f>IF(C116="","",IFERROR(INDEX(tbl_Finance[Cost Centre],MATCH(C116&amp;"",tbl_Finance[Job Number],0)),"not invoiced yet"))</f>
        <v/>
      </c>
      <c r="J116" s="14" t="n"/>
      <c r="K116" s="14" t="n"/>
      <c r="L116" s="15">
        <f>IF(K116="","",HYPERLINK(IF(LEFT(K116,4)="http",K116,set_QwilrBase&amp;K116),"Open quote"))</f>
        <v/>
      </c>
      <c r="M116" s="53" t="n"/>
      <c r="N116" s="14" t="n"/>
      <c r="O116" s="14" t="n"/>
    </row>
    <row r="117" ht="15" customHeight="1">
      <c r="A117" s="51">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52">
        <f>IF(C117="","",COUNTIFS(tbl_Finance[Job Number],C117&amp;"",tbl_Finance[Ex GST],"&lt;&gt;"))</f>
        <v/>
      </c>
      <c r="H117" s="17">
        <f>IF(C117="","",SUMIFS(tbl_Finance[Ex GST],tbl_Finance[Job Number],C117&amp;""))</f>
        <v/>
      </c>
      <c r="I117" s="15">
        <f>IF(C117="","",IFERROR(INDEX(tbl_Finance[Cost Centre],MATCH(C117&amp;"",tbl_Finance[Job Number],0)),"not invoiced yet"))</f>
        <v/>
      </c>
      <c r="J117" s="14" t="n"/>
      <c r="K117" s="14" t="n"/>
      <c r="L117" s="15">
        <f>IF(K117="","",HYPERLINK(IF(LEFT(K117,4)="http",K117,set_QwilrBase&amp;K117),"Open quote"))</f>
        <v/>
      </c>
      <c r="M117" s="53" t="n"/>
      <c r="N117" s="14" t="n"/>
      <c r="O117" s="14" t="n"/>
    </row>
    <row r="118" ht="15" customHeight="1">
      <c r="A118" s="51">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52">
        <f>IF(C118="","",COUNTIFS(tbl_Finance[Job Number],C118&amp;"",tbl_Finance[Ex GST],"&lt;&gt;"))</f>
        <v/>
      </c>
      <c r="H118" s="17">
        <f>IF(C118="","",SUMIFS(tbl_Finance[Ex GST],tbl_Finance[Job Number],C118&amp;""))</f>
        <v/>
      </c>
      <c r="I118" s="15">
        <f>IF(C118="","",IFERROR(INDEX(tbl_Finance[Cost Centre],MATCH(C118&amp;"",tbl_Finance[Job Number],0)),"not invoiced yet"))</f>
        <v/>
      </c>
      <c r="J118" s="14" t="n"/>
      <c r="K118" s="14" t="n"/>
      <c r="L118" s="15">
        <f>IF(K118="","",HYPERLINK(IF(LEFT(K118,4)="http",K118,set_QwilrBase&amp;K118),"Open quote"))</f>
        <v/>
      </c>
      <c r="M118" s="53" t="n"/>
      <c r="N118" s="14" t="n"/>
      <c r="O118" s="14" t="n"/>
    </row>
    <row r="119" ht="15" customHeight="1">
      <c r="A119" s="51">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52">
        <f>IF(C119="","",COUNTIFS(tbl_Finance[Job Number],C119&amp;"",tbl_Finance[Ex GST],"&lt;&gt;"))</f>
        <v/>
      </c>
      <c r="H119" s="17">
        <f>IF(C119="","",SUMIFS(tbl_Finance[Ex GST],tbl_Finance[Job Number],C119&amp;""))</f>
        <v/>
      </c>
      <c r="I119" s="15">
        <f>IF(C119="","",IFERROR(INDEX(tbl_Finance[Cost Centre],MATCH(C119&amp;"",tbl_Finance[Job Number],0)),"not invoiced yet"))</f>
        <v/>
      </c>
      <c r="J119" s="14" t="n"/>
      <c r="K119" s="14" t="n"/>
      <c r="L119" s="15">
        <f>IF(K119="","",HYPERLINK(IF(LEFT(K119,4)="http",K119,set_QwilrBase&amp;K119),"Open quote"))</f>
        <v/>
      </c>
      <c r="M119" s="53" t="n"/>
      <c r="N119" s="14" t="n"/>
      <c r="O119" s="14" t="n"/>
    </row>
    <row r="120" ht="15" customHeight="1">
      <c r="A120" s="51">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52">
        <f>IF(C120="","",COUNTIFS(tbl_Finance[Job Number],C120&amp;"",tbl_Finance[Ex GST],"&lt;&gt;"))</f>
        <v/>
      </c>
      <c r="H120" s="17">
        <f>IF(C120="","",SUMIFS(tbl_Finance[Ex GST],tbl_Finance[Job Number],C120&amp;""))</f>
        <v/>
      </c>
      <c r="I120" s="15">
        <f>IF(C120="","",IFERROR(INDEX(tbl_Finance[Cost Centre],MATCH(C120&amp;"",tbl_Finance[Job Number],0)),"not invoiced yet"))</f>
        <v/>
      </c>
      <c r="J120" s="14" t="n"/>
      <c r="K120" s="14" t="n"/>
      <c r="L120" s="15">
        <f>IF(K120="","",HYPERLINK(IF(LEFT(K120,4)="http",K120,set_QwilrBase&amp;K120),"Open quote"))</f>
        <v/>
      </c>
      <c r="M120" s="53" t="n"/>
      <c r="N120" s="14" t="n"/>
      <c r="O120" s="14" t="n"/>
    </row>
    <row r="121" ht="15" customHeight="1">
      <c r="A121" s="51">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52">
        <f>IF(C121="","",COUNTIFS(tbl_Finance[Job Number],C121&amp;"",tbl_Finance[Ex GST],"&lt;&gt;"))</f>
        <v/>
      </c>
      <c r="H121" s="17">
        <f>IF(C121="","",SUMIFS(tbl_Finance[Ex GST],tbl_Finance[Job Number],C121&amp;""))</f>
        <v/>
      </c>
      <c r="I121" s="15">
        <f>IF(C121="","",IFERROR(INDEX(tbl_Finance[Cost Centre],MATCH(C121&amp;"",tbl_Finance[Job Number],0)),"not invoiced yet"))</f>
        <v/>
      </c>
      <c r="J121" s="14" t="n"/>
      <c r="K121" s="14" t="n"/>
      <c r="L121" s="15">
        <f>IF(K121="","",HYPERLINK(IF(LEFT(K121,4)="http",K121,set_QwilrBase&amp;K121),"Open quote"))</f>
        <v/>
      </c>
      <c r="M121" s="53" t="n"/>
      <c r="N121" s="14" t="n"/>
      <c r="O121" s="14" t="n"/>
    </row>
    <row r="122" ht="15" customHeight="1">
      <c r="A122" s="51">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52">
        <f>IF(C122="","",COUNTIFS(tbl_Finance[Job Number],C122&amp;"",tbl_Finance[Ex GST],"&lt;&gt;"))</f>
        <v/>
      </c>
      <c r="H122" s="17">
        <f>IF(C122="","",SUMIFS(tbl_Finance[Ex GST],tbl_Finance[Job Number],C122&amp;""))</f>
        <v/>
      </c>
      <c r="I122" s="15">
        <f>IF(C122="","",IFERROR(INDEX(tbl_Finance[Cost Centre],MATCH(C122&amp;"",tbl_Finance[Job Number],0)),"not invoiced yet"))</f>
        <v/>
      </c>
      <c r="J122" s="14" t="n"/>
      <c r="K122" s="14" t="n"/>
      <c r="L122" s="15">
        <f>IF(K122="","",HYPERLINK(IF(LEFT(K122,4)="http",K122,set_QwilrBase&amp;K122),"Open quote"))</f>
        <v/>
      </c>
      <c r="M122" s="53" t="n"/>
      <c r="N122" s="14" t="n"/>
      <c r="O122" s="14" t="n"/>
    </row>
    <row r="123" ht="15" customHeight="1">
      <c r="A123" s="51">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52">
        <f>IF(C123="","",COUNTIFS(tbl_Finance[Job Number],C123&amp;"",tbl_Finance[Ex GST],"&lt;&gt;"))</f>
        <v/>
      </c>
      <c r="H123" s="17">
        <f>IF(C123="","",SUMIFS(tbl_Finance[Ex GST],tbl_Finance[Job Number],C123&amp;""))</f>
        <v/>
      </c>
      <c r="I123" s="15">
        <f>IF(C123="","",IFERROR(INDEX(tbl_Finance[Cost Centre],MATCH(C123&amp;"",tbl_Finance[Job Number],0)),"not invoiced yet"))</f>
        <v/>
      </c>
      <c r="J123" s="14" t="n"/>
      <c r="K123" s="14" t="n"/>
      <c r="L123" s="15">
        <f>IF(K123="","",HYPERLINK(IF(LEFT(K123,4)="http",K123,set_QwilrBase&amp;K123),"Open quote"))</f>
        <v/>
      </c>
      <c r="M123" s="53" t="n"/>
      <c r="N123" s="14" t="n"/>
      <c r="O123" s="14" t="n"/>
    </row>
    <row r="124" ht="15" customHeight="1">
      <c r="A124" s="51">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52">
        <f>IF(C124="","",COUNTIFS(tbl_Finance[Job Number],C124&amp;"",tbl_Finance[Ex GST],"&lt;&gt;"))</f>
        <v/>
      </c>
      <c r="H124" s="17">
        <f>IF(C124="","",SUMIFS(tbl_Finance[Ex GST],tbl_Finance[Job Number],C124&amp;""))</f>
        <v/>
      </c>
      <c r="I124" s="15">
        <f>IF(C124="","",IFERROR(INDEX(tbl_Finance[Cost Centre],MATCH(C124&amp;"",tbl_Finance[Job Number],0)),"not invoiced yet"))</f>
        <v/>
      </c>
      <c r="J124" s="14" t="n"/>
      <c r="K124" s="14" t="n"/>
      <c r="L124" s="15">
        <f>IF(K124="","",HYPERLINK(IF(LEFT(K124,4)="http",K124,set_QwilrBase&amp;K124),"Open quote"))</f>
        <v/>
      </c>
      <c r="M124" s="53" t="n"/>
      <c r="N124" s="14" t="n"/>
      <c r="O124" s="14" t="n"/>
    </row>
    <row r="125" ht="15" customHeight="1">
      <c r="A125" s="51">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52">
        <f>IF(C125="","",COUNTIFS(tbl_Finance[Job Number],C125&amp;"",tbl_Finance[Ex GST],"&lt;&gt;"))</f>
        <v/>
      </c>
      <c r="H125" s="17">
        <f>IF(C125="","",SUMIFS(tbl_Finance[Ex GST],tbl_Finance[Job Number],C125&amp;""))</f>
        <v/>
      </c>
      <c r="I125" s="15">
        <f>IF(C125="","",IFERROR(INDEX(tbl_Finance[Cost Centre],MATCH(C125&amp;"",tbl_Finance[Job Number],0)),"not invoiced yet"))</f>
        <v/>
      </c>
      <c r="J125" s="14" t="n"/>
      <c r="K125" s="14" t="n"/>
      <c r="L125" s="15">
        <f>IF(K125="","",HYPERLINK(IF(LEFT(K125,4)="http",K125,set_QwilrBase&amp;K125),"Open quote"))</f>
        <v/>
      </c>
      <c r="M125" s="53" t="n"/>
      <c r="N125" s="14" t="n"/>
      <c r="O125" s="14" t="n"/>
    </row>
    <row r="126" ht="15" customHeight="1">
      <c r="A126" s="51">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52">
        <f>IF(C126="","",COUNTIFS(tbl_Finance[Job Number],C126&amp;"",tbl_Finance[Ex GST],"&lt;&gt;"))</f>
        <v/>
      </c>
      <c r="H126" s="17">
        <f>IF(C126="","",SUMIFS(tbl_Finance[Ex GST],tbl_Finance[Job Number],C126&amp;""))</f>
        <v/>
      </c>
      <c r="I126" s="15">
        <f>IF(C126="","",IFERROR(INDEX(tbl_Finance[Cost Centre],MATCH(C126&amp;"",tbl_Finance[Job Number],0)),"not invoiced yet"))</f>
        <v/>
      </c>
      <c r="J126" s="14" t="n"/>
      <c r="K126" s="14" t="n"/>
      <c r="L126" s="15">
        <f>IF(K126="","",HYPERLINK(IF(LEFT(K126,4)="http",K126,set_QwilrBase&amp;K126),"Open quote"))</f>
        <v/>
      </c>
      <c r="M126" s="53" t="n"/>
      <c r="N126" s="14" t="n"/>
      <c r="O126" s="14" t="n"/>
    </row>
    <row r="127" ht="15" customHeight="1">
      <c r="A127" s="51">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52">
        <f>IF(C127="","",COUNTIFS(tbl_Finance[Job Number],C127&amp;"",tbl_Finance[Ex GST],"&lt;&gt;"))</f>
        <v/>
      </c>
      <c r="H127" s="17">
        <f>IF(C127="","",SUMIFS(tbl_Finance[Ex GST],tbl_Finance[Job Number],C127&amp;""))</f>
        <v/>
      </c>
      <c r="I127" s="15">
        <f>IF(C127="","",IFERROR(INDEX(tbl_Finance[Cost Centre],MATCH(C127&amp;"",tbl_Finance[Job Number],0)),"not invoiced yet"))</f>
        <v/>
      </c>
      <c r="J127" s="14" t="n"/>
      <c r="K127" s="14" t="n"/>
      <c r="L127" s="15">
        <f>IF(K127="","",HYPERLINK(IF(LEFT(K127,4)="http",K127,set_QwilrBase&amp;K127),"Open quote"))</f>
        <v/>
      </c>
      <c r="M127" s="53" t="n"/>
      <c r="N127" s="14" t="n"/>
      <c r="O127" s="14" t="n"/>
    </row>
    <row r="128" ht="15" customHeight="1">
      <c r="A128" s="51">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52">
        <f>IF(C128="","",COUNTIFS(tbl_Finance[Job Number],C128&amp;"",tbl_Finance[Ex GST],"&lt;&gt;"))</f>
        <v/>
      </c>
      <c r="H128" s="17">
        <f>IF(C128="","",SUMIFS(tbl_Finance[Ex GST],tbl_Finance[Job Number],C128&amp;""))</f>
        <v/>
      </c>
      <c r="I128" s="15">
        <f>IF(C128="","",IFERROR(INDEX(tbl_Finance[Cost Centre],MATCH(C128&amp;"",tbl_Finance[Job Number],0)),"not invoiced yet"))</f>
        <v/>
      </c>
      <c r="J128" s="14" t="n"/>
      <c r="K128" s="14" t="n"/>
      <c r="L128" s="15">
        <f>IF(K128="","",HYPERLINK(IF(LEFT(K128,4)="http",K128,set_QwilrBase&amp;K128),"Open quote"))</f>
        <v/>
      </c>
      <c r="M128" s="53" t="n"/>
      <c r="N128" s="14" t="n"/>
      <c r="O128" s="14" t="n"/>
    </row>
    <row r="129" ht="15" customHeight="1">
      <c r="A129" s="51">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52">
        <f>IF(C129="","",COUNTIFS(tbl_Finance[Job Number],C129&amp;"",tbl_Finance[Ex GST],"&lt;&gt;"))</f>
        <v/>
      </c>
      <c r="H129" s="17">
        <f>IF(C129="","",SUMIFS(tbl_Finance[Ex GST],tbl_Finance[Job Number],C129&amp;""))</f>
        <v/>
      </c>
      <c r="I129" s="15">
        <f>IF(C129="","",IFERROR(INDEX(tbl_Finance[Cost Centre],MATCH(C129&amp;"",tbl_Finance[Job Number],0)),"not invoiced yet"))</f>
        <v/>
      </c>
      <c r="J129" s="14" t="n"/>
      <c r="K129" s="14" t="n"/>
      <c r="L129" s="15">
        <f>IF(K129="","",HYPERLINK(IF(LEFT(K129,4)="http",K129,set_QwilrBase&amp;K129),"Open quote"))</f>
        <v/>
      </c>
      <c r="M129" s="53" t="n"/>
      <c r="N129" s="14" t="n"/>
      <c r="O129" s="14" t="n"/>
    </row>
    <row r="130" ht="15" customHeight="1">
      <c r="A130" s="51">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52">
        <f>IF(C130="","",COUNTIFS(tbl_Finance[Job Number],C130&amp;"",tbl_Finance[Ex GST],"&lt;&gt;"))</f>
        <v/>
      </c>
      <c r="H130" s="17">
        <f>IF(C130="","",SUMIFS(tbl_Finance[Ex GST],tbl_Finance[Job Number],C130&amp;""))</f>
        <v/>
      </c>
      <c r="I130" s="15">
        <f>IF(C130="","",IFERROR(INDEX(tbl_Finance[Cost Centre],MATCH(C130&amp;"",tbl_Finance[Job Number],0)),"not invoiced yet"))</f>
        <v/>
      </c>
      <c r="J130" s="14" t="n"/>
      <c r="K130" s="14" t="n"/>
      <c r="L130" s="15">
        <f>IF(K130="","",HYPERLINK(IF(LEFT(K130,4)="http",K130,set_QwilrBase&amp;K130),"Open quote"))</f>
        <v/>
      </c>
      <c r="M130" s="53" t="n"/>
      <c r="N130" s="14" t="n"/>
      <c r="O130" s="14" t="n"/>
    </row>
    <row r="131" ht="15" customHeight="1">
      <c r="A131" s="51">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52">
        <f>IF(C131="","",COUNTIFS(tbl_Finance[Job Number],C131&amp;"",tbl_Finance[Ex GST],"&lt;&gt;"))</f>
        <v/>
      </c>
      <c r="H131" s="17">
        <f>IF(C131="","",SUMIFS(tbl_Finance[Ex GST],tbl_Finance[Job Number],C131&amp;""))</f>
        <v/>
      </c>
      <c r="I131" s="15">
        <f>IF(C131="","",IFERROR(INDEX(tbl_Finance[Cost Centre],MATCH(C131&amp;"",tbl_Finance[Job Number],0)),"not invoiced yet"))</f>
        <v/>
      </c>
      <c r="J131" s="14" t="n"/>
      <c r="K131" s="14" t="n"/>
      <c r="L131" s="15">
        <f>IF(K131="","",HYPERLINK(IF(LEFT(K131,4)="http",K131,set_QwilrBase&amp;K131),"Open quote"))</f>
        <v/>
      </c>
      <c r="M131" s="53" t="n"/>
      <c r="N131" s="14" t="n"/>
      <c r="O131" s="14" t="n"/>
    </row>
    <row r="132" ht="15" customHeight="1">
      <c r="A132" s="51">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52">
        <f>IF(C132="","",COUNTIFS(tbl_Finance[Job Number],C132&amp;"",tbl_Finance[Ex GST],"&lt;&gt;"))</f>
        <v/>
      </c>
      <c r="H132" s="17">
        <f>IF(C132="","",SUMIFS(tbl_Finance[Ex GST],tbl_Finance[Job Number],C132&amp;""))</f>
        <v/>
      </c>
      <c r="I132" s="15">
        <f>IF(C132="","",IFERROR(INDEX(tbl_Finance[Cost Centre],MATCH(C132&amp;"",tbl_Finance[Job Number],0)),"not invoiced yet"))</f>
        <v/>
      </c>
      <c r="J132" s="14" t="n"/>
      <c r="K132" s="14" t="n"/>
      <c r="L132" s="15">
        <f>IF(K132="","",HYPERLINK(IF(LEFT(K132,4)="http",K132,set_QwilrBase&amp;K132),"Open quote"))</f>
        <v/>
      </c>
      <c r="M132" s="53" t="n"/>
      <c r="N132" s="14" t="n"/>
      <c r="O132" s="14" t="n"/>
    </row>
    <row r="133" ht="15" customHeight="1">
      <c r="A133" s="51">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52">
        <f>IF(C133="","",COUNTIFS(tbl_Finance[Job Number],C133&amp;"",tbl_Finance[Ex GST],"&lt;&gt;"))</f>
        <v/>
      </c>
      <c r="H133" s="17">
        <f>IF(C133="","",SUMIFS(tbl_Finance[Ex GST],tbl_Finance[Job Number],C133&amp;""))</f>
        <v/>
      </c>
      <c r="I133" s="15">
        <f>IF(C133="","",IFERROR(INDEX(tbl_Finance[Cost Centre],MATCH(C133&amp;"",tbl_Finance[Job Number],0)),"not invoiced yet"))</f>
        <v/>
      </c>
      <c r="J133" s="14" t="n"/>
      <c r="K133" s="14" t="n"/>
      <c r="L133" s="15">
        <f>IF(K133="","",HYPERLINK(IF(LEFT(K133,4)="http",K133,set_QwilrBase&amp;K133),"Open quote"))</f>
        <v/>
      </c>
      <c r="M133" s="53" t="n"/>
      <c r="N133" s="14" t="n"/>
      <c r="O133" s="14" t="n"/>
    </row>
    <row r="134" ht="15" customHeight="1">
      <c r="A134" s="51">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52">
        <f>IF(C134="","",COUNTIFS(tbl_Finance[Job Number],C134&amp;"",tbl_Finance[Ex GST],"&lt;&gt;"))</f>
        <v/>
      </c>
      <c r="H134" s="17">
        <f>IF(C134="","",SUMIFS(tbl_Finance[Ex GST],tbl_Finance[Job Number],C134&amp;""))</f>
        <v/>
      </c>
      <c r="I134" s="15">
        <f>IF(C134="","",IFERROR(INDEX(tbl_Finance[Cost Centre],MATCH(C134&amp;"",tbl_Finance[Job Number],0)),"not invoiced yet"))</f>
        <v/>
      </c>
      <c r="J134" s="14" t="n"/>
      <c r="K134" s="14" t="n"/>
      <c r="L134" s="15">
        <f>IF(K134="","",HYPERLINK(IF(LEFT(K134,4)="http",K134,set_QwilrBase&amp;K134),"Open quote"))</f>
        <v/>
      </c>
      <c r="M134" s="53" t="n"/>
      <c r="N134" s="14" t="n"/>
      <c r="O134" s="14" t="n"/>
    </row>
    <row r="135" ht="15" customHeight="1">
      <c r="A135" s="51">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52">
        <f>IF(C135="","",COUNTIFS(tbl_Finance[Job Number],C135&amp;"",tbl_Finance[Ex GST],"&lt;&gt;"))</f>
        <v/>
      </c>
      <c r="H135" s="17">
        <f>IF(C135="","",SUMIFS(tbl_Finance[Ex GST],tbl_Finance[Job Number],C135&amp;""))</f>
        <v/>
      </c>
      <c r="I135" s="15">
        <f>IF(C135="","",IFERROR(INDEX(tbl_Finance[Cost Centre],MATCH(C135&amp;"",tbl_Finance[Job Number],0)),"not invoiced yet"))</f>
        <v/>
      </c>
      <c r="J135" s="14" t="n"/>
      <c r="K135" s="14" t="n"/>
      <c r="L135" s="15">
        <f>IF(K135="","",HYPERLINK(IF(LEFT(K135,4)="http",K135,set_QwilrBase&amp;K135),"Open quote"))</f>
        <v/>
      </c>
      <c r="M135" s="53" t="n"/>
      <c r="N135" s="14" t="n"/>
      <c r="O135" s="14" t="n"/>
    </row>
    <row r="136" ht="15" customHeight="1">
      <c r="A136" s="51">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52">
        <f>IF(C136="","",COUNTIFS(tbl_Finance[Job Number],C136&amp;"",tbl_Finance[Ex GST],"&lt;&gt;"))</f>
        <v/>
      </c>
      <c r="H136" s="17">
        <f>IF(C136="","",SUMIFS(tbl_Finance[Ex GST],tbl_Finance[Job Number],C136&amp;""))</f>
        <v/>
      </c>
      <c r="I136" s="15">
        <f>IF(C136="","",IFERROR(INDEX(tbl_Finance[Cost Centre],MATCH(C136&amp;"",tbl_Finance[Job Number],0)),"not invoiced yet"))</f>
        <v/>
      </c>
      <c r="J136" s="14" t="n"/>
      <c r="K136" s="14" t="n"/>
      <c r="L136" s="15">
        <f>IF(K136="","",HYPERLINK(IF(LEFT(K136,4)="http",K136,set_QwilrBase&amp;K136),"Open quote"))</f>
        <v/>
      </c>
      <c r="M136" s="53" t="n"/>
      <c r="N136" s="14" t="n"/>
      <c r="O136" s="14" t="n"/>
    </row>
    <row r="137" ht="15" customHeight="1">
      <c r="A137" s="51">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52">
        <f>IF(C137="","",COUNTIFS(tbl_Finance[Job Number],C137&amp;"",tbl_Finance[Ex GST],"&lt;&gt;"))</f>
        <v/>
      </c>
      <c r="H137" s="17">
        <f>IF(C137="","",SUMIFS(tbl_Finance[Ex GST],tbl_Finance[Job Number],C137&amp;""))</f>
        <v/>
      </c>
      <c r="I137" s="15">
        <f>IF(C137="","",IFERROR(INDEX(tbl_Finance[Cost Centre],MATCH(C137&amp;"",tbl_Finance[Job Number],0)),"not invoiced yet"))</f>
        <v/>
      </c>
      <c r="J137" s="14" t="n"/>
      <c r="K137" s="14" t="n"/>
      <c r="L137" s="15">
        <f>IF(K137="","",HYPERLINK(IF(LEFT(K137,4)="http",K137,set_QwilrBase&amp;K137),"Open quote"))</f>
        <v/>
      </c>
      <c r="M137" s="53" t="n"/>
      <c r="N137" s="14" t="n"/>
      <c r="O137" s="14" t="n"/>
    </row>
    <row r="138" ht="15" customHeight="1">
      <c r="A138" s="51">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52">
        <f>IF(C138="","",COUNTIFS(tbl_Finance[Job Number],C138&amp;"",tbl_Finance[Ex GST],"&lt;&gt;"))</f>
        <v/>
      </c>
      <c r="H138" s="17">
        <f>IF(C138="","",SUMIFS(tbl_Finance[Ex GST],tbl_Finance[Job Number],C138&amp;""))</f>
        <v/>
      </c>
      <c r="I138" s="15">
        <f>IF(C138="","",IFERROR(INDEX(tbl_Finance[Cost Centre],MATCH(C138&amp;"",tbl_Finance[Job Number],0)),"not invoiced yet"))</f>
        <v/>
      </c>
      <c r="J138" s="14" t="n"/>
      <c r="K138" s="14" t="n"/>
      <c r="L138" s="15">
        <f>IF(K138="","",HYPERLINK(IF(LEFT(K138,4)="http",K138,set_QwilrBase&amp;K138),"Open quote"))</f>
        <v/>
      </c>
      <c r="M138" s="53" t="n"/>
      <c r="N138" s="14" t="n"/>
      <c r="O138" s="14" t="n"/>
    </row>
    <row r="139" ht="15" customHeight="1">
      <c r="A139" s="51">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52">
        <f>IF(C139="","",COUNTIFS(tbl_Finance[Job Number],C139&amp;"",tbl_Finance[Ex GST],"&lt;&gt;"))</f>
        <v/>
      </c>
      <c r="H139" s="17">
        <f>IF(C139="","",SUMIFS(tbl_Finance[Ex GST],tbl_Finance[Job Number],C139&amp;""))</f>
        <v/>
      </c>
      <c r="I139" s="15">
        <f>IF(C139="","",IFERROR(INDEX(tbl_Finance[Cost Centre],MATCH(C139&amp;"",tbl_Finance[Job Number],0)),"not invoiced yet"))</f>
        <v/>
      </c>
      <c r="J139" s="14" t="n"/>
      <c r="K139" s="14" t="n"/>
      <c r="L139" s="15">
        <f>IF(K139="","",HYPERLINK(IF(LEFT(K139,4)="http",K139,set_QwilrBase&amp;K139),"Open quote"))</f>
        <v/>
      </c>
      <c r="M139" s="53" t="n"/>
      <c r="N139" s="14" t="n"/>
      <c r="O139" s="14" t="n"/>
    </row>
    <row r="140" ht="15" customHeight="1">
      <c r="A140" s="51">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52">
        <f>IF(C140="","",COUNTIFS(tbl_Finance[Job Number],C140&amp;"",tbl_Finance[Ex GST],"&lt;&gt;"))</f>
        <v/>
      </c>
      <c r="H140" s="17">
        <f>IF(C140="","",SUMIFS(tbl_Finance[Ex GST],tbl_Finance[Job Number],C140&amp;""))</f>
        <v/>
      </c>
      <c r="I140" s="15">
        <f>IF(C140="","",IFERROR(INDEX(tbl_Finance[Cost Centre],MATCH(C140&amp;"",tbl_Finance[Job Number],0)),"not invoiced yet"))</f>
        <v/>
      </c>
      <c r="J140" s="14" t="n"/>
      <c r="K140" s="14" t="n"/>
      <c r="L140" s="15">
        <f>IF(K140="","",HYPERLINK(IF(LEFT(K140,4)="http",K140,set_QwilrBase&amp;K140),"Open quote"))</f>
        <v/>
      </c>
      <c r="M140" s="53" t="n"/>
      <c r="N140" s="14" t="n"/>
      <c r="O140" s="14" t="n"/>
    </row>
    <row r="141" ht="15" customHeight="1">
      <c r="A141" s="51">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52">
        <f>IF(C141="","",COUNTIFS(tbl_Finance[Job Number],C141&amp;"",tbl_Finance[Ex GST],"&lt;&gt;"))</f>
        <v/>
      </c>
      <c r="H141" s="17">
        <f>IF(C141="","",SUMIFS(tbl_Finance[Ex GST],tbl_Finance[Job Number],C141&amp;""))</f>
        <v/>
      </c>
      <c r="I141" s="15">
        <f>IF(C141="","",IFERROR(INDEX(tbl_Finance[Cost Centre],MATCH(C141&amp;"",tbl_Finance[Job Number],0)),"not invoiced yet"))</f>
        <v/>
      </c>
      <c r="J141" s="14" t="n"/>
      <c r="K141" s="14" t="n"/>
      <c r="L141" s="15">
        <f>IF(K141="","",HYPERLINK(IF(LEFT(K141,4)="http",K141,set_QwilrBase&amp;K141),"Open quote"))</f>
        <v/>
      </c>
      <c r="M141" s="53" t="n"/>
      <c r="N141" s="14" t="n"/>
      <c r="O141" s="14" t="n"/>
    </row>
    <row r="142" ht="15" customHeight="1">
      <c r="A142" s="51">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52">
        <f>IF(C142="","",COUNTIFS(tbl_Finance[Job Number],C142&amp;"",tbl_Finance[Ex GST],"&lt;&gt;"))</f>
        <v/>
      </c>
      <c r="H142" s="17">
        <f>IF(C142="","",SUMIFS(tbl_Finance[Ex GST],tbl_Finance[Job Number],C142&amp;""))</f>
        <v/>
      </c>
      <c r="I142" s="15">
        <f>IF(C142="","",IFERROR(INDEX(tbl_Finance[Cost Centre],MATCH(C142&amp;"",tbl_Finance[Job Number],0)),"not invoiced yet"))</f>
        <v/>
      </c>
      <c r="J142" s="14" t="n"/>
      <c r="K142" s="14" t="n"/>
      <c r="L142" s="15">
        <f>IF(K142="","",HYPERLINK(IF(LEFT(K142,4)="http",K142,set_QwilrBase&amp;K142),"Open quote"))</f>
        <v/>
      </c>
      <c r="M142" s="53" t="n"/>
      <c r="N142" s="14" t="n"/>
      <c r="O142" s="14" t="n"/>
    </row>
    <row r="143" ht="15" customHeight="1">
      <c r="A143" s="51">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52">
        <f>IF(C143="","",COUNTIFS(tbl_Finance[Job Number],C143&amp;"",tbl_Finance[Ex GST],"&lt;&gt;"))</f>
        <v/>
      </c>
      <c r="H143" s="17">
        <f>IF(C143="","",SUMIFS(tbl_Finance[Ex GST],tbl_Finance[Job Number],C143&amp;""))</f>
        <v/>
      </c>
      <c r="I143" s="15">
        <f>IF(C143="","",IFERROR(INDEX(tbl_Finance[Cost Centre],MATCH(C143&amp;"",tbl_Finance[Job Number],0)),"not invoiced yet"))</f>
        <v/>
      </c>
      <c r="J143" s="14" t="n"/>
      <c r="K143" s="14" t="n"/>
      <c r="L143" s="15">
        <f>IF(K143="","",HYPERLINK(IF(LEFT(K143,4)="http",K143,set_QwilrBase&amp;K143),"Open quote"))</f>
        <v/>
      </c>
      <c r="M143" s="53" t="n"/>
      <c r="N143" s="14" t="n"/>
      <c r="O143" s="14" t="n"/>
    </row>
    <row r="144" ht="15" customHeight="1">
      <c r="A144" s="51">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52">
        <f>IF(C144="","",COUNTIFS(tbl_Finance[Job Number],C144&amp;"",tbl_Finance[Ex GST],"&lt;&gt;"))</f>
        <v/>
      </c>
      <c r="H144" s="17">
        <f>IF(C144="","",SUMIFS(tbl_Finance[Ex GST],tbl_Finance[Job Number],C144&amp;""))</f>
        <v/>
      </c>
      <c r="I144" s="15">
        <f>IF(C144="","",IFERROR(INDEX(tbl_Finance[Cost Centre],MATCH(C144&amp;"",tbl_Finance[Job Number],0)),"not invoiced yet"))</f>
        <v/>
      </c>
      <c r="J144" s="14" t="n"/>
      <c r="K144" s="14" t="n"/>
      <c r="L144" s="15">
        <f>IF(K144="","",HYPERLINK(IF(LEFT(K144,4)="http",K144,set_QwilrBase&amp;K144),"Open quote"))</f>
        <v/>
      </c>
      <c r="M144" s="53" t="n"/>
      <c r="N144" s="14" t="n"/>
      <c r="O144" s="14" t="n"/>
    </row>
    <row r="145" ht="15" customHeight="1">
      <c r="A145" s="51">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52">
        <f>IF(C145="","",COUNTIFS(tbl_Finance[Job Number],C145&amp;"",tbl_Finance[Ex GST],"&lt;&gt;"))</f>
        <v/>
      </c>
      <c r="H145" s="17">
        <f>IF(C145="","",SUMIFS(tbl_Finance[Ex GST],tbl_Finance[Job Number],C145&amp;""))</f>
        <v/>
      </c>
      <c r="I145" s="15">
        <f>IF(C145="","",IFERROR(INDEX(tbl_Finance[Cost Centre],MATCH(C145&amp;"",tbl_Finance[Job Number],0)),"not invoiced yet"))</f>
        <v/>
      </c>
      <c r="J145" s="14" t="n"/>
      <c r="K145" s="14" t="n"/>
      <c r="L145" s="15">
        <f>IF(K145="","",HYPERLINK(IF(LEFT(K145,4)="http",K145,set_QwilrBase&amp;K145),"Open quote"))</f>
        <v/>
      </c>
      <c r="M145" s="53" t="n"/>
      <c r="N145" s="14" t="n"/>
      <c r="O145" s="14" t="n"/>
    </row>
    <row r="146" ht="15" customHeight="1">
      <c r="A146" s="51">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52">
        <f>IF(C146="","",COUNTIFS(tbl_Finance[Job Number],C146&amp;"",tbl_Finance[Ex GST],"&lt;&gt;"))</f>
        <v/>
      </c>
      <c r="H146" s="17">
        <f>IF(C146="","",SUMIFS(tbl_Finance[Ex GST],tbl_Finance[Job Number],C146&amp;""))</f>
        <v/>
      </c>
      <c r="I146" s="15">
        <f>IF(C146="","",IFERROR(INDEX(tbl_Finance[Cost Centre],MATCH(C146&amp;"",tbl_Finance[Job Number],0)),"not invoiced yet"))</f>
        <v/>
      </c>
      <c r="J146" s="14" t="n"/>
      <c r="K146" s="14" t="n"/>
      <c r="L146" s="15">
        <f>IF(K146="","",HYPERLINK(IF(LEFT(K146,4)="http",K146,set_QwilrBase&amp;K146),"Open quote"))</f>
        <v/>
      </c>
      <c r="M146" s="53" t="n"/>
      <c r="N146" s="14" t="n"/>
      <c r="O146" s="14" t="n"/>
    </row>
    <row r="147" ht="15" customHeight="1">
      <c r="A147" s="51">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52">
        <f>IF(C147="","",COUNTIFS(tbl_Finance[Job Number],C147&amp;"",tbl_Finance[Ex GST],"&lt;&gt;"))</f>
        <v/>
      </c>
      <c r="H147" s="17">
        <f>IF(C147="","",SUMIFS(tbl_Finance[Ex GST],tbl_Finance[Job Number],C147&amp;""))</f>
        <v/>
      </c>
      <c r="I147" s="15">
        <f>IF(C147="","",IFERROR(INDEX(tbl_Finance[Cost Centre],MATCH(C147&amp;"",tbl_Finance[Job Number],0)),"not invoiced yet"))</f>
        <v/>
      </c>
      <c r="J147" s="14" t="n"/>
      <c r="K147" s="14" t="n"/>
      <c r="L147" s="15">
        <f>IF(K147="","",HYPERLINK(IF(LEFT(K147,4)="http",K147,set_QwilrBase&amp;K147),"Open quote"))</f>
        <v/>
      </c>
      <c r="M147" s="53" t="n"/>
      <c r="N147" s="14" t="n"/>
      <c r="O147" s="14" t="n"/>
    </row>
    <row r="148" ht="15" customHeight="1">
      <c r="A148" s="51">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52">
        <f>IF(C148="","",COUNTIFS(tbl_Finance[Job Number],C148&amp;"",tbl_Finance[Ex GST],"&lt;&gt;"))</f>
        <v/>
      </c>
      <c r="H148" s="17">
        <f>IF(C148="","",SUMIFS(tbl_Finance[Ex GST],tbl_Finance[Job Number],C148&amp;""))</f>
        <v/>
      </c>
      <c r="I148" s="15">
        <f>IF(C148="","",IFERROR(INDEX(tbl_Finance[Cost Centre],MATCH(C148&amp;"",tbl_Finance[Job Number],0)),"not invoiced yet"))</f>
        <v/>
      </c>
      <c r="J148" s="14" t="n"/>
      <c r="K148" s="14" t="n"/>
      <c r="L148" s="15">
        <f>IF(K148="","",HYPERLINK(IF(LEFT(K148,4)="http",K148,set_QwilrBase&amp;K148),"Open quote"))</f>
        <v/>
      </c>
      <c r="M148" s="53" t="n"/>
      <c r="N148" s="14" t="n"/>
      <c r="O148" s="14" t="n"/>
    </row>
    <row r="149" ht="15" customHeight="1">
      <c r="A149" s="51">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52">
        <f>IF(C149="","",COUNTIFS(tbl_Finance[Job Number],C149&amp;"",tbl_Finance[Ex GST],"&lt;&gt;"))</f>
        <v/>
      </c>
      <c r="H149" s="17">
        <f>IF(C149="","",SUMIFS(tbl_Finance[Ex GST],tbl_Finance[Job Number],C149&amp;""))</f>
        <v/>
      </c>
      <c r="I149" s="15">
        <f>IF(C149="","",IFERROR(INDEX(tbl_Finance[Cost Centre],MATCH(C149&amp;"",tbl_Finance[Job Number],0)),"not invoiced yet"))</f>
        <v/>
      </c>
      <c r="J149" s="14" t="n"/>
      <c r="K149" s="14" t="n"/>
      <c r="L149" s="15">
        <f>IF(K149="","",HYPERLINK(IF(LEFT(K149,4)="http",K149,set_QwilrBase&amp;K149),"Open quote"))</f>
        <v/>
      </c>
      <c r="M149" s="53" t="n"/>
      <c r="N149" s="14" t="n"/>
      <c r="O149" s="14" t="n"/>
    </row>
    <row r="150" ht="15" customHeight="1">
      <c r="A150" s="51">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52">
        <f>IF(C150="","",COUNTIFS(tbl_Finance[Job Number],C150&amp;"",tbl_Finance[Ex GST],"&lt;&gt;"))</f>
        <v/>
      </c>
      <c r="H150" s="17">
        <f>IF(C150="","",SUMIFS(tbl_Finance[Ex GST],tbl_Finance[Job Number],C150&amp;""))</f>
        <v/>
      </c>
      <c r="I150" s="15">
        <f>IF(C150="","",IFERROR(INDEX(tbl_Finance[Cost Centre],MATCH(C150&amp;"",tbl_Finance[Job Number],0)),"not invoiced yet"))</f>
        <v/>
      </c>
      <c r="J150" s="14" t="n"/>
      <c r="K150" s="14" t="n"/>
      <c r="L150" s="15">
        <f>IF(K150="","",HYPERLINK(IF(LEFT(K150,4)="http",K150,set_QwilrBase&amp;K150),"Open quote"))</f>
        <v/>
      </c>
      <c r="M150" s="53" t="n"/>
      <c r="N150" s="14" t="n"/>
      <c r="O150" s="14" t="n"/>
    </row>
    <row r="151" ht="15" customHeight="1">
      <c r="A151" s="51">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52">
        <f>IF(C151="","",COUNTIFS(tbl_Finance[Job Number],C151&amp;"",tbl_Finance[Ex GST],"&lt;&gt;"))</f>
        <v/>
      </c>
      <c r="H151" s="17">
        <f>IF(C151="","",SUMIFS(tbl_Finance[Ex GST],tbl_Finance[Job Number],C151&amp;""))</f>
        <v/>
      </c>
      <c r="I151" s="15">
        <f>IF(C151="","",IFERROR(INDEX(tbl_Finance[Cost Centre],MATCH(C151&amp;"",tbl_Finance[Job Number],0)),"not invoiced yet"))</f>
        <v/>
      </c>
      <c r="J151" s="14" t="n"/>
      <c r="K151" s="14" t="n"/>
      <c r="L151" s="15">
        <f>IF(K151="","",HYPERLINK(IF(LEFT(K151,4)="http",K151,set_QwilrBase&amp;K151),"Open quote"))</f>
        <v/>
      </c>
      <c r="M151" s="53" t="n"/>
      <c r="N151" s="14" t="n"/>
      <c r="O151" s="14" t="n"/>
    </row>
    <row r="152" ht="15" customHeight="1">
      <c r="A152" s="51">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52">
        <f>IF(C152="","",COUNTIFS(tbl_Finance[Job Number],C152&amp;"",tbl_Finance[Ex GST],"&lt;&gt;"))</f>
        <v/>
      </c>
      <c r="H152" s="17">
        <f>IF(C152="","",SUMIFS(tbl_Finance[Ex GST],tbl_Finance[Job Number],C152&amp;""))</f>
        <v/>
      </c>
      <c r="I152" s="15">
        <f>IF(C152="","",IFERROR(INDEX(tbl_Finance[Cost Centre],MATCH(C152&amp;"",tbl_Finance[Job Number],0)),"not invoiced yet"))</f>
        <v/>
      </c>
      <c r="J152" s="14" t="n"/>
      <c r="K152" s="14" t="n"/>
      <c r="L152" s="15">
        <f>IF(K152="","",HYPERLINK(IF(LEFT(K152,4)="http",K152,set_QwilrBase&amp;K152),"Open quote"))</f>
        <v/>
      </c>
      <c r="M152" s="53" t="n"/>
      <c r="N152" s="14" t="n"/>
      <c r="O152" s="14" t="n"/>
    </row>
    <row r="153" ht="15" customHeight="1">
      <c r="A153" s="51">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52">
        <f>IF(C153="","",COUNTIFS(tbl_Finance[Job Number],C153&amp;"",tbl_Finance[Ex GST],"&lt;&gt;"))</f>
        <v/>
      </c>
      <c r="H153" s="17">
        <f>IF(C153="","",SUMIFS(tbl_Finance[Ex GST],tbl_Finance[Job Number],C153&amp;""))</f>
        <v/>
      </c>
      <c r="I153" s="15">
        <f>IF(C153="","",IFERROR(INDEX(tbl_Finance[Cost Centre],MATCH(C153&amp;"",tbl_Finance[Job Number],0)),"not invoiced yet"))</f>
        <v/>
      </c>
      <c r="J153" s="14" t="n"/>
      <c r="K153" s="14" t="n"/>
      <c r="L153" s="15">
        <f>IF(K153="","",HYPERLINK(IF(LEFT(K153,4)="http",K153,set_QwilrBase&amp;K153),"Open quote"))</f>
        <v/>
      </c>
      <c r="M153" s="53" t="n"/>
      <c r="N153" s="14" t="n"/>
      <c r="O153" s="14" t="n"/>
    </row>
    <row r="154" ht="15" customHeight="1">
      <c r="A154" s="51">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52">
        <f>IF(C154="","",COUNTIFS(tbl_Finance[Job Number],C154&amp;"",tbl_Finance[Ex GST],"&lt;&gt;"))</f>
        <v/>
      </c>
      <c r="H154" s="17">
        <f>IF(C154="","",SUMIFS(tbl_Finance[Ex GST],tbl_Finance[Job Number],C154&amp;""))</f>
        <v/>
      </c>
      <c r="I154" s="15">
        <f>IF(C154="","",IFERROR(INDEX(tbl_Finance[Cost Centre],MATCH(C154&amp;"",tbl_Finance[Job Number],0)),"not invoiced yet"))</f>
        <v/>
      </c>
      <c r="J154" s="14" t="n"/>
      <c r="K154" s="14" t="n"/>
      <c r="L154" s="15">
        <f>IF(K154="","",HYPERLINK(IF(LEFT(K154,4)="http",K154,set_QwilrBase&amp;K154),"Open quote"))</f>
        <v/>
      </c>
      <c r="M154" s="53" t="n"/>
      <c r="N154" s="14" t="n"/>
      <c r="O154" s="14" t="n"/>
    </row>
    <row r="155" ht="15" customHeight="1">
      <c r="A155" s="51">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52">
        <f>IF(C155="","",COUNTIFS(tbl_Finance[Job Number],C155&amp;"",tbl_Finance[Ex GST],"&lt;&gt;"))</f>
        <v/>
      </c>
      <c r="H155" s="17">
        <f>IF(C155="","",SUMIFS(tbl_Finance[Ex GST],tbl_Finance[Job Number],C155&amp;""))</f>
        <v/>
      </c>
      <c r="I155" s="15">
        <f>IF(C155="","",IFERROR(INDEX(tbl_Finance[Cost Centre],MATCH(C155&amp;"",tbl_Finance[Job Number],0)),"not invoiced yet"))</f>
        <v/>
      </c>
      <c r="J155" s="14" t="n"/>
      <c r="K155" s="14" t="n"/>
      <c r="L155" s="15">
        <f>IF(K155="","",HYPERLINK(IF(LEFT(K155,4)="http",K155,set_QwilrBase&amp;K155),"Open quote"))</f>
        <v/>
      </c>
      <c r="M155" s="53" t="n"/>
      <c r="N155" s="14" t="n"/>
      <c r="O155" s="14" t="n"/>
    </row>
    <row r="156" ht="15" customHeight="1">
      <c r="A156" s="51">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52">
        <f>IF(C156="","",COUNTIFS(tbl_Finance[Job Number],C156&amp;"",tbl_Finance[Ex GST],"&lt;&gt;"))</f>
        <v/>
      </c>
      <c r="H156" s="17">
        <f>IF(C156="","",SUMIFS(tbl_Finance[Ex GST],tbl_Finance[Job Number],C156&amp;""))</f>
        <v/>
      </c>
      <c r="I156" s="15">
        <f>IF(C156="","",IFERROR(INDEX(tbl_Finance[Cost Centre],MATCH(C156&amp;"",tbl_Finance[Job Number],0)),"not invoiced yet"))</f>
        <v/>
      </c>
      <c r="J156" s="14" t="n"/>
      <c r="K156" s="14" t="n"/>
      <c r="L156" s="15">
        <f>IF(K156="","",HYPERLINK(IF(LEFT(K156,4)="http",K156,set_QwilrBase&amp;K156),"Open quote"))</f>
        <v/>
      </c>
      <c r="M156" s="53" t="n"/>
      <c r="N156" s="14" t="n"/>
      <c r="O156" s="14" t="n"/>
    </row>
    <row r="157" ht="15" customHeight="1">
      <c r="A157" s="51">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52">
        <f>IF(C157="","",COUNTIFS(tbl_Finance[Job Number],C157&amp;"",tbl_Finance[Ex GST],"&lt;&gt;"))</f>
        <v/>
      </c>
      <c r="H157" s="17">
        <f>IF(C157="","",SUMIFS(tbl_Finance[Ex GST],tbl_Finance[Job Number],C157&amp;""))</f>
        <v/>
      </c>
      <c r="I157" s="15">
        <f>IF(C157="","",IFERROR(INDEX(tbl_Finance[Cost Centre],MATCH(C157&amp;"",tbl_Finance[Job Number],0)),"not invoiced yet"))</f>
        <v/>
      </c>
      <c r="J157" s="14" t="n"/>
      <c r="K157" s="14" t="n"/>
      <c r="L157" s="15">
        <f>IF(K157="","",HYPERLINK(IF(LEFT(K157,4)="http",K157,set_QwilrBase&amp;K157),"Open quote"))</f>
        <v/>
      </c>
      <c r="M157" s="53" t="n"/>
      <c r="N157" s="14" t="n"/>
      <c r="O157" s="14" t="n"/>
    </row>
    <row r="158" ht="15" customHeight="1">
      <c r="A158" s="51">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52">
        <f>IF(C158="","",COUNTIFS(tbl_Finance[Job Number],C158&amp;"",tbl_Finance[Ex GST],"&lt;&gt;"))</f>
        <v/>
      </c>
      <c r="H158" s="17">
        <f>IF(C158="","",SUMIFS(tbl_Finance[Ex GST],tbl_Finance[Job Number],C158&amp;""))</f>
        <v/>
      </c>
      <c r="I158" s="15">
        <f>IF(C158="","",IFERROR(INDEX(tbl_Finance[Cost Centre],MATCH(C158&amp;"",tbl_Finance[Job Number],0)),"not invoiced yet"))</f>
        <v/>
      </c>
      <c r="J158" s="14" t="n"/>
      <c r="K158" s="14" t="n"/>
      <c r="L158" s="15">
        <f>IF(K158="","",HYPERLINK(IF(LEFT(K158,4)="http",K158,set_QwilrBase&amp;K158),"Open quote"))</f>
        <v/>
      </c>
      <c r="M158" s="53" t="n"/>
      <c r="N158" s="14" t="n"/>
      <c r="O158" s="14" t="n"/>
    </row>
    <row r="159" ht="15" customHeight="1">
      <c r="A159" s="51">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52">
        <f>IF(C159="","",COUNTIFS(tbl_Finance[Job Number],C159&amp;"",tbl_Finance[Ex GST],"&lt;&gt;"))</f>
        <v/>
      </c>
      <c r="H159" s="17">
        <f>IF(C159="","",SUMIFS(tbl_Finance[Ex GST],tbl_Finance[Job Number],C159&amp;""))</f>
        <v/>
      </c>
      <c r="I159" s="15">
        <f>IF(C159="","",IFERROR(INDEX(tbl_Finance[Cost Centre],MATCH(C159&amp;"",tbl_Finance[Job Number],0)),"not invoiced yet"))</f>
        <v/>
      </c>
      <c r="J159" s="14" t="n"/>
      <c r="K159" s="14" t="n"/>
      <c r="L159" s="15">
        <f>IF(K159="","",HYPERLINK(IF(LEFT(K159,4)="http",K159,set_QwilrBase&amp;K159),"Open quote"))</f>
        <v/>
      </c>
      <c r="M159" s="53" t="n"/>
      <c r="N159" s="14" t="n"/>
      <c r="O159" s="14" t="n"/>
    </row>
    <row r="160" ht="15" customHeight="1">
      <c r="A160" s="51">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52">
        <f>IF(C160="","",COUNTIFS(tbl_Finance[Job Number],C160&amp;"",tbl_Finance[Ex GST],"&lt;&gt;"))</f>
        <v/>
      </c>
      <c r="H160" s="17">
        <f>IF(C160="","",SUMIFS(tbl_Finance[Ex GST],tbl_Finance[Job Number],C160&amp;""))</f>
        <v/>
      </c>
      <c r="I160" s="15">
        <f>IF(C160="","",IFERROR(INDEX(tbl_Finance[Cost Centre],MATCH(C160&amp;"",tbl_Finance[Job Number],0)),"not invoiced yet"))</f>
        <v/>
      </c>
      <c r="J160" s="14" t="n"/>
      <c r="K160" s="14" t="n"/>
      <c r="L160" s="15">
        <f>IF(K160="","",HYPERLINK(IF(LEFT(K160,4)="http",K160,set_QwilrBase&amp;K160),"Open quote"))</f>
        <v/>
      </c>
      <c r="M160" s="53" t="n"/>
      <c r="N160" s="14" t="n"/>
      <c r="O160" s="14" t="n"/>
    </row>
    <row r="161" ht="15" customHeight="1">
      <c r="A161" s="51">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52">
        <f>IF(C161="","",COUNTIFS(tbl_Finance[Job Number],C161&amp;"",tbl_Finance[Ex GST],"&lt;&gt;"))</f>
        <v/>
      </c>
      <c r="H161" s="17">
        <f>IF(C161="","",SUMIFS(tbl_Finance[Ex GST],tbl_Finance[Job Number],C161&amp;""))</f>
        <v/>
      </c>
      <c r="I161" s="15">
        <f>IF(C161="","",IFERROR(INDEX(tbl_Finance[Cost Centre],MATCH(C161&amp;"",tbl_Finance[Job Number],0)),"not invoiced yet"))</f>
        <v/>
      </c>
      <c r="J161" s="14" t="n"/>
      <c r="K161" s="14" t="n"/>
      <c r="L161" s="15">
        <f>IF(K161="","",HYPERLINK(IF(LEFT(K161,4)="http",K161,set_QwilrBase&amp;K161),"Open quote"))</f>
        <v/>
      </c>
      <c r="M161" s="53" t="n"/>
      <c r="N161" s="14" t="n"/>
      <c r="O161" s="14" t="n"/>
    </row>
    <row r="162" ht="15" customHeight="1">
      <c r="A162" s="51">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52">
        <f>IF(C162="","",COUNTIFS(tbl_Finance[Job Number],C162&amp;"",tbl_Finance[Ex GST],"&lt;&gt;"))</f>
        <v/>
      </c>
      <c r="H162" s="17">
        <f>IF(C162="","",SUMIFS(tbl_Finance[Ex GST],tbl_Finance[Job Number],C162&amp;""))</f>
        <v/>
      </c>
      <c r="I162" s="15">
        <f>IF(C162="","",IFERROR(INDEX(tbl_Finance[Cost Centre],MATCH(C162&amp;"",tbl_Finance[Job Number],0)),"not invoiced yet"))</f>
        <v/>
      </c>
      <c r="J162" s="14" t="n"/>
      <c r="K162" s="14" t="n"/>
      <c r="L162" s="15">
        <f>IF(K162="","",HYPERLINK(IF(LEFT(K162,4)="http",K162,set_QwilrBase&amp;K162),"Open quote"))</f>
        <v/>
      </c>
      <c r="M162" s="53" t="n"/>
      <c r="N162" s="14" t="n"/>
      <c r="O162" s="14" t="n"/>
    </row>
    <row r="163" ht="15" customHeight="1">
      <c r="A163" s="51">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52">
        <f>IF(C163="","",COUNTIFS(tbl_Finance[Job Number],C163&amp;"",tbl_Finance[Ex GST],"&lt;&gt;"))</f>
        <v/>
      </c>
      <c r="H163" s="17">
        <f>IF(C163="","",SUMIFS(tbl_Finance[Ex GST],tbl_Finance[Job Number],C163&amp;""))</f>
        <v/>
      </c>
      <c r="I163" s="15">
        <f>IF(C163="","",IFERROR(INDEX(tbl_Finance[Cost Centre],MATCH(C163&amp;"",tbl_Finance[Job Number],0)),"not invoiced yet"))</f>
        <v/>
      </c>
      <c r="J163" s="14" t="n"/>
      <c r="K163" s="14" t="n"/>
      <c r="L163" s="15">
        <f>IF(K163="","",HYPERLINK(IF(LEFT(K163,4)="http",K163,set_QwilrBase&amp;K163),"Open quote"))</f>
        <v/>
      </c>
      <c r="M163" s="53" t="n"/>
      <c r="N163" s="14" t="n"/>
      <c r="O163" s="14" t="n"/>
    </row>
    <row r="164" ht="15" customHeight="1">
      <c r="A164" s="51">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52">
        <f>IF(C164="","",COUNTIFS(tbl_Finance[Job Number],C164&amp;"",tbl_Finance[Ex GST],"&lt;&gt;"))</f>
        <v/>
      </c>
      <c r="H164" s="17">
        <f>IF(C164="","",SUMIFS(tbl_Finance[Ex GST],tbl_Finance[Job Number],C164&amp;""))</f>
        <v/>
      </c>
      <c r="I164" s="15">
        <f>IF(C164="","",IFERROR(INDEX(tbl_Finance[Cost Centre],MATCH(C164&amp;"",tbl_Finance[Job Number],0)),"not invoiced yet"))</f>
        <v/>
      </c>
      <c r="J164" s="14" t="n"/>
      <c r="K164" s="14" t="n"/>
      <c r="L164" s="15">
        <f>IF(K164="","",HYPERLINK(IF(LEFT(K164,4)="http",K164,set_QwilrBase&amp;K164),"Open quote"))</f>
        <v/>
      </c>
      <c r="M164" s="53" t="n"/>
      <c r="N164" s="14" t="n"/>
      <c r="O164" s="14" t="n"/>
    </row>
    <row r="165" ht="15" customHeight="1">
      <c r="A165" s="51">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52">
        <f>IF(C165="","",COUNTIFS(tbl_Finance[Job Number],C165&amp;"",tbl_Finance[Ex GST],"&lt;&gt;"))</f>
        <v/>
      </c>
      <c r="H165" s="17">
        <f>IF(C165="","",SUMIFS(tbl_Finance[Ex GST],tbl_Finance[Job Number],C165&amp;""))</f>
        <v/>
      </c>
      <c r="I165" s="15">
        <f>IF(C165="","",IFERROR(INDEX(tbl_Finance[Cost Centre],MATCH(C165&amp;"",tbl_Finance[Job Number],0)),"not invoiced yet"))</f>
        <v/>
      </c>
      <c r="J165" s="14" t="n"/>
      <c r="K165" s="14" t="n"/>
      <c r="L165" s="15">
        <f>IF(K165="","",HYPERLINK(IF(LEFT(K165,4)="http",K165,set_QwilrBase&amp;K165),"Open quote"))</f>
        <v/>
      </c>
      <c r="M165" s="53" t="n"/>
      <c r="N165" s="14" t="n"/>
      <c r="O165" s="14" t="n"/>
    </row>
    <row r="166" ht="15" customHeight="1">
      <c r="A166" s="51">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52">
        <f>IF(C166="","",COUNTIFS(tbl_Finance[Job Number],C166&amp;"",tbl_Finance[Ex GST],"&lt;&gt;"))</f>
        <v/>
      </c>
      <c r="H166" s="17">
        <f>IF(C166="","",SUMIFS(tbl_Finance[Ex GST],tbl_Finance[Job Number],C166&amp;""))</f>
        <v/>
      </c>
      <c r="I166" s="15">
        <f>IF(C166="","",IFERROR(INDEX(tbl_Finance[Cost Centre],MATCH(C166&amp;"",tbl_Finance[Job Number],0)),"not invoiced yet"))</f>
        <v/>
      </c>
      <c r="J166" s="14" t="n"/>
      <c r="K166" s="14" t="n"/>
      <c r="L166" s="15">
        <f>IF(K166="","",HYPERLINK(IF(LEFT(K166,4)="http",K166,set_QwilrBase&amp;K166),"Open quote"))</f>
        <v/>
      </c>
      <c r="M166" s="53" t="n"/>
      <c r="N166" s="14" t="n"/>
      <c r="O166" s="14" t="n"/>
    </row>
    <row r="167" ht="15" customHeight="1">
      <c r="A167" s="51">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52">
        <f>IF(C167="","",COUNTIFS(tbl_Finance[Job Number],C167&amp;"",tbl_Finance[Ex GST],"&lt;&gt;"))</f>
        <v/>
      </c>
      <c r="H167" s="17">
        <f>IF(C167="","",SUMIFS(tbl_Finance[Ex GST],tbl_Finance[Job Number],C167&amp;""))</f>
        <v/>
      </c>
      <c r="I167" s="15">
        <f>IF(C167="","",IFERROR(INDEX(tbl_Finance[Cost Centre],MATCH(C167&amp;"",tbl_Finance[Job Number],0)),"not invoiced yet"))</f>
        <v/>
      </c>
      <c r="J167" s="14" t="n"/>
      <c r="K167" s="14" t="n"/>
      <c r="L167" s="15">
        <f>IF(K167="","",HYPERLINK(IF(LEFT(K167,4)="http",K167,set_QwilrBase&amp;K167),"Open quote"))</f>
        <v/>
      </c>
      <c r="M167" s="53" t="n"/>
      <c r="N167" s="14" t="n"/>
      <c r="O167" s="14" t="n"/>
    </row>
    <row r="168" ht="15" customHeight="1">
      <c r="A168" s="51">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52">
        <f>IF(C168="","",COUNTIFS(tbl_Finance[Job Number],C168&amp;"",tbl_Finance[Ex GST],"&lt;&gt;"))</f>
        <v/>
      </c>
      <c r="H168" s="17">
        <f>IF(C168="","",SUMIFS(tbl_Finance[Ex GST],tbl_Finance[Job Number],C168&amp;""))</f>
        <v/>
      </c>
      <c r="I168" s="15">
        <f>IF(C168="","",IFERROR(INDEX(tbl_Finance[Cost Centre],MATCH(C168&amp;"",tbl_Finance[Job Number],0)),"not invoiced yet"))</f>
        <v/>
      </c>
      <c r="J168" s="14" t="n"/>
      <c r="K168" s="14" t="n"/>
      <c r="L168" s="15">
        <f>IF(K168="","",HYPERLINK(IF(LEFT(K168,4)="http",K168,set_QwilrBase&amp;K168),"Open quote"))</f>
        <v/>
      </c>
      <c r="M168" s="53" t="n"/>
      <c r="N168" s="14" t="n"/>
      <c r="O168" s="14" t="n"/>
    </row>
    <row r="169" ht="15" customHeight="1">
      <c r="A169" s="51">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52">
        <f>IF(C169="","",COUNTIFS(tbl_Finance[Job Number],C169&amp;"",tbl_Finance[Ex GST],"&lt;&gt;"))</f>
        <v/>
      </c>
      <c r="H169" s="17">
        <f>IF(C169="","",SUMIFS(tbl_Finance[Ex GST],tbl_Finance[Job Number],C169&amp;""))</f>
        <v/>
      </c>
      <c r="I169" s="15">
        <f>IF(C169="","",IFERROR(INDEX(tbl_Finance[Cost Centre],MATCH(C169&amp;"",tbl_Finance[Job Number],0)),"not invoiced yet"))</f>
        <v/>
      </c>
      <c r="J169" s="14" t="n"/>
      <c r="K169" s="14" t="n"/>
      <c r="L169" s="15">
        <f>IF(K169="","",HYPERLINK(IF(LEFT(K169,4)="http",K169,set_QwilrBase&amp;K169),"Open quote"))</f>
        <v/>
      </c>
      <c r="M169" s="53" t="n"/>
      <c r="N169" s="14" t="n"/>
      <c r="O169" s="14" t="n"/>
    </row>
    <row r="170" ht="15" customHeight="1">
      <c r="A170" s="51">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52">
        <f>IF(C170="","",COUNTIFS(tbl_Finance[Job Number],C170&amp;"",tbl_Finance[Ex GST],"&lt;&gt;"))</f>
        <v/>
      </c>
      <c r="H170" s="17">
        <f>IF(C170="","",SUMIFS(tbl_Finance[Ex GST],tbl_Finance[Job Number],C170&amp;""))</f>
        <v/>
      </c>
      <c r="I170" s="15">
        <f>IF(C170="","",IFERROR(INDEX(tbl_Finance[Cost Centre],MATCH(C170&amp;"",tbl_Finance[Job Number],0)),"not invoiced yet"))</f>
        <v/>
      </c>
      <c r="J170" s="14" t="n"/>
      <c r="K170" s="14" t="n"/>
      <c r="L170" s="15">
        <f>IF(K170="","",HYPERLINK(IF(LEFT(K170,4)="http",K170,set_QwilrBase&amp;K170),"Open quote"))</f>
        <v/>
      </c>
      <c r="M170" s="53" t="n"/>
      <c r="N170" s="14" t="n"/>
      <c r="O170" s="14" t="n"/>
    </row>
    <row r="171" ht="15" customHeight="1">
      <c r="A171" s="51">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52">
        <f>IF(C171="","",COUNTIFS(tbl_Finance[Job Number],C171&amp;"",tbl_Finance[Ex GST],"&lt;&gt;"))</f>
        <v/>
      </c>
      <c r="H171" s="17">
        <f>IF(C171="","",SUMIFS(tbl_Finance[Ex GST],tbl_Finance[Job Number],C171&amp;""))</f>
        <v/>
      </c>
      <c r="I171" s="15">
        <f>IF(C171="","",IFERROR(INDEX(tbl_Finance[Cost Centre],MATCH(C171&amp;"",tbl_Finance[Job Number],0)),"not invoiced yet"))</f>
        <v/>
      </c>
      <c r="J171" s="14" t="n"/>
      <c r="K171" s="14" t="n"/>
      <c r="L171" s="15">
        <f>IF(K171="","",HYPERLINK(IF(LEFT(K171,4)="http",K171,set_QwilrBase&amp;K171),"Open quote"))</f>
        <v/>
      </c>
      <c r="M171" s="53" t="n"/>
      <c r="N171" s="14" t="n"/>
      <c r="O171" s="14" t="n"/>
    </row>
    <row r="172" ht="15" customHeight="1">
      <c r="A172" s="51">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52">
        <f>IF(C172="","",COUNTIFS(tbl_Finance[Job Number],C172&amp;"",tbl_Finance[Ex GST],"&lt;&gt;"))</f>
        <v/>
      </c>
      <c r="H172" s="17">
        <f>IF(C172="","",SUMIFS(tbl_Finance[Ex GST],tbl_Finance[Job Number],C172&amp;""))</f>
        <v/>
      </c>
      <c r="I172" s="15">
        <f>IF(C172="","",IFERROR(INDEX(tbl_Finance[Cost Centre],MATCH(C172&amp;"",tbl_Finance[Job Number],0)),"not invoiced yet"))</f>
        <v/>
      </c>
      <c r="J172" s="14" t="n"/>
      <c r="K172" s="14" t="n"/>
      <c r="L172" s="15">
        <f>IF(K172="","",HYPERLINK(IF(LEFT(K172,4)="http",K172,set_QwilrBase&amp;K172),"Open quote"))</f>
        <v/>
      </c>
      <c r="M172" s="53" t="n"/>
      <c r="N172" s="14" t="n"/>
      <c r="O172" s="14" t="n"/>
    </row>
    <row r="173" ht="15" customHeight="1">
      <c r="A173" s="51">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52">
        <f>IF(C173="","",COUNTIFS(tbl_Finance[Job Number],C173&amp;"",tbl_Finance[Ex GST],"&lt;&gt;"))</f>
        <v/>
      </c>
      <c r="H173" s="17">
        <f>IF(C173="","",SUMIFS(tbl_Finance[Ex GST],tbl_Finance[Job Number],C173&amp;""))</f>
        <v/>
      </c>
      <c r="I173" s="15">
        <f>IF(C173="","",IFERROR(INDEX(tbl_Finance[Cost Centre],MATCH(C173&amp;"",tbl_Finance[Job Number],0)),"not invoiced yet"))</f>
        <v/>
      </c>
      <c r="J173" s="14" t="n"/>
      <c r="K173" s="14" t="n"/>
      <c r="L173" s="15">
        <f>IF(K173="","",HYPERLINK(IF(LEFT(K173,4)="http",K173,set_QwilrBase&amp;K173),"Open quote"))</f>
        <v/>
      </c>
      <c r="M173" s="53" t="n"/>
      <c r="N173" s="14" t="n"/>
      <c r="O173" s="14" t="n"/>
    </row>
    <row r="174" ht="15" customHeight="1">
      <c r="A174" s="51">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52">
        <f>IF(C174="","",COUNTIFS(tbl_Finance[Job Number],C174&amp;"",tbl_Finance[Ex GST],"&lt;&gt;"))</f>
        <v/>
      </c>
      <c r="H174" s="17">
        <f>IF(C174="","",SUMIFS(tbl_Finance[Ex GST],tbl_Finance[Job Number],C174&amp;""))</f>
        <v/>
      </c>
      <c r="I174" s="15">
        <f>IF(C174="","",IFERROR(INDEX(tbl_Finance[Cost Centre],MATCH(C174&amp;"",tbl_Finance[Job Number],0)),"not invoiced yet"))</f>
        <v/>
      </c>
      <c r="J174" s="14" t="n"/>
      <c r="K174" s="14" t="n"/>
      <c r="L174" s="15">
        <f>IF(K174="","",HYPERLINK(IF(LEFT(K174,4)="http",K174,set_QwilrBase&amp;K174),"Open quote"))</f>
        <v/>
      </c>
      <c r="M174" s="53" t="n"/>
      <c r="N174" s="14" t="n"/>
      <c r="O174" s="14" t="n"/>
    </row>
    <row r="175" ht="15" customHeight="1">
      <c r="A175" s="51">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52">
        <f>IF(C175="","",COUNTIFS(tbl_Finance[Job Number],C175&amp;"",tbl_Finance[Ex GST],"&lt;&gt;"))</f>
        <v/>
      </c>
      <c r="H175" s="17">
        <f>IF(C175="","",SUMIFS(tbl_Finance[Ex GST],tbl_Finance[Job Number],C175&amp;""))</f>
        <v/>
      </c>
      <c r="I175" s="15">
        <f>IF(C175="","",IFERROR(INDEX(tbl_Finance[Cost Centre],MATCH(C175&amp;"",tbl_Finance[Job Number],0)),"not invoiced yet"))</f>
        <v/>
      </c>
      <c r="J175" s="14" t="n"/>
      <c r="K175" s="14" t="n"/>
      <c r="L175" s="15">
        <f>IF(K175="","",HYPERLINK(IF(LEFT(K175,4)="http",K175,set_QwilrBase&amp;K175),"Open quote"))</f>
        <v/>
      </c>
      <c r="M175" s="53" t="n"/>
      <c r="N175" s="14" t="n"/>
      <c r="O175" s="14" t="n"/>
    </row>
    <row r="176" ht="15" customHeight="1">
      <c r="A176" s="51">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52">
        <f>IF(C176="","",COUNTIFS(tbl_Finance[Job Number],C176&amp;"",tbl_Finance[Ex GST],"&lt;&gt;"))</f>
        <v/>
      </c>
      <c r="H176" s="17">
        <f>IF(C176="","",SUMIFS(tbl_Finance[Ex GST],tbl_Finance[Job Number],C176&amp;""))</f>
        <v/>
      </c>
      <c r="I176" s="15">
        <f>IF(C176="","",IFERROR(INDEX(tbl_Finance[Cost Centre],MATCH(C176&amp;"",tbl_Finance[Job Number],0)),"not invoiced yet"))</f>
        <v/>
      </c>
      <c r="J176" s="14" t="n"/>
      <c r="K176" s="14" t="n"/>
      <c r="L176" s="15">
        <f>IF(K176="","",HYPERLINK(IF(LEFT(K176,4)="http",K176,set_QwilrBase&amp;K176),"Open quote"))</f>
        <v/>
      </c>
      <c r="M176" s="53" t="n"/>
      <c r="N176" s="14" t="n"/>
      <c r="O176" s="14" t="n"/>
    </row>
    <row r="177" ht="15" customHeight="1">
      <c r="A177" s="51">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52">
        <f>IF(C177="","",COUNTIFS(tbl_Finance[Job Number],C177&amp;"",tbl_Finance[Ex GST],"&lt;&gt;"))</f>
        <v/>
      </c>
      <c r="H177" s="17">
        <f>IF(C177="","",SUMIFS(tbl_Finance[Ex GST],tbl_Finance[Job Number],C177&amp;""))</f>
        <v/>
      </c>
      <c r="I177" s="15">
        <f>IF(C177="","",IFERROR(INDEX(tbl_Finance[Cost Centre],MATCH(C177&amp;"",tbl_Finance[Job Number],0)),"not invoiced yet"))</f>
        <v/>
      </c>
      <c r="J177" s="14" t="n"/>
      <c r="K177" s="14" t="n"/>
      <c r="L177" s="15">
        <f>IF(K177="","",HYPERLINK(IF(LEFT(K177,4)="http",K177,set_QwilrBase&amp;K177),"Open quote"))</f>
        <v/>
      </c>
      <c r="M177" s="53" t="n"/>
      <c r="N177" s="14" t="n"/>
      <c r="O177" s="14" t="n"/>
    </row>
    <row r="178" ht="15" customHeight="1">
      <c r="A178" s="51">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52">
        <f>IF(C178="","",COUNTIFS(tbl_Finance[Job Number],C178&amp;"",tbl_Finance[Ex GST],"&lt;&gt;"))</f>
        <v/>
      </c>
      <c r="H178" s="17">
        <f>IF(C178="","",SUMIFS(tbl_Finance[Ex GST],tbl_Finance[Job Number],C178&amp;""))</f>
        <v/>
      </c>
      <c r="I178" s="15">
        <f>IF(C178="","",IFERROR(INDEX(tbl_Finance[Cost Centre],MATCH(C178&amp;"",tbl_Finance[Job Number],0)),"not invoiced yet"))</f>
        <v/>
      </c>
      <c r="J178" s="14" t="n"/>
      <c r="K178" s="14" t="n"/>
      <c r="L178" s="15">
        <f>IF(K178="","",HYPERLINK(IF(LEFT(K178,4)="http",K178,set_QwilrBase&amp;K178),"Open quote"))</f>
        <v/>
      </c>
      <c r="M178" s="53" t="n"/>
      <c r="N178" s="14" t="n"/>
      <c r="O178" s="14" t="n"/>
    </row>
    <row r="179" ht="15" customHeight="1">
      <c r="A179" s="51">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52">
        <f>IF(C179="","",COUNTIFS(tbl_Finance[Job Number],C179&amp;"",tbl_Finance[Ex GST],"&lt;&gt;"))</f>
        <v/>
      </c>
      <c r="H179" s="17">
        <f>IF(C179="","",SUMIFS(tbl_Finance[Ex GST],tbl_Finance[Job Number],C179&amp;""))</f>
        <v/>
      </c>
      <c r="I179" s="15">
        <f>IF(C179="","",IFERROR(INDEX(tbl_Finance[Cost Centre],MATCH(C179&amp;"",tbl_Finance[Job Number],0)),"not invoiced yet"))</f>
        <v/>
      </c>
      <c r="J179" s="14" t="n"/>
      <c r="K179" s="14" t="n"/>
      <c r="L179" s="15">
        <f>IF(K179="","",HYPERLINK(IF(LEFT(K179,4)="http",K179,set_QwilrBase&amp;K179),"Open quote"))</f>
        <v/>
      </c>
      <c r="M179" s="53" t="n"/>
      <c r="N179" s="14" t="n"/>
      <c r="O179" s="14" t="n"/>
    </row>
    <row r="180" ht="15" customHeight="1">
      <c r="A180" s="51">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52">
        <f>IF(C180="","",COUNTIFS(tbl_Finance[Job Number],C180&amp;"",tbl_Finance[Ex GST],"&lt;&gt;"))</f>
        <v/>
      </c>
      <c r="H180" s="17">
        <f>IF(C180="","",SUMIFS(tbl_Finance[Ex GST],tbl_Finance[Job Number],C180&amp;""))</f>
        <v/>
      </c>
      <c r="I180" s="15">
        <f>IF(C180="","",IFERROR(INDEX(tbl_Finance[Cost Centre],MATCH(C180&amp;"",tbl_Finance[Job Number],0)),"not invoiced yet"))</f>
        <v/>
      </c>
      <c r="J180" s="14" t="n"/>
      <c r="K180" s="14" t="n"/>
      <c r="L180" s="15">
        <f>IF(K180="","",HYPERLINK(IF(LEFT(K180,4)="http",K180,set_QwilrBase&amp;K180),"Open quote"))</f>
        <v/>
      </c>
      <c r="M180" s="53" t="n"/>
      <c r="N180" s="14" t="n"/>
      <c r="O180" s="14" t="n"/>
    </row>
    <row r="181" ht="15" customHeight="1">
      <c r="A181" s="51">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52">
        <f>IF(C181="","",COUNTIFS(tbl_Finance[Job Number],C181&amp;"",tbl_Finance[Ex GST],"&lt;&gt;"))</f>
        <v/>
      </c>
      <c r="H181" s="17">
        <f>IF(C181="","",SUMIFS(tbl_Finance[Ex GST],tbl_Finance[Job Number],C181&amp;""))</f>
        <v/>
      </c>
      <c r="I181" s="15">
        <f>IF(C181="","",IFERROR(INDEX(tbl_Finance[Cost Centre],MATCH(C181&amp;"",tbl_Finance[Job Number],0)),"not invoiced yet"))</f>
        <v/>
      </c>
      <c r="J181" s="14" t="n"/>
      <c r="K181" s="14" t="n"/>
      <c r="L181" s="15">
        <f>IF(K181="","",HYPERLINK(IF(LEFT(K181,4)="http",K181,set_QwilrBase&amp;K181),"Open quote"))</f>
        <v/>
      </c>
      <c r="M181" s="53" t="n"/>
      <c r="N181" s="14" t="n"/>
      <c r="O181" s="14" t="n"/>
    </row>
    <row r="182" ht="15" customHeight="1">
      <c r="A182" s="51">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52">
        <f>IF(C182="","",COUNTIFS(tbl_Finance[Job Number],C182&amp;"",tbl_Finance[Ex GST],"&lt;&gt;"))</f>
        <v/>
      </c>
      <c r="H182" s="17">
        <f>IF(C182="","",SUMIFS(tbl_Finance[Ex GST],tbl_Finance[Job Number],C182&amp;""))</f>
        <v/>
      </c>
      <c r="I182" s="15">
        <f>IF(C182="","",IFERROR(INDEX(tbl_Finance[Cost Centre],MATCH(C182&amp;"",tbl_Finance[Job Number],0)),"not invoiced yet"))</f>
        <v/>
      </c>
      <c r="J182" s="14" t="n"/>
      <c r="K182" s="14" t="n"/>
      <c r="L182" s="15">
        <f>IF(K182="","",HYPERLINK(IF(LEFT(K182,4)="http",K182,set_QwilrBase&amp;K182),"Open quote"))</f>
        <v/>
      </c>
      <c r="M182" s="53" t="n"/>
      <c r="N182" s="14" t="n"/>
      <c r="O182" s="14" t="n"/>
    </row>
    <row r="183" ht="15" customHeight="1">
      <c r="A183" s="51">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52">
        <f>IF(C183="","",COUNTIFS(tbl_Finance[Job Number],C183&amp;"",tbl_Finance[Ex GST],"&lt;&gt;"))</f>
        <v/>
      </c>
      <c r="H183" s="17">
        <f>IF(C183="","",SUMIFS(tbl_Finance[Ex GST],tbl_Finance[Job Number],C183&amp;""))</f>
        <v/>
      </c>
      <c r="I183" s="15">
        <f>IF(C183="","",IFERROR(INDEX(tbl_Finance[Cost Centre],MATCH(C183&amp;"",tbl_Finance[Job Number],0)),"not invoiced yet"))</f>
        <v/>
      </c>
      <c r="J183" s="14" t="n"/>
      <c r="K183" s="14" t="n"/>
      <c r="L183" s="15">
        <f>IF(K183="","",HYPERLINK(IF(LEFT(K183,4)="http",K183,set_QwilrBase&amp;K183),"Open quote"))</f>
        <v/>
      </c>
      <c r="M183" s="53" t="n"/>
      <c r="N183" s="14" t="n"/>
      <c r="O183" s="14" t="n"/>
    </row>
    <row r="184" ht="15" customHeight="1">
      <c r="A184" s="51">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52">
        <f>IF(C184="","",COUNTIFS(tbl_Finance[Job Number],C184&amp;"",tbl_Finance[Ex GST],"&lt;&gt;"))</f>
        <v/>
      </c>
      <c r="H184" s="17">
        <f>IF(C184="","",SUMIFS(tbl_Finance[Ex GST],tbl_Finance[Job Number],C184&amp;""))</f>
        <v/>
      </c>
      <c r="I184" s="15">
        <f>IF(C184="","",IFERROR(INDEX(tbl_Finance[Cost Centre],MATCH(C184&amp;"",tbl_Finance[Job Number],0)),"not invoiced yet"))</f>
        <v/>
      </c>
      <c r="J184" s="14" t="n"/>
      <c r="K184" s="14" t="n"/>
      <c r="L184" s="15">
        <f>IF(K184="","",HYPERLINK(IF(LEFT(K184,4)="http",K184,set_QwilrBase&amp;K184),"Open quote"))</f>
        <v/>
      </c>
      <c r="M184" s="53" t="n"/>
      <c r="N184" s="14" t="n"/>
      <c r="O184" s="14" t="n"/>
    </row>
    <row r="185" ht="15" customHeight="1">
      <c r="A185" s="51">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52">
        <f>IF(C185="","",COUNTIFS(tbl_Finance[Job Number],C185&amp;"",tbl_Finance[Ex GST],"&lt;&gt;"))</f>
        <v/>
      </c>
      <c r="H185" s="17">
        <f>IF(C185="","",SUMIFS(tbl_Finance[Ex GST],tbl_Finance[Job Number],C185&amp;""))</f>
        <v/>
      </c>
      <c r="I185" s="15">
        <f>IF(C185="","",IFERROR(INDEX(tbl_Finance[Cost Centre],MATCH(C185&amp;"",tbl_Finance[Job Number],0)),"not invoiced yet"))</f>
        <v/>
      </c>
      <c r="J185" s="14" t="n"/>
      <c r="K185" s="14" t="n"/>
      <c r="L185" s="15">
        <f>IF(K185="","",HYPERLINK(IF(LEFT(K185,4)="http",K185,set_QwilrBase&amp;K185),"Open quote"))</f>
        <v/>
      </c>
      <c r="M185" s="53" t="n"/>
      <c r="N185" s="14" t="n"/>
      <c r="O185" s="14" t="n"/>
    </row>
    <row r="186" ht="15" customHeight="1">
      <c r="A186" s="51">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52">
        <f>IF(C186="","",COUNTIFS(tbl_Finance[Job Number],C186&amp;"",tbl_Finance[Ex GST],"&lt;&gt;"))</f>
        <v/>
      </c>
      <c r="H186" s="17">
        <f>IF(C186="","",SUMIFS(tbl_Finance[Ex GST],tbl_Finance[Job Number],C186&amp;""))</f>
        <v/>
      </c>
      <c r="I186" s="15">
        <f>IF(C186="","",IFERROR(INDEX(tbl_Finance[Cost Centre],MATCH(C186&amp;"",tbl_Finance[Job Number],0)),"not invoiced yet"))</f>
        <v/>
      </c>
      <c r="J186" s="14" t="n"/>
      <c r="K186" s="14" t="n"/>
      <c r="L186" s="15">
        <f>IF(K186="","",HYPERLINK(IF(LEFT(K186,4)="http",K186,set_QwilrBase&amp;K186),"Open quote"))</f>
        <v/>
      </c>
      <c r="M186" s="53" t="n"/>
      <c r="N186" s="14" t="n"/>
      <c r="O186" s="14" t="n"/>
    </row>
    <row r="187" ht="15" customHeight="1">
      <c r="A187" s="51">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52">
        <f>IF(C187="","",COUNTIFS(tbl_Finance[Job Number],C187&amp;"",tbl_Finance[Ex GST],"&lt;&gt;"))</f>
        <v/>
      </c>
      <c r="H187" s="17">
        <f>IF(C187="","",SUMIFS(tbl_Finance[Ex GST],tbl_Finance[Job Number],C187&amp;""))</f>
        <v/>
      </c>
      <c r="I187" s="15">
        <f>IF(C187="","",IFERROR(INDEX(tbl_Finance[Cost Centre],MATCH(C187&amp;"",tbl_Finance[Job Number],0)),"not invoiced yet"))</f>
        <v/>
      </c>
      <c r="J187" s="14" t="n"/>
      <c r="K187" s="14" t="n"/>
      <c r="L187" s="15">
        <f>IF(K187="","",HYPERLINK(IF(LEFT(K187,4)="http",K187,set_QwilrBase&amp;K187),"Open quote"))</f>
        <v/>
      </c>
      <c r="M187" s="53" t="n"/>
      <c r="N187" s="14" t="n"/>
      <c r="O187" s="14" t="n"/>
    </row>
    <row r="188" ht="15" customHeight="1">
      <c r="A188" s="51">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52">
        <f>IF(C188="","",COUNTIFS(tbl_Finance[Job Number],C188&amp;"",tbl_Finance[Ex GST],"&lt;&gt;"))</f>
        <v/>
      </c>
      <c r="H188" s="17">
        <f>IF(C188="","",SUMIFS(tbl_Finance[Ex GST],tbl_Finance[Job Number],C188&amp;""))</f>
        <v/>
      </c>
      <c r="I188" s="15">
        <f>IF(C188="","",IFERROR(INDEX(tbl_Finance[Cost Centre],MATCH(C188&amp;"",tbl_Finance[Job Number],0)),"not invoiced yet"))</f>
        <v/>
      </c>
      <c r="J188" s="14" t="n"/>
      <c r="K188" s="14" t="n"/>
      <c r="L188" s="15">
        <f>IF(K188="","",HYPERLINK(IF(LEFT(K188,4)="http",K188,set_QwilrBase&amp;K188),"Open quote"))</f>
        <v/>
      </c>
      <c r="M188" s="53" t="n"/>
      <c r="N188" s="14" t="n"/>
      <c r="O188" s="14" t="n"/>
    </row>
    <row r="189" ht="15" customHeight="1">
      <c r="A189" s="51">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52">
        <f>IF(C189="","",COUNTIFS(tbl_Finance[Job Number],C189&amp;"",tbl_Finance[Ex GST],"&lt;&gt;"))</f>
        <v/>
      </c>
      <c r="H189" s="17">
        <f>IF(C189="","",SUMIFS(tbl_Finance[Ex GST],tbl_Finance[Job Number],C189&amp;""))</f>
        <v/>
      </c>
      <c r="I189" s="15">
        <f>IF(C189="","",IFERROR(INDEX(tbl_Finance[Cost Centre],MATCH(C189&amp;"",tbl_Finance[Job Number],0)),"not invoiced yet"))</f>
        <v/>
      </c>
      <c r="J189" s="14" t="n"/>
      <c r="K189" s="14" t="n"/>
      <c r="L189" s="15">
        <f>IF(K189="","",HYPERLINK(IF(LEFT(K189,4)="http",K189,set_QwilrBase&amp;K189),"Open quote"))</f>
        <v/>
      </c>
      <c r="M189" s="53" t="n"/>
      <c r="N189" s="14" t="n"/>
      <c r="O189" s="14" t="n"/>
    </row>
    <row r="190" ht="15" customHeight="1">
      <c r="A190" s="51">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52">
        <f>IF(C190="","",COUNTIFS(tbl_Finance[Job Number],C190&amp;"",tbl_Finance[Ex GST],"&lt;&gt;"))</f>
        <v/>
      </c>
      <c r="H190" s="17">
        <f>IF(C190="","",SUMIFS(tbl_Finance[Ex GST],tbl_Finance[Job Number],C190&amp;""))</f>
        <v/>
      </c>
      <c r="I190" s="15">
        <f>IF(C190="","",IFERROR(INDEX(tbl_Finance[Cost Centre],MATCH(C190&amp;"",tbl_Finance[Job Number],0)),"not invoiced yet"))</f>
        <v/>
      </c>
      <c r="J190" s="14" t="n"/>
      <c r="K190" s="14" t="n"/>
      <c r="L190" s="15">
        <f>IF(K190="","",HYPERLINK(IF(LEFT(K190,4)="http",K190,set_QwilrBase&amp;K190),"Open quote"))</f>
        <v/>
      </c>
      <c r="M190" s="53" t="n"/>
      <c r="N190" s="14" t="n"/>
      <c r="O190" s="14" t="n"/>
    </row>
    <row r="191" ht="15" customHeight="1">
      <c r="A191" s="51">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52">
        <f>IF(C191="","",COUNTIFS(tbl_Finance[Job Number],C191&amp;"",tbl_Finance[Ex GST],"&lt;&gt;"))</f>
        <v/>
      </c>
      <c r="H191" s="17">
        <f>IF(C191="","",SUMIFS(tbl_Finance[Ex GST],tbl_Finance[Job Number],C191&amp;""))</f>
        <v/>
      </c>
      <c r="I191" s="15">
        <f>IF(C191="","",IFERROR(INDEX(tbl_Finance[Cost Centre],MATCH(C191&amp;"",tbl_Finance[Job Number],0)),"not invoiced yet"))</f>
        <v/>
      </c>
      <c r="J191" s="14" t="n"/>
      <c r="K191" s="14" t="n"/>
      <c r="L191" s="15">
        <f>IF(K191="","",HYPERLINK(IF(LEFT(K191,4)="http",K191,set_QwilrBase&amp;K191),"Open quote"))</f>
        <v/>
      </c>
      <c r="M191" s="53" t="n"/>
      <c r="N191" s="14" t="n"/>
      <c r="O191" s="14" t="n"/>
    </row>
    <row r="192" ht="15" customHeight="1">
      <c r="A192" s="51">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52">
        <f>IF(C192="","",COUNTIFS(tbl_Finance[Job Number],C192&amp;"",tbl_Finance[Ex GST],"&lt;&gt;"))</f>
        <v/>
      </c>
      <c r="H192" s="17">
        <f>IF(C192="","",SUMIFS(tbl_Finance[Ex GST],tbl_Finance[Job Number],C192&amp;""))</f>
        <v/>
      </c>
      <c r="I192" s="15">
        <f>IF(C192="","",IFERROR(INDEX(tbl_Finance[Cost Centre],MATCH(C192&amp;"",tbl_Finance[Job Number],0)),"not invoiced yet"))</f>
        <v/>
      </c>
      <c r="J192" s="14" t="n"/>
      <c r="K192" s="14" t="n"/>
      <c r="L192" s="15">
        <f>IF(K192="","",HYPERLINK(IF(LEFT(K192,4)="http",K192,set_QwilrBase&amp;K192),"Open quote"))</f>
        <v/>
      </c>
      <c r="M192" s="53" t="n"/>
      <c r="N192" s="14" t="n"/>
      <c r="O192" s="14" t="n"/>
    </row>
    <row r="193" ht="15" customHeight="1">
      <c r="A193" s="51">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52">
        <f>IF(C193="","",COUNTIFS(tbl_Finance[Job Number],C193&amp;"",tbl_Finance[Ex GST],"&lt;&gt;"))</f>
        <v/>
      </c>
      <c r="H193" s="17">
        <f>IF(C193="","",SUMIFS(tbl_Finance[Ex GST],tbl_Finance[Job Number],C193&amp;""))</f>
        <v/>
      </c>
      <c r="I193" s="15">
        <f>IF(C193="","",IFERROR(INDEX(tbl_Finance[Cost Centre],MATCH(C193&amp;"",tbl_Finance[Job Number],0)),"not invoiced yet"))</f>
        <v/>
      </c>
      <c r="J193" s="14" t="n"/>
      <c r="K193" s="14" t="n"/>
      <c r="L193" s="15">
        <f>IF(K193="","",HYPERLINK(IF(LEFT(K193,4)="http",K193,set_QwilrBase&amp;K193),"Open quote"))</f>
        <v/>
      </c>
      <c r="M193" s="53" t="n"/>
      <c r="N193" s="14" t="n"/>
      <c r="O193" s="14" t="n"/>
    </row>
    <row r="194" ht="15" customHeight="1">
      <c r="A194" s="51">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52">
        <f>IF(C194="","",COUNTIFS(tbl_Finance[Job Number],C194&amp;"",tbl_Finance[Ex GST],"&lt;&gt;"))</f>
        <v/>
      </c>
      <c r="H194" s="17">
        <f>IF(C194="","",SUMIFS(tbl_Finance[Ex GST],tbl_Finance[Job Number],C194&amp;""))</f>
        <v/>
      </c>
      <c r="I194" s="15">
        <f>IF(C194="","",IFERROR(INDEX(tbl_Finance[Cost Centre],MATCH(C194&amp;"",tbl_Finance[Job Number],0)),"not invoiced yet"))</f>
        <v/>
      </c>
      <c r="J194" s="14" t="n"/>
      <c r="K194" s="14" t="n"/>
      <c r="L194" s="15">
        <f>IF(K194="","",HYPERLINK(IF(LEFT(K194,4)="http",K194,set_QwilrBase&amp;K194),"Open quote"))</f>
        <v/>
      </c>
      <c r="M194" s="53" t="n"/>
      <c r="N194" s="14" t="n"/>
      <c r="O194" s="14" t="n"/>
    </row>
    <row r="195" ht="15" customHeight="1">
      <c r="A195" s="51">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52">
        <f>IF(C195="","",COUNTIFS(tbl_Finance[Job Number],C195&amp;"",tbl_Finance[Ex GST],"&lt;&gt;"))</f>
        <v/>
      </c>
      <c r="H195" s="17">
        <f>IF(C195="","",SUMIFS(tbl_Finance[Ex GST],tbl_Finance[Job Number],C195&amp;""))</f>
        <v/>
      </c>
      <c r="I195" s="15">
        <f>IF(C195="","",IFERROR(INDEX(tbl_Finance[Cost Centre],MATCH(C195&amp;"",tbl_Finance[Job Number],0)),"not invoiced yet"))</f>
        <v/>
      </c>
      <c r="J195" s="14" t="n"/>
      <c r="K195" s="14" t="n"/>
      <c r="L195" s="15">
        <f>IF(K195="","",HYPERLINK(IF(LEFT(K195,4)="http",K195,set_QwilrBase&amp;K195),"Open quote"))</f>
        <v/>
      </c>
      <c r="M195" s="53" t="n"/>
      <c r="N195" s="14" t="n"/>
      <c r="O195" s="14" t="n"/>
    </row>
    <row r="196" ht="15" customHeight="1">
      <c r="A196" s="51">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52">
        <f>IF(C196="","",COUNTIFS(tbl_Finance[Job Number],C196&amp;"",tbl_Finance[Ex GST],"&lt;&gt;"))</f>
        <v/>
      </c>
      <c r="H196" s="17">
        <f>IF(C196="","",SUMIFS(tbl_Finance[Ex GST],tbl_Finance[Job Number],C196&amp;""))</f>
        <v/>
      </c>
      <c r="I196" s="15">
        <f>IF(C196="","",IFERROR(INDEX(tbl_Finance[Cost Centre],MATCH(C196&amp;"",tbl_Finance[Job Number],0)),"not invoiced yet"))</f>
        <v/>
      </c>
      <c r="J196" s="14" t="n"/>
      <c r="K196" s="14" t="n"/>
      <c r="L196" s="15">
        <f>IF(K196="","",HYPERLINK(IF(LEFT(K196,4)="http",K196,set_QwilrBase&amp;K196),"Open quote"))</f>
        <v/>
      </c>
      <c r="M196" s="53" t="n"/>
      <c r="N196" s="14" t="n"/>
      <c r="O196" s="14" t="n"/>
    </row>
    <row r="197" ht="15" customHeight="1">
      <c r="A197" s="51">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52">
        <f>IF(C197="","",COUNTIFS(tbl_Finance[Job Number],C197&amp;"",tbl_Finance[Ex GST],"&lt;&gt;"))</f>
        <v/>
      </c>
      <c r="H197" s="17">
        <f>IF(C197="","",SUMIFS(tbl_Finance[Ex GST],tbl_Finance[Job Number],C197&amp;""))</f>
        <v/>
      </c>
      <c r="I197" s="15">
        <f>IF(C197="","",IFERROR(INDEX(tbl_Finance[Cost Centre],MATCH(C197&amp;"",tbl_Finance[Job Number],0)),"not invoiced yet"))</f>
        <v/>
      </c>
      <c r="J197" s="14" t="n"/>
      <c r="K197" s="14" t="n"/>
      <c r="L197" s="15">
        <f>IF(K197="","",HYPERLINK(IF(LEFT(K197,4)="http",K197,set_QwilrBase&amp;K197),"Open quote"))</f>
        <v/>
      </c>
      <c r="M197" s="53" t="n"/>
      <c r="N197" s="14" t="n"/>
      <c r="O197" s="14" t="n"/>
    </row>
    <row r="198" ht="15" customHeight="1">
      <c r="A198" s="51">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52">
        <f>IF(C198="","",COUNTIFS(tbl_Finance[Job Number],C198&amp;"",tbl_Finance[Ex GST],"&lt;&gt;"))</f>
        <v/>
      </c>
      <c r="H198" s="17">
        <f>IF(C198="","",SUMIFS(tbl_Finance[Ex GST],tbl_Finance[Job Number],C198&amp;""))</f>
        <v/>
      </c>
      <c r="I198" s="15">
        <f>IF(C198="","",IFERROR(INDEX(tbl_Finance[Cost Centre],MATCH(C198&amp;"",tbl_Finance[Job Number],0)),"not invoiced yet"))</f>
        <v/>
      </c>
      <c r="J198" s="14" t="n"/>
      <c r="K198" s="14" t="n"/>
      <c r="L198" s="15">
        <f>IF(K198="","",HYPERLINK(IF(LEFT(K198,4)="http",K198,set_QwilrBase&amp;K198),"Open quote"))</f>
        <v/>
      </c>
      <c r="M198" s="53" t="n"/>
      <c r="N198" s="14" t="n"/>
      <c r="O198" s="14" t="n"/>
    </row>
    <row r="199" ht="15" customHeight="1">
      <c r="A199" s="51">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52">
        <f>IF(C199="","",COUNTIFS(tbl_Finance[Job Number],C199&amp;"",tbl_Finance[Ex GST],"&lt;&gt;"))</f>
        <v/>
      </c>
      <c r="H199" s="17">
        <f>IF(C199="","",SUMIFS(tbl_Finance[Ex GST],tbl_Finance[Job Number],C199&amp;""))</f>
        <v/>
      </c>
      <c r="I199" s="15">
        <f>IF(C199="","",IFERROR(INDEX(tbl_Finance[Cost Centre],MATCH(C199&amp;"",tbl_Finance[Job Number],0)),"not invoiced yet"))</f>
        <v/>
      </c>
      <c r="J199" s="14" t="n"/>
      <c r="K199" s="14" t="n"/>
      <c r="L199" s="15">
        <f>IF(K199="","",HYPERLINK(IF(LEFT(K199,4)="http",K199,set_QwilrBase&amp;K199),"Open quote"))</f>
        <v/>
      </c>
      <c r="M199" s="53" t="n"/>
      <c r="N199" s="14" t="n"/>
      <c r="O199" s="14" t="n"/>
    </row>
    <row r="200" ht="15" customHeight="1">
      <c r="A200" s="51">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52">
        <f>IF(C200="","",COUNTIFS(tbl_Finance[Job Number],C200&amp;"",tbl_Finance[Ex GST],"&lt;&gt;"))</f>
        <v/>
      </c>
      <c r="H200" s="17">
        <f>IF(C200="","",SUMIFS(tbl_Finance[Ex GST],tbl_Finance[Job Number],C200&amp;""))</f>
        <v/>
      </c>
      <c r="I200" s="15">
        <f>IF(C200="","",IFERROR(INDEX(tbl_Finance[Cost Centre],MATCH(C200&amp;"",tbl_Finance[Job Number],0)),"not invoiced yet"))</f>
        <v/>
      </c>
      <c r="J200" s="14" t="n"/>
      <c r="K200" s="14" t="n"/>
      <c r="L200" s="15">
        <f>IF(K200="","",HYPERLINK(IF(LEFT(K200,4)="http",K200,set_QwilrBase&amp;K200),"Open quote"))</f>
        <v/>
      </c>
      <c r="M200" s="53" t="n"/>
      <c r="N200" s="14" t="n"/>
      <c r="O200" s="14" t="n"/>
    </row>
    <row r="201" ht="15" customHeight="1">
      <c r="A201" s="51">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52">
        <f>IF(C201="","",COUNTIFS(tbl_Finance[Job Number],C201&amp;"",tbl_Finance[Ex GST],"&lt;&gt;"))</f>
        <v/>
      </c>
      <c r="H201" s="17">
        <f>IF(C201="","",SUMIFS(tbl_Finance[Ex GST],tbl_Finance[Job Number],C201&amp;""))</f>
        <v/>
      </c>
      <c r="I201" s="15">
        <f>IF(C201="","",IFERROR(INDEX(tbl_Finance[Cost Centre],MATCH(C201&amp;"",tbl_Finance[Job Number],0)),"not invoiced yet"))</f>
        <v/>
      </c>
      <c r="J201" s="14" t="n"/>
      <c r="K201" s="14" t="n"/>
      <c r="L201" s="15">
        <f>IF(K201="","",HYPERLINK(IF(LEFT(K201,4)="http",K201,set_QwilrBase&amp;K201),"Open quote"))</f>
        <v/>
      </c>
      <c r="M201" s="53" t="n"/>
      <c r="N201" s="14" t="n"/>
      <c r="O201" s="14" t="n"/>
    </row>
    <row r="202" ht="15" customHeight="1">
      <c r="A202" s="51">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52">
        <f>IF(C202="","",COUNTIFS(tbl_Finance[Job Number],C202&amp;"",tbl_Finance[Ex GST],"&lt;&gt;"))</f>
        <v/>
      </c>
      <c r="H202" s="17">
        <f>IF(C202="","",SUMIFS(tbl_Finance[Ex GST],tbl_Finance[Job Number],C202&amp;""))</f>
        <v/>
      </c>
      <c r="I202" s="15">
        <f>IF(C202="","",IFERROR(INDEX(tbl_Finance[Cost Centre],MATCH(C202&amp;"",tbl_Finance[Job Number],0)),"not invoiced yet"))</f>
        <v/>
      </c>
      <c r="J202" s="14" t="n"/>
      <c r="K202" s="14" t="n"/>
      <c r="L202" s="15">
        <f>IF(K202="","",HYPERLINK(IF(LEFT(K202,4)="http",K202,set_QwilrBase&amp;K202),"Open quote"))</f>
        <v/>
      </c>
      <c r="M202" s="53" t="n"/>
      <c r="N202" s="14" t="n"/>
      <c r="O202" s="14" t="n"/>
    </row>
    <row r="203" ht="15" customHeight="1">
      <c r="A203" s="51">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52">
        <f>IF(C203="","",COUNTIFS(tbl_Finance[Job Number],C203&amp;"",tbl_Finance[Ex GST],"&lt;&gt;"))</f>
        <v/>
      </c>
      <c r="H203" s="17">
        <f>IF(C203="","",SUMIFS(tbl_Finance[Ex GST],tbl_Finance[Job Number],C203&amp;""))</f>
        <v/>
      </c>
      <c r="I203" s="15">
        <f>IF(C203="","",IFERROR(INDEX(tbl_Finance[Cost Centre],MATCH(C203&amp;"",tbl_Finance[Job Number],0)),"not invoiced yet"))</f>
        <v/>
      </c>
      <c r="J203" s="14" t="n"/>
      <c r="K203" s="14" t="n"/>
      <c r="L203" s="15">
        <f>IF(K203="","",HYPERLINK(IF(LEFT(K203,4)="http",K203,set_QwilrBase&amp;K203),"Open quote"))</f>
        <v/>
      </c>
      <c r="M203" s="53" t="n"/>
      <c r="N203" s="14" t="n"/>
      <c r="O203" s="14" t="n"/>
    </row>
    <row r="204" ht="15" customHeight="1">
      <c r="A204" s="51">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52">
        <f>IF(C204="","",COUNTIFS(tbl_Finance[Job Number],C204&amp;"",tbl_Finance[Ex GST],"&lt;&gt;"))</f>
        <v/>
      </c>
      <c r="H204" s="17">
        <f>IF(C204="","",SUMIFS(tbl_Finance[Ex GST],tbl_Finance[Job Number],C204&amp;""))</f>
        <v/>
      </c>
      <c r="I204" s="15">
        <f>IF(C204="","",IFERROR(INDEX(tbl_Finance[Cost Centre],MATCH(C204&amp;"",tbl_Finance[Job Number],0)),"not invoiced yet"))</f>
        <v/>
      </c>
      <c r="J204" s="14" t="n"/>
      <c r="K204" s="14" t="n"/>
      <c r="L204" s="15">
        <f>IF(K204="","",HYPERLINK(IF(LEFT(K204,4)="http",K204,set_QwilrBase&amp;K204),"Open quote"))</f>
        <v/>
      </c>
      <c r="M204" s="53" t="n"/>
      <c r="N204" s="14" t="n"/>
      <c r="O204" s="14" t="n"/>
    </row>
    <row r="205" ht="15" customHeight="1">
      <c r="A205" s="51">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52">
        <f>IF(C205="","",COUNTIFS(tbl_Finance[Job Number],C205&amp;"",tbl_Finance[Ex GST],"&lt;&gt;"))</f>
        <v/>
      </c>
      <c r="H205" s="17">
        <f>IF(C205="","",SUMIFS(tbl_Finance[Ex GST],tbl_Finance[Job Number],C205&amp;""))</f>
        <v/>
      </c>
      <c r="I205" s="15">
        <f>IF(C205="","",IFERROR(INDEX(tbl_Finance[Cost Centre],MATCH(C205&amp;"",tbl_Finance[Job Number],0)),"not invoiced yet"))</f>
        <v/>
      </c>
      <c r="J205" s="14" t="n"/>
      <c r="K205" s="14" t="n"/>
      <c r="L205" s="15">
        <f>IF(K205="","",HYPERLINK(IF(LEFT(K205,4)="http",K205,set_QwilrBase&amp;K205),"Open quote"))</f>
        <v/>
      </c>
      <c r="M205" s="53" t="n"/>
      <c r="N205" s="14" t="n"/>
      <c r="O205" s="14" t="n"/>
    </row>
    <row r="206" ht="15" customHeight="1">
      <c r="A206" s="51">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52">
        <f>IF(C206="","",COUNTIFS(tbl_Finance[Job Number],C206&amp;"",tbl_Finance[Ex GST],"&lt;&gt;"))</f>
        <v/>
      </c>
      <c r="H206" s="17">
        <f>IF(C206="","",SUMIFS(tbl_Finance[Ex GST],tbl_Finance[Job Number],C206&amp;""))</f>
        <v/>
      </c>
      <c r="I206" s="15">
        <f>IF(C206="","",IFERROR(INDEX(tbl_Finance[Cost Centre],MATCH(C206&amp;"",tbl_Finance[Job Number],0)),"not invoiced yet"))</f>
        <v/>
      </c>
      <c r="J206" s="14" t="n"/>
      <c r="K206" s="14" t="n"/>
      <c r="L206" s="15">
        <f>IF(K206="","",HYPERLINK(IF(LEFT(K206,4)="http",K206,set_QwilrBase&amp;K206),"Open quote"))</f>
        <v/>
      </c>
      <c r="M206" s="53" t="n"/>
      <c r="N206" s="14" t="n"/>
      <c r="O206" s="14" t="n"/>
    </row>
    <row r="207" ht="15" customHeight="1">
      <c r="A207" s="51">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52">
        <f>IF(C207="","",COUNTIFS(tbl_Finance[Job Number],C207&amp;"",tbl_Finance[Ex GST],"&lt;&gt;"))</f>
        <v/>
      </c>
      <c r="H207" s="17">
        <f>IF(C207="","",SUMIFS(tbl_Finance[Ex GST],tbl_Finance[Job Number],C207&amp;""))</f>
        <v/>
      </c>
      <c r="I207" s="15">
        <f>IF(C207="","",IFERROR(INDEX(tbl_Finance[Cost Centre],MATCH(C207&amp;"",tbl_Finance[Job Number],0)),"not invoiced yet"))</f>
        <v/>
      </c>
      <c r="J207" s="14" t="n"/>
      <c r="K207" s="14" t="n"/>
      <c r="L207" s="15">
        <f>IF(K207="","",HYPERLINK(IF(LEFT(K207,4)="http",K207,set_QwilrBase&amp;K207),"Open quote"))</f>
        <v/>
      </c>
      <c r="M207" s="53" t="n"/>
      <c r="N207" s="14" t="n"/>
      <c r="O207" s="14" t="n"/>
    </row>
    <row r="208" ht="15" customHeight="1">
      <c r="A208" s="51">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52">
        <f>IF(C208="","",COUNTIFS(tbl_Finance[Job Number],C208&amp;"",tbl_Finance[Ex GST],"&lt;&gt;"))</f>
        <v/>
      </c>
      <c r="H208" s="17">
        <f>IF(C208="","",SUMIFS(tbl_Finance[Ex GST],tbl_Finance[Job Number],C208&amp;""))</f>
        <v/>
      </c>
      <c r="I208" s="15">
        <f>IF(C208="","",IFERROR(INDEX(tbl_Finance[Cost Centre],MATCH(C208&amp;"",tbl_Finance[Job Number],0)),"not invoiced yet"))</f>
        <v/>
      </c>
      <c r="J208" s="14" t="n"/>
      <c r="K208" s="14" t="n"/>
      <c r="L208" s="15">
        <f>IF(K208="","",HYPERLINK(IF(LEFT(K208,4)="http",K208,set_QwilrBase&amp;K208),"Open quote"))</f>
        <v/>
      </c>
      <c r="M208" s="53" t="n"/>
      <c r="N208" s="14" t="n"/>
      <c r="O208" s="14" t="n"/>
    </row>
    <row r="209" ht="15" customHeight="1">
      <c r="A209" s="51">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52">
        <f>IF(C209="","",COUNTIFS(tbl_Finance[Job Number],C209&amp;"",tbl_Finance[Ex GST],"&lt;&gt;"))</f>
        <v/>
      </c>
      <c r="H209" s="17">
        <f>IF(C209="","",SUMIFS(tbl_Finance[Ex GST],tbl_Finance[Job Number],C209&amp;""))</f>
        <v/>
      </c>
      <c r="I209" s="15">
        <f>IF(C209="","",IFERROR(INDEX(tbl_Finance[Cost Centre],MATCH(C209&amp;"",tbl_Finance[Job Number],0)),"not invoiced yet"))</f>
        <v/>
      </c>
      <c r="J209" s="14" t="n"/>
      <c r="K209" s="14" t="n"/>
      <c r="L209" s="15">
        <f>IF(K209="","",HYPERLINK(IF(LEFT(K209,4)="http",K209,set_QwilrBase&amp;K209),"Open quote"))</f>
        <v/>
      </c>
      <c r="M209" s="53" t="n"/>
      <c r="N209" s="14" t="n"/>
      <c r="O209" s="14" t="n"/>
    </row>
    <row r="210" ht="15" customHeight="1">
      <c r="A210" s="51">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52">
        <f>IF(C210="","",COUNTIFS(tbl_Finance[Job Number],C210&amp;"",tbl_Finance[Ex GST],"&lt;&gt;"))</f>
        <v/>
      </c>
      <c r="H210" s="17">
        <f>IF(C210="","",SUMIFS(tbl_Finance[Ex GST],tbl_Finance[Job Number],C210&amp;""))</f>
        <v/>
      </c>
      <c r="I210" s="15">
        <f>IF(C210="","",IFERROR(INDEX(tbl_Finance[Cost Centre],MATCH(C210&amp;"",tbl_Finance[Job Number],0)),"not invoiced yet"))</f>
        <v/>
      </c>
      <c r="J210" s="14" t="n"/>
      <c r="K210" s="14" t="n"/>
      <c r="L210" s="15">
        <f>IF(K210="","",HYPERLINK(IF(LEFT(K210,4)="http",K210,set_QwilrBase&amp;K210),"Open quote"))</f>
        <v/>
      </c>
      <c r="M210" s="53" t="n"/>
      <c r="N210" s="14" t="n"/>
      <c r="O210" s="14" t="n"/>
    </row>
    <row r="211" ht="15" customHeight="1">
      <c r="A211" s="51">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52">
        <f>IF(C211="","",COUNTIFS(tbl_Finance[Job Number],C211&amp;"",tbl_Finance[Ex GST],"&lt;&gt;"))</f>
        <v/>
      </c>
      <c r="H211" s="17">
        <f>IF(C211="","",SUMIFS(tbl_Finance[Ex GST],tbl_Finance[Job Number],C211&amp;""))</f>
        <v/>
      </c>
      <c r="I211" s="15">
        <f>IF(C211="","",IFERROR(INDEX(tbl_Finance[Cost Centre],MATCH(C211&amp;"",tbl_Finance[Job Number],0)),"not invoiced yet"))</f>
        <v/>
      </c>
      <c r="J211" s="14" t="n"/>
      <c r="K211" s="14" t="n"/>
      <c r="L211" s="15">
        <f>IF(K211="","",HYPERLINK(IF(LEFT(K211,4)="http",K211,set_QwilrBase&amp;K211),"Open quote"))</f>
        <v/>
      </c>
      <c r="M211" s="53" t="n"/>
      <c r="N211" s="14" t="n"/>
      <c r="O211" s="14" t="n"/>
    </row>
    <row r="212" ht="15" customHeight="1">
      <c r="A212" s="51">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52">
        <f>IF(C212="","",COUNTIFS(tbl_Finance[Job Number],C212&amp;"",tbl_Finance[Ex GST],"&lt;&gt;"))</f>
        <v/>
      </c>
      <c r="H212" s="17">
        <f>IF(C212="","",SUMIFS(tbl_Finance[Ex GST],tbl_Finance[Job Number],C212&amp;""))</f>
        <v/>
      </c>
      <c r="I212" s="15">
        <f>IF(C212="","",IFERROR(INDEX(tbl_Finance[Cost Centre],MATCH(C212&amp;"",tbl_Finance[Job Number],0)),"not invoiced yet"))</f>
        <v/>
      </c>
      <c r="J212" s="14" t="n"/>
      <c r="K212" s="14" t="n"/>
      <c r="L212" s="15">
        <f>IF(K212="","",HYPERLINK(IF(LEFT(K212,4)="http",K212,set_QwilrBase&amp;K212),"Open quote"))</f>
        <v/>
      </c>
      <c r="M212" s="53" t="n"/>
      <c r="N212" s="14" t="n"/>
      <c r="O212" s="14" t="n"/>
    </row>
    <row r="213" ht="15" customHeight="1">
      <c r="A213" s="51">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52">
        <f>IF(C213="","",COUNTIFS(tbl_Finance[Job Number],C213&amp;"",tbl_Finance[Ex GST],"&lt;&gt;"))</f>
        <v/>
      </c>
      <c r="H213" s="17">
        <f>IF(C213="","",SUMIFS(tbl_Finance[Ex GST],tbl_Finance[Job Number],C213&amp;""))</f>
        <v/>
      </c>
      <c r="I213" s="15">
        <f>IF(C213="","",IFERROR(INDEX(tbl_Finance[Cost Centre],MATCH(C213&amp;"",tbl_Finance[Job Number],0)),"not invoiced yet"))</f>
        <v/>
      </c>
      <c r="J213" s="14" t="n"/>
      <c r="K213" s="14" t="n"/>
      <c r="L213" s="15">
        <f>IF(K213="","",HYPERLINK(IF(LEFT(K213,4)="http",K213,set_QwilrBase&amp;K213),"Open quote"))</f>
        <v/>
      </c>
      <c r="M213" s="53" t="n"/>
      <c r="N213" s="14" t="n"/>
      <c r="O213" s="14" t="n"/>
    </row>
    <row r="214" ht="15" customHeight="1">
      <c r="A214" s="51">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52">
        <f>IF(C214="","",COUNTIFS(tbl_Finance[Job Number],C214&amp;"",tbl_Finance[Ex GST],"&lt;&gt;"))</f>
        <v/>
      </c>
      <c r="H214" s="17">
        <f>IF(C214="","",SUMIFS(tbl_Finance[Ex GST],tbl_Finance[Job Number],C214&amp;""))</f>
        <v/>
      </c>
      <c r="I214" s="15">
        <f>IF(C214="","",IFERROR(INDEX(tbl_Finance[Cost Centre],MATCH(C214&amp;"",tbl_Finance[Job Number],0)),"not invoiced yet"))</f>
        <v/>
      </c>
      <c r="J214" s="14" t="n"/>
      <c r="K214" s="14" t="n"/>
      <c r="L214" s="15">
        <f>IF(K214="","",HYPERLINK(IF(LEFT(K214,4)="http",K214,set_QwilrBase&amp;K214),"Open quote"))</f>
        <v/>
      </c>
      <c r="M214" s="53" t="n"/>
      <c r="N214" s="14" t="n"/>
      <c r="O214" s="14" t="n"/>
    </row>
    <row r="215" ht="15" customHeight="1">
      <c r="A215" s="51">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52">
        <f>IF(C215="","",COUNTIFS(tbl_Finance[Job Number],C215&amp;"",tbl_Finance[Ex GST],"&lt;&gt;"))</f>
        <v/>
      </c>
      <c r="H215" s="17">
        <f>IF(C215="","",SUMIFS(tbl_Finance[Ex GST],tbl_Finance[Job Number],C215&amp;""))</f>
        <v/>
      </c>
      <c r="I215" s="15">
        <f>IF(C215="","",IFERROR(INDEX(tbl_Finance[Cost Centre],MATCH(C215&amp;"",tbl_Finance[Job Number],0)),"not invoiced yet"))</f>
        <v/>
      </c>
      <c r="J215" s="14" t="n"/>
      <c r="K215" s="14" t="n"/>
      <c r="L215" s="15">
        <f>IF(K215="","",HYPERLINK(IF(LEFT(K215,4)="http",K215,set_QwilrBase&amp;K215),"Open quote"))</f>
        <v/>
      </c>
      <c r="M215" s="53" t="n"/>
      <c r="N215" s="14" t="n"/>
      <c r="O215" s="14" t="n"/>
    </row>
    <row r="216" ht="15" customHeight="1">
      <c r="A216" s="51">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52">
        <f>IF(C216="","",COUNTIFS(tbl_Finance[Job Number],C216&amp;"",tbl_Finance[Ex GST],"&lt;&gt;"))</f>
        <v/>
      </c>
      <c r="H216" s="17">
        <f>IF(C216="","",SUMIFS(tbl_Finance[Ex GST],tbl_Finance[Job Number],C216&amp;""))</f>
        <v/>
      </c>
      <c r="I216" s="15">
        <f>IF(C216="","",IFERROR(INDEX(tbl_Finance[Cost Centre],MATCH(C216&amp;"",tbl_Finance[Job Number],0)),"not invoiced yet"))</f>
        <v/>
      </c>
      <c r="J216" s="14" t="n"/>
      <c r="K216" s="14" t="n"/>
      <c r="L216" s="15">
        <f>IF(K216="","",HYPERLINK(IF(LEFT(K216,4)="http",K216,set_QwilrBase&amp;K216),"Open quote"))</f>
        <v/>
      </c>
      <c r="M216" s="53" t="n"/>
      <c r="N216" s="14" t="n"/>
      <c r="O216" s="14" t="n"/>
    </row>
    <row r="217" ht="15" customHeight="1">
      <c r="A217" s="51">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52">
        <f>IF(C217="","",COUNTIFS(tbl_Finance[Job Number],C217&amp;"",tbl_Finance[Ex GST],"&lt;&gt;"))</f>
        <v/>
      </c>
      <c r="H217" s="17">
        <f>IF(C217="","",SUMIFS(tbl_Finance[Ex GST],tbl_Finance[Job Number],C217&amp;""))</f>
        <v/>
      </c>
      <c r="I217" s="15">
        <f>IF(C217="","",IFERROR(INDEX(tbl_Finance[Cost Centre],MATCH(C217&amp;"",tbl_Finance[Job Number],0)),"not invoiced yet"))</f>
        <v/>
      </c>
      <c r="J217" s="14" t="n"/>
      <c r="K217" s="14" t="n"/>
      <c r="L217" s="15">
        <f>IF(K217="","",HYPERLINK(IF(LEFT(K217,4)="http",K217,set_QwilrBase&amp;K217),"Open quote"))</f>
        <v/>
      </c>
      <c r="M217" s="53" t="n"/>
      <c r="N217" s="14" t="n"/>
      <c r="O217" s="14" t="n"/>
    </row>
    <row r="218" ht="15" customHeight="1">
      <c r="A218" s="51">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52">
        <f>IF(C218="","",COUNTIFS(tbl_Finance[Job Number],C218&amp;"",tbl_Finance[Ex GST],"&lt;&gt;"))</f>
        <v/>
      </c>
      <c r="H218" s="17">
        <f>IF(C218="","",SUMIFS(tbl_Finance[Ex GST],tbl_Finance[Job Number],C218&amp;""))</f>
        <v/>
      </c>
      <c r="I218" s="15">
        <f>IF(C218="","",IFERROR(INDEX(tbl_Finance[Cost Centre],MATCH(C218&amp;"",tbl_Finance[Job Number],0)),"not invoiced yet"))</f>
        <v/>
      </c>
      <c r="J218" s="14" t="n"/>
      <c r="K218" s="14" t="n"/>
      <c r="L218" s="15">
        <f>IF(K218="","",HYPERLINK(IF(LEFT(K218,4)="http",K218,set_QwilrBase&amp;K218),"Open quote"))</f>
        <v/>
      </c>
      <c r="M218" s="53" t="n"/>
      <c r="N218" s="14" t="n"/>
      <c r="O218" s="14" t="n"/>
    </row>
    <row r="219" ht="15" customHeight="1">
      <c r="A219" s="51">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52">
        <f>IF(C219="","",COUNTIFS(tbl_Finance[Job Number],C219&amp;"",tbl_Finance[Ex GST],"&lt;&gt;"))</f>
        <v/>
      </c>
      <c r="H219" s="17">
        <f>IF(C219="","",SUMIFS(tbl_Finance[Ex GST],tbl_Finance[Job Number],C219&amp;""))</f>
        <v/>
      </c>
      <c r="I219" s="15">
        <f>IF(C219="","",IFERROR(INDEX(tbl_Finance[Cost Centre],MATCH(C219&amp;"",tbl_Finance[Job Number],0)),"not invoiced yet"))</f>
        <v/>
      </c>
      <c r="J219" s="14" t="n"/>
      <c r="K219" s="14" t="n"/>
      <c r="L219" s="15">
        <f>IF(K219="","",HYPERLINK(IF(LEFT(K219,4)="http",K219,set_QwilrBase&amp;K219),"Open quote"))</f>
        <v/>
      </c>
      <c r="M219" s="53" t="n"/>
      <c r="N219" s="14" t="n"/>
      <c r="O219" s="14" t="n"/>
    </row>
    <row r="220" ht="15" customHeight="1">
      <c r="A220" s="51">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52">
        <f>IF(C220="","",COUNTIFS(tbl_Finance[Job Number],C220&amp;"",tbl_Finance[Ex GST],"&lt;&gt;"))</f>
        <v/>
      </c>
      <c r="H220" s="17">
        <f>IF(C220="","",SUMIFS(tbl_Finance[Ex GST],tbl_Finance[Job Number],C220&amp;""))</f>
        <v/>
      </c>
      <c r="I220" s="15">
        <f>IF(C220="","",IFERROR(INDEX(tbl_Finance[Cost Centre],MATCH(C220&amp;"",tbl_Finance[Job Number],0)),"not invoiced yet"))</f>
        <v/>
      </c>
      <c r="J220" s="14" t="n"/>
      <c r="K220" s="14" t="n"/>
      <c r="L220" s="15">
        <f>IF(K220="","",HYPERLINK(IF(LEFT(K220,4)="http",K220,set_QwilrBase&amp;K220),"Open quote"))</f>
        <v/>
      </c>
      <c r="M220" s="53" t="n"/>
      <c r="N220" s="14" t="n"/>
      <c r="O220" s="14" t="n"/>
    </row>
    <row r="221" ht="15" customHeight="1">
      <c r="A221" s="51">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52">
        <f>IF(C221="","",COUNTIFS(tbl_Finance[Job Number],C221&amp;"",tbl_Finance[Ex GST],"&lt;&gt;"))</f>
        <v/>
      </c>
      <c r="H221" s="17">
        <f>IF(C221="","",SUMIFS(tbl_Finance[Ex GST],tbl_Finance[Job Number],C221&amp;""))</f>
        <v/>
      </c>
      <c r="I221" s="15">
        <f>IF(C221="","",IFERROR(INDEX(tbl_Finance[Cost Centre],MATCH(C221&amp;"",tbl_Finance[Job Number],0)),"not invoiced yet"))</f>
        <v/>
      </c>
      <c r="J221" s="14" t="n"/>
      <c r="K221" s="14" t="n"/>
      <c r="L221" s="15">
        <f>IF(K221="","",HYPERLINK(IF(LEFT(K221,4)="http",K221,set_QwilrBase&amp;K221),"Open quote"))</f>
        <v/>
      </c>
      <c r="M221" s="53" t="n"/>
      <c r="N221" s="14" t="n"/>
      <c r="O221" s="14" t="n"/>
    </row>
    <row r="222" ht="15" customHeight="1">
      <c r="A222" s="51">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52">
        <f>IF(C222="","",COUNTIFS(tbl_Finance[Job Number],C222&amp;"",tbl_Finance[Ex GST],"&lt;&gt;"))</f>
        <v/>
      </c>
      <c r="H222" s="17">
        <f>IF(C222="","",SUMIFS(tbl_Finance[Ex GST],tbl_Finance[Job Number],C222&amp;""))</f>
        <v/>
      </c>
      <c r="I222" s="15">
        <f>IF(C222="","",IFERROR(INDEX(tbl_Finance[Cost Centre],MATCH(C222&amp;"",tbl_Finance[Job Number],0)),"not invoiced yet"))</f>
        <v/>
      </c>
      <c r="J222" s="14" t="n"/>
      <c r="K222" s="14" t="n"/>
      <c r="L222" s="15">
        <f>IF(K222="","",HYPERLINK(IF(LEFT(K222,4)="http",K222,set_QwilrBase&amp;K222),"Open quote"))</f>
        <v/>
      </c>
      <c r="M222" s="53" t="n"/>
      <c r="N222" s="14" t="n"/>
      <c r="O222" s="14" t="n"/>
    </row>
    <row r="223" ht="15" customHeight="1">
      <c r="A223" s="51">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52">
        <f>IF(C223="","",COUNTIFS(tbl_Finance[Job Number],C223&amp;"",tbl_Finance[Ex GST],"&lt;&gt;"))</f>
        <v/>
      </c>
      <c r="H223" s="17">
        <f>IF(C223="","",SUMIFS(tbl_Finance[Ex GST],tbl_Finance[Job Number],C223&amp;""))</f>
        <v/>
      </c>
      <c r="I223" s="15">
        <f>IF(C223="","",IFERROR(INDEX(tbl_Finance[Cost Centre],MATCH(C223&amp;"",tbl_Finance[Job Number],0)),"not invoiced yet"))</f>
        <v/>
      </c>
      <c r="J223" s="14" t="n"/>
      <c r="K223" s="14" t="n"/>
      <c r="L223" s="15">
        <f>IF(K223="","",HYPERLINK(IF(LEFT(K223,4)="http",K223,set_QwilrBase&amp;K223),"Open quote"))</f>
        <v/>
      </c>
      <c r="M223" s="53" t="n"/>
      <c r="N223" s="14" t="n"/>
      <c r="O223" s="14" t="n"/>
    </row>
    <row r="224" ht="15" customHeight="1">
      <c r="A224" s="51">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52">
        <f>IF(C224="","",COUNTIFS(tbl_Finance[Job Number],C224&amp;"",tbl_Finance[Ex GST],"&lt;&gt;"))</f>
        <v/>
      </c>
      <c r="H224" s="17">
        <f>IF(C224="","",SUMIFS(tbl_Finance[Ex GST],tbl_Finance[Job Number],C224&amp;""))</f>
        <v/>
      </c>
      <c r="I224" s="15">
        <f>IF(C224="","",IFERROR(INDEX(tbl_Finance[Cost Centre],MATCH(C224&amp;"",tbl_Finance[Job Number],0)),"not invoiced yet"))</f>
        <v/>
      </c>
      <c r="J224" s="14" t="n"/>
      <c r="K224" s="14" t="n"/>
      <c r="L224" s="15">
        <f>IF(K224="","",HYPERLINK(IF(LEFT(K224,4)="http",K224,set_QwilrBase&amp;K224),"Open quote"))</f>
        <v/>
      </c>
      <c r="M224" s="53" t="n"/>
      <c r="N224" s="14" t="n"/>
      <c r="O224" s="14" t="n"/>
    </row>
    <row r="225" ht="15" customHeight="1">
      <c r="A225" s="51">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52">
        <f>IF(C225="","",COUNTIFS(tbl_Finance[Job Number],C225&amp;"",tbl_Finance[Ex GST],"&lt;&gt;"))</f>
        <v/>
      </c>
      <c r="H225" s="17">
        <f>IF(C225="","",SUMIFS(tbl_Finance[Ex GST],tbl_Finance[Job Number],C225&amp;""))</f>
        <v/>
      </c>
      <c r="I225" s="15">
        <f>IF(C225="","",IFERROR(INDEX(tbl_Finance[Cost Centre],MATCH(C225&amp;"",tbl_Finance[Job Number],0)),"not invoiced yet"))</f>
        <v/>
      </c>
      <c r="J225" s="14" t="n"/>
      <c r="K225" s="14" t="n"/>
      <c r="L225" s="15">
        <f>IF(K225="","",HYPERLINK(IF(LEFT(K225,4)="http",K225,set_QwilrBase&amp;K225),"Open quote"))</f>
        <v/>
      </c>
      <c r="M225" s="53" t="n"/>
      <c r="N225" s="14" t="n"/>
      <c r="O225" s="14" t="n"/>
    </row>
    <row r="226" ht="15" customHeight="1">
      <c r="A226" s="51">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52">
        <f>IF(C226="","",COUNTIFS(tbl_Finance[Job Number],C226&amp;"",tbl_Finance[Ex GST],"&lt;&gt;"))</f>
        <v/>
      </c>
      <c r="H226" s="17">
        <f>IF(C226="","",SUMIFS(tbl_Finance[Ex GST],tbl_Finance[Job Number],C226&amp;""))</f>
        <v/>
      </c>
      <c r="I226" s="15">
        <f>IF(C226="","",IFERROR(INDEX(tbl_Finance[Cost Centre],MATCH(C226&amp;"",tbl_Finance[Job Number],0)),"not invoiced yet"))</f>
        <v/>
      </c>
      <c r="J226" s="14" t="n"/>
      <c r="K226" s="14" t="n"/>
      <c r="L226" s="15">
        <f>IF(K226="","",HYPERLINK(IF(LEFT(K226,4)="http",K226,set_QwilrBase&amp;K226),"Open quote"))</f>
        <v/>
      </c>
      <c r="M226" s="53" t="n"/>
      <c r="N226" s="14" t="n"/>
      <c r="O226" s="14" t="n"/>
    </row>
    <row r="227" ht="15" customHeight="1">
      <c r="A227" s="51">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52">
        <f>IF(C227="","",COUNTIFS(tbl_Finance[Job Number],C227&amp;"",tbl_Finance[Ex GST],"&lt;&gt;"))</f>
        <v/>
      </c>
      <c r="H227" s="17">
        <f>IF(C227="","",SUMIFS(tbl_Finance[Ex GST],tbl_Finance[Job Number],C227&amp;""))</f>
        <v/>
      </c>
      <c r="I227" s="15">
        <f>IF(C227="","",IFERROR(INDEX(tbl_Finance[Cost Centre],MATCH(C227&amp;"",tbl_Finance[Job Number],0)),"not invoiced yet"))</f>
        <v/>
      </c>
      <c r="J227" s="14" t="n"/>
      <c r="K227" s="14" t="n"/>
      <c r="L227" s="15">
        <f>IF(K227="","",HYPERLINK(IF(LEFT(K227,4)="http",K227,set_QwilrBase&amp;K227),"Open quote"))</f>
        <v/>
      </c>
      <c r="M227" s="53" t="n"/>
      <c r="N227" s="14" t="n"/>
      <c r="O227" s="14" t="n"/>
    </row>
    <row r="228" ht="15" customHeight="1">
      <c r="A228" s="51">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52">
        <f>IF(C228="","",COUNTIFS(tbl_Finance[Job Number],C228&amp;"",tbl_Finance[Ex GST],"&lt;&gt;"))</f>
        <v/>
      </c>
      <c r="H228" s="17">
        <f>IF(C228="","",SUMIFS(tbl_Finance[Ex GST],tbl_Finance[Job Number],C228&amp;""))</f>
        <v/>
      </c>
      <c r="I228" s="15">
        <f>IF(C228="","",IFERROR(INDEX(tbl_Finance[Cost Centre],MATCH(C228&amp;"",tbl_Finance[Job Number],0)),"not invoiced yet"))</f>
        <v/>
      </c>
      <c r="J228" s="14" t="n"/>
      <c r="K228" s="14" t="n"/>
      <c r="L228" s="15">
        <f>IF(K228="","",HYPERLINK(IF(LEFT(K228,4)="http",K228,set_QwilrBase&amp;K228),"Open quote"))</f>
        <v/>
      </c>
      <c r="M228" s="53" t="n"/>
      <c r="N228" s="14" t="n"/>
      <c r="O228" s="14" t="n"/>
    </row>
    <row r="229" ht="15" customHeight="1">
      <c r="A229" s="51">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52">
        <f>IF(C229="","",COUNTIFS(tbl_Finance[Job Number],C229&amp;"",tbl_Finance[Ex GST],"&lt;&gt;"))</f>
        <v/>
      </c>
      <c r="H229" s="17">
        <f>IF(C229="","",SUMIFS(tbl_Finance[Ex GST],tbl_Finance[Job Number],C229&amp;""))</f>
        <v/>
      </c>
      <c r="I229" s="15">
        <f>IF(C229="","",IFERROR(INDEX(tbl_Finance[Cost Centre],MATCH(C229&amp;"",tbl_Finance[Job Number],0)),"not invoiced yet"))</f>
        <v/>
      </c>
      <c r="J229" s="14" t="n"/>
      <c r="K229" s="14" t="n"/>
      <c r="L229" s="15">
        <f>IF(K229="","",HYPERLINK(IF(LEFT(K229,4)="http",K229,set_QwilrBase&amp;K229),"Open quote"))</f>
        <v/>
      </c>
      <c r="M229" s="53" t="n"/>
      <c r="N229" s="14" t="n"/>
      <c r="O229" s="14" t="n"/>
    </row>
    <row r="230" ht="15" customHeight="1">
      <c r="A230" s="51">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52">
        <f>IF(C230="","",COUNTIFS(tbl_Finance[Job Number],C230&amp;"",tbl_Finance[Ex GST],"&lt;&gt;"))</f>
        <v/>
      </c>
      <c r="H230" s="17">
        <f>IF(C230="","",SUMIFS(tbl_Finance[Ex GST],tbl_Finance[Job Number],C230&amp;""))</f>
        <v/>
      </c>
      <c r="I230" s="15">
        <f>IF(C230="","",IFERROR(INDEX(tbl_Finance[Cost Centre],MATCH(C230&amp;"",tbl_Finance[Job Number],0)),"not invoiced yet"))</f>
        <v/>
      </c>
      <c r="J230" s="14" t="n"/>
      <c r="K230" s="14" t="n"/>
      <c r="L230" s="15">
        <f>IF(K230="","",HYPERLINK(IF(LEFT(K230,4)="http",K230,set_QwilrBase&amp;K230),"Open quote"))</f>
        <v/>
      </c>
      <c r="M230" s="53" t="n"/>
      <c r="N230" s="14" t="n"/>
      <c r="O230" s="14" t="n"/>
    </row>
    <row r="231" ht="15" customHeight="1">
      <c r="A231" s="51">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52">
        <f>IF(C231="","",COUNTIFS(tbl_Finance[Job Number],C231&amp;"",tbl_Finance[Ex GST],"&lt;&gt;"))</f>
        <v/>
      </c>
      <c r="H231" s="17">
        <f>IF(C231="","",SUMIFS(tbl_Finance[Ex GST],tbl_Finance[Job Number],C231&amp;""))</f>
        <v/>
      </c>
      <c r="I231" s="15">
        <f>IF(C231="","",IFERROR(INDEX(tbl_Finance[Cost Centre],MATCH(C231&amp;"",tbl_Finance[Job Number],0)),"not invoiced yet"))</f>
        <v/>
      </c>
      <c r="J231" s="14" t="n"/>
      <c r="K231" s="14" t="n"/>
      <c r="L231" s="15">
        <f>IF(K231="","",HYPERLINK(IF(LEFT(K231,4)="http",K231,set_QwilrBase&amp;K231),"Open quote"))</f>
        <v/>
      </c>
      <c r="M231" s="53" t="n"/>
      <c r="N231" s="14" t="n"/>
      <c r="O231" s="14" t="n"/>
    </row>
    <row r="232" ht="15" customHeight="1">
      <c r="A232" s="51">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52">
        <f>IF(C232="","",COUNTIFS(tbl_Finance[Job Number],C232&amp;"",tbl_Finance[Ex GST],"&lt;&gt;"))</f>
        <v/>
      </c>
      <c r="H232" s="17">
        <f>IF(C232="","",SUMIFS(tbl_Finance[Ex GST],tbl_Finance[Job Number],C232&amp;""))</f>
        <v/>
      </c>
      <c r="I232" s="15">
        <f>IF(C232="","",IFERROR(INDEX(tbl_Finance[Cost Centre],MATCH(C232&amp;"",tbl_Finance[Job Number],0)),"not invoiced yet"))</f>
        <v/>
      </c>
      <c r="J232" s="14" t="n"/>
      <c r="K232" s="14" t="n"/>
      <c r="L232" s="15">
        <f>IF(K232="","",HYPERLINK(IF(LEFT(K232,4)="http",K232,set_QwilrBase&amp;K232),"Open quote"))</f>
        <v/>
      </c>
      <c r="M232" s="53" t="n"/>
      <c r="N232" s="14" t="n"/>
      <c r="O232" s="14" t="n"/>
    </row>
    <row r="233" ht="15" customHeight="1">
      <c r="A233" s="51">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52">
        <f>IF(C233="","",COUNTIFS(tbl_Finance[Job Number],C233&amp;"",tbl_Finance[Ex GST],"&lt;&gt;"))</f>
        <v/>
      </c>
      <c r="H233" s="17">
        <f>IF(C233="","",SUMIFS(tbl_Finance[Ex GST],tbl_Finance[Job Number],C233&amp;""))</f>
        <v/>
      </c>
      <c r="I233" s="15">
        <f>IF(C233="","",IFERROR(INDEX(tbl_Finance[Cost Centre],MATCH(C233&amp;"",tbl_Finance[Job Number],0)),"not invoiced yet"))</f>
        <v/>
      </c>
      <c r="J233" s="14" t="n"/>
      <c r="K233" s="14" t="n"/>
      <c r="L233" s="15">
        <f>IF(K233="","",HYPERLINK(IF(LEFT(K233,4)="http",K233,set_QwilrBase&amp;K233),"Open quote"))</f>
        <v/>
      </c>
      <c r="M233" s="53" t="n"/>
      <c r="N233" s="14" t="n"/>
      <c r="O233" s="14" t="n"/>
    </row>
    <row r="234" ht="15" customHeight="1">
      <c r="A234" s="51">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52">
        <f>IF(C234="","",COUNTIFS(tbl_Finance[Job Number],C234&amp;"",tbl_Finance[Ex GST],"&lt;&gt;"))</f>
        <v/>
      </c>
      <c r="H234" s="17">
        <f>IF(C234="","",SUMIFS(tbl_Finance[Ex GST],tbl_Finance[Job Number],C234&amp;""))</f>
        <v/>
      </c>
      <c r="I234" s="15">
        <f>IF(C234="","",IFERROR(INDEX(tbl_Finance[Cost Centre],MATCH(C234&amp;"",tbl_Finance[Job Number],0)),"not invoiced yet"))</f>
        <v/>
      </c>
      <c r="J234" s="14" t="n"/>
      <c r="K234" s="14" t="n"/>
      <c r="L234" s="15">
        <f>IF(K234="","",HYPERLINK(IF(LEFT(K234,4)="http",K234,set_QwilrBase&amp;K234),"Open quote"))</f>
        <v/>
      </c>
      <c r="M234" s="53" t="n"/>
      <c r="N234" s="14" t="n"/>
      <c r="O234" s="14" t="n"/>
    </row>
    <row r="235" ht="15" customHeight="1">
      <c r="A235" s="51">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52">
        <f>IF(C235="","",COUNTIFS(tbl_Finance[Job Number],C235&amp;"",tbl_Finance[Ex GST],"&lt;&gt;"))</f>
        <v/>
      </c>
      <c r="H235" s="17">
        <f>IF(C235="","",SUMIFS(tbl_Finance[Ex GST],tbl_Finance[Job Number],C235&amp;""))</f>
        <v/>
      </c>
      <c r="I235" s="15">
        <f>IF(C235="","",IFERROR(INDEX(tbl_Finance[Cost Centre],MATCH(C235&amp;"",tbl_Finance[Job Number],0)),"not invoiced yet"))</f>
        <v/>
      </c>
      <c r="J235" s="14" t="n"/>
      <c r="K235" s="14" t="n"/>
      <c r="L235" s="15">
        <f>IF(K235="","",HYPERLINK(IF(LEFT(K235,4)="http",K235,set_QwilrBase&amp;K235),"Open quote"))</f>
        <v/>
      </c>
      <c r="M235" s="53" t="n"/>
      <c r="N235" s="14" t="n"/>
      <c r="O235" s="14" t="n"/>
    </row>
    <row r="236" ht="15" customHeight="1">
      <c r="A236" s="51">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52">
        <f>IF(C236="","",COUNTIFS(tbl_Finance[Job Number],C236&amp;"",tbl_Finance[Ex GST],"&lt;&gt;"))</f>
        <v/>
      </c>
      <c r="H236" s="17">
        <f>IF(C236="","",SUMIFS(tbl_Finance[Ex GST],tbl_Finance[Job Number],C236&amp;""))</f>
        <v/>
      </c>
      <c r="I236" s="15">
        <f>IF(C236="","",IFERROR(INDEX(tbl_Finance[Cost Centre],MATCH(C236&amp;"",tbl_Finance[Job Number],0)),"not invoiced yet"))</f>
        <v/>
      </c>
      <c r="J236" s="14" t="n"/>
      <c r="K236" s="14" t="n"/>
      <c r="L236" s="15">
        <f>IF(K236="","",HYPERLINK(IF(LEFT(K236,4)="http",K236,set_QwilrBase&amp;K236),"Open quote"))</f>
        <v/>
      </c>
      <c r="M236" s="53" t="n"/>
      <c r="N236" s="14" t="n"/>
      <c r="O236" s="14" t="n"/>
    </row>
    <row r="237" ht="15" customHeight="1">
      <c r="A237" s="51">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52">
        <f>IF(C237="","",COUNTIFS(tbl_Finance[Job Number],C237&amp;"",tbl_Finance[Ex GST],"&lt;&gt;"))</f>
        <v/>
      </c>
      <c r="H237" s="17">
        <f>IF(C237="","",SUMIFS(tbl_Finance[Ex GST],tbl_Finance[Job Number],C237&amp;""))</f>
        <v/>
      </c>
      <c r="I237" s="15">
        <f>IF(C237="","",IFERROR(INDEX(tbl_Finance[Cost Centre],MATCH(C237&amp;"",tbl_Finance[Job Number],0)),"not invoiced yet"))</f>
        <v/>
      </c>
      <c r="J237" s="14" t="n"/>
      <c r="K237" s="14" t="n"/>
      <c r="L237" s="15">
        <f>IF(K237="","",HYPERLINK(IF(LEFT(K237,4)="http",K237,set_QwilrBase&amp;K237),"Open quote"))</f>
        <v/>
      </c>
      <c r="M237" s="53" t="n"/>
      <c r="N237" s="14" t="n"/>
      <c r="O237" s="14" t="n"/>
    </row>
    <row r="238" ht="15" customHeight="1">
      <c r="A238" s="51">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52">
        <f>IF(C238="","",COUNTIFS(tbl_Finance[Job Number],C238&amp;"",tbl_Finance[Ex GST],"&lt;&gt;"))</f>
        <v/>
      </c>
      <c r="H238" s="17">
        <f>IF(C238="","",SUMIFS(tbl_Finance[Ex GST],tbl_Finance[Job Number],C238&amp;""))</f>
        <v/>
      </c>
      <c r="I238" s="15">
        <f>IF(C238="","",IFERROR(INDEX(tbl_Finance[Cost Centre],MATCH(C238&amp;"",tbl_Finance[Job Number],0)),"not invoiced yet"))</f>
        <v/>
      </c>
      <c r="J238" s="14" t="n"/>
      <c r="K238" s="14" t="n"/>
      <c r="L238" s="15">
        <f>IF(K238="","",HYPERLINK(IF(LEFT(K238,4)="http",K238,set_QwilrBase&amp;K238),"Open quote"))</f>
        <v/>
      </c>
      <c r="M238" s="53" t="n"/>
      <c r="N238" s="14" t="n"/>
      <c r="O238" s="14" t="n"/>
    </row>
    <row r="239" ht="15" customHeight="1">
      <c r="A239" s="51">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52">
        <f>IF(C239="","",COUNTIFS(tbl_Finance[Job Number],C239&amp;"",tbl_Finance[Ex GST],"&lt;&gt;"))</f>
        <v/>
      </c>
      <c r="H239" s="17">
        <f>IF(C239="","",SUMIFS(tbl_Finance[Ex GST],tbl_Finance[Job Number],C239&amp;""))</f>
        <v/>
      </c>
      <c r="I239" s="15">
        <f>IF(C239="","",IFERROR(INDEX(tbl_Finance[Cost Centre],MATCH(C239&amp;"",tbl_Finance[Job Number],0)),"not invoiced yet"))</f>
        <v/>
      </c>
      <c r="J239" s="14" t="n"/>
      <c r="K239" s="14" t="n"/>
      <c r="L239" s="15">
        <f>IF(K239="","",HYPERLINK(IF(LEFT(K239,4)="http",K239,set_QwilrBase&amp;K239),"Open quote"))</f>
        <v/>
      </c>
      <c r="M239" s="53" t="n"/>
      <c r="N239" s="14" t="n"/>
      <c r="O239" s="14" t="n"/>
    </row>
    <row r="240" ht="15" customHeight="1">
      <c r="A240" s="51">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52">
        <f>IF(C240="","",COUNTIFS(tbl_Finance[Job Number],C240&amp;"",tbl_Finance[Ex GST],"&lt;&gt;"))</f>
        <v/>
      </c>
      <c r="H240" s="17">
        <f>IF(C240="","",SUMIFS(tbl_Finance[Ex GST],tbl_Finance[Job Number],C240&amp;""))</f>
        <v/>
      </c>
      <c r="I240" s="15">
        <f>IF(C240="","",IFERROR(INDEX(tbl_Finance[Cost Centre],MATCH(C240&amp;"",tbl_Finance[Job Number],0)),"not invoiced yet"))</f>
        <v/>
      </c>
      <c r="J240" s="14" t="n"/>
      <c r="K240" s="14" t="n"/>
      <c r="L240" s="15">
        <f>IF(K240="","",HYPERLINK(IF(LEFT(K240,4)="http",K240,set_QwilrBase&amp;K240),"Open quote"))</f>
        <v/>
      </c>
      <c r="M240" s="53" t="n"/>
      <c r="N240" s="14" t="n"/>
      <c r="O240" s="14" t="n"/>
    </row>
    <row r="241" ht="15" customHeight="1">
      <c r="A241" s="51">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52">
        <f>IF(C241="","",COUNTIFS(tbl_Finance[Job Number],C241&amp;"",tbl_Finance[Ex GST],"&lt;&gt;"))</f>
        <v/>
      </c>
      <c r="H241" s="17">
        <f>IF(C241="","",SUMIFS(tbl_Finance[Ex GST],tbl_Finance[Job Number],C241&amp;""))</f>
        <v/>
      </c>
      <c r="I241" s="15">
        <f>IF(C241="","",IFERROR(INDEX(tbl_Finance[Cost Centre],MATCH(C241&amp;"",tbl_Finance[Job Number],0)),"not invoiced yet"))</f>
        <v/>
      </c>
      <c r="J241" s="14" t="n"/>
      <c r="K241" s="14" t="n"/>
      <c r="L241" s="15">
        <f>IF(K241="","",HYPERLINK(IF(LEFT(K241,4)="http",K241,set_QwilrBase&amp;K241),"Open quote"))</f>
        <v/>
      </c>
      <c r="M241" s="53" t="n"/>
      <c r="N241" s="14" t="n"/>
      <c r="O241" s="14" t="n"/>
    </row>
    <row r="242" ht="15" customHeight="1">
      <c r="A242" s="51">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52">
        <f>IF(C242="","",COUNTIFS(tbl_Finance[Job Number],C242&amp;"",tbl_Finance[Ex GST],"&lt;&gt;"))</f>
        <v/>
      </c>
      <c r="H242" s="17">
        <f>IF(C242="","",SUMIFS(tbl_Finance[Ex GST],tbl_Finance[Job Number],C242&amp;""))</f>
        <v/>
      </c>
      <c r="I242" s="15">
        <f>IF(C242="","",IFERROR(INDEX(tbl_Finance[Cost Centre],MATCH(C242&amp;"",tbl_Finance[Job Number],0)),"not invoiced yet"))</f>
        <v/>
      </c>
      <c r="J242" s="14" t="n"/>
      <c r="K242" s="14" t="n"/>
      <c r="L242" s="15">
        <f>IF(K242="","",HYPERLINK(IF(LEFT(K242,4)="http",K242,set_QwilrBase&amp;K242),"Open quote"))</f>
        <v/>
      </c>
      <c r="M242" s="53" t="n"/>
      <c r="N242" s="14" t="n"/>
      <c r="O242" s="14" t="n"/>
    </row>
    <row r="243" ht="15" customHeight="1">
      <c r="A243" s="51">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52">
        <f>IF(C243="","",COUNTIFS(tbl_Finance[Job Number],C243&amp;"",tbl_Finance[Ex GST],"&lt;&gt;"))</f>
        <v/>
      </c>
      <c r="H243" s="17">
        <f>IF(C243="","",SUMIFS(tbl_Finance[Ex GST],tbl_Finance[Job Number],C243&amp;""))</f>
        <v/>
      </c>
      <c r="I243" s="15">
        <f>IF(C243="","",IFERROR(INDEX(tbl_Finance[Cost Centre],MATCH(C243&amp;"",tbl_Finance[Job Number],0)),"not invoiced yet"))</f>
        <v/>
      </c>
      <c r="J243" s="14" t="n"/>
      <c r="K243" s="14" t="n"/>
      <c r="L243" s="15">
        <f>IF(K243="","",HYPERLINK(IF(LEFT(K243,4)="http",K243,set_QwilrBase&amp;K243),"Open quote"))</f>
        <v/>
      </c>
      <c r="M243" s="53" t="n"/>
      <c r="N243" s="14" t="n"/>
      <c r="O243" s="14" t="n"/>
    </row>
    <row r="244" ht="15" customHeight="1">
      <c r="A244" s="51">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52">
        <f>IF(C244="","",COUNTIFS(tbl_Finance[Job Number],C244&amp;"",tbl_Finance[Ex GST],"&lt;&gt;"))</f>
        <v/>
      </c>
      <c r="H244" s="17">
        <f>IF(C244="","",SUMIFS(tbl_Finance[Ex GST],tbl_Finance[Job Number],C244&amp;""))</f>
        <v/>
      </c>
      <c r="I244" s="15">
        <f>IF(C244="","",IFERROR(INDEX(tbl_Finance[Cost Centre],MATCH(C244&amp;"",tbl_Finance[Job Number],0)),"not invoiced yet"))</f>
        <v/>
      </c>
      <c r="J244" s="14" t="n"/>
      <c r="K244" s="14" t="n"/>
      <c r="L244" s="15">
        <f>IF(K244="","",HYPERLINK(IF(LEFT(K244,4)="http",K244,set_QwilrBase&amp;K244),"Open quote"))</f>
        <v/>
      </c>
      <c r="M244" s="53" t="n"/>
      <c r="N244" s="14" t="n"/>
      <c r="O244" s="14" t="n"/>
    </row>
    <row r="245" ht="15" customHeight="1">
      <c r="A245" s="51">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52">
        <f>IF(C245="","",COUNTIFS(tbl_Finance[Job Number],C245&amp;"",tbl_Finance[Ex GST],"&lt;&gt;"))</f>
        <v/>
      </c>
      <c r="H245" s="17">
        <f>IF(C245="","",SUMIFS(tbl_Finance[Ex GST],tbl_Finance[Job Number],C245&amp;""))</f>
        <v/>
      </c>
      <c r="I245" s="15">
        <f>IF(C245="","",IFERROR(INDEX(tbl_Finance[Cost Centre],MATCH(C245&amp;"",tbl_Finance[Job Number],0)),"not invoiced yet"))</f>
        <v/>
      </c>
      <c r="J245" s="14" t="n"/>
      <c r="K245" s="14" t="n"/>
      <c r="L245" s="15">
        <f>IF(K245="","",HYPERLINK(IF(LEFT(K245,4)="http",K245,set_QwilrBase&amp;K245),"Open quote"))</f>
        <v/>
      </c>
      <c r="M245" s="53" t="n"/>
      <c r="N245" s="14" t="n"/>
      <c r="O245" s="14" t="n"/>
    </row>
    <row r="246" ht="15" customHeight="1">
      <c r="A246" s="51">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52">
        <f>IF(C246="","",COUNTIFS(tbl_Finance[Job Number],C246&amp;"",tbl_Finance[Ex GST],"&lt;&gt;"))</f>
        <v/>
      </c>
      <c r="H246" s="17">
        <f>IF(C246="","",SUMIFS(tbl_Finance[Ex GST],tbl_Finance[Job Number],C246&amp;""))</f>
        <v/>
      </c>
      <c r="I246" s="15">
        <f>IF(C246="","",IFERROR(INDEX(tbl_Finance[Cost Centre],MATCH(C246&amp;"",tbl_Finance[Job Number],0)),"not invoiced yet"))</f>
        <v/>
      </c>
      <c r="J246" s="14" t="n"/>
      <c r="K246" s="14" t="n"/>
      <c r="L246" s="15">
        <f>IF(K246="","",HYPERLINK(IF(LEFT(K246,4)="http",K246,set_QwilrBase&amp;K246),"Open quote"))</f>
        <v/>
      </c>
      <c r="M246" s="53" t="n"/>
      <c r="N246" s="14" t="n"/>
      <c r="O246" s="14" t="n"/>
    </row>
    <row r="247" ht="15" customHeight="1">
      <c r="A247" s="51">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52">
        <f>IF(C247="","",COUNTIFS(tbl_Finance[Job Number],C247&amp;"",tbl_Finance[Ex GST],"&lt;&gt;"))</f>
        <v/>
      </c>
      <c r="H247" s="17">
        <f>IF(C247="","",SUMIFS(tbl_Finance[Ex GST],tbl_Finance[Job Number],C247&amp;""))</f>
        <v/>
      </c>
      <c r="I247" s="15">
        <f>IF(C247="","",IFERROR(INDEX(tbl_Finance[Cost Centre],MATCH(C247&amp;"",tbl_Finance[Job Number],0)),"not invoiced yet"))</f>
        <v/>
      </c>
      <c r="J247" s="14" t="n"/>
      <c r="K247" s="14" t="n"/>
      <c r="L247" s="15">
        <f>IF(K247="","",HYPERLINK(IF(LEFT(K247,4)="http",K247,set_QwilrBase&amp;K247),"Open quote"))</f>
        <v/>
      </c>
      <c r="M247" s="53" t="n"/>
      <c r="N247" s="14" t="n"/>
      <c r="O247" s="14" t="n"/>
    </row>
    <row r="248" ht="15" customHeight="1">
      <c r="A248" s="51">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52">
        <f>IF(C248="","",COUNTIFS(tbl_Finance[Job Number],C248&amp;"",tbl_Finance[Ex GST],"&lt;&gt;"))</f>
        <v/>
      </c>
      <c r="H248" s="17">
        <f>IF(C248="","",SUMIFS(tbl_Finance[Ex GST],tbl_Finance[Job Number],C248&amp;""))</f>
        <v/>
      </c>
      <c r="I248" s="15">
        <f>IF(C248="","",IFERROR(INDEX(tbl_Finance[Cost Centre],MATCH(C248&amp;"",tbl_Finance[Job Number],0)),"not invoiced yet"))</f>
        <v/>
      </c>
      <c r="J248" s="14" t="n"/>
      <c r="K248" s="14" t="n"/>
      <c r="L248" s="15">
        <f>IF(K248="","",HYPERLINK(IF(LEFT(K248,4)="http",K248,set_QwilrBase&amp;K248),"Open quote"))</f>
        <v/>
      </c>
      <c r="M248" s="53" t="n"/>
      <c r="N248" s="14" t="n"/>
      <c r="O248" s="14" t="n"/>
    </row>
    <row r="249" ht="15" customHeight="1">
      <c r="A249" s="51">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52">
        <f>IF(C249="","",COUNTIFS(tbl_Finance[Job Number],C249&amp;"",tbl_Finance[Ex GST],"&lt;&gt;"))</f>
        <v/>
      </c>
      <c r="H249" s="17">
        <f>IF(C249="","",SUMIFS(tbl_Finance[Ex GST],tbl_Finance[Job Number],C249&amp;""))</f>
        <v/>
      </c>
      <c r="I249" s="15">
        <f>IF(C249="","",IFERROR(INDEX(tbl_Finance[Cost Centre],MATCH(C249&amp;"",tbl_Finance[Job Number],0)),"not invoiced yet"))</f>
        <v/>
      </c>
      <c r="J249" s="14" t="n"/>
      <c r="K249" s="14" t="n"/>
      <c r="L249" s="15">
        <f>IF(K249="","",HYPERLINK(IF(LEFT(K249,4)="http",K249,set_QwilrBase&amp;K249),"Open quote"))</f>
        <v/>
      </c>
      <c r="M249" s="53" t="n"/>
      <c r="N249" s="14" t="n"/>
      <c r="O249" s="14" t="n"/>
    </row>
    <row r="250" ht="15" customHeight="1">
      <c r="A250" s="51">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52">
        <f>IF(C250="","",COUNTIFS(tbl_Finance[Job Number],C250&amp;"",tbl_Finance[Ex GST],"&lt;&gt;"))</f>
        <v/>
      </c>
      <c r="H250" s="17">
        <f>IF(C250="","",SUMIFS(tbl_Finance[Ex GST],tbl_Finance[Job Number],C250&amp;""))</f>
        <v/>
      </c>
      <c r="I250" s="15">
        <f>IF(C250="","",IFERROR(INDEX(tbl_Finance[Cost Centre],MATCH(C250&amp;"",tbl_Finance[Job Number],0)),"not invoiced yet"))</f>
        <v/>
      </c>
      <c r="J250" s="14" t="n"/>
      <c r="K250" s="14" t="n"/>
      <c r="L250" s="15">
        <f>IF(K250="","",HYPERLINK(IF(LEFT(K250,4)="http",K250,set_QwilrBase&amp;K250),"Open quote"))</f>
        <v/>
      </c>
      <c r="M250" s="53" t="n"/>
      <c r="N250" s="14" t="n"/>
      <c r="O250" s="14" t="n"/>
    </row>
    <row r="251" ht="15" customHeight="1">
      <c r="A251" s="51">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52">
        <f>IF(C251="","",COUNTIFS(tbl_Finance[Job Number],C251&amp;"",tbl_Finance[Ex GST],"&lt;&gt;"))</f>
        <v/>
      </c>
      <c r="H251" s="17">
        <f>IF(C251="","",SUMIFS(tbl_Finance[Ex GST],tbl_Finance[Job Number],C251&amp;""))</f>
        <v/>
      </c>
      <c r="I251" s="15">
        <f>IF(C251="","",IFERROR(INDEX(tbl_Finance[Cost Centre],MATCH(C251&amp;"",tbl_Finance[Job Number],0)),"not invoiced yet"))</f>
        <v/>
      </c>
      <c r="J251" s="14" t="n"/>
      <c r="K251" s="14" t="n"/>
      <c r="L251" s="15">
        <f>IF(K251="","",HYPERLINK(IF(LEFT(K251,4)="http",K251,set_QwilrBase&amp;K251),"Open quote"))</f>
        <v/>
      </c>
      <c r="M251" s="53" t="n"/>
      <c r="N251" s="14" t="n"/>
      <c r="O251" s="14" t="n"/>
    </row>
    <row r="252" ht="15" customHeight="1">
      <c r="A252" s="51">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52">
        <f>IF(C252="","",COUNTIFS(tbl_Finance[Job Number],C252&amp;"",tbl_Finance[Ex GST],"&lt;&gt;"))</f>
        <v/>
      </c>
      <c r="H252" s="17">
        <f>IF(C252="","",SUMIFS(tbl_Finance[Ex GST],tbl_Finance[Job Number],C252&amp;""))</f>
        <v/>
      </c>
      <c r="I252" s="15">
        <f>IF(C252="","",IFERROR(INDEX(tbl_Finance[Cost Centre],MATCH(C252&amp;"",tbl_Finance[Job Number],0)),"not invoiced yet"))</f>
        <v/>
      </c>
      <c r="J252" s="14" t="n"/>
      <c r="K252" s="14" t="n"/>
      <c r="L252" s="15">
        <f>IF(K252="","",HYPERLINK(IF(LEFT(K252,4)="http",K252,set_QwilrBase&amp;K252),"Open quote"))</f>
        <v/>
      </c>
      <c r="M252" s="53" t="n"/>
      <c r="N252" s="14" t="n"/>
      <c r="O252" s="14" t="n"/>
    </row>
    <row r="253" ht="15" customHeight="1">
      <c r="A253" s="51">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52">
        <f>IF(C253="","",COUNTIFS(tbl_Finance[Job Number],C253&amp;"",tbl_Finance[Ex GST],"&lt;&gt;"))</f>
        <v/>
      </c>
      <c r="H253" s="17">
        <f>IF(C253="","",SUMIFS(tbl_Finance[Ex GST],tbl_Finance[Job Number],C253&amp;""))</f>
        <v/>
      </c>
      <c r="I253" s="15">
        <f>IF(C253="","",IFERROR(INDEX(tbl_Finance[Cost Centre],MATCH(C253&amp;"",tbl_Finance[Job Number],0)),"not invoiced yet"))</f>
        <v/>
      </c>
      <c r="J253" s="14" t="n"/>
      <c r="K253" s="14" t="n"/>
      <c r="L253" s="15">
        <f>IF(K253="","",HYPERLINK(IF(LEFT(K253,4)="http",K253,set_QwilrBase&amp;K253),"Open quote"))</f>
        <v/>
      </c>
      <c r="M253" s="53" t="n"/>
      <c r="N253" s="14" t="n"/>
      <c r="O253" s="14" t="n"/>
    </row>
    <row r="254" ht="15" customHeight="1">
      <c r="A254" s="51">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52">
        <f>IF(C254="","",COUNTIFS(tbl_Finance[Job Number],C254&amp;"",tbl_Finance[Ex GST],"&lt;&gt;"))</f>
        <v/>
      </c>
      <c r="H254" s="17">
        <f>IF(C254="","",SUMIFS(tbl_Finance[Ex GST],tbl_Finance[Job Number],C254&amp;""))</f>
        <v/>
      </c>
      <c r="I254" s="15">
        <f>IF(C254="","",IFERROR(INDEX(tbl_Finance[Cost Centre],MATCH(C254&amp;"",tbl_Finance[Job Number],0)),"not invoiced yet"))</f>
        <v/>
      </c>
      <c r="J254" s="14" t="n"/>
      <c r="K254" s="14" t="n"/>
      <c r="L254" s="15">
        <f>IF(K254="","",HYPERLINK(IF(LEFT(K254,4)="http",K254,set_QwilrBase&amp;K254),"Open quote"))</f>
        <v/>
      </c>
      <c r="M254" s="53" t="n"/>
      <c r="N254" s="14" t="n"/>
      <c r="O254" s="14" t="n"/>
    </row>
    <row r="255" ht="15" customHeight="1">
      <c r="A255" s="51">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52">
        <f>IF(C255="","",COUNTIFS(tbl_Finance[Job Number],C255&amp;"",tbl_Finance[Ex GST],"&lt;&gt;"))</f>
        <v/>
      </c>
      <c r="H255" s="17">
        <f>IF(C255="","",SUMIFS(tbl_Finance[Ex GST],tbl_Finance[Job Number],C255&amp;""))</f>
        <v/>
      </c>
      <c r="I255" s="15">
        <f>IF(C255="","",IFERROR(INDEX(tbl_Finance[Cost Centre],MATCH(C255&amp;"",tbl_Finance[Job Number],0)),"not invoiced yet"))</f>
        <v/>
      </c>
      <c r="J255" s="14" t="n"/>
      <c r="K255" s="14" t="n"/>
      <c r="L255" s="15">
        <f>IF(K255="","",HYPERLINK(IF(LEFT(K255,4)="http",K255,set_QwilrBase&amp;K255),"Open quote"))</f>
        <v/>
      </c>
      <c r="M255" s="53" t="n"/>
      <c r="N255" s="14" t="n"/>
      <c r="O255" s="14" t="n"/>
    </row>
    <row r="256" ht="15" customHeight="1">
      <c r="A256" s="51">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52">
        <f>IF(C256="","",COUNTIFS(tbl_Finance[Job Number],C256&amp;"",tbl_Finance[Ex GST],"&lt;&gt;"))</f>
        <v/>
      </c>
      <c r="H256" s="17">
        <f>IF(C256="","",SUMIFS(tbl_Finance[Ex GST],tbl_Finance[Job Number],C256&amp;""))</f>
        <v/>
      </c>
      <c r="I256" s="15">
        <f>IF(C256="","",IFERROR(INDEX(tbl_Finance[Cost Centre],MATCH(C256&amp;"",tbl_Finance[Job Number],0)),"not invoiced yet"))</f>
        <v/>
      </c>
      <c r="J256" s="14" t="n"/>
      <c r="K256" s="14" t="n"/>
      <c r="L256" s="15">
        <f>IF(K256="","",HYPERLINK(IF(LEFT(K256,4)="http",K256,set_QwilrBase&amp;K256),"Open quote"))</f>
        <v/>
      </c>
      <c r="M256" s="53" t="n"/>
      <c r="N256" s="14" t="n"/>
      <c r="O256" s="14" t="n"/>
    </row>
    <row r="257" ht="15" customHeight="1">
      <c r="A257" s="51">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52">
        <f>IF(C257="","",COUNTIFS(tbl_Finance[Job Number],C257&amp;"",tbl_Finance[Ex GST],"&lt;&gt;"))</f>
        <v/>
      </c>
      <c r="H257" s="17">
        <f>IF(C257="","",SUMIFS(tbl_Finance[Ex GST],tbl_Finance[Job Number],C257&amp;""))</f>
        <v/>
      </c>
      <c r="I257" s="15">
        <f>IF(C257="","",IFERROR(INDEX(tbl_Finance[Cost Centre],MATCH(C257&amp;"",tbl_Finance[Job Number],0)),"not invoiced yet"))</f>
        <v/>
      </c>
      <c r="J257" s="14" t="n"/>
      <c r="K257" s="14" t="n"/>
      <c r="L257" s="15">
        <f>IF(K257="","",HYPERLINK(IF(LEFT(K257,4)="http",K257,set_QwilrBase&amp;K257),"Open quote"))</f>
        <v/>
      </c>
      <c r="M257" s="53" t="n"/>
      <c r="N257" s="14" t="n"/>
      <c r="O257" s="14" t="n"/>
    </row>
    <row r="258" ht="15" customHeight="1">
      <c r="A258" s="51">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52">
        <f>IF(C258="","",COUNTIFS(tbl_Finance[Job Number],C258&amp;"",tbl_Finance[Ex GST],"&lt;&gt;"))</f>
        <v/>
      </c>
      <c r="H258" s="17">
        <f>IF(C258="","",SUMIFS(tbl_Finance[Ex GST],tbl_Finance[Job Number],C258&amp;""))</f>
        <v/>
      </c>
      <c r="I258" s="15">
        <f>IF(C258="","",IFERROR(INDEX(tbl_Finance[Cost Centre],MATCH(C258&amp;"",tbl_Finance[Job Number],0)),"not invoiced yet"))</f>
        <v/>
      </c>
      <c r="J258" s="14" t="n"/>
      <c r="K258" s="14" t="n"/>
      <c r="L258" s="15">
        <f>IF(K258="","",HYPERLINK(IF(LEFT(K258,4)="http",K258,set_QwilrBase&amp;K258),"Open quote"))</f>
        <v/>
      </c>
      <c r="M258" s="53" t="n"/>
      <c r="N258" s="14" t="n"/>
      <c r="O258" s="14" t="n"/>
    </row>
    <row r="259" ht="15" customHeight="1">
      <c r="A259" s="51">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52">
        <f>IF(C259="","",COUNTIFS(tbl_Finance[Job Number],C259&amp;"",tbl_Finance[Ex GST],"&lt;&gt;"))</f>
        <v/>
      </c>
      <c r="H259" s="17">
        <f>IF(C259="","",SUMIFS(tbl_Finance[Ex GST],tbl_Finance[Job Number],C259&amp;""))</f>
        <v/>
      </c>
      <c r="I259" s="15">
        <f>IF(C259="","",IFERROR(INDEX(tbl_Finance[Cost Centre],MATCH(C259&amp;"",tbl_Finance[Job Number],0)),"not invoiced yet"))</f>
        <v/>
      </c>
      <c r="J259" s="14" t="n"/>
      <c r="K259" s="14" t="n"/>
      <c r="L259" s="15">
        <f>IF(K259="","",HYPERLINK(IF(LEFT(K259,4)="http",K259,set_QwilrBase&amp;K259),"Open quote"))</f>
        <v/>
      </c>
      <c r="M259" s="53" t="n"/>
      <c r="N259" s="14" t="n"/>
      <c r="O259" s="14" t="n"/>
    </row>
    <row r="260" ht="15" customHeight="1">
      <c r="A260" s="51">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52">
        <f>IF(C260="","",COUNTIFS(tbl_Finance[Job Number],C260&amp;"",tbl_Finance[Ex GST],"&lt;&gt;"))</f>
        <v/>
      </c>
      <c r="H260" s="17">
        <f>IF(C260="","",SUMIFS(tbl_Finance[Ex GST],tbl_Finance[Job Number],C260&amp;""))</f>
        <v/>
      </c>
      <c r="I260" s="15">
        <f>IF(C260="","",IFERROR(INDEX(tbl_Finance[Cost Centre],MATCH(C260&amp;"",tbl_Finance[Job Number],0)),"not invoiced yet"))</f>
        <v/>
      </c>
      <c r="J260" s="14" t="n"/>
      <c r="K260" s="14" t="n"/>
      <c r="L260" s="15">
        <f>IF(K260="","",HYPERLINK(IF(LEFT(K260,4)="http",K260,set_QwilrBase&amp;K260),"Open quote"))</f>
        <v/>
      </c>
      <c r="M260" s="53" t="n"/>
      <c r="N260" s="14" t="n"/>
      <c r="O260" s="14" t="n"/>
    </row>
    <row r="261" ht="15" customHeight="1">
      <c r="A261" s="51">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52">
        <f>IF(C261="","",COUNTIFS(tbl_Finance[Job Number],C261&amp;"",tbl_Finance[Ex GST],"&lt;&gt;"))</f>
        <v/>
      </c>
      <c r="H261" s="17">
        <f>IF(C261="","",SUMIFS(tbl_Finance[Ex GST],tbl_Finance[Job Number],C261&amp;""))</f>
        <v/>
      </c>
      <c r="I261" s="15">
        <f>IF(C261="","",IFERROR(INDEX(tbl_Finance[Cost Centre],MATCH(C261&amp;"",tbl_Finance[Job Number],0)),"not invoiced yet"))</f>
        <v/>
      </c>
      <c r="J261" s="14" t="n"/>
      <c r="K261" s="14" t="n"/>
      <c r="L261" s="15">
        <f>IF(K261="","",HYPERLINK(IF(LEFT(K261,4)="http",K261,set_QwilrBase&amp;K261),"Open quote"))</f>
        <v/>
      </c>
      <c r="M261" s="53" t="n"/>
      <c r="N261" s="14" t="n"/>
      <c r="O261" s="14" t="n"/>
    </row>
    <row r="262" ht="15" customHeight="1">
      <c r="A262" s="51">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52">
        <f>IF(C262="","",COUNTIFS(tbl_Finance[Job Number],C262&amp;"",tbl_Finance[Ex GST],"&lt;&gt;"))</f>
        <v/>
      </c>
      <c r="H262" s="17">
        <f>IF(C262="","",SUMIFS(tbl_Finance[Ex GST],tbl_Finance[Job Number],C262&amp;""))</f>
        <v/>
      </c>
      <c r="I262" s="15">
        <f>IF(C262="","",IFERROR(INDEX(tbl_Finance[Cost Centre],MATCH(C262&amp;"",tbl_Finance[Job Number],0)),"not invoiced yet"))</f>
        <v/>
      </c>
      <c r="J262" s="14" t="n"/>
      <c r="K262" s="14" t="n"/>
      <c r="L262" s="15">
        <f>IF(K262="","",HYPERLINK(IF(LEFT(K262,4)="http",K262,set_QwilrBase&amp;K262),"Open quote"))</f>
        <v/>
      </c>
      <c r="M262" s="53" t="n"/>
      <c r="N262" s="14" t="n"/>
      <c r="O262" s="14" t="n"/>
    </row>
    <row r="263" ht="15" customHeight="1">
      <c r="A263" s="51">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52">
        <f>IF(C263="","",COUNTIFS(tbl_Finance[Job Number],C263&amp;"",tbl_Finance[Ex GST],"&lt;&gt;"))</f>
        <v/>
      </c>
      <c r="H263" s="17">
        <f>IF(C263="","",SUMIFS(tbl_Finance[Ex GST],tbl_Finance[Job Number],C263&amp;""))</f>
        <v/>
      </c>
      <c r="I263" s="15">
        <f>IF(C263="","",IFERROR(INDEX(tbl_Finance[Cost Centre],MATCH(C263&amp;"",tbl_Finance[Job Number],0)),"not invoiced yet"))</f>
        <v/>
      </c>
      <c r="J263" s="14" t="n"/>
      <c r="K263" s="14" t="n"/>
      <c r="L263" s="15">
        <f>IF(K263="","",HYPERLINK(IF(LEFT(K263,4)="http",K263,set_QwilrBase&amp;K263),"Open quote"))</f>
        <v/>
      </c>
      <c r="M263" s="53" t="n"/>
      <c r="N263" s="14" t="n"/>
      <c r="O263" s="14" t="n"/>
    </row>
    <row r="264" ht="15" customHeight="1">
      <c r="A264" s="51">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52">
        <f>IF(C264="","",COUNTIFS(tbl_Finance[Job Number],C264&amp;"",tbl_Finance[Ex GST],"&lt;&gt;"))</f>
        <v/>
      </c>
      <c r="H264" s="17">
        <f>IF(C264="","",SUMIFS(tbl_Finance[Ex GST],tbl_Finance[Job Number],C264&amp;""))</f>
        <v/>
      </c>
      <c r="I264" s="15">
        <f>IF(C264="","",IFERROR(INDEX(tbl_Finance[Cost Centre],MATCH(C264&amp;"",tbl_Finance[Job Number],0)),"not invoiced yet"))</f>
        <v/>
      </c>
      <c r="J264" s="14" t="n"/>
      <c r="K264" s="14" t="n"/>
      <c r="L264" s="15">
        <f>IF(K264="","",HYPERLINK(IF(LEFT(K264,4)="http",K264,set_QwilrBase&amp;K264),"Open quote"))</f>
        <v/>
      </c>
      <c r="M264" s="53" t="n"/>
      <c r="N264" s="14" t="n"/>
      <c r="O264" s="14" t="n"/>
    </row>
    <row r="265" ht="15" customHeight="1">
      <c r="A265" s="51">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52">
        <f>IF(C265="","",COUNTIFS(tbl_Finance[Job Number],C265&amp;"",tbl_Finance[Ex GST],"&lt;&gt;"))</f>
        <v/>
      </c>
      <c r="H265" s="17">
        <f>IF(C265="","",SUMIFS(tbl_Finance[Ex GST],tbl_Finance[Job Number],C265&amp;""))</f>
        <v/>
      </c>
      <c r="I265" s="15">
        <f>IF(C265="","",IFERROR(INDEX(tbl_Finance[Cost Centre],MATCH(C265&amp;"",tbl_Finance[Job Number],0)),"not invoiced yet"))</f>
        <v/>
      </c>
      <c r="J265" s="14" t="n"/>
      <c r="K265" s="14" t="n"/>
      <c r="L265" s="15">
        <f>IF(K265="","",HYPERLINK(IF(LEFT(K265,4)="http",K265,set_QwilrBase&amp;K265),"Open quote"))</f>
        <v/>
      </c>
      <c r="M265" s="53" t="n"/>
      <c r="N265" s="14" t="n"/>
      <c r="O265" s="14" t="n"/>
    </row>
    <row r="266" ht="15" customHeight="1">
      <c r="A266" s="51">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52">
        <f>IF(C266="","",COUNTIFS(tbl_Finance[Job Number],C266&amp;"",tbl_Finance[Ex GST],"&lt;&gt;"))</f>
        <v/>
      </c>
      <c r="H266" s="17">
        <f>IF(C266="","",SUMIFS(tbl_Finance[Ex GST],tbl_Finance[Job Number],C266&amp;""))</f>
        <v/>
      </c>
      <c r="I266" s="15">
        <f>IF(C266="","",IFERROR(INDEX(tbl_Finance[Cost Centre],MATCH(C266&amp;"",tbl_Finance[Job Number],0)),"not invoiced yet"))</f>
        <v/>
      </c>
      <c r="J266" s="14" t="n"/>
      <c r="K266" s="14" t="n"/>
      <c r="L266" s="15">
        <f>IF(K266="","",HYPERLINK(IF(LEFT(K266,4)="http",K266,set_QwilrBase&amp;K266),"Open quote"))</f>
        <v/>
      </c>
      <c r="M266" s="53" t="n"/>
      <c r="N266" s="14" t="n"/>
      <c r="O266" s="14" t="n"/>
    </row>
    <row r="267" ht="15" customHeight="1">
      <c r="A267" s="51">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52">
        <f>IF(C267="","",COUNTIFS(tbl_Finance[Job Number],C267&amp;"",tbl_Finance[Ex GST],"&lt;&gt;"))</f>
        <v/>
      </c>
      <c r="H267" s="17">
        <f>IF(C267="","",SUMIFS(tbl_Finance[Ex GST],tbl_Finance[Job Number],C267&amp;""))</f>
        <v/>
      </c>
      <c r="I267" s="15">
        <f>IF(C267="","",IFERROR(INDEX(tbl_Finance[Cost Centre],MATCH(C267&amp;"",tbl_Finance[Job Number],0)),"not invoiced yet"))</f>
        <v/>
      </c>
      <c r="J267" s="14" t="n"/>
      <c r="K267" s="14" t="n"/>
      <c r="L267" s="15">
        <f>IF(K267="","",HYPERLINK(IF(LEFT(K267,4)="http",K267,set_QwilrBase&amp;K267),"Open quote"))</f>
        <v/>
      </c>
      <c r="M267" s="53" t="n"/>
      <c r="N267" s="14" t="n"/>
      <c r="O267" s="14" t="n"/>
    </row>
    <row r="268" ht="15" customHeight="1">
      <c r="A268" s="51">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52">
        <f>IF(C268="","",COUNTIFS(tbl_Finance[Job Number],C268&amp;"",tbl_Finance[Ex GST],"&lt;&gt;"))</f>
        <v/>
      </c>
      <c r="H268" s="17">
        <f>IF(C268="","",SUMIFS(tbl_Finance[Ex GST],tbl_Finance[Job Number],C268&amp;""))</f>
        <v/>
      </c>
      <c r="I268" s="15">
        <f>IF(C268="","",IFERROR(INDEX(tbl_Finance[Cost Centre],MATCH(C268&amp;"",tbl_Finance[Job Number],0)),"not invoiced yet"))</f>
        <v/>
      </c>
      <c r="J268" s="14" t="n"/>
      <c r="K268" s="14" t="n"/>
      <c r="L268" s="15">
        <f>IF(K268="","",HYPERLINK(IF(LEFT(K268,4)="http",K268,set_QwilrBase&amp;K268),"Open quote"))</f>
        <v/>
      </c>
      <c r="M268" s="53" t="n"/>
      <c r="N268" s="14" t="n"/>
      <c r="O268" s="14" t="n"/>
    </row>
    <row r="269" ht="15" customHeight="1">
      <c r="A269" s="51">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52">
        <f>IF(C269="","",COUNTIFS(tbl_Finance[Job Number],C269&amp;"",tbl_Finance[Ex GST],"&lt;&gt;"))</f>
        <v/>
      </c>
      <c r="H269" s="17">
        <f>IF(C269="","",SUMIFS(tbl_Finance[Ex GST],tbl_Finance[Job Number],C269&amp;""))</f>
        <v/>
      </c>
      <c r="I269" s="15">
        <f>IF(C269="","",IFERROR(INDEX(tbl_Finance[Cost Centre],MATCH(C269&amp;"",tbl_Finance[Job Number],0)),"not invoiced yet"))</f>
        <v/>
      </c>
      <c r="J269" s="14" t="n"/>
      <c r="K269" s="14" t="n"/>
      <c r="L269" s="15">
        <f>IF(K269="","",HYPERLINK(IF(LEFT(K269,4)="http",K269,set_QwilrBase&amp;K269),"Open quote"))</f>
        <v/>
      </c>
      <c r="M269" s="53" t="n"/>
      <c r="N269" s="14" t="n"/>
      <c r="O269" s="14" t="n"/>
    </row>
    <row r="270" ht="15" customHeight="1">
      <c r="A270" s="51">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52">
        <f>IF(C270="","",COUNTIFS(tbl_Finance[Job Number],C270&amp;"",tbl_Finance[Ex GST],"&lt;&gt;"))</f>
        <v/>
      </c>
      <c r="H270" s="17">
        <f>IF(C270="","",SUMIFS(tbl_Finance[Ex GST],tbl_Finance[Job Number],C270&amp;""))</f>
        <v/>
      </c>
      <c r="I270" s="15">
        <f>IF(C270="","",IFERROR(INDEX(tbl_Finance[Cost Centre],MATCH(C270&amp;"",tbl_Finance[Job Number],0)),"not invoiced yet"))</f>
        <v/>
      </c>
      <c r="J270" s="14" t="n"/>
      <c r="K270" s="14" t="n"/>
      <c r="L270" s="15">
        <f>IF(K270="","",HYPERLINK(IF(LEFT(K270,4)="http",K270,set_QwilrBase&amp;K270),"Open quote"))</f>
        <v/>
      </c>
      <c r="M270" s="53" t="n"/>
      <c r="N270" s="14" t="n"/>
      <c r="O270" s="14" t="n"/>
    </row>
    <row r="271" ht="15" customHeight="1">
      <c r="A271" s="51">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52">
        <f>IF(C271="","",COUNTIFS(tbl_Finance[Job Number],C271&amp;"",tbl_Finance[Ex GST],"&lt;&gt;"))</f>
        <v/>
      </c>
      <c r="H271" s="17">
        <f>IF(C271="","",SUMIFS(tbl_Finance[Ex GST],tbl_Finance[Job Number],C271&amp;""))</f>
        <v/>
      </c>
      <c r="I271" s="15">
        <f>IF(C271="","",IFERROR(INDEX(tbl_Finance[Cost Centre],MATCH(C271&amp;"",tbl_Finance[Job Number],0)),"not invoiced yet"))</f>
        <v/>
      </c>
      <c r="J271" s="14" t="n"/>
      <c r="K271" s="14" t="n"/>
      <c r="L271" s="15">
        <f>IF(K271="","",HYPERLINK(IF(LEFT(K271,4)="http",K271,set_QwilrBase&amp;K271),"Open quote"))</f>
        <v/>
      </c>
      <c r="M271" s="53" t="n"/>
      <c r="N271" s="14" t="n"/>
      <c r="O271" s="14" t="n"/>
    </row>
    <row r="272" ht="15" customHeight="1">
      <c r="A272" s="51">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52">
        <f>IF(C272="","",COUNTIFS(tbl_Finance[Job Number],C272&amp;"",tbl_Finance[Ex GST],"&lt;&gt;"))</f>
        <v/>
      </c>
      <c r="H272" s="17">
        <f>IF(C272="","",SUMIFS(tbl_Finance[Ex GST],tbl_Finance[Job Number],C272&amp;""))</f>
        <v/>
      </c>
      <c r="I272" s="15">
        <f>IF(C272="","",IFERROR(INDEX(tbl_Finance[Cost Centre],MATCH(C272&amp;"",tbl_Finance[Job Number],0)),"not invoiced yet"))</f>
        <v/>
      </c>
      <c r="J272" s="14" t="n"/>
      <c r="K272" s="14" t="n"/>
      <c r="L272" s="15">
        <f>IF(K272="","",HYPERLINK(IF(LEFT(K272,4)="http",K272,set_QwilrBase&amp;K272),"Open quote"))</f>
        <v/>
      </c>
      <c r="M272" s="53" t="n"/>
      <c r="N272" s="14" t="n"/>
      <c r="O272" s="14" t="n"/>
    </row>
    <row r="273" ht="15" customHeight="1">
      <c r="A273" s="51">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52">
        <f>IF(C273="","",COUNTIFS(tbl_Finance[Job Number],C273&amp;"",tbl_Finance[Ex GST],"&lt;&gt;"))</f>
        <v/>
      </c>
      <c r="H273" s="17">
        <f>IF(C273="","",SUMIFS(tbl_Finance[Ex GST],tbl_Finance[Job Number],C273&amp;""))</f>
        <v/>
      </c>
      <c r="I273" s="15">
        <f>IF(C273="","",IFERROR(INDEX(tbl_Finance[Cost Centre],MATCH(C273&amp;"",tbl_Finance[Job Number],0)),"not invoiced yet"))</f>
        <v/>
      </c>
      <c r="J273" s="14" t="n"/>
      <c r="K273" s="14" t="n"/>
      <c r="L273" s="15">
        <f>IF(K273="","",HYPERLINK(IF(LEFT(K273,4)="http",K273,set_QwilrBase&amp;K273),"Open quote"))</f>
        <v/>
      </c>
      <c r="M273" s="53" t="n"/>
      <c r="N273" s="14" t="n"/>
      <c r="O273" s="14" t="n"/>
    </row>
    <row r="274" ht="15" customHeight="1">
      <c r="A274" s="51">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52">
        <f>IF(C274="","",COUNTIFS(tbl_Finance[Job Number],C274&amp;"",tbl_Finance[Ex GST],"&lt;&gt;"))</f>
        <v/>
      </c>
      <c r="H274" s="17">
        <f>IF(C274="","",SUMIFS(tbl_Finance[Ex GST],tbl_Finance[Job Number],C274&amp;""))</f>
        <v/>
      </c>
      <c r="I274" s="15">
        <f>IF(C274="","",IFERROR(INDEX(tbl_Finance[Cost Centre],MATCH(C274&amp;"",tbl_Finance[Job Number],0)),"not invoiced yet"))</f>
        <v/>
      </c>
      <c r="J274" s="14" t="n"/>
      <c r="K274" s="14" t="n"/>
      <c r="L274" s="15">
        <f>IF(K274="","",HYPERLINK(IF(LEFT(K274,4)="http",K274,set_QwilrBase&amp;K274),"Open quote"))</f>
        <v/>
      </c>
      <c r="M274" s="53" t="n"/>
      <c r="N274" s="14" t="n"/>
      <c r="O274" s="14" t="n"/>
    </row>
    <row r="275" ht="15" customHeight="1">
      <c r="A275" s="51">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52">
        <f>IF(C275="","",COUNTIFS(tbl_Finance[Job Number],C275&amp;"",tbl_Finance[Ex GST],"&lt;&gt;"))</f>
        <v/>
      </c>
      <c r="H275" s="17">
        <f>IF(C275="","",SUMIFS(tbl_Finance[Ex GST],tbl_Finance[Job Number],C275&amp;""))</f>
        <v/>
      </c>
      <c r="I275" s="15">
        <f>IF(C275="","",IFERROR(INDEX(tbl_Finance[Cost Centre],MATCH(C275&amp;"",tbl_Finance[Job Number],0)),"not invoiced yet"))</f>
        <v/>
      </c>
      <c r="J275" s="14" t="n"/>
      <c r="K275" s="14" t="n"/>
      <c r="L275" s="15">
        <f>IF(K275="","",HYPERLINK(IF(LEFT(K275,4)="http",K275,set_QwilrBase&amp;K275),"Open quote"))</f>
        <v/>
      </c>
      <c r="M275" s="53" t="n"/>
      <c r="N275" s="14" t="n"/>
      <c r="O275" s="14" t="n"/>
    </row>
    <row r="276" ht="15" customHeight="1">
      <c r="A276" s="51">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52">
        <f>IF(C276="","",COUNTIFS(tbl_Finance[Job Number],C276&amp;"",tbl_Finance[Ex GST],"&lt;&gt;"))</f>
        <v/>
      </c>
      <c r="H276" s="17">
        <f>IF(C276="","",SUMIFS(tbl_Finance[Ex GST],tbl_Finance[Job Number],C276&amp;""))</f>
        <v/>
      </c>
      <c r="I276" s="15">
        <f>IF(C276="","",IFERROR(INDEX(tbl_Finance[Cost Centre],MATCH(C276&amp;"",tbl_Finance[Job Number],0)),"not invoiced yet"))</f>
        <v/>
      </c>
      <c r="J276" s="14" t="n"/>
      <c r="K276" s="14" t="n"/>
      <c r="L276" s="15">
        <f>IF(K276="","",HYPERLINK(IF(LEFT(K276,4)="http",K276,set_QwilrBase&amp;K276),"Open quote"))</f>
        <v/>
      </c>
      <c r="M276" s="53" t="n"/>
      <c r="N276" s="14" t="n"/>
      <c r="O276" s="14" t="n"/>
    </row>
    <row r="277" ht="15" customHeight="1">
      <c r="A277" s="51">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52">
        <f>IF(C277="","",COUNTIFS(tbl_Finance[Job Number],C277&amp;"",tbl_Finance[Ex GST],"&lt;&gt;"))</f>
        <v/>
      </c>
      <c r="H277" s="17">
        <f>IF(C277="","",SUMIFS(tbl_Finance[Ex GST],tbl_Finance[Job Number],C277&amp;""))</f>
        <v/>
      </c>
      <c r="I277" s="15">
        <f>IF(C277="","",IFERROR(INDEX(tbl_Finance[Cost Centre],MATCH(C277&amp;"",tbl_Finance[Job Number],0)),"not invoiced yet"))</f>
        <v/>
      </c>
      <c r="J277" s="14" t="n"/>
      <c r="K277" s="14" t="n"/>
      <c r="L277" s="15">
        <f>IF(K277="","",HYPERLINK(IF(LEFT(K277,4)="http",K277,set_QwilrBase&amp;K277),"Open quote"))</f>
        <v/>
      </c>
      <c r="M277" s="53" t="n"/>
      <c r="N277" s="14" t="n"/>
      <c r="O277" s="14" t="n"/>
    </row>
    <row r="278" ht="15" customHeight="1">
      <c r="A278" s="51">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52">
        <f>IF(C278="","",COUNTIFS(tbl_Finance[Job Number],C278&amp;"",tbl_Finance[Ex GST],"&lt;&gt;"))</f>
        <v/>
      </c>
      <c r="H278" s="17">
        <f>IF(C278="","",SUMIFS(tbl_Finance[Ex GST],tbl_Finance[Job Number],C278&amp;""))</f>
        <v/>
      </c>
      <c r="I278" s="15">
        <f>IF(C278="","",IFERROR(INDEX(tbl_Finance[Cost Centre],MATCH(C278&amp;"",tbl_Finance[Job Number],0)),"not invoiced yet"))</f>
        <v/>
      </c>
      <c r="J278" s="14" t="n"/>
      <c r="K278" s="14" t="n"/>
      <c r="L278" s="15">
        <f>IF(K278="","",HYPERLINK(IF(LEFT(K278,4)="http",K278,set_QwilrBase&amp;K278),"Open quote"))</f>
        <v/>
      </c>
      <c r="M278" s="53" t="n"/>
      <c r="N278" s="14" t="n"/>
      <c r="O278" s="14" t="n"/>
    </row>
    <row r="279" ht="15" customHeight="1">
      <c r="A279" s="51">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52">
        <f>IF(C279="","",COUNTIFS(tbl_Finance[Job Number],C279&amp;"",tbl_Finance[Ex GST],"&lt;&gt;"))</f>
        <v/>
      </c>
      <c r="H279" s="17">
        <f>IF(C279="","",SUMIFS(tbl_Finance[Ex GST],tbl_Finance[Job Number],C279&amp;""))</f>
        <v/>
      </c>
      <c r="I279" s="15">
        <f>IF(C279="","",IFERROR(INDEX(tbl_Finance[Cost Centre],MATCH(C279&amp;"",tbl_Finance[Job Number],0)),"not invoiced yet"))</f>
        <v/>
      </c>
      <c r="J279" s="14" t="n"/>
      <c r="K279" s="14" t="n"/>
      <c r="L279" s="15">
        <f>IF(K279="","",HYPERLINK(IF(LEFT(K279,4)="http",K279,set_QwilrBase&amp;K279),"Open quote"))</f>
        <v/>
      </c>
      <c r="M279" s="53" t="n"/>
      <c r="N279" s="14" t="n"/>
      <c r="O279" s="14" t="n"/>
    </row>
    <row r="280" ht="15" customHeight="1">
      <c r="A280" s="51">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52">
        <f>IF(C280="","",COUNTIFS(tbl_Finance[Job Number],C280&amp;"",tbl_Finance[Ex GST],"&lt;&gt;"))</f>
        <v/>
      </c>
      <c r="H280" s="17">
        <f>IF(C280="","",SUMIFS(tbl_Finance[Ex GST],tbl_Finance[Job Number],C280&amp;""))</f>
        <v/>
      </c>
      <c r="I280" s="15">
        <f>IF(C280="","",IFERROR(INDEX(tbl_Finance[Cost Centre],MATCH(C280&amp;"",tbl_Finance[Job Number],0)),"not invoiced yet"))</f>
        <v/>
      </c>
      <c r="J280" s="14" t="n"/>
      <c r="K280" s="14" t="n"/>
      <c r="L280" s="15">
        <f>IF(K280="","",HYPERLINK(IF(LEFT(K280,4)="http",K280,set_QwilrBase&amp;K280),"Open quote"))</f>
        <v/>
      </c>
      <c r="M280" s="53" t="n"/>
      <c r="N280" s="14" t="n"/>
      <c r="O280" s="14" t="n"/>
    </row>
    <row r="281" ht="15" customHeight="1">
      <c r="A281" s="51">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52">
        <f>IF(C281="","",COUNTIFS(tbl_Finance[Job Number],C281&amp;"",tbl_Finance[Ex GST],"&lt;&gt;"))</f>
        <v/>
      </c>
      <c r="H281" s="17">
        <f>IF(C281="","",SUMIFS(tbl_Finance[Ex GST],tbl_Finance[Job Number],C281&amp;""))</f>
        <v/>
      </c>
      <c r="I281" s="15">
        <f>IF(C281="","",IFERROR(INDEX(tbl_Finance[Cost Centre],MATCH(C281&amp;"",tbl_Finance[Job Number],0)),"not invoiced yet"))</f>
        <v/>
      </c>
      <c r="J281" s="14" t="n"/>
      <c r="K281" s="14" t="n"/>
      <c r="L281" s="15">
        <f>IF(K281="","",HYPERLINK(IF(LEFT(K281,4)="http",K281,set_QwilrBase&amp;K281),"Open quote"))</f>
        <v/>
      </c>
      <c r="M281" s="53" t="n"/>
      <c r="N281" s="14" t="n"/>
      <c r="O281" s="14" t="n"/>
    </row>
    <row r="282" ht="15" customHeight="1">
      <c r="A282" s="51">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52">
        <f>IF(C282="","",COUNTIFS(tbl_Finance[Job Number],C282&amp;"",tbl_Finance[Ex GST],"&lt;&gt;"))</f>
        <v/>
      </c>
      <c r="H282" s="17">
        <f>IF(C282="","",SUMIFS(tbl_Finance[Ex GST],tbl_Finance[Job Number],C282&amp;""))</f>
        <v/>
      </c>
      <c r="I282" s="15">
        <f>IF(C282="","",IFERROR(INDEX(tbl_Finance[Cost Centre],MATCH(C282&amp;"",tbl_Finance[Job Number],0)),"not invoiced yet"))</f>
        <v/>
      </c>
      <c r="J282" s="14" t="n"/>
      <c r="K282" s="14" t="n"/>
      <c r="L282" s="15">
        <f>IF(K282="","",HYPERLINK(IF(LEFT(K282,4)="http",K282,set_QwilrBase&amp;K282),"Open quote"))</f>
        <v/>
      </c>
      <c r="M282" s="53" t="n"/>
      <c r="N282" s="14" t="n"/>
      <c r="O282" s="14" t="n"/>
    </row>
    <row r="283" ht="15" customHeight="1">
      <c r="A283" s="51">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52">
        <f>IF(C283="","",COUNTIFS(tbl_Finance[Job Number],C283&amp;"",tbl_Finance[Ex GST],"&lt;&gt;"))</f>
        <v/>
      </c>
      <c r="H283" s="17">
        <f>IF(C283="","",SUMIFS(tbl_Finance[Ex GST],tbl_Finance[Job Number],C283&amp;""))</f>
        <v/>
      </c>
      <c r="I283" s="15">
        <f>IF(C283="","",IFERROR(INDEX(tbl_Finance[Cost Centre],MATCH(C283&amp;"",tbl_Finance[Job Number],0)),"not invoiced yet"))</f>
        <v/>
      </c>
      <c r="J283" s="14" t="n"/>
      <c r="K283" s="14" t="n"/>
      <c r="L283" s="15">
        <f>IF(K283="","",HYPERLINK(IF(LEFT(K283,4)="http",K283,set_QwilrBase&amp;K283),"Open quote"))</f>
        <v/>
      </c>
      <c r="M283" s="53" t="n"/>
      <c r="N283" s="14" t="n"/>
      <c r="O283" s="14" t="n"/>
    </row>
    <row r="284" ht="15" customHeight="1">
      <c r="A284" s="51">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52">
        <f>IF(C284="","",COUNTIFS(tbl_Finance[Job Number],C284&amp;"",tbl_Finance[Ex GST],"&lt;&gt;"))</f>
        <v/>
      </c>
      <c r="H284" s="17">
        <f>IF(C284="","",SUMIFS(tbl_Finance[Ex GST],tbl_Finance[Job Number],C284&amp;""))</f>
        <v/>
      </c>
      <c r="I284" s="15">
        <f>IF(C284="","",IFERROR(INDEX(tbl_Finance[Cost Centre],MATCH(C284&amp;"",tbl_Finance[Job Number],0)),"not invoiced yet"))</f>
        <v/>
      </c>
      <c r="J284" s="14" t="n"/>
      <c r="K284" s="14" t="n"/>
      <c r="L284" s="15">
        <f>IF(K284="","",HYPERLINK(IF(LEFT(K284,4)="http",K284,set_QwilrBase&amp;K284),"Open quote"))</f>
        <v/>
      </c>
      <c r="M284" s="53" t="n"/>
      <c r="N284" s="14" t="n"/>
      <c r="O284" s="14" t="n"/>
    </row>
    <row r="285" ht="15" customHeight="1">
      <c r="A285" s="51">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52">
        <f>IF(C285="","",COUNTIFS(tbl_Finance[Job Number],C285&amp;"",tbl_Finance[Ex GST],"&lt;&gt;"))</f>
        <v/>
      </c>
      <c r="H285" s="17">
        <f>IF(C285="","",SUMIFS(tbl_Finance[Ex GST],tbl_Finance[Job Number],C285&amp;""))</f>
        <v/>
      </c>
      <c r="I285" s="15">
        <f>IF(C285="","",IFERROR(INDEX(tbl_Finance[Cost Centre],MATCH(C285&amp;"",tbl_Finance[Job Number],0)),"not invoiced yet"))</f>
        <v/>
      </c>
      <c r="J285" s="14" t="n"/>
      <c r="K285" s="14" t="n"/>
      <c r="L285" s="15">
        <f>IF(K285="","",HYPERLINK(IF(LEFT(K285,4)="http",K285,set_QwilrBase&amp;K285),"Open quote"))</f>
        <v/>
      </c>
      <c r="M285" s="53" t="n"/>
      <c r="N285" s="14" t="n"/>
      <c r="O285" s="14" t="n"/>
    </row>
    <row r="286" ht="15" customHeight="1">
      <c r="A286" s="51">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52">
        <f>IF(C286="","",COUNTIFS(tbl_Finance[Job Number],C286&amp;"",tbl_Finance[Ex GST],"&lt;&gt;"))</f>
        <v/>
      </c>
      <c r="H286" s="17">
        <f>IF(C286="","",SUMIFS(tbl_Finance[Ex GST],tbl_Finance[Job Number],C286&amp;""))</f>
        <v/>
      </c>
      <c r="I286" s="15">
        <f>IF(C286="","",IFERROR(INDEX(tbl_Finance[Cost Centre],MATCH(C286&amp;"",tbl_Finance[Job Number],0)),"not invoiced yet"))</f>
        <v/>
      </c>
      <c r="J286" s="14" t="n"/>
      <c r="K286" s="14" t="n"/>
      <c r="L286" s="15">
        <f>IF(K286="","",HYPERLINK(IF(LEFT(K286,4)="http",K286,set_QwilrBase&amp;K286),"Open quote"))</f>
        <v/>
      </c>
      <c r="M286" s="53" t="n"/>
      <c r="N286" s="14" t="n"/>
      <c r="O286" s="14" t="n"/>
    </row>
    <row r="287" ht="15" customHeight="1">
      <c r="A287" s="51">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52">
        <f>IF(C287="","",COUNTIFS(tbl_Finance[Job Number],C287&amp;"",tbl_Finance[Ex GST],"&lt;&gt;"))</f>
        <v/>
      </c>
      <c r="H287" s="17">
        <f>IF(C287="","",SUMIFS(tbl_Finance[Ex GST],tbl_Finance[Job Number],C287&amp;""))</f>
        <v/>
      </c>
      <c r="I287" s="15">
        <f>IF(C287="","",IFERROR(INDEX(tbl_Finance[Cost Centre],MATCH(C287&amp;"",tbl_Finance[Job Number],0)),"not invoiced yet"))</f>
        <v/>
      </c>
      <c r="J287" s="14" t="n"/>
      <c r="K287" s="14" t="n"/>
      <c r="L287" s="15">
        <f>IF(K287="","",HYPERLINK(IF(LEFT(K287,4)="http",K287,set_QwilrBase&amp;K287),"Open quote"))</f>
        <v/>
      </c>
      <c r="M287" s="53" t="n"/>
      <c r="N287" s="14" t="n"/>
      <c r="O287" s="14" t="n"/>
    </row>
    <row r="288" ht="15" customHeight="1">
      <c r="A288" s="51">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52">
        <f>IF(C288="","",COUNTIFS(tbl_Finance[Job Number],C288&amp;"",tbl_Finance[Ex GST],"&lt;&gt;"))</f>
        <v/>
      </c>
      <c r="H288" s="17">
        <f>IF(C288="","",SUMIFS(tbl_Finance[Ex GST],tbl_Finance[Job Number],C288&amp;""))</f>
        <v/>
      </c>
      <c r="I288" s="15">
        <f>IF(C288="","",IFERROR(INDEX(tbl_Finance[Cost Centre],MATCH(C288&amp;"",tbl_Finance[Job Number],0)),"not invoiced yet"))</f>
        <v/>
      </c>
      <c r="J288" s="14" t="n"/>
      <c r="K288" s="14" t="n"/>
      <c r="L288" s="15">
        <f>IF(K288="","",HYPERLINK(IF(LEFT(K288,4)="http",K288,set_QwilrBase&amp;K288),"Open quote"))</f>
        <v/>
      </c>
      <c r="M288" s="53" t="n"/>
      <c r="N288" s="14" t="n"/>
      <c r="O288" s="14" t="n"/>
    </row>
    <row r="289" ht="15" customHeight="1">
      <c r="A289" s="51">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52">
        <f>IF(C289="","",COUNTIFS(tbl_Finance[Job Number],C289&amp;"",tbl_Finance[Ex GST],"&lt;&gt;"))</f>
        <v/>
      </c>
      <c r="H289" s="17">
        <f>IF(C289="","",SUMIFS(tbl_Finance[Ex GST],tbl_Finance[Job Number],C289&amp;""))</f>
        <v/>
      </c>
      <c r="I289" s="15">
        <f>IF(C289="","",IFERROR(INDEX(tbl_Finance[Cost Centre],MATCH(C289&amp;"",tbl_Finance[Job Number],0)),"not invoiced yet"))</f>
        <v/>
      </c>
      <c r="J289" s="14" t="n"/>
      <c r="K289" s="14" t="n"/>
      <c r="L289" s="15">
        <f>IF(K289="","",HYPERLINK(IF(LEFT(K289,4)="http",K289,set_QwilrBase&amp;K289),"Open quote"))</f>
        <v/>
      </c>
      <c r="M289" s="53" t="n"/>
      <c r="N289" s="14" t="n"/>
      <c r="O289" s="14" t="n"/>
    </row>
    <row r="290" ht="15" customHeight="1">
      <c r="A290" s="51">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52">
        <f>IF(C290="","",COUNTIFS(tbl_Finance[Job Number],C290&amp;"",tbl_Finance[Ex GST],"&lt;&gt;"))</f>
        <v/>
      </c>
      <c r="H290" s="17">
        <f>IF(C290="","",SUMIFS(tbl_Finance[Ex GST],tbl_Finance[Job Number],C290&amp;""))</f>
        <v/>
      </c>
      <c r="I290" s="15">
        <f>IF(C290="","",IFERROR(INDEX(tbl_Finance[Cost Centre],MATCH(C290&amp;"",tbl_Finance[Job Number],0)),"not invoiced yet"))</f>
        <v/>
      </c>
      <c r="J290" s="14" t="n"/>
      <c r="K290" s="14" t="n"/>
      <c r="L290" s="15">
        <f>IF(K290="","",HYPERLINK(IF(LEFT(K290,4)="http",K290,set_QwilrBase&amp;K290),"Open quote"))</f>
        <v/>
      </c>
      <c r="M290" s="53" t="n"/>
      <c r="N290" s="14" t="n"/>
      <c r="O290" s="14" t="n"/>
    </row>
    <row r="291" ht="15" customHeight="1">
      <c r="A291" s="51">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52">
        <f>IF(C291="","",COUNTIFS(tbl_Finance[Job Number],C291&amp;"",tbl_Finance[Ex GST],"&lt;&gt;"))</f>
        <v/>
      </c>
      <c r="H291" s="17">
        <f>IF(C291="","",SUMIFS(tbl_Finance[Ex GST],tbl_Finance[Job Number],C291&amp;""))</f>
        <v/>
      </c>
      <c r="I291" s="15">
        <f>IF(C291="","",IFERROR(INDEX(tbl_Finance[Cost Centre],MATCH(C291&amp;"",tbl_Finance[Job Number],0)),"not invoiced yet"))</f>
        <v/>
      </c>
      <c r="J291" s="14" t="n"/>
      <c r="K291" s="14" t="n"/>
      <c r="L291" s="15">
        <f>IF(K291="","",HYPERLINK(IF(LEFT(K291,4)="http",K291,set_QwilrBase&amp;K291),"Open quote"))</f>
        <v/>
      </c>
      <c r="M291" s="53" t="n"/>
      <c r="N291" s="14" t="n"/>
      <c r="O291" s="14" t="n"/>
    </row>
    <row r="292" ht="15" customHeight="1">
      <c r="A292" s="51">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52">
        <f>IF(C292="","",COUNTIFS(tbl_Finance[Job Number],C292&amp;"",tbl_Finance[Ex GST],"&lt;&gt;"))</f>
        <v/>
      </c>
      <c r="H292" s="17">
        <f>IF(C292="","",SUMIFS(tbl_Finance[Ex GST],tbl_Finance[Job Number],C292&amp;""))</f>
        <v/>
      </c>
      <c r="I292" s="15">
        <f>IF(C292="","",IFERROR(INDEX(tbl_Finance[Cost Centre],MATCH(C292&amp;"",tbl_Finance[Job Number],0)),"not invoiced yet"))</f>
        <v/>
      </c>
      <c r="J292" s="14" t="n"/>
      <c r="K292" s="14" t="n"/>
      <c r="L292" s="15">
        <f>IF(K292="","",HYPERLINK(IF(LEFT(K292,4)="http",K292,set_QwilrBase&amp;K292),"Open quote"))</f>
        <v/>
      </c>
      <c r="M292" s="53" t="n"/>
      <c r="N292" s="14" t="n"/>
      <c r="O292" s="14" t="n"/>
    </row>
    <row r="293" ht="15" customHeight="1">
      <c r="A293" s="51">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52">
        <f>IF(C293="","",COUNTIFS(tbl_Finance[Job Number],C293&amp;"",tbl_Finance[Ex GST],"&lt;&gt;"))</f>
        <v/>
      </c>
      <c r="H293" s="17">
        <f>IF(C293="","",SUMIFS(tbl_Finance[Ex GST],tbl_Finance[Job Number],C293&amp;""))</f>
        <v/>
      </c>
      <c r="I293" s="15">
        <f>IF(C293="","",IFERROR(INDEX(tbl_Finance[Cost Centre],MATCH(C293&amp;"",tbl_Finance[Job Number],0)),"not invoiced yet"))</f>
        <v/>
      </c>
      <c r="J293" s="14" t="n"/>
      <c r="K293" s="14" t="n"/>
      <c r="L293" s="15">
        <f>IF(K293="","",HYPERLINK(IF(LEFT(K293,4)="http",K293,set_QwilrBase&amp;K293),"Open quote"))</f>
        <v/>
      </c>
      <c r="M293" s="53" t="n"/>
      <c r="N293" s="14" t="n"/>
      <c r="O293" s="14" t="n"/>
    </row>
    <row r="294" ht="15" customHeight="1">
      <c r="A294" s="51">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52">
        <f>IF(C294="","",COUNTIFS(tbl_Finance[Job Number],C294&amp;"",tbl_Finance[Ex GST],"&lt;&gt;"))</f>
        <v/>
      </c>
      <c r="H294" s="17">
        <f>IF(C294="","",SUMIFS(tbl_Finance[Ex GST],tbl_Finance[Job Number],C294&amp;""))</f>
        <v/>
      </c>
      <c r="I294" s="15">
        <f>IF(C294="","",IFERROR(INDEX(tbl_Finance[Cost Centre],MATCH(C294&amp;"",tbl_Finance[Job Number],0)),"not invoiced yet"))</f>
        <v/>
      </c>
      <c r="J294" s="14" t="n"/>
      <c r="K294" s="14" t="n"/>
      <c r="L294" s="15">
        <f>IF(K294="","",HYPERLINK(IF(LEFT(K294,4)="http",K294,set_QwilrBase&amp;K294),"Open quote"))</f>
        <v/>
      </c>
      <c r="M294" s="53" t="n"/>
      <c r="N294" s="14" t="n"/>
      <c r="O294" s="14" t="n"/>
    </row>
    <row r="295" ht="15" customHeight="1">
      <c r="A295" s="51">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52">
        <f>IF(C295="","",COUNTIFS(tbl_Finance[Job Number],C295&amp;"",tbl_Finance[Ex GST],"&lt;&gt;"))</f>
        <v/>
      </c>
      <c r="H295" s="17">
        <f>IF(C295="","",SUMIFS(tbl_Finance[Ex GST],tbl_Finance[Job Number],C295&amp;""))</f>
        <v/>
      </c>
      <c r="I295" s="15">
        <f>IF(C295="","",IFERROR(INDEX(tbl_Finance[Cost Centre],MATCH(C295&amp;"",tbl_Finance[Job Number],0)),"not invoiced yet"))</f>
        <v/>
      </c>
      <c r="J295" s="14" t="n"/>
      <c r="K295" s="14" t="n"/>
      <c r="L295" s="15">
        <f>IF(K295="","",HYPERLINK(IF(LEFT(K295,4)="http",K295,set_QwilrBase&amp;K295),"Open quote"))</f>
        <v/>
      </c>
      <c r="M295" s="53" t="n"/>
      <c r="N295" s="14" t="n"/>
      <c r="O295" s="14" t="n"/>
    </row>
    <row r="296" ht="15" customHeight="1">
      <c r="A296" s="51">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52">
        <f>IF(C296="","",COUNTIFS(tbl_Finance[Job Number],C296&amp;"",tbl_Finance[Ex GST],"&lt;&gt;"))</f>
        <v/>
      </c>
      <c r="H296" s="17">
        <f>IF(C296="","",SUMIFS(tbl_Finance[Ex GST],tbl_Finance[Job Number],C296&amp;""))</f>
        <v/>
      </c>
      <c r="I296" s="15">
        <f>IF(C296="","",IFERROR(INDEX(tbl_Finance[Cost Centre],MATCH(C296&amp;"",tbl_Finance[Job Number],0)),"not invoiced yet"))</f>
        <v/>
      </c>
      <c r="J296" s="14" t="n"/>
      <c r="K296" s="14" t="n"/>
      <c r="L296" s="15">
        <f>IF(K296="","",HYPERLINK(IF(LEFT(K296,4)="http",K296,set_QwilrBase&amp;K296),"Open quote"))</f>
        <v/>
      </c>
      <c r="M296" s="53" t="n"/>
      <c r="N296" s="14" t="n"/>
      <c r="O296" s="14" t="n"/>
    </row>
    <row r="297" ht="15" customHeight="1">
      <c r="A297" s="51">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52">
        <f>IF(C297="","",COUNTIFS(tbl_Finance[Job Number],C297&amp;"",tbl_Finance[Ex GST],"&lt;&gt;"))</f>
        <v/>
      </c>
      <c r="H297" s="17">
        <f>IF(C297="","",SUMIFS(tbl_Finance[Ex GST],tbl_Finance[Job Number],C297&amp;""))</f>
        <v/>
      </c>
      <c r="I297" s="15">
        <f>IF(C297="","",IFERROR(INDEX(tbl_Finance[Cost Centre],MATCH(C297&amp;"",tbl_Finance[Job Number],0)),"not invoiced yet"))</f>
        <v/>
      </c>
      <c r="J297" s="14" t="n"/>
      <c r="K297" s="14" t="n"/>
      <c r="L297" s="15">
        <f>IF(K297="","",HYPERLINK(IF(LEFT(K297,4)="http",K297,set_QwilrBase&amp;K297),"Open quote"))</f>
        <v/>
      </c>
      <c r="M297" s="53" t="n"/>
      <c r="N297" s="14" t="n"/>
      <c r="O297" s="14" t="n"/>
    </row>
    <row r="298" ht="15" customHeight="1">
      <c r="A298" s="51">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52">
        <f>IF(C298="","",COUNTIFS(tbl_Finance[Job Number],C298&amp;"",tbl_Finance[Ex GST],"&lt;&gt;"))</f>
        <v/>
      </c>
      <c r="H298" s="17">
        <f>IF(C298="","",SUMIFS(tbl_Finance[Ex GST],tbl_Finance[Job Number],C298&amp;""))</f>
        <v/>
      </c>
      <c r="I298" s="15">
        <f>IF(C298="","",IFERROR(INDEX(tbl_Finance[Cost Centre],MATCH(C298&amp;"",tbl_Finance[Job Number],0)),"not invoiced yet"))</f>
        <v/>
      </c>
      <c r="J298" s="14" t="n"/>
      <c r="K298" s="14" t="n"/>
      <c r="L298" s="15">
        <f>IF(K298="","",HYPERLINK(IF(LEFT(K298,4)="http",K298,set_QwilrBase&amp;K298),"Open quote"))</f>
        <v/>
      </c>
      <c r="M298" s="53" t="n"/>
      <c r="N298" s="14" t="n"/>
      <c r="O298" s="14" t="n"/>
    </row>
    <row r="299" ht="15" customHeight="1">
      <c r="A299" s="51">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52">
        <f>IF(C299="","",COUNTIFS(tbl_Finance[Job Number],C299&amp;"",tbl_Finance[Ex GST],"&lt;&gt;"))</f>
        <v/>
      </c>
      <c r="H299" s="17">
        <f>IF(C299="","",SUMIFS(tbl_Finance[Ex GST],tbl_Finance[Job Number],C299&amp;""))</f>
        <v/>
      </c>
      <c r="I299" s="15">
        <f>IF(C299="","",IFERROR(INDEX(tbl_Finance[Cost Centre],MATCH(C299&amp;"",tbl_Finance[Job Number],0)),"not invoiced yet"))</f>
        <v/>
      </c>
      <c r="J299" s="14" t="n"/>
      <c r="K299" s="14" t="n"/>
      <c r="L299" s="15">
        <f>IF(K299="","",HYPERLINK(IF(LEFT(K299,4)="http",K299,set_QwilrBase&amp;K299),"Open quote"))</f>
        <v/>
      </c>
      <c r="M299" s="53" t="n"/>
      <c r="N299" s="14" t="n"/>
      <c r="O299" s="14" t="n"/>
    </row>
    <row r="300" ht="15" customHeight="1">
      <c r="A300" s="51">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52">
        <f>IF(C300="","",COUNTIFS(tbl_Finance[Job Number],C300&amp;"",tbl_Finance[Ex GST],"&lt;&gt;"))</f>
        <v/>
      </c>
      <c r="H300" s="17">
        <f>IF(C300="","",SUMIFS(tbl_Finance[Ex GST],tbl_Finance[Job Number],C300&amp;""))</f>
        <v/>
      </c>
      <c r="I300" s="15">
        <f>IF(C300="","",IFERROR(INDEX(tbl_Finance[Cost Centre],MATCH(C300&amp;"",tbl_Finance[Job Number],0)),"not invoiced yet"))</f>
        <v/>
      </c>
      <c r="J300" s="14" t="n"/>
      <c r="K300" s="14" t="n"/>
      <c r="L300" s="15">
        <f>IF(K300="","",HYPERLINK(IF(LEFT(K300,4)="http",K300,set_QwilrBase&amp;K300),"Open quote"))</f>
        <v/>
      </c>
      <c r="M300" s="53" t="n"/>
      <c r="N300" s="14" t="n"/>
      <c r="O300" s="14" t="n"/>
    </row>
    <row r="301" ht="15" customHeight="1">
      <c r="A301" s="51">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52">
        <f>IF(C301="","",COUNTIFS(tbl_Finance[Job Number],C301&amp;"",tbl_Finance[Ex GST],"&lt;&gt;"))</f>
        <v/>
      </c>
      <c r="H301" s="17">
        <f>IF(C301="","",SUMIFS(tbl_Finance[Ex GST],tbl_Finance[Job Number],C301&amp;""))</f>
        <v/>
      </c>
      <c r="I301" s="15">
        <f>IF(C301="","",IFERROR(INDEX(tbl_Finance[Cost Centre],MATCH(C301&amp;"",tbl_Finance[Job Number],0)),"not invoiced yet"))</f>
        <v/>
      </c>
      <c r="J301" s="14" t="n"/>
      <c r="K301" s="14" t="n"/>
      <c r="L301" s="15">
        <f>IF(K301="","",HYPERLINK(IF(LEFT(K301,4)="http",K301,set_QwilrBase&amp;K301),"Open quote"))</f>
        <v/>
      </c>
      <c r="M301" s="53" t="n"/>
      <c r="N301" s="14" t="n"/>
      <c r="O301" s="14" t="n"/>
    </row>
    <row r="302" ht="15" customHeight="1">
      <c r="A302" s="51">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52">
        <f>IF(C302="","",COUNTIFS(tbl_Finance[Job Number],C302&amp;"",tbl_Finance[Ex GST],"&lt;&gt;"))</f>
        <v/>
      </c>
      <c r="H302" s="17">
        <f>IF(C302="","",SUMIFS(tbl_Finance[Ex GST],tbl_Finance[Job Number],C302&amp;""))</f>
        <v/>
      </c>
      <c r="I302" s="15">
        <f>IF(C302="","",IFERROR(INDEX(tbl_Finance[Cost Centre],MATCH(C302&amp;"",tbl_Finance[Job Number],0)),"not invoiced yet"))</f>
        <v/>
      </c>
      <c r="J302" s="14" t="n"/>
      <c r="K302" s="14" t="n"/>
      <c r="L302" s="15">
        <f>IF(K302="","",HYPERLINK(IF(LEFT(K302,4)="http",K302,set_QwilrBase&amp;K302),"Open quote"))</f>
        <v/>
      </c>
      <c r="M302" s="53" t="n"/>
      <c r="N302" s="14" t="n"/>
      <c r="O302" s="14" t="n"/>
    </row>
    <row r="303" ht="15" customHeight="1">
      <c r="A303" s="51">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52">
        <f>IF(C303="","",COUNTIFS(tbl_Finance[Job Number],C303&amp;"",tbl_Finance[Ex GST],"&lt;&gt;"))</f>
        <v/>
      </c>
      <c r="H303" s="17">
        <f>IF(C303="","",SUMIFS(tbl_Finance[Ex GST],tbl_Finance[Job Number],C303&amp;""))</f>
        <v/>
      </c>
      <c r="I303" s="15">
        <f>IF(C303="","",IFERROR(INDEX(tbl_Finance[Cost Centre],MATCH(C303&amp;"",tbl_Finance[Job Number],0)),"not invoiced yet"))</f>
        <v/>
      </c>
      <c r="J303" s="14" t="n"/>
      <c r="K303" s="14" t="n"/>
      <c r="L303" s="15">
        <f>IF(K303="","",HYPERLINK(IF(LEFT(K303,4)="http",K303,set_QwilrBase&amp;K303),"Open quote"))</f>
        <v/>
      </c>
      <c r="M303" s="53" t="n"/>
      <c r="N303" s="14" t="n"/>
      <c r="O303" s="14" t="n"/>
    </row>
    <row r="304" ht="15" customHeight="1">
      <c r="A304" s="51">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52">
        <f>IF(C304="","",COUNTIFS(tbl_Finance[Job Number],C304&amp;"",tbl_Finance[Ex GST],"&lt;&gt;"))</f>
        <v/>
      </c>
      <c r="H304" s="17">
        <f>IF(C304="","",SUMIFS(tbl_Finance[Ex GST],tbl_Finance[Job Number],C304&amp;""))</f>
        <v/>
      </c>
      <c r="I304" s="15">
        <f>IF(C304="","",IFERROR(INDEX(tbl_Finance[Cost Centre],MATCH(C304&amp;"",tbl_Finance[Job Number],0)),"not invoiced yet"))</f>
        <v/>
      </c>
      <c r="J304" s="14" t="n"/>
      <c r="K304" s="14" t="n"/>
      <c r="L304" s="15">
        <f>IF(K304="","",HYPERLINK(IF(LEFT(K304,4)="http",K304,set_QwilrBase&amp;K304),"Open quote"))</f>
        <v/>
      </c>
      <c r="M304" s="53" t="n"/>
      <c r="N304" s="14" t="n"/>
      <c r="O304" s="14" t="n"/>
    </row>
    <row r="305" ht="15" customHeight="1">
      <c r="A305" s="51">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52">
        <f>IF(C305="","",COUNTIFS(tbl_Finance[Job Number],C305&amp;"",tbl_Finance[Ex GST],"&lt;&gt;"))</f>
        <v/>
      </c>
      <c r="H305" s="17">
        <f>IF(C305="","",SUMIFS(tbl_Finance[Ex GST],tbl_Finance[Job Number],C305&amp;""))</f>
        <v/>
      </c>
      <c r="I305" s="15">
        <f>IF(C305="","",IFERROR(INDEX(tbl_Finance[Cost Centre],MATCH(C305&amp;"",tbl_Finance[Job Number],0)),"not invoiced yet"))</f>
        <v/>
      </c>
      <c r="J305" s="14" t="n"/>
      <c r="K305" s="14" t="n"/>
      <c r="L305" s="15">
        <f>IF(K305="","",HYPERLINK(IF(LEFT(K305,4)="http",K305,set_QwilrBase&amp;K305),"Open quote"))</f>
        <v/>
      </c>
      <c r="M305" s="53" t="n"/>
      <c r="N305" s="14" t="n"/>
      <c r="O305" s="14" t="n"/>
    </row>
    <row r="306" ht="15" customHeight="1">
      <c r="A306" s="51">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52">
        <f>IF(C306="","",COUNTIFS(tbl_Finance[Job Number],C306&amp;"",tbl_Finance[Ex GST],"&lt;&gt;"))</f>
        <v/>
      </c>
      <c r="H306" s="17">
        <f>IF(C306="","",SUMIFS(tbl_Finance[Ex GST],tbl_Finance[Job Number],C306&amp;""))</f>
        <v/>
      </c>
      <c r="I306" s="15">
        <f>IF(C306="","",IFERROR(INDEX(tbl_Finance[Cost Centre],MATCH(C306&amp;"",tbl_Finance[Job Number],0)),"not invoiced yet"))</f>
        <v/>
      </c>
      <c r="J306" s="14" t="n"/>
      <c r="K306" s="14" t="n"/>
      <c r="L306" s="15">
        <f>IF(K306="","",HYPERLINK(IF(LEFT(K306,4)="http",K306,set_QwilrBase&amp;K306),"Open quote"))</f>
        <v/>
      </c>
      <c r="M306" s="53" t="n"/>
      <c r="N306" s="14" t="n"/>
      <c r="O306" s="14" t="n"/>
    </row>
    <row r="307" ht="15" customHeight="1">
      <c r="A307" s="51">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52">
        <f>IF(C307="","",COUNTIFS(tbl_Finance[Job Number],C307&amp;"",tbl_Finance[Ex GST],"&lt;&gt;"))</f>
        <v/>
      </c>
      <c r="H307" s="17">
        <f>IF(C307="","",SUMIFS(tbl_Finance[Ex GST],tbl_Finance[Job Number],C307&amp;""))</f>
        <v/>
      </c>
      <c r="I307" s="15">
        <f>IF(C307="","",IFERROR(INDEX(tbl_Finance[Cost Centre],MATCH(C307&amp;"",tbl_Finance[Job Number],0)),"not invoiced yet"))</f>
        <v/>
      </c>
      <c r="J307" s="14" t="n"/>
      <c r="K307" s="14" t="n"/>
      <c r="L307" s="15">
        <f>IF(K307="","",HYPERLINK(IF(LEFT(K307,4)="http",K307,set_QwilrBase&amp;K307),"Open quote"))</f>
        <v/>
      </c>
      <c r="M307" s="53" t="n"/>
      <c r="N307" s="14" t="n"/>
      <c r="O307" s="14" t="n"/>
    </row>
    <row r="308" ht="15" customHeight="1">
      <c r="A308" s="51">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52">
        <f>IF(C308="","",COUNTIFS(tbl_Finance[Job Number],C308&amp;"",tbl_Finance[Ex GST],"&lt;&gt;"))</f>
        <v/>
      </c>
      <c r="H308" s="17">
        <f>IF(C308="","",SUMIFS(tbl_Finance[Ex GST],tbl_Finance[Job Number],C308&amp;""))</f>
        <v/>
      </c>
      <c r="I308" s="15">
        <f>IF(C308="","",IFERROR(INDEX(tbl_Finance[Cost Centre],MATCH(C308&amp;"",tbl_Finance[Job Number],0)),"not invoiced yet"))</f>
        <v/>
      </c>
      <c r="J308" s="14" t="n"/>
      <c r="K308" s="14" t="n"/>
      <c r="L308" s="15">
        <f>IF(K308="","",HYPERLINK(IF(LEFT(K308,4)="http",K308,set_QwilrBase&amp;K308),"Open quote"))</f>
        <v/>
      </c>
      <c r="M308" s="53" t="n"/>
      <c r="N308" s="14" t="n"/>
      <c r="O308" s="14" t="n"/>
    </row>
    <row r="309" ht="15" customHeight="1">
      <c r="A309" s="51">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52">
        <f>IF(C309="","",COUNTIFS(tbl_Finance[Job Number],C309&amp;"",tbl_Finance[Ex GST],"&lt;&gt;"))</f>
        <v/>
      </c>
      <c r="H309" s="17">
        <f>IF(C309="","",SUMIFS(tbl_Finance[Ex GST],tbl_Finance[Job Number],C309&amp;""))</f>
        <v/>
      </c>
      <c r="I309" s="15">
        <f>IF(C309="","",IFERROR(INDEX(tbl_Finance[Cost Centre],MATCH(C309&amp;"",tbl_Finance[Job Number],0)),"not invoiced yet"))</f>
        <v/>
      </c>
      <c r="J309" s="14" t="n"/>
      <c r="K309" s="14" t="n"/>
      <c r="L309" s="15">
        <f>IF(K309="","",HYPERLINK(IF(LEFT(K309,4)="http",K309,set_QwilrBase&amp;K309),"Open quote"))</f>
        <v/>
      </c>
      <c r="M309" s="53" t="n"/>
      <c r="N309" s="14" t="n"/>
      <c r="O309" s="14" t="n"/>
    </row>
    <row r="310" ht="15" customHeight="1">
      <c r="A310" s="51">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52">
        <f>IF(C310="","",COUNTIFS(tbl_Finance[Job Number],C310&amp;"",tbl_Finance[Ex GST],"&lt;&gt;"))</f>
        <v/>
      </c>
      <c r="H310" s="17">
        <f>IF(C310="","",SUMIFS(tbl_Finance[Ex GST],tbl_Finance[Job Number],C310&amp;""))</f>
        <v/>
      </c>
      <c r="I310" s="15">
        <f>IF(C310="","",IFERROR(INDEX(tbl_Finance[Cost Centre],MATCH(C310&amp;"",tbl_Finance[Job Number],0)),"not invoiced yet"))</f>
        <v/>
      </c>
      <c r="J310" s="14" t="n"/>
      <c r="K310" s="14" t="n"/>
      <c r="L310" s="15">
        <f>IF(K310="","",HYPERLINK(IF(LEFT(K310,4)="http",K310,set_QwilrBase&amp;K310),"Open quote"))</f>
        <v/>
      </c>
      <c r="M310" s="53" t="n"/>
      <c r="N310" s="14" t="n"/>
      <c r="O310" s="14" t="n"/>
    </row>
    <row r="311" ht="15" customHeight="1">
      <c r="A311" s="51">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52">
        <f>IF(C311="","",COUNTIFS(tbl_Finance[Job Number],C311&amp;"",tbl_Finance[Ex GST],"&lt;&gt;"))</f>
        <v/>
      </c>
      <c r="H311" s="17">
        <f>IF(C311="","",SUMIFS(tbl_Finance[Ex GST],tbl_Finance[Job Number],C311&amp;""))</f>
        <v/>
      </c>
      <c r="I311" s="15">
        <f>IF(C311="","",IFERROR(INDEX(tbl_Finance[Cost Centre],MATCH(C311&amp;"",tbl_Finance[Job Number],0)),"not invoiced yet"))</f>
        <v/>
      </c>
      <c r="J311" s="14" t="n"/>
      <c r="K311" s="14" t="n"/>
      <c r="L311" s="15">
        <f>IF(K311="","",HYPERLINK(IF(LEFT(K311,4)="http",K311,set_QwilrBase&amp;K311),"Open quote"))</f>
        <v/>
      </c>
      <c r="M311" s="53" t="n"/>
      <c r="N311" s="14" t="n"/>
      <c r="O311" s="14" t="n"/>
    </row>
    <row r="312" ht="15" customHeight="1">
      <c r="A312" s="51">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52">
        <f>IF(C312="","",COUNTIFS(tbl_Finance[Job Number],C312&amp;"",tbl_Finance[Ex GST],"&lt;&gt;"))</f>
        <v/>
      </c>
      <c r="H312" s="17">
        <f>IF(C312="","",SUMIFS(tbl_Finance[Ex GST],tbl_Finance[Job Number],C312&amp;""))</f>
        <v/>
      </c>
      <c r="I312" s="15">
        <f>IF(C312="","",IFERROR(INDEX(tbl_Finance[Cost Centre],MATCH(C312&amp;"",tbl_Finance[Job Number],0)),"not invoiced yet"))</f>
        <v/>
      </c>
      <c r="J312" s="14" t="n"/>
      <c r="K312" s="14" t="n"/>
      <c r="L312" s="15">
        <f>IF(K312="","",HYPERLINK(IF(LEFT(K312,4)="http",K312,set_QwilrBase&amp;K312),"Open quote"))</f>
        <v/>
      </c>
      <c r="M312" s="53" t="n"/>
      <c r="N312" s="14" t="n"/>
      <c r="O312" s="14" t="n"/>
    </row>
    <row r="313" ht="15" customHeight="1">
      <c r="A313" s="51">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52">
        <f>IF(C313="","",COUNTIFS(tbl_Finance[Job Number],C313&amp;"",tbl_Finance[Ex GST],"&lt;&gt;"))</f>
        <v/>
      </c>
      <c r="H313" s="17">
        <f>IF(C313="","",SUMIFS(tbl_Finance[Ex GST],tbl_Finance[Job Number],C313&amp;""))</f>
        <v/>
      </c>
      <c r="I313" s="15">
        <f>IF(C313="","",IFERROR(INDEX(tbl_Finance[Cost Centre],MATCH(C313&amp;"",tbl_Finance[Job Number],0)),"not invoiced yet"))</f>
        <v/>
      </c>
      <c r="J313" s="14" t="n"/>
      <c r="K313" s="14" t="n"/>
      <c r="L313" s="15">
        <f>IF(K313="","",HYPERLINK(IF(LEFT(K313,4)="http",K313,set_QwilrBase&amp;K313),"Open quote"))</f>
        <v/>
      </c>
      <c r="M313" s="53" t="n"/>
      <c r="N313" s="14" t="n"/>
      <c r="O313" s="14" t="n"/>
    </row>
    <row r="314" ht="15" customHeight="1">
      <c r="A314" s="51">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52">
        <f>IF(C314="","",COUNTIFS(tbl_Finance[Job Number],C314&amp;"",tbl_Finance[Ex GST],"&lt;&gt;"))</f>
        <v/>
      </c>
      <c r="H314" s="17">
        <f>IF(C314="","",SUMIFS(tbl_Finance[Ex GST],tbl_Finance[Job Number],C314&amp;""))</f>
        <v/>
      </c>
      <c r="I314" s="15">
        <f>IF(C314="","",IFERROR(INDEX(tbl_Finance[Cost Centre],MATCH(C314&amp;"",tbl_Finance[Job Number],0)),"not invoiced yet"))</f>
        <v/>
      </c>
      <c r="J314" s="14" t="n"/>
      <c r="K314" s="14" t="n"/>
      <c r="L314" s="15">
        <f>IF(K314="","",HYPERLINK(IF(LEFT(K314,4)="http",K314,set_QwilrBase&amp;K314),"Open quote"))</f>
        <v/>
      </c>
      <c r="M314" s="53" t="n"/>
      <c r="N314" s="14" t="n"/>
      <c r="O314" s="14" t="n"/>
    </row>
    <row r="315" ht="15" customHeight="1">
      <c r="A315" s="51">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52">
        <f>IF(C315="","",COUNTIFS(tbl_Finance[Job Number],C315&amp;"",tbl_Finance[Ex GST],"&lt;&gt;"))</f>
        <v/>
      </c>
      <c r="H315" s="17">
        <f>IF(C315="","",SUMIFS(tbl_Finance[Ex GST],tbl_Finance[Job Number],C315&amp;""))</f>
        <v/>
      </c>
      <c r="I315" s="15">
        <f>IF(C315="","",IFERROR(INDEX(tbl_Finance[Cost Centre],MATCH(C315&amp;"",tbl_Finance[Job Number],0)),"not invoiced yet"))</f>
        <v/>
      </c>
      <c r="J315" s="14" t="n"/>
      <c r="K315" s="14" t="n"/>
      <c r="L315" s="15">
        <f>IF(K315="","",HYPERLINK(IF(LEFT(K315,4)="http",K315,set_QwilrBase&amp;K315),"Open quote"))</f>
        <v/>
      </c>
      <c r="M315" s="53" t="n"/>
      <c r="N315" s="14" t="n"/>
      <c r="O315" s="14" t="n"/>
    </row>
    <row r="316" ht="15" customHeight="1">
      <c r="A316" s="51">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52">
        <f>IF(C316="","",COUNTIFS(tbl_Finance[Job Number],C316&amp;"",tbl_Finance[Ex GST],"&lt;&gt;"))</f>
        <v/>
      </c>
      <c r="H316" s="17">
        <f>IF(C316="","",SUMIFS(tbl_Finance[Ex GST],tbl_Finance[Job Number],C316&amp;""))</f>
        <v/>
      </c>
      <c r="I316" s="15">
        <f>IF(C316="","",IFERROR(INDEX(tbl_Finance[Cost Centre],MATCH(C316&amp;"",tbl_Finance[Job Number],0)),"not invoiced yet"))</f>
        <v/>
      </c>
      <c r="J316" s="14" t="n"/>
      <c r="K316" s="14" t="n"/>
      <c r="L316" s="15">
        <f>IF(K316="","",HYPERLINK(IF(LEFT(K316,4)="http",K316,set_QwilrBase&amp;K316),"Open quote"))</f>
        <v/>
      </c>
      <c r="M316" s="53" t="n"/>
      <c r="N316" s="14" t="n"/>
      <c r="O316" s="14" t="n"/>
    </row>
    <row r="317" ht="15" customHeight="1">
      <c r="A317" s="51">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52">
        <f>IF(C317="","",COUNTIFS(tbl_Finance[Job Number],C317&amp;"",tbl_Finance[Ex GST],"&lt;&gt;"))</f>
        <v/>
      </c>
      <c r="H317" s="17">
        <f>IF(C317="","",SUMIFS(tbl_Finance[Ex GST],tbl_Finance[Job Number],C317&amp;""))</f>
        <v/>
      </c>
      <c r="I317" s="15">
        <f>IF(C317="","",IFERROR(INDEX(tbl_Finance[Cost Centre],MATCH(C317&amp;"",tbl_Finance[Job Number],0)),"not invoiced yet"))</f>
        <v/>
      </c>
      <c r="J317" s="14" t="n"/>
      <c r="K317" s="14" t="n"/>
      <c r="L317" s="15">
        <f>IF(K317="","",HYPERLINK(IF(LEFT(K317,4)="http",K317,set_QwilrBase&amp;K317),"Open quote"))</f>
        <v/>
      </c>
      <c r="M317" s="53" t="n"/>
      <c r="N317" s="14" t="n"/>
      <c r="O317" s="14" t="n"/>
    </row>
    <row r="318" ht="15" customHeight="1">
      <c r="A318" s="51">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52">
        <f>IF(C318="","",COUNTIFS(tbl_Finance[Job Number],C318&amp;"",tbl_Finance[Ex GST],"&lt;&gt;"))</f>
        <v/>
      </c>
      <c r="H318" s="17">
        <f>IF(C318="","",SUMIFS(tbl_Finance[Ex GST],tbl_Finance[Job Number],C318&amp;""))</f>
        <v/>
      </c>
      <c r="I318" s="15">
        <f>IF(C318="","",IFERROR(INDEX(tbl_Finance[Cost Centre],MATCH(C318&amp;"",tbl_Finance[Job Number],0)),"not invoiced yet"))</f>
        <v/>
      </c>
      <c r="J318" s="14" t="n"/>
      <c r="K318" s="14" t="n"/>
      <c r="L318" s="15">
        <f>IF(K318="","",HYPERLINK(IF(LEFT(K318,4)="http",K318,set_QwilrBase&amp;K318),"Open quote"))</f>
        <v/>
      </c>
      <c r="M318" s="53" t="n"/>
      <c r="N318" s="14" t="n"/>
      <c r="O318" s="14" t="n"/>
    </row>
    <row r="319" ht="15" customHeight="1">
      <c r="A319" s="51">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52">
        <f>IF(C319="","",COUNTIFS(tbl_Finance[Job Number],C319&amp;"",tbl_Finance[Ex GST],"&lt;&gt;"))</f>
        <v/>
      </c>
      <c r="H319" s="17">
        <f>IF(C319="","",SUMIFS(tbl_Finance[Ex GST],tbl_Finance[Job Number],C319&amp;""))</f>
        <v/>
      </c>
      <c r="I319" s="15">
        <f>IF(C319="","",IFERROR(INDEX(tbl_Finance[Cost Centre],MATCH(C319&amp;"",tbl_Finance[Job Number],0)),"not invoiced yet"))</f>
        <v/>
      </c>
      <c r="J319" s="14" t="n"/>
      <c r="K319" s="14" t="n"/>
      <c r="L319" s="15">
        <f>IF(K319="","",HYPERLINK(IF(LEFT(K319,4)="http",K319,set_QwilrBase&amp;K319),"Open quote"))</f>
        <v/>
      </c>
      <c r="M319" s="53" t="n"/>
      <c r="N319" s="14" t="n"/>
      <c r="O319" s="14" t="n"/>
    </row>
    <row r="320" ht="15" customHeight="1">
      <c r="A320" s="51">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52">
        <f>IF(C320="","",COUNTIFS(tbl_Finance[Job Number],C320&amp;"",tbl_Finance[Ex GST],"&lt;&gt;"))</f>
        <v/>
      </c>
      <c r="H320" s="17">
        <f>IF(C320="","",SUMIFS(tbl_Finance[Ex GST],tbl_Finance[Job Number],C320&amp;""))</f>
        <v/>
      </c>
      <c r="I320" s="15">
        <f>IF(C320="","",IFERROR(INDEX(tbl_Finance[Cost Centre],MATCH(C320&amp;"",tbl_Finance[Job Number],0)),"not invoiced yet"))</f>
        <v/>
      </c>
      <c r="J320" s="14" t="n"/>
      <c r="K320" s="14" t="n"/>
      <c r="L320" s="15">
        <f>IF(K320="","",HYPERLINK(IF(LEFT(K320,4)="http",K320,set_QwilrBase&amp;K320),"Open quote"))</f>
        <v/>
      </c>
      <c r="M320" s="53" t="n"/>
      <c r="N320" s="14" t="n"/>
      <c r="O320" s="14" t="n"/>
    </row>
    <row r="321" ht="15" customHeight="1">
      <c r="A321" s="51">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52">
        <f>IF(C321="","",COUNTIFS(tbl_Finance[Job Number],C321&amp;"",tbl_Finance[Ex GST],"&lt;&gt;"))</f>
        <v/>
      </c>
      <c r="H321" s="17">
        <f>IF(C321="","",SUMIFS(tbl_Finance[Ex GST],tbl_Finance[Job Number],C321&amp;""))</f>
        <v/>
      </c>
      <c r="I321" s="15">
        <f>IF(C321="","",IFERROR(INDEX(tbl_Finance[Cost Centre],MATCH(C321&amp;"",tbl_Finance[Job Number],0)),"not invoiced yet"))</f>
        <v/>
      </c>
      <c r="J321" s="14" t="n"/>
      <c r="K321" s="14" t="n"/>
      <c r="L321" s="15">
        <f>IF(K321="","",HYPERLINK(IF(LEFT(K321,4)="http",K321,set_QwilrBase&amp;K321),"Open quote"))</f>
        <v/>
      </c>
      <c r="M321" s="53" t="n"/>
      <c r="N321" s="14" t="n"/>
      <c r="O321" s="14" t="n"/>
    </row>
    <row r="322" ht="15" customHeight="1">
      <c r="A322" s="51">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52">
        <f>IF(C322="","",COUNTIFS(tbl_Finance[Job Number],C322&amp;"",tbl_Finance[Ex GST],"&lt;&gt;"))</f>
        <v/>
      </c>
      <c r="H322" s="17">
        <f>IF(C322="","",SUMIFS(tbl_Finance[Ex GST],tbl_Finance[Job Number],C322&amp;""))</f>
        <v/>
      </c>
      <c r="I322" s="15">
        <f>IF(C322="","",IFERROR(INDEX(tbl_Finance[Cost Centre],MATCH(C322&amp;"",tbl_Finance[Job Number],0)),"not invoiced yet"))</f>
        <v/>
      </c>
      <c r="J322" s="14" t="n"/>
      <c r="K322" s="14" t="n"/>
      <c r="L322" s="15">
        <f>IF(K322="","",HYPERLINK(IF(LEFT(K322,4)="http",K322,set_QwilrBase&amp;K322),"Open quote"))</f>
        <v/>
      </c>
      <c r="M322" s="53" t="n"/>
      <c r="N322" s="14" t="n"/>
      <c r="O322" s="14" t="n"/>
    </row>
    <row r="323" ht="15" customHeight="1">
      <c r="A323" s="51">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52">
        <f>IF(C323="","",COUNTIFS(tbl_Finance[Job Number],C323&amp;"",tbl_Finance[Ex GST],"&lt;&gt;"))</f>
        <v/>
      </c>
      <c r="H323" s="17">
        <f>IF(C323="","",SUMIFS(tbl_Finance[Ex GST],tbl_Finance[Job Number],C323&amp;""))</f>
        <v/>
      </c>
      <c r="I323" s="15">
        <f>IF(C323="","",IFERROR(INDEX(tbl_Finance[Cost Centre],MATCH(C323&amp;"",tbl_Finance[Job Number],0)),"not invoiced yet"))</f>
        <v/>
      </c>
      <c r="J323" s="14" t="n"/>
      <c r="K323" s="14" t="n"/>
      <c r="L323" s="15">
        <f>IF(K323="","",HYPERLINK(IF(LEFT(K323,4)="http",K323,set_QwilrBase&amp;K323),"Open quote"))</f>
        <v/>
      </c>
      <c r="M323" s="53" t="n"/>
      <c r="N323" s="14" t="n"/>
      <c r="O323" s="14" t="n"/>
    </row>
    <row r="324" ht="15" customHeight="1">
      <c r="A324" s="51">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52">
        <f>IF(C324="","",COUNTIFS(tbl_Finance[Job Number],C324&amp;"",tbl_Finance[Ex GST],"&lt;&gt;"))</f>
        <v/>
      </c>
      <c r="H324" s="17">
        <f>IF(C324="","",SUMIFS(tbl_Finance[Ex GST],tbl_Finance[Job Number],C324&amp;""))</f>
        <v/>
      </c>
      <c r="I324" s="15">
        <f>IF(C324="","",IFERROR(INDEX(tbl_Finance[Cost Centre],MATCH(C324&amp;"",tbl_Finance[Job Number],0)),"not invoiced yet"))</f>
        <v/>
      </c>
      <c r="J324" s="14" t="n"/>
      <c r="K324" s="14" t="n"/>
      <c r="L324" s="15">
        <f>IF(K324="","",HYPERLINK(IF(LEFT(K324,4)="http",K324,set_QwilrBase&amp;K324),"Open quote"))</f>
        <v/>
      </c>
      <c r="M324" s="53" t="n"/>
      <c r="N324" s="14" t="n"/>
      <c r="O324" s="14" t="n"/>
    </row>
    <row r="325" ht="15" customHeight="1">
      <c r="A325" s="51">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52">
        <f>IF(C325="","",COUNTIFS(tbl_Finance[Job Number],C325&amp;"",tbl_Finance[Ex GST],"&lt;&gt;"))</f>
        <v/>
      </c>
      <c r="H325" s="17">
        <f>IF(C325="","",SUMIFS(tbl_Finance[Ex GST],tbl_Finance[Job Number],C325&amp;""))</f>
        <v/>
      </c>
      <c r="I325" s="15">
        <f>IF(C325="","",IFERROR(INDEX(tbl_Finance[Cost Centre],MATCH(C325&amp;"",tbl_Finance[Job Number],0)),"not invoiced yet"))</f>
        <v/>
      </c>
      <c r="J325" s="14" t="n"/>
      <c r="K325" s="14" t="n"/>
      <c r="L325" s="15">
        <f>IF(K325="","",HYPERLINK(IF(LEFT(K325,4)="http",K325,set_QwilrBase&amp;K325),"Open quote"))</f>
        <v/>
      </c>
      <c r="M325" s="53" t="n"/>
      <c r="N325" s="14" t="n"/>
      <c r="O325" s="14" t="n"/>
    </row>
    <row r="326" ht="15" customHeight="1">
      <c r="A326" s="51">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52">
        <f>IF(C326="","",COUNTIFS(tbl_Finance[Job Number],C326&amp;"",tbl_Finance[Ex GST],"&lt;&gt;"))</f>
        <v/>
      </c>
      <c r="H326" s="17">
        <f>IF(C326="","",SUMIFS(tbl_Finance[Ex GST],tbl_Finance[Job Number],C326&amp;""))</f>
        <v/>
      </c>
      <c r="I326" s="15">
        <f>IF(C326="","",IFERROR(INDEX(tbl_Finance[Cost Centre],MATCH(C326&amp;"",tbl_Finance[Job Number],0)),"not invoiced yet"))</f>
        <v/>
      </c>
      <c r="J326" s="14" t="n"/>
      <c r="K326" s="14" t="n"/>
      <c r="L326" s="15">
        <f>IF(K326="","",HYPERLINK(IF(LEFT(K326,4)="http",K326,set_QwilrBase&amp;K326),"Open quote"))</f>
        <v/>
      </c>
      <c r="M326" s="53" t="n"/>
      <c r="N326" s="14" t="n"/>
      <c r="O326" s="14" t="n"/>
    </row>
    <row r="327" ht="15" customHeight="1">
      <c r="A327" s="51">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52">
        <f>IF(C327="","",COUNTIFS(tbl_Finance[Job Number],C327&amp;"",tbl_Finance[Ex GST],"&lt;&gt;"))</f>
        <v/>
      </c>
      <c r="H327" s="17">
        <f>IF(C327="","",SUMIFS(tbl_Finance[Ex GST],tbl_Finance[Job Number],C327&amp;""))</f>
        <v/>
      </c>
      <c r="I327" s="15">
        <f>IF(C327="","",IFERROR(INDEX(tbl_Finance[Cost Centre],MATCH(C327&amp;"",tbl_Finance[Job Number],0)),"not invoiced yet"))</f>
        <v/>
      </c>
      <c r="J327" s="14" t="n"/>
      <c r="K327" s="14" t="n"/>
      <c r="L327" s="15">
        <f>IF(K327="","",HYPERLINK(IF(LEFT(K327,4)="http",K327,set_QwilrBase&amp;K327),"Open quote"))</f>
        <v/>
      </c>
      <c r="M327" s="53" t="n"/>
      <c r="N327" s="14" t="n"/>
      <c r="O327" s="14" t="n"/>
    </row>
    <row r="328" ht="15" customHeight="1">
      <c r="A328" s="51">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52">
        <f>IF(C328="","",COUNTIFS(tbl_Finance[Job Number],C328&amp;"",tbl_Finance[Ex GST],"&lt;&gt;"))</f>
        <v/>
      </c>
      <c r="H328" s="17">
        <f>IF(C328="","",SUMIFS(tbl_Finance[Ex GST],tbl_Finance[Job Number],C328&amp;""))</f>
        <v/>
      </c>
      <c r="I328" s="15">
        <f>IF(C328="","",IFERROR(INDEX(tbl_Finance[Cost Centre],MATCH(C328&amp;"",tbl_Finance[Job Number],0)),"not invoiced yet"))</f>
        <v/>
      </c>
      <c r="J328" s="14" t="n"/>
      <c r="K328" s="14" t="n"/>
      <c r="L328" s="15">
        <f>IF(K328="","",HYPERLINK(IF(LEFT(K328,4)="http",K328,set_QwilrBase&amp;K328),"Open quote"))</f>
        <v/>
      </c>
      <c r="M328" s="53" t="n"/>
      <c r="N328" s="14" t="n"/>
      <c r="O328" s="14" t="n"/>
    </row>
    <row r="329" ht="15" customHeight="1">
      <c r="A329" s="51">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52">
        <f>IF(C329="","",COUNTIFS(tbl_Finance[Job Number],C329&amp;"",tbl_Finance[Ex GST],"&lt;&gt;"))</f>
        <v/>
      </c>
      <c r="H329" s="17">
        <f>IF(C329="","",SUMIFS(tbl_Finance[Ex GST],tbl_Finance[Job Number],C329&amp;""))</f>
        <v/>
      </c>
      <c r="I329" s="15">
        <f>IF(C329="","",IFERROR(INDEX(tbl_Finance[Cost Centre],MATCH(C329&amp;"",tbl_Finance[Job Number],0)),"not invoiced yet"))</f>
        <v/>
      </c>
      <c r="J329" s="14" t="n"/>
      <c r="K329" s="14" t="n"/>
      <c r="L329" s="15">
        <f>IF(K329="","",HYPERLINK(IF(LEFT(K329,4)="http",K329,set_QwilrBase&amp;K329),"Open quote"))</f>
        <v/>
      </c>
      <c r="M329" s="53" t="n"/>
      <c r="N329" s="14" t="n"/>
      <c r="O329" s="14" t="n"/>
    </row>
    <row r="330" ht="15" customHeight="1">
      <c r="A330" s="51">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52">
        <f>IF(C330="","",COUNTIFS(tbl_Finance[Job Number],C330&amp;"",tbl_Finance[Ex GST],"&lt;&gt;"))</f>
        <v/>
      </c>
      <c r="H330" s="17">
        <f>IF(C330="","",SUMIFS(tbl_Finance[Ex GST],tbl_Finance[Job Number],C330&amp;""))</f>
        <v/>
      </c>
      <c r="I330" s="15">
        <f>IF(C330="","",IFERROR(INDEX(tbl_Finance[Cost Centre],MATCH(C330&amp;"",tbl_Finance[Job Number],0)),"not invoiced yet"))</f>
        <v/>
      </c>
      <c r="J330" s="14" t="n"/>
      <c r="K330" s="14" t="n"/>
      <c r="L330" s="15">
        <f>IF(K330="","",HYPERLINK(IF(LEFT(K330,4)="http",K330,set_QwilrBase&amp;K330),"Open quote"))</f>
        <v/>
      </c>
      <c r="M330" s="53" t="n"/>
      <c r="N330" s="14" t="n"/>
      <c r="O330" s="14" t="n"/>
    </row>
    <row r="331" ht="15" customHeight="1">
      <c r="A331" s="51">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52">
        <f>IF(C331="","",COUNTIFS(tbl_Finance[Job Number],C331&amp;"",tbl_Finance[Ex GST],"&lt;&gt;"))</f>
        <v/>
      </c>
      <c r="H331" s="17">
        <f>IF(C331="","",SUMIFS(tbl_Finance[Ex GST],tbl_Finance[Job Number],C331&amp;""))</f>
        <v/>
      </c>
      <c r="I331" s="15">
        <f>IF(C331="","",IFERROR(INDEX(tbl_Finance[Cost Centre],MATCH(C331&amp;"",tbl_Finance[Job Number],0)),"not invoiced yet"))</f>
        <v/>
      </c>
      <c r="J331" s="14" t="n"/>
      <c r="K331" s="14" t="n"/>
      <c r="L331" s="15">
        <f>IF(K331="","",HYPERLINK(IF(LEFT(K331,4)="http",K331,set_QwilrBase&amp;K331),"Open quote"))</f>
        <v/>
      </c>
      <c r="M331" s="53" t="n"/>
      <c r="N331" s="14" t="n"/>
      <c r="O331" s="14" t="n"/>
    </row>
    <row r="332" ht="15" customHeight="1">
      <c r="A332" s="51">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52">
        <f>IF(C332="","",COUNTIFS(tbl_Finance[Job Number],C332&amp;"",tbl_Finance[Ex GST],"&lt;&gt;"))</f>
        <v/>
      </c>
      <c r="H332" s="17">
        <f>IF(C332="","",SUMIFS(tbl_Finance[Ex GST],tbl_Finance[Job Number],C332&amp;""))</f>
        <v/>
      </c>
      <c r="I332" s="15">
        <f>IF(C332="","",IFERROR(INDEX(tbl_Finance[Cost Centre],MATCH(C332&amp;"",tbl_Finance[Job Number],0)),"not invoiced yet"))</f>
        <v/>
      </c>
      <c r="J332" s="14" t="n"/>
      <c r="K332" s="14" t="n"/>
      <c r="L332" s="15">
        <f>IF(K332="","",HYPERLINK(IF(LEFT(K332,4)="http",K332,set_QwilrBase&amp;K332),"Open quote"))</f>
        <v/>
      </c>
      <c r="M332" s="53" t="n"/>
      <c r="N332" s="14" t="n"/>
      <c r="O332" s="14" t="n"/>
    </row>
    <row r="333" ht="15" customHeight="1">
      <c r="A333" s="51">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52">
        <f>IF(C333="","",COUNTIFS(tbl_Finance[Job Number],C333&amp;"",tbl_Finance[Ex GST],"&lt;&gt;"))</f>
        <v/>
      </c>
      <c r="H333" s="17">
        <f>IF(C333="","",SUMIFS(tbl_Finance[Ex GST],tbl_Finance[Job Number],C333&amp;""))</f>
        <v/>
      </c>
      <c r="I333" s="15">
        <f>IF(C333="","",IFERROR(INDEX(tbl_Finance[Cost Centre],MATCH(C333&amp;"",tbl_Finance[Job Number],0)),"not invoiced yet"))</f>
        <v/>
      </c>
      <c r="J333" s="14" t="n"/>
      <c r="K333" s="14" t="n"/>
      <c r="L333" s="15">
        <f>IF(K333="","",HYPERLINK(IF(LEFT(K333,4)="http",K333,set_QwilrBase&amp;K333),"Open quote"))</f>
        <v/>
      </c>
      <c r="M333" s="53" t="n"/>
      <c r="N333" s="14" t="n"/>
      <c r="O333" s="14" t="n"/>
    </row>
    <row r="334" ht="15" customHeight="1">
      <c r="A334" s="51">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52">
        <f>IF(C334="","",COUNTIFS(tbl_Finance[Job Number],C334&amp;"",tbl_Finance[Ex GST],"&lt;&gt;"))</f>
        <v/>
      </c>
      <c r="H334" s="17">
        <f>IF(C334="","",SUMIFS(tbl_Finance[Ex GST],tbl_Finance[Job Number],C334&amp;""))</f>
        <v/>
      </c>
      <c r="I334" s="15">
        <f>IF(C334="","",IFERROR(INDEX(tbl_Finance[Cost Centre],MATCH(C334&amp;"",tbl_Finance[Job Number],0)),"not invoiced yet"))</f>
        <v/>
      </c>
      <c r="J334" s="14" t="n"/>
      <c r="K334" s="14" t="n"/>
      <c r="L334" s="15">
        <f>IF(K334="","",HYPERLINK(IF(LEFT(K334,4)="http",K334,set_QwilrBase&amp;K334),"Open quote"))</f>
        <v/>
      </c>
      <c r="M334" s="53" t="n"/>
      <c r="N334" s="14" t="n"/>
      <c r="O334" s="14" t="n"/>
    </row>
    <row r="335" ht="15" customHeight="1">
      <c r="A335" s="51">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52">
        <f>IF(C335="","",COUNTIFS(tbl_Finance[Job Number],C335&amp;"",tbl_Finance[Ex GST],"&lt;&gt;"))</f>
        <v/>
      </c>
      <c r="H335" s="17">
        <f>IF(C335="","",SUMIFS(tbl_Finance[Ex GST],tbl_Finance[Job Number],C335&amp;""))</f>
        <v/>
      </c>
      <c r="I335" s="15">
        <f>IF(C335="","",IFERROR(INDEX(tbl_Finance[Cost Centre],MATCH(C335&amp;"",tbl_Finance[Job Number],0)),"not invoiced yet"))</f>
        <v/>
      </c>
      <c r="J335" s="14" t="n"/>
      <c r="K335" s="14" t="n"/>
      <c r="L335" s="15">
        <f>IF(K335="","",HYPERLINK(IF(LEFT(K335,4)="http",K335,set_QwilrBase&amp;K335),"Open quote"))</f>
        <v/>
      </c>
      <c r="M335" s="53" t="n"/>
      <c r="N335" s="14" t="n"/>
      <c r="O335" s="14" t="n"/>
    </row>
    <row r="336" ht="15" customHeight="1">
      <c r="A336" s="51">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52">
        <f>IF(C336="","",COUNTIFS(tbl_Finance[Job Number],C336&amp;"",tbl_Finance[Ex GST],"&lt;&gt;"))</f>
        <v/>
      </c>
      <c r="H336" s="17">
        <f>IF(C336="","",SUMIFS(tbl_Finance[Ex GST],tbl_Finance[Job Number],C336&amp;""))</f>
        <v/>
      </c>
      <c r="I336" s="15">
        <f>IF(C336="","",IFERROR(INDEX(tbl_Finance[Cost Centre],MATCH(C336&amp;"",tbl_Finance[Job Number],0)),"not invoiced yet"))</f>
        <v/>
      </c>
      <c r="J336" s="14" t="n"/>
      <c r="K336" s="14" t="n"/>
      <c r="L336" s="15">
        <f>IF(K336="","",HYPERLINK(IF(LEFT(K336,4)="http",K336,set_QwilrBase&amp;K336),"Open quote"))</f>
        <v/>
      </c>
      <c r="M336" s="53" t="n"/>
      <c r="N336" s="14" t="n"/>
      <c r="O336" s="14" t="n"/>
    </row>
    <row r="337" ht="15" customHeight="1">
      <c r="A337" s="51">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52">
        <f>IF(C337="","",COUNTIFS(tbl_Finance[Job Number],C337&amp;"",tbl_Finance[Ex GST],"&lt;&gt;"))</f>
        <v/>
      </c>
      <c r="H337" s="17">
        <f>IF(C337="","",SUMIFS(tbl_Finance[Ex GST],tbl_Finance[Job Number],C337&amp;""))</f>
        <v/>
      </c>
      <c r="I337" s="15">
        <f>IF(C337="","",IFERROR(INDEX(tbl_Finance[Cost Centre],MATCH(C337&amp;"",tbl_Finance[Job Number],0)),"not invoiced yet"))</f>
        <v/>
      </c>
      <c r="J337" s="14" t="n"/>
      <c r="K337" s="14" t="n"/>
      <c r="L337" s="15">
        <f>IF(K337="","",HYPERLINK(IF(LEFT(K337,4)="http",K337,set_QwilrBase&amp;K337),"Open quote"))</f>
        <v/>
      </c>
      <c r="M337" s="53" t="n"/>
      <c r="N337" s="14" t="n"/>
      <c r="O337" s="14" t="n"/>
    </row>
    <row r="338" ht="15" customHeight="1">
      <c r="A338" s="51">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52">
        <f>IF(C338="","",COUNTIFS(tbl_Finance[Job Number],C338&amp;"",tbl_Finance[Ex GST],"&lt;&gt;"))</f>
        <v/>
      </c>
      <c r="H338" s="17">
        <f>IF(C338="","",SUMIFS(tbl_Finance[Ex GST],tbl_Finance[Job Number],C338&amp;""))</f>
        <v/>
      </c>
      <c r="I338" s="15">
        <f>IF(C338="","",IFERROR(INDEX(tbl_Finance[Cost Centre],MATCH(C338&amp;"",tbl_Finance[Job Number],0)),"not invoiced yet"))</f>
        <v/>
      </c>
      <c r="J338" s="14" t="n"/>
      <c r="K338" s="14" t="n"/>
      <c r="L338" s="15">
        <f>IF(K338="","",HYPERLINK(IF(LEFT(K338,4)="http",K338,set_QwilrBase&amp;K338),"Open quote"))</f>
        <v/>
      </c>
      <c r="M338" s="53" t="n"/>
      <c r="N338" s="14" t="n"/>
      <c r="O338" s="14" t="n"/>
    </row>
    <row r="339" ht="15" customHeight="1">
      <c r="A339" s="51">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52">
        <f>IF(C339="","",COUNTIFS(tbl_Finance[Job Number],C339&amp;"",tbl_Finance[Ex GST],"&lt;&gt;"))</f>
        <v/>
      </c>
      <c r="H339" s="17">
        <f>IF(C339="","",SUMIFS(tbl_Finance[Ex GST],tbl_Finance[Job Number],C339&amp;""))</f>
        <v/>
      </c>
      <c r="I339" s="15">
        <f>IF(C339="","",IFERROR(INDEX(tbl_Finance[Cost Centre],MATCH(C339&amp;"",tbl_Finance[Job Number],0)),"not invoiced yet"))</f>
        <v/>
      </c>
      <c r="J339" s="14" t="n"/>
      <c r="K339" s="14" t="n"/>
      <c r="L339" s="15">
        <f>IF(K339="","",HYPERLINK(IF(LEFT(K339,4)="http",K339,set_QwilrBase&amp;K339),"Open quote"))</f>
        <v/>
      </c>
      <c r="M339" s="53" t="n"/>
      <c r="N339" s="14" t="n"/>
      <c r="O339" s="14" t="n"/>
    </row>
    <row r="340" ht="15" customHeight="1">
      <c r="A340" s="51">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52">
        <f>IF(C340="","",COUNTIFS(tbl_Finance[Job Number],C340&amp;"",tbl_Finance[Ex GST],"&lt;&gt;"))</f>
        <v/>
      </c>
      <c r="H340" s="17">
        <f>IF(C340="","",SUMIFS(tbl_Finance[Ex GST],tbl_Finance[Job Number],C340&amp;""))</f>
        <v/>
      </c>
      <c r="I340" s="15">
        <f>IF(C340="","",IFERROR(INDEX(tbl_Finance[Cost Centre],MATCH(C340&amp;"",tbl_Finance[Job Number],0)),"not invoiced yet"))</f>
        <v/>
      </c>
      <c r="J340" s="14" t="n"/>
      <c r="K340" s="14" t="n"/>
      <c r="L340" s="15">
        <f>IF(K340="","",HYPERLINK(IF(LEFT(K340,4)="http",K340,set_QwilrBase&amp;K340),"Open quote"))</f>
        <v/>
      </c>
      <c r="M340" s="53" t="n"/>
      <c r="N340" s="14" t="n"/>
      <c r="O340" s="14" t="n"/>
    </row>
    <row r="341" ht="15" customHeight="1">
      <c r="A341" s="51">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52">
        <f>IF(C341="","",COUNTIFS(tbl_Finance[Job Number],C341&amp;"",tbl_Finance[Ex GST],"&lt;&gt;"))</f>
        <v/>
      </c>
      <c r="H341" s="17">
        <f>IF(C341="","",SUMIFS(tbl_Finance[Ex GST],tbl_Finance[Job Number],C341&amp;""))</f>
        <v/>
      </c>
      <c r="I341" s="15">
        <f>IF(C341="","",IFERROR(INDEX(tbl_Finance[Cost Centre],MATCH(C341&amp;"",tbl_Finance[Job Number],0)),"not invoiced yet"))</f>
        <v/>
      </c>
      <c r="J341" s="14" t="n"/>
      <c r="K341" s="14" t="n"/>
      <c r="L341" s="15">
        <f>IF(K341="","",HYPERLINK(IF(LEFT(K341,4)="http",K341,set_QwilrBase&amp;K341),"Open quote"))</f>
        <v/>
      </c>
      <c r="M341" s="53" t="n"/>
      <c r="N341" s="14" t="n"/>
      <c r="O341" s="14" t="n"/>
    </row>
    <row r="342" ht="15" customHeight="1">
      <c r="A342" s="51">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52">
        <f>IF(C342="","",COUNTIFS(tbl_Finance[Job Number],C342&amp;"",tbl_Finance[Ex GST],"&lt;&gt;"))</f>
        <v/>
      </c>
      <c r="H342" s="17">
        <f>IF(C342="","",SUMIFS(tbl_Finance[Ex GST],tbl_Finance[Job Number],C342&amp;""))</f>
        <v/>
      </c>
      <c r="I342" s="15">
        <f>IF(C342="","",IFERROR(INDEX(tbl_Finance[Cost Centre],MATCH(C342&amp;"",tbl_Finance[Job Number],0)),"not invoiced yet"))</f>
        <v/>
      </c>
      <c r="J342" s="14" t="n"/>
      <c r="K342" s="14" t="n"/>
      <c r="L342" s="15">
        <f>IF(K342="","",HYPERLINK(IF(LEFT(K342,4)="http",K342,set_QwilrBase&amp;K342),"Open quote"))</f>
        <v/>
      </c>
      <c r="M342" s="53" t="n"/>
      <c r="N342" s="14" t="n"/>
      <c r="O342" s="14" t="n"/>
    </row>
    <row r="343" ht="15" customHeight="1">
      <c r="A343" s="51">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52">
        <f>IF(C343="","",COUNTIFS(tbl_Finance[Job Number],C343&amp;"",tbl_Finance[Ex GST],"&lt;&gt;"))</f>
        <v/>
      </c>
      <c r="H343" s="17">
        <f>IF(C343="","",SUMIFS(tbl_Finance[Ex GST],tbl_Finance[Job Number],C343&amp;""))</f>
        <v/>
      </c>
      <c r="I343" s="15">
        <f>IF(C343="","",IFERROR(INDEX(tbl_Finance[Cost Centre],MATCH(C343&amp;"",tbl_Finance[Job Number],0)),"not invoiced yet"))</f>
        <v/>
      </c>
      <c r="J343" s="14" t="n"/>
      <c r="K343" s="14" t="n"/>
      <c r="L343" s="15">
        <f>IF(K343="","",HYPERLINK(IF(LEFT(K343,4)="http",K343,set_QwilrBase&amp;K343),"Open quote"))</f>
        <v/>
      </c>
      <c r="M343" s="53" t="n"/>
      <c r="N343" s="14" t="n"/>
      <c r="O343" s="14" t="n"/>
    </row>
    <row r="344" ht="15" customHeight="1">
      <c r="A344" s="51">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52">
        <f>IF(C344="","",COUNTIFS(tbl_Finance[Job Number],C344&amp;"",tbl_Finance[Ex GST],"&lt;&gt;"))</f>
        <v/>
      </c>
      <c r="H344" s="17">
        <f>IF(C344="","",SUMIFS(tbl_Finance[Ex GST],tbl_Finance[Job Number],C344&amp;""))</f>
        <v/>
      </c>
      <c r="I344" s="15">
        <f>IF(C344="","",IFERROR(INDEX(tbl_Finance[Cost Centre],MATCH(C344&amp;"",tbl_Finance[Job Number],0)),"not invoiced yet"))</f>
        <v/>
      </c>
      <c r="J344" s="14" t="n"/>
      <c r="K344" s="14" t="n"/>
      <c r="L344" s="15">
        <f>IF(K344="","",HYPERLINK(IF(LEFT(K344,4)="http",K344,set_QwilrBase&amp;K344),"Open quote"))</f>
        <v/>
      </c>
      <c r="M344" s="53" t="n"/>
      <c r="N344" s="14" t="n"/>
      <c r="O344" s="14" t="n"/>
    </row>
    <row r="345" ht="15" customHeight="1">
      <c r="A345" s="51">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52">
        <f>IF(C345="","",COUNTIFS(tbl_Finance[Job Number],C345&amp;"",tbl_Finance[Ex GST],"&lt;&gt;"))</f>
        <v/>
      </c>
      <c r="H345" s="17">
        <f>IF(C345="","",SUMIFS(tbl_Finance[Ex GST],tbl_Finance[Job Number],C345&amp;""))</f>
        <v/>
      </c>
      <c r="I345" s="15">
        <f>IF(C345="","",IFERROR(INDEX(tbl_Finance[Cost Centre],MATCH(C345&amp;"",tbl_Finance[Job Number],0)),"not invoiced yet"))</f>
        <v/>
      </c>
      <c r="J345" s="14" t="n"/>
      <c r="K345" s="14" t="n"/>
      <c r="L345" s="15">
        <f>IF(K345="","",HYPERLINK(IF(LEFT(K345,4)="http",K345,set_QwilrBase&amp;K345),"Open quote"))</f>
        <v/>
      </c>
      <c r="M345" s="53" t="n"/>
      <c r="N345" s="14" t="n"/>
      <c r="O345" s="14" t="n"/>
    </row>
    <row r="346" ht="15" customHeight="1">
      <c r="A346" s="51">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52">
        <f>IF(C346="","",COUNTIFS(tbl_Finance[Job Number],C346&amp;"",tbl_Finance[Ex GST],"&lt;&gt;"))</f>
        <v/>
      </c>
      <c r="H346" s="17">
        <f>IF(C346="","",SUMIFS(tbl_Finance[Ex GST],tbl_Finance[Job Number],C346&amp;""))</f>
        <v/>
      </c>
      <c r="I346" s="15">
        <f>IF(C346="","",IFERROR(INDEX(tbl_Finance[Cost Centre],MATCH(C346&amp;"",tbl_Finance[Job Number],0)),"not invoiced yet"))</f>
        <v/>
      </c>
      <c r="J346" s="14" t="n"/>
      <c r="K346" s="14" t="n"/>
      <c r="L346" s="15">
        <f>IF(K346="","",HYPERLINK(IF(LEFT(K346,4)="http",K346,set_QwilrBase&amp;K346),"Open quote"))</f>
        <v/>
      </c>
      <c r="M346" s="53" t="n"/>
      <c r="N346" s="14" t="n"/>
      <c r="O346" s="14" t="n"/>
    </row>
    <row r="347" ht="15" customHeight="1">
      <c r="A347" s="51">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52">
        <f>IF(C347="","",COUNTIFS(tbl_Finance[Job Number],C347&amp;"",tbl_Finance[Ex GST],"&lt;&gt;"))</f>
        <v/>
      </c>
      <c r="H347" s="17">
        <f>IF(C347="","",SUMIFS(tbl_Finance[Ex GST],tbl_Finance[Job Number],C347&amp;""))</f>
        <v/>
      </c>
      <c r="I347" s="15">
        <f>IF(C347="","",IFERROR(INDEX(tbl_Finance[Cost Centre],MATCH(C347&amp;"",tbl_Finance[Job Number],0)),"not invoiced yet"))</f>
        <v/>
      </c>
      <c r="J347" s="14" t="n"/>
      <c r="K347" s="14" t="n"/>
      <c r="L347" s="15">
        <f>IF(K347="","",HYPERLINK(IF(LEFT(K347,4)="http",K347,set_QwilrBase&amp;K347),"Open quote"))</f>
        <v/>
      </c>
      <c r="M347" s="53" t="n"/>
      <c r="N347" s="14" t="n"/>
      <c r="O347" s="14" t="n"/>
    </row>
    <row r="348" ht="15" customHeight="1">
      <c r="A348" s="51">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52">
        <f>IF(C348="","",COUNTIFS(tbl_Finance[Job Number],C348&amp;"",tbl_Finance[Ex GST],"&lt;&gt;"))</f>
        <v/>
      </c>
      <c r="H348" s="17">
        <f>IF(C348="","",SUMIFS(tbl_Finance[Ex GST],tbl_Finance[Job Number],C348&amp;""))</f>
        <v/>
      </c>
      <c r="I348" s="15">
        <f>IF(C348="","",IFERROR(INDEX(tbl_Finance[Cost Centre],MATCH(C348&amp;"",tbl_Finance[Job Number],0)),"not invoiced yet"))</f>
        <v/>
      </c>
      <c r="J348" s="14" t="n"/>
      <c r="K348" s="14" t="n"/>
      <c r="L348" s="15">
        <f>IF(K348="","",HYPERLINK(IF(LEFT(K348,4)="http",K348,set_QwilrBase&amp;K348),"Open quote"))</f>
        <v/>
      </c>
      <c r="M348" s="53" t="n"/>
      <c r="N348" s="14" t="n"/>
      <c r="O348" s="14" t="n"/>
    </row>
    <row r="349" ht="15" customHeight="1">
      <c r="A349" s="51">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52">
        <f>IF(C349="","",COUNTIFS(tbl_Finance[Job Number],C349&amp;"",tbl_Finance[Ex GST],"&lt;&gt;"))</f>
        <v/>
      </c>
      <c r="H349" s="17">
        <f>IF(C349="","",SUMIFS(tbl_Finance[Ex GST],tbl_Finance[Job Number],C349&amp;""))</f>
        <v/>
      </c>
      <c r="I349" s="15">
        <f>IF(C349="","",IFERROR(INDEX(tbl_Finance[Cost Centre],MATCH(C349&amp;"",tbl_Finance[Job Number],0)),"not invoiced yet"))</f>
        <v/>
      </c>
      <c r="J349" s="14" t="n"/>
      <c r="K349" s="14" t="n"/>
      <c r="L349" s="15">
        <f>IF(K349="","",HYPERLINK(IF(LEFT(K349,4)="http",K349,set_QwilrBase&amp;K349),"Open quote"))</f>
        <v/>
      </c>
      <c r="M349" s="53" t="n"/>
      <c r="N349" s="14" t="n"/>
      <c r="O349" s="14" t="n"/>
    </row>
    <row r="350" ht="15" customHeight="1">
      <c r="A350" s="51">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52">
        <f>IF(C350="","",COUNTIFS(tbl_Finance[Job Number],C350&amp;"",tbl_Finance[Ex GST],"&lt;&gt;"))</f>
        <v/>
      </c>
      <c r="H350" s="17">
        <f>IF(C350="","",SUMIFS(tbl_Finance[Ex GST],tbl_Finance[Job Number],C350&amp;""))</f>
        <v/>
      </c>
      <c r="I350" s="15">
        <f>IF(C350="","",IFERROR(INDEX(tbl_Finance[Cost Centre],MATCH(C350&amp;"",tbl_Finance[Job Number],0)),"not invoiced yet"))</f>
        <v/>
      </c>
      <c r="J350" s="14" t="n"/>
      <c r="K350" s="14" t="n"/>
      <c r="L350" s="15">
        <f>IF(K350="","",HYPERLINK(IF(LEFT(K350,4)="http",K350,set_QwilrBase&amp;K350),"Open quote"))</f>
        <v/>
      </c>
      <c r="M350" s="53" t="n"/>
      <c r="N350" s="14" t="n"/>
      <c r="O350" s="14" t="n"/>
    </row>
    <row r="351" ht="15" customHeight="1">
      <c r="A351" s="51">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52">
        <f>IF(C351="","",COUNTIFS(tbl_Finance[Job Number],C351&amp;"",tbl_Finance[Ex GST],"&lt;&gt;"))</f>
        <v/>
      </c>
      <c r="H351" s="17">
        <f>IF(C351="","",SUMIFS(tbl_Finance[Ex GST],tbl_Finance[Job Number],C351&amp;""))</f>
        <v/>
      </c>
      <c r="I351" s="15">
        <f>IF(C351="","",IFERROR(INDEX(tbl_Finance[Cost Centre],MATCH(C351&amp;"",tbl_Finance[Job Number],0)),"not invoiced yet"))</f>
        <v/>
      </c>
      <c r="J351" s="14" t="n"/>
      <c r="K351" s="14" t="n"/>
      <c r="L351" s="15">
        <f>IF(K351="","",HYPERLINK(IF(LEFT(K351,4)="http",K351,set_QwilrBase&amp;K351),"Open quote"))</f>
        <v/>
      </c>
      <c r="M351" s="53" t="n"/>
      <c r="N351" s="14" t="n"/>
      <c r="O351" s="14" t="n"/>
    </row>
    <row r="352" ht="15" customHeight="1">
      <c r="A352" s="51">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52">
        <f>IF(C352="","",COUNTIFS(tbl_Finance[Job Number],C352&amp;"",tbl_Finance[Ex GST],"&lt;&gt;"))</f>
        <v/>
      </c>
      <c r="H352" s="17">
        <f>IF(C352="","",SUMIFS(tbl_Finance[Ex GST],tbl_Finance[Job Number],C352&amp;""))</f>
        <v/>
      </c>
      <c r="I352" s="15">
        <f>IF(C352="","",IFERROR(INDEX(tbl_Finance[Cost Centre],MATCH(C352&amp;"",tbl_Finance[Job Number],0)),"not invoiced yet"))</f>
        <v/>
      </c>
      <c r="J352" s="14" t="n"/>
      <c r="K352" s="14" t="n"/>
      <c r="L352" s="15">
        <f>IF(K352="","",HYPERLINK(IF(LEFT(K352,4)="http",K352,set_QwilrBase&amp;K352),"Open quote"))</f>
        <v/>
      </c>
      <c r="M352" s="53" t="n"/>
      <c r="N352" s="14" t="n"/>
      <c r="O352" s="14" t="n"/>
    </row>
    <row r="353" ht="15" customHeight="1">
      <c r="A353" s="51">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52">
        <f>IF(C353="","",COUNTIFS(tbl_Finance[Job Number],C353&amp;"",tbl_Finance[Ex GST],"&lt;&gt;"))</f>
        <v/>
      </c>
      <c r="H353" s="17">
        <f>IF(C353="","",SUMIFS(tbl_Finance[Ex GST],tbl_Finance[Job Number],C353&amp;""))</f>
        <v/>
      </c>
      <c r="I353" s="15">
        <f>IF(C353="","",IFERROR(INDEX(tbl_Finance[Cost Centre],MATCH(C353&amp;"",tbl_Finance[Job Number],0)),"not invoiced yet"))</f>
        <v/>
      </c>
      <c r="J353" s="14" t="n"/>
      <c r="K353" s="14" t="n"/>
      <c r="L353" s="15">
        <f>IF(K353="","",HYPERLINK(IF(LEFT(K353,4)="http",K353,set_QwilrBase&amp;K353),"Open quote"))</f>
        <v/>
      </c>
      <c r="M353" s="53" t="n"/>
      <c r="N353" s="14" t="n"/>
      <c r="O353" s="14" t="n"/>
    </row>
    <row r="354" ht="15" customHeight="1">
      <c r="A354" s="51">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52">
        <f>IF(C354="","",COUNTIFS(tbl_Finance[Job Number],C354&amp;"",tbl_Finance[Ex GST],"&lt;&gt;"))</f>
        <v/>
      </c>
      <c r="H354" s="17">
        <f>IF(C354="","",SUMIFS(tbl_Finance[Ex GST],tbl_Finance[Job Number],C354&amp;""))</f>
        <v/>
      </c>
      <c r="I354" s="15">
        <f>IF(C354="","",IFERROR(INDEX(tbl_Finance[Cost Centre],MATCH(C354&amp;"",tbl_Finance[Job Number],0)),"not invoiced yet"))</f>
        <v/>
      </c>
      <c r="J354" s="14" t="n"/>
      <c r="K354" s="14" t="n"/>
      <c r="L354" s="15">
        <f>IF(K354="","",HYPERLINK(IF(LEFT(K354,4)="http",K354,set_QwilrBase&amp;K354),"Open quote"))</f>
        <v/>
      </c>
      <c r="M354" s="53" t="n"/>
      <c r="N354" s="14" t="n"/>
      <c r="O354" s="14" t="n"/>
    </row>
    <row r="355" ht="15" customHeight="1">
      <c r="A355" s="51">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52">
        <f>IF(C355="","",COUNTIFS(tbl_Finance[Job Number],C355&amp;"",tbl_Finance[Ex GST],"&lt;&gt;"))</f>
        <v/>
      </c>
      <c r="H355" s="17">
        <f>IF(C355="","",SUMIFS(tbl_Finance[Ex GST],tbl_Finance[Job Number],C355&amp;""))</f>
        <v/>
      </c>
      <c r="I355" s="15">
        <f>IF(C355="","",IFERROR(INDEX(tbl_Finance[Cost Centre],MATCH(C355&amp;"",tbl_Finance[Job Number],0)),"not invoiced yet"))</f>
        <v/>
      </c>
      <c r="J355" s="14" t="n"/>
      <c r="K355" s="14" t="n"/>
      <c r="L355" s="15">
        <f>IF(K355="","",HYPERLINK(IF(LEFT(K355,4)="http",K355,set_QwilrBase&amp;K355),"Open quote"))</f>
        <v/>
      </c>
      <c r="M355" s="53" t="n"/>
      <c r="N355" s="14" t="n"/>
      <c r="O355" s="14" t="n"/>
    </row>
    <row r="356" ht="15" customHeight="1">
      <c r="A356" s="51">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52">
        <f>IF(C356="","",COUNTIFS(tbl_Finance[Job Number],C356&amp;"",tbl_Finance[Ex GST],"&lt;&gt;"))</f>
        <v/>
      </c>
      <c r="H356" s="17">
        <f>IF(C356="","",SUMIFS(tbl_Finance[Ex GST],tbl_Finance[Job Number],C356&amp;""))</f>
        <v/>
      </c>
      <c r="I356" s="15">
        <f>IF(C356="","",IFERROR(INDEX(tbl_Finance[Cost Centre],MATCH(C356&amp;"",tbl_Finance[Job Number],0)),"not invoiced yet"))</f>
        <v/>
      </c>
      <c r="J356" s="14" t="n"/>
      <c r="K356" s="14" t="n"/>
      <c r="L356" s="15">
        <f>IF(K356="","",HYPERLINK(IF(LEFT(K356,4)="http",K356,set_QwilrBase&amp;K356),"Open quote"))</f>
        <v/>
      </c>
      <c r="M356" s="53" t="n"/>
      <c r="N356" s="14" t="n"/>
      <c r="O356" s="14" t="n"/>
    </row>
    <row r="357" ht="15" customHeight="1">
      <c r="A357" s="51">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52">
        <f>IF(C357="","",COUNTIFS(tbl_Finance[Job Number],C357&amp;"",tbl_Finance[Ex GST],"&lt;&gt;"))</f>
        <v/>
      </c>
      <c r="H357" s="17">
        <f>IF(C357="","",SUMIFS(tbl_Finance[Ex GST],tbl_Finance[Job Number],C357&amp;""))</f>
        <v/>
      </c>
      <c r="I357" s="15">
        <f>IF(C357="","",IFERROR(INDEX(tbl_Finance[Cost Centre],MATCH(C357&amp;"",tbl_Finance[Job Number],0)),"not invoiced yet"))</f>
        <v/>
      </c>
      <c r="J357" s="14" t="n"/>
      <c r="K357" s="14" t="n"/>
      <c r="L357" s="15">
        <f>IF(K357="","",HYPERLINK(IF(LEFT(K357,4)="http",K357,set_QwilrBase&amp;K357),"Open quote"))</f>
        <v/>
      </c>
      <c r="M357" s="53" t="n"/>
      <c r="N357" s="14" t="n"/>
      <c r="O357" s="14" t="n"/>
    </row>
    <row r="358" ht="15" customHeight="1">
      <c r="A358" s="51">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52">
        <f>IF(C358="","",COUNTIFS(tbl_Finance[Job Number],C358&amp;"",tbl_Finance[Ex GST],"&lt;&gt;"))</f>
        <v/>
      </c>
      <c r="H358" s="17">
        <f>IF(C358="","",SUMIFS(tbl_Finance[Ex GST],tbl_Finance[Job Number],C358&amp;""))</f>
        <v/>
      </c>
      <c r="I358" s="15">
        <f>IF(C358="","",IFERROR(INDEX(tbl_Finance[Cost Centre],MATCH(C358&amp;"",tbl_Finance[Job Number],0)),"not invoiced yet"))</f>
        <v/>
      </c>
      <c r="J358" s="14" t="n"/>
      <c r="K358" s="14" t="n"/>
      <c r="L358" s="15">
        <f>IF(K358="","",HYPERLINK(IF(LEFT(K358,4)="http",K358,set_QwilrBase&amp;K358),"Open quote"))</f>
        <v/>
      </c>
      <c r="M358" s="53" t="n"/>
      <c r="N358" s="14" t="n"/>
      <c r="O358" s="14" t="n"/>
    </row>
    <row r="359" ht="15" customHeight="1">
      <c r="A359" s="51">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52">
        <f>IF(C359="","",COUNTIFS(tbl_Finance[Job Number],C359&amp;"",tbl_Finance[Ex GST],"&lt;&gt;"))</f>
        <v/>
      </c>
      <c r="H359" s="17">
        <f>IF(C359="","",SUMIFS(tbl_Finance[Ex GST],tbl_Finance[Job Number],C359&amp;""))</f>
        <v/>
      </c>
      <c r="I359" s="15">
        <f>IF(C359="","",IFERROR(INDEX(tbl_Finance[Cost Centre],MATCH(C359&amp;"",tbl_Finance[Job Number],0)),"not invoiced yet"))</f>
        <v/>
      </c>
      <c r="J359" s="14" t="n"/>
      <c r="K359" s="14" t="n"/>
      <c r="L359" s="15">
        <f>IF(K359="","",HYPERLINK(IF(LEFT(K359,4)="http",K359,set_QwilrBase&amp;K359),"Open quote"))</f>
        <v/>
      </c>
      <c r="M359" s="53" t="n"/>
      <c r="N359" s="14" t="n"/>
      <c r="O359" s="14" t="n"/>
    </row>
    <row r="360" ht="15" customHeight="1">
      <c r="A360" s="51">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52">
        <f>IF(C360="","",COUNTIFS(tbl_Finance[Job Number],C360&amp;"",tbl_Finance[Ex GST],"&lt;&gt;"))</f>
        <v/>
      </c>
      <c r="H360" s="17">
        <f>IF(C360="","",SUMIFS(tbl_Finance[Ex GST],tbl_Finance[Job Number],C360&amp;""))</f>
        <v/>
      </c>
      <c r="I360" s="15">
        <f>IF(C360="","",IFERROR(INDEX(tbl_Finance[Cost Centre],MATCH(C360&amp;"",tbl_Finance[Job Number],0)),"not invoiced yet"))</f>
        <v/>
      </c>
      <c r="J360" s="14" t="n"/>
      <c r="K360" s="14" t="n"/>
      <c r="L360" s="15">
        <f>IF(K360="","",HYPERLINK(IF(LEFT(K360,4)="http",K360,set_QwilrBase&amp;K360),"Open quote"))</f>
        <v/>
      </c>
      <c r="M360" s="53" t="n"/>
      <c r="N360" s="14" t="n"/>
      <c r="O360" s="14" t="n"/>
    </row>
    <row r="361" ht="15" customHeight="1">
      <c r="A361" s="51">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52">
        <f>IF(C361="","",COUNTIFS(tbl_Finance[Job Number],C361&amp;"",tbl_Finance[Ex GST],"&lt;&gt;"))</f>
        <v/>
      </c>
      <c r="H361" s="17">
        <f>IF(C361="","",SUMIFS(tbl_Finance[Ex GST],tbl_Finance[Job Number],C361&amp;""))</f>
        <v/>
      </c>
      <c r="I361" s="15">
        <f>IF(C361="","",IFERROR(INDEX(tbl_Finance[Cost Centre],MATCH(C361&amp;"",tbl_Finance[Job Number],0)),"not invoiced yet"))</f>
        <v/>
      </c>
      <c r="J361" s="14" t="n"/>
      <c r="K361" s="14" t="n"/>
      <c r="L361" s="15">
        <f>IF(K361="","",HYPERLINK(IF(LEFT(K361,4)="http",K361,set_QwilrBase&amp;K361),"Open quote"))</f>
        <v/>
      </c>
      <c r="M361" s="53" t="n"/>
      <c r="N361" s="14" t="n"/>
      <c r="O361" s="14" t="n"/>
    </row>
    <row r="362" ht="15" customHeight="1">
      <c r="A362" s="51">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52">
        <f>IF(C362="","",COUNTIFS(tbl_Finance[Job Number],C362&amp;"",tbl_Finance[Ex GST],"&lt;&gt;"))</f>
        <v/>
      </c>
      <c r="H362" s="17">
        <f>IF(C362="","",SUMIFS(tbl_Finance[Ex GST],tbl_Finance[Job Number],C362&amp;""))</f>
        <v/>
      </c>
      <c r="I362" s="15">
        <f>IF(C362="","",IFERROR(INDEX(tbl_Finance[Cost Centre],MATCH(C362&amp;"",tbl_Finance[Job Number],0)),"not invoiced yet"))</f>
        <v/>
      </c>
      <c r="J362" s="14" t="n"/>
      <c r="K362" s="14" t="n"/>
      <c r="L362" s="15">
        <f>IF(K362="","",HYPERLINK(IF(LEFT(K362,4)="http",K362,set_QwilrBase&amp;K362),"Open quote"))</f>
        <v/>
      </c>
      <c r="M362" s="53" t="n"/>
      <c r="N362" s="14" t="n"/>
      <c r="O362" s="14" t="n"/>
    </row>
    <row r="363" ht="15" customHeight="1">
      <c r="A363" s="51">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52">
        <f>IF(C363="","",COUNTIFS(tbl_Finance[Job Number],C363&amp;"",tbl_Finance[Ex GST],"&lt;&gt;"))</f>
        <v/>
      </c>
      <c r="H363" s="17">
        <f>IF(C363="","",SUMIFS(tbl_Finance[Ex GST],tbl_Finance[Job Number],C363&amp;""))</f>
        <v/>
      </c>
      <c r="I363" s="15">
        <f>IF(C363="","",IFERROR(INDEX(tbl_Finance[Cost Centre],MATCH(C363&amp;"",tbl_Finance[Job Number],0)),"not invoiced yet"))</f>
        <v/>
      </c>
      <c r="J363" s="14" t="n"/>
      <c r="K363" s="14" t="n"/>
      <c r="L363" s="15">
        <f>IF(K363="","",HYPERLINK(IF(LEFT(K363,4)="http",K363,set_QwilrBase&amp;K363),"Open quote"))</f>
        <v/>
      </c>
      <c r="M363" s="53" t="n"/>
      <c r="N363" s="14" t="n"/>
      <c r="O363" s="14" t="n"/>
    </row>
    <row r="364" ht="15" customHeight="1">
      <c r="A364" s="51">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52">
        <f>IF(C364="","",COUNTIFS(tbl_Finance[Job Number],C364&amp;"",tbl_Finance[Ex GST],"&lt;&gt;"))</f>
        <v/>
      </c>
      <c r="H364" s="17">
        <f>IF(C364="","",SUMIFS(tbl_Finance[Ex GST],tbl_Finance[Job Number],C364&amp;""))</f>
        <v/>
      </c>
      <c r="I364" s="15">
        <f>IF(C364="","",IFERROR(INDEX(tbl_Finance[Cost Centre],MATCH(C364&amp;"",tbl_Finance[Job Number],0)),"not invoiced yet"))</f>
        <v/>
      </c>
      <c r="J364" s="14" t="n"/>
      <c r="K364" s="14" t="n"/>
      <c r="L364" s="15">
        <f>IF(K364="","",HYPERLINK(IF(LEFT(K364,4)="http",K364,set_QwilrBase&amp;K364),"Open quote"))</f>
        <v/>
      </c>
      <c r="M364" s="53" t="n"/>
      <c r="N364" s="14" t="n"/>
      <c r="O364" s="14" t="n"/>
    </row>
    <row r="365" ht="15" customHeight="1">
      <c r="A365" s="51">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52">
        <f>IF(C365="","",COUNTIFS(tbl_Finance[Job Number],C365&amp;"",tbl_Finance[Ex GST],"&lt;&gt;"))</f>
        <v/>
      </c>
      <c r="H365" s="17">
        <f>IF(C365="","",SUMIFS(tbl_Finance[Ex GST],tbl_Finance[Job Number],C365&amp;""))</f>
        <v/>
      </c>
      <c r="I365" s="15">
        <f>IF(C365="","",IFERROR(INDEX(tbl_Finance[Cost Centre],MATCH(C365&amp;"",tbl_Finance[Job Number],0)),"not invoiced yet"))</f>
        <v/>
      </c>
      <c r="J365" s="14" t="n"/>
      <c r="K365" s="14" t="n"/>
      <c r="L365" s="15">
        <f>IF(K365="","",HYPERLINK(IF(LEFT(K365,4)="http",K365,set_QwilrBase&amp;K365),"Open quote"))</f>
        <v/>
      </c>
      <c r="M365" s="53" t="n"/>
      <c r="N365" s="14" t="n"/>
      <c r="O365" s="14" t="n"/>
    </row>
    <row r="366" ht="15" customHeight="1">
      <c r="A366" s="51">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52">
        <f>IF(C366="","",COUNTIFS(tbl_Finance[Job Number],C366&amp;"",tbl_Finance[Ex GST],"&lt;&gt;"))</f>
        <v/>
      </c>
      <c r="H366" s="17">
        <f>IF(C366="","",SUMIFS(tbl_Finance[Ex GST],tbl_Finance[Job Number],C366&amp;""))</f>
        <v/>
      </c>
      <c r="I366" s="15">
        <f>IF(C366="","",IFERROR(INDEX(tbl_Finance[Cost Centre],MATCH(C366&amp;"",tbl_Finance[Job Number],0)),"not invoiced yet"))</f>
        <v/>
      </c>
      <c r="J366" s="14" t="n"/>
      <c r="K366" s="14" t="n"/>
      <c r="L366" s="15">
        <f>IF(K366="","",HYPERLINK(IF(LEFT(K366,4)="http",K366,set_QwilrBase&amp;K366),"Open quote"))</f>
        <v/>
      </c>
      <c r="M366" s="53" t="n"/>
      <c r="N366" s="14" t="n"/>
      <c r="O366" s="14" t="n"/>
    </row>
    <row r="367" ht="15" customHeight="1">
      <c r="A367" s="51">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52">
        <f>IF(C367="","",COUNTIFS(tbl_Finance[Job Number],C367&amp;"",tbl_Finance[Ex GST],"&lt;&gt;"))</f>
        <v/>
      </c>
      <c r="H367" s="17">
        <f>IF(C367="","",SUMIFS(tbl_Finance[Ex GST],tbl_Finance[Job Number],C367&amp;""))</f>
        <v/>
      </c>
      <c r="I367" s="15">
        <f>IF(C367="","",IFERROR(INDEX(tbl_Finance[Cost Centre],MATCH(C367&amp;"",tbl_Finance[Job Number],0)),"not invoiced yet"))</f>
        <v/>
      </c>
      <c r="J367" s="14" t="n"/>
      <c r="K367" s="14" t="n"/>
      <c r="L367" s="15">
        <f>IF(K367="","",HYPERLINK(IF(LEFT(K367,4)="http",K367,set_QwilrBase&amp;K367),"Open quote"))</f>
        <v/>
      </c>
      <c r="M367" s="53" t="n"/>
      <c r="N367" s="14" t="n"/>
      <c r="O367" s="14" t="n"/>
    </row>
    <row r="368" ht="15" customHeight="1">
      <c r="A368" s="51">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52">
        <f>IF(C368="","",COUNTIFS(tbl_Finance[Job Number],C368&amp;"",tbl_Finance[Ex GST],"&lt;&gt;"))</f>
        <v/>
      </c>
      <c r="H368" s="17">
        <f>IF(C368="","",SUMIFS(tbl_Finance[Ex GST],tbl_Finance[Job Number],C368&amp;""))</f>
        <v/>
      </c>
      <c r="I368" s="15">
        <f>IF(C368="","",IFERROR(INDEX(tbl_Finance[Cost Centre],MATCH(C368&amp;"",tbl_Finance[Job Number],0)),"not invoiced yet"))</f>
        <v/>
      </c>
      <c r="J368" s="14" t="n"/>
      <c r="K368" s="14" t="n"/>
      <c r="L368" s="15">
        <f>IF(K368="","",HYPERLINK(IF(LEFT(K368,4)="http",K368,set_QwilrBase&amp;K368),"Open quote"))</f>
        <v/>
      </c>
      <c r="M368" s="53" t="n"/>
      <c r="N368" s="14" t="n"/>
      <c r="O368" s="14" t="n"/>
    </row>
    <row r="369" ht="15" customHeight="1">
      <c r="A369" s="51">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52">
        <f>IF(C369="","",COUNTIFS(tbl_Finance[Job Number],C369&amp;"",tbl_Finance[Ex GST],"&lt;&gt;"))</f>
        <v/>
      </c>
      <c r="H369" s="17">
        <f>IF(C369="","",SUMIFS(tbl_Finance[Ex GST],tbl_Finance[Job Number],C369&amp;""))</f>
        <v/>
      </c>
      <c r="I369" s="15">
        <f>IF(C369="","",IFERROR(INDEX(tbl_Finance[Cost Centre],MATCH(C369&amp;"",tbl_Finance[Job Number],0)),"not invoiced yet"))</f>
        <v/>
      </c>
      <c r="J369" s="14" t="n"/>
      <c r="K369" s="14" t="n"/>
      <c r="L369" s="15">
        <f>IF(K369="","",HYPERLINK(IF(LEFT(K369,4)="http",K369,set_QwilrBase&amp;K369),"Open quote"))</f>
        <v/>
      </c>
      <c r="M369" s="53" t="n"/>
      <c r="N369" s="14" t="n"/>
      <c r="O369" s="14" t="n"/>
    </row>
    <row r="370" ht="15" customHeight="1">
      <c r="A370" s="51">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52">
        <f>IF(C370="","",COUNTIFS(tbl_Finance[Job Number],C370&amp;"",tbl_Finance[Ex GST],"&lt;&gt;"))</f>
        <v/>
      </c>
      <c r="H370" s="17">
        <f>IF(C370="","",SUMIFS(tbl_Finance[Ex GST],tbl_Finance[Job Number],C370&amp;""))</f>
        <v/>
      </c>
      <c r="I370" s="15">
        <f>IF(C370="","",IFERROR(INDEX(tbl_Finance[Cost Centre],MATCH(C370&amp;"",tbl_Finance[Job Number],0)),"not invoiced yet"))</f>
        <v/>
      </c>
      <c r="J370" s="14" t="n"/>
      <c r="K370" s="14" t="n"/>
      <c r="L370" s="15">
        <f>IF(K370="","",HYPERLINK(IF(LEFT(K370,4)="http",K370,set_QwilrBase&amp;K370),"Open quote"))</f>
        <v/>
      </c>
      <c r="M370" s="53" t="n"/>
      <c r="N370" s="14" t="n"/>
      <c r="O370" s="14" t="n"/>
    </row>
    <row r="371" ht="15" customHeight="1">
      <c r="A371" s="51">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52">
        <f>IF(C371="","",COUNTIFS(tbl_Finance[Job Number],C371&amp;"",tbl_Finance[Ex GST],"&lt;&gt;"))</f>
        <v/>
      </c>
      <c r="H371" s="17">
        <f>IF(C371="","",SUMIFS(tbl_Finance[Ex GST],tbl_Finance[Job Number],C371&amp;""))</f>
        <v/>
      </c>
      <c r="I371" s="15">
        <f>IF(C371="","",IFERROR(INDEX(tbl_Finance[Cost Centre],MATCH(C371&amp;"",tbl_Finance[Job Number],0)),"not invoiced yet"))</f>
        <v/>
      </c>
      <c r="J371" s="14" t="n"/>
      <c r="K371" s="14" t="n"/>
      <c r="L371" s="15">
        <f>IF(K371="","",HYPERLINK(IF(LEFT(K371,4)="http",K371,set_QwilrBase&amp;K371),"Open quote"))</f>
        <v/>
      </c>
      <c r="M371" s="53" t="n"/>
      <c r="N371" s="14" t="n"/>
      <c r="O371" s="14" t="n"/>
    </row>
    <row r="372" ht="15" customHeight="1">
      <c r="A372" s="51">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52">
        <f>IF(C372="","",COUNTIFS(tbl_Finance[Job Number],C372&amp;"",tbl_Finance[Ex GST],"&lt;&gt;"))</f>
        <v/>
      </c>
      <c r="H372" s="17">
        <f>IF(C372="","",SUMIFS(tbl_Finance[Ex GST],tbl_Finance[Job Number],C372&amp;""))</f>
        <v/>
      </c>
      <c r="I372" s="15">
        <f>IF(C372="","",IFERROR(INDEX(tbl_Finance[Cost Centre],MATCH(C372&amp;"",tbl_Finance[Job Number],0)),"not invoiced yet"))</f>
        <v/>
      </c>
      <c r="J372" s="14" t="n"/>
      <c r="K372" s="14" t="n"/>
      <c r="L372" s="15">
        <f>IF(K372="","",HYPERLINK(IF(LEFT(K372,4)="http",K372,set_QwilrBase&amp;K372),"Open quote"))</f>
        <v/>
      </c>
      <c r="M372" s="53" t="n"/>
      <c r="N372" s="14" t="n"/>
      <c r="O372" s="14" t="n"/>
    </row>
    <row r="373" ht="15" customHeight="1">
      <c r="A373" s="51">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52">
        <f>IF(C373="","",COUNTIFS(tbl_Finance[Job Number],C373&amp;"",tbl_Finance[Ex GST],"&lt;&gt;"))</f>
        <v/>
      </c>
      <c r="H373" s="17">
        <f>IF(C373="","",SUMIFS(tbl_Finance[Ex GST],tbl_Finance[Job Number],C373&amp;""))</f>
        <v/>
      </c>
      <c r="I373" s="15">
        <f>IF(C373="","",IFERROR(INDEX(tbl_Finance[Cost Centre],MATCH(C373&amp;"",tbl_Finance[Job Number],0)),"not invoiced yet"))</f>
        <v/>
      </c>
      <c r="J373" s="14" t="n"/>
      <c r="K373" s="14" t="n"/>
      <c r="L373" s="15">
        <f>IF(K373="","",HYPERLINK(IF(LEFT(K373,4)="http",K373,set_QwilrBase&amp;K373),"Open quote"))</f>
        <v/>
      </c>
      <c r="M373" s="53" t="n"/>
      <c r="N373" s="14" t="n"/>
      <c r="O373" s="14" t="n"/>
    </row>
    <row r="374" ht="15" customHeight="1">
      <c r="A374" s="51">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52">
        <f>IF(C374="","",COUNTIFS(tbl_Finance[Job Number],C374&amp;"",tbl_Finance[Ex GST],"&lt;&gt;"))</f>
        <v/>
      </c>
      <c r="H374" s="17">
        <f>IF(C374="","",SUMIFS(tbl_Finance[Ex GST],tbl_Finance[Job Number],C374&amp;""))</f>
        <v/>
      </c>
      <c r="I374" s="15">
        <f>IF(C374="","",IFERROR(INDEX(tbl_Finance[Cost Centre],MATCH(C374&amp;"",tbl_Finance[Job Number],0)),"not invoiced yet"))</f>
        <v/>
      </c>
      <c r="J374" s="14" t="n"/>
      <c r="K374" s="14" t="n"/>
      <c r="L374" s="15">
        <f>IF(K374="","",HYPERLINK(IF(LEFT(K374,4)="http",K374,set_QwilrBase&amp;K374),"Open quote"))</f>
        <v/>
      </c>
      <c r="M374" s="53" t="n"/>
      <c r="N374" s="14" t="n"/>
      <c r="O374" s="14" t="n"/>
    </row>
    <row r="375" ht="15" customHeight="1">
      <c r="A375" s="51">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52">
        <f>IF(C375="","",COUNTIFS(tbl_Finance[Job Number],C375&amp;"",tbl_Finance[Ex GST],"&lt;&gt;"))</f>
        <v/>
      </c>
      <c r="H375" s="17">
        <f>IF(C375="","",SUMIFS(tbl_Finance[Ex GST],tbl_Finance[Job Number],C375&amp;""))</f>
        <v/>
      </c>
      <c r="I375" s="15">
        <f>IF(C375="","",IFERROR(INDEX(tbl_Finance[Cost Centre],MATCH(C375&amp;"",tbl_Finance[Job Number],0)),"not invoiced yet"))</f>
        <v/>
      </c>
      <c r="J375" s="14" t="n"/>
      <c r="K375" s="14" t="n"/>
      <c r="L375" s="15">
        <f>IF(K375="","",HYPERLINK(IF(LEFT(K375,4)="http",K375,set_QwilrBase&amp;K375),"Open quote"))</f>
        <v/>
      </c>
      <c r="M375" s="53" t="n"/>
      <c r="N375" s="14" t="n"/>
      <c r="O375" s="14" t="n"/>
    </row>
    <row r="376" ht="15" customHeight="1">
      <c r="A376" s="51">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52">
        <f>IF(C376="","",COUNTIFS(tbl_Finance[Job Number],C376&amp;"",tbl_Finance[Ex GST],"&lt;&gt;"))</f>
        <v/>
      </c>
      <c r="H376" s="17">
        <f>IF(C376="","",SUMIFS(tbl_Finance[Ex GST],tbl_Finance[Job Number],C376&amp;""))</f>
        <v/>
      </c>
      <c r="I376" s="15">
        <f>IF(C376="","",IFERROR(INDEX(tbl_Finance[Cost Centre],MATCH(C376&amp;"",tbl_Finance[Job Number],0)),"not invoiced yet"))</f>
        <v/>
      </c>
      <c r="J376" s="14" t="n"/>
      <c r="K376" s="14" t="n"/>
      <c r="L376" s="15">
        <f>IF(K376="","",HYPERLINK(IF(LEFT(K376,4)="http",K376,set_QwilrBase&amp;K376),"Open quote"))</f>
        <v/>
      </c>
      <c r="M376" s="53" t="n"/>
      <c r="N376" s="14" t="n"/>
      <c r="O376" s="14" t="n"/>
    </row>
    <row r="377" ht="15" customHeight="1">
      <c r="A377" s="51">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52">
        <f>IF(C377="","",COUNTIFS(tbl_Finance[Job Number],C377&amp;"",tbl_Finance[Ex GST],"&lt;&gt;"))</f>
        <v/>
      </c>
      <c r="H377" s="17">
        <f>IF(C377="","",SUMIFS(tbl_Finance[Ex GST],tbl_Finance[Job Number],C377&amp;""))</f>
        <v/>
      </c>
      <c r="I377" s="15">
        <f>IF(C377="","",IFERROR(INDEX(tbl_Finance[Cost Centre],MATCH(C377&amp;"",tbl_Finance[Job Number],0)),"not invoiced yet"))</f>
        <v/>
      </c>
      <c r="J377" s="14" t="n"/>
      <c r="K377" s="14" t="n"/>
      <c r="L377" s="15">
        <f>IF(K377="","",HYPERLINK(IF(LEFT(K377,4)="http",K377,set_QwilrBase&amp;K377),"Open quote"))</f>
        <v/>
      </c>
      <c r="M377" s="53" t="n"/>
      <c r="N377" s="14" t="n"/>
      <c r="O377" s="14" t="n"/>
    </row>
    <row r="378" ht="15" customHeight="1">
      <c r="A378" s="51">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52">
        <f>IF(C378="","",COUNTIFS(tbl_Finance[Job Number],C378&amp;"",tbl_Finance[Ex GST],"&lt;&gt;"))</f>
        <v/>
      </c>
      <c r="H378" s="17">
        <f>IF(C378="","",SUMIFS(tbl_Finance[Ex GST],tbl_Finance[Job Number],C378&amp;""))</f>
        <v/>
      </c>
      <c r="I378" s="15">
        <f>IF(C378="","",IFERROR(INDEX(tbl_Finance[Cost Centre],MATCH(C378&amp;"",tbl_Finance[Job Number],0)),"not invoiced yet"))</f>
        <v/>
      </c>
      <c r="J378" s="14" t="n"/>
      <c r="K378" s="14" t="n"/>
      <c r="L378" s="15">
        <f>IF(K378="","",HYPERLINK(IF(LEFT(K378,4)="http",K378,set_QwilrBase&amp;K378),"Open quote"))</f>
        <v/>
      </c>
      <c r="M378" s="53" t="n"/>
      <c r="N378" s="14" t="n"/>
      <c r="O378" s="14" t="n"/>
    </row>
    <row r="379" ht="15" customHeight="1">
      <c r="A379" s="51">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52">
        <f>IF(C379="","",COUNTIFS(tbl_Finance[Job Number],C379&amp;"",tbl_Finance[Ex GST],"&lt;&gt;"))</f>
        <v/>
      </c>
      <c r="H379" s="17">
        <f>IF(C379="","",SUMIFS(tbl_Finance[Ex GST],tbl_Finance[Job Number],C379&amp;""))</f>
        <v/>
      </c>
      <c r="I379" s="15">
        <f>IF(C379="","",IFERROR(INDEX(tbl_Finance[Cost Centre],MATCH(C379&amp;"",tbl_Finance[Job Number],0)),"not invoiced yet"))</f>
        <v/>
      </c>
      <c r="J379" s="14" t="n"/>
      <c r="K379" s="14" t="n"/>
      <c r="L379" s="15">
        <f>IF(K379="","",HYPERLINK(IF(LEFT(K379,4)="http",K379,set_QwilrBase&amp;K379),"Open quote"))</f>
        <v/>
      </c>
      <c r="M379" s="53" t="n"/>
      <c r="N379" s="14" t="n"/>
      <c r="O379" s="14" t="n"/>
    </row>
    <row r="380" ht="15" customHeight="1">
      <c r="A380" s="51">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52">
        <f>IF(C380="","",COUNTIFS(tbl_Finance[Job Number],C380&amp;"",tbl_Finance[Ex GST],"&lt;&gt;"))</f>
        <v/>
      </c>
      <c r="H380" s="17">
        <f>IF(C380="","",SUMIFS(tbl_Finance[Ex GST],tbl_Finance[Job Number],C380&amp;""))</f>
        <v/>
      </c>
      <c r="I380" s="15">
        <f>IF(C380="","",IFERROR(INDEX(tbl_Finance[Cost Centre],MATCH(C380&amp;"",tbl_Finance[Job Number],0)),"not invoiced yet"))</f>
        <v/>
      </c>
      <c r="J380" s="14" t="n"/>
      <c r="K380" s="14" t="n"/>
      <c r="L380" s="15">
        <f>IF(K380="","",HYPERLINK(IF(LEFT(K380,4)="http",K380,set_QwilrBase&amp;K380),"Open quote"))</f>
        <v/>
      </c>
      <c r="M380" s="53" t="n"/>
      <c r="N380" s="14" t="n"/>
      <c r="O380" s="14" t="n"/>
    </row>
    <row r="381" ht="15" customHeight="1">
      <c r="A381" s="51">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52">
        <f>IF(C381="","",COUNTIFS(tbl_Finance[Job Number],C381&amp;"",tbl_Finance[Ex GST],"&lt;&gt;"))</f>
        <v/>
      </c>
      <c r="H381" s="17">
        <f>IF(C381="","",SUMIFS(tbl_Finance[Ex GST],tbl_Finance[Job Number],C381&amp;""))</f>
        <v/>
      </c>
      <c r="I381" s="15">
        <f>IF(C381="","",IFERROR(INDEX(tbl_Finance[Cost Centre],MATCH(C381&amp;"",tbl_Finance[Job Number],0)),"not invoiced yet"))</f>
        <v/>
      </c>
      <c r="J381" s="14" t="n"/>
      <c r="K381" s="14" t="n"/>
      <c r="L381" s="15">
        <f>IF(K381="","",HYPERLINK(IF(LEFT(K381,4)="http",K381,set_QwilrBase&amp;K381),"Open quote"))</f>
        <v/>
      </c>
      <c r="M381" s="53" t="n"/>
      <c r="N381" s="14" t="n"/>
      <c r="O381" s="14" t="n"/>
    </row>
    <row r="382" ht="15" customHeight="1">
      <c r="A382" s="51">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52">
        <f>IF(C382="","",COUNTIFS(tbl_Finance[Job Number],C382&amp;"",tbl_Finance[Ex GST],"&lt;&gt;"))</f>
        <v/>
      </c>
      <c r="H382" s="17">
        <f>IF(C382="","",SUMIFS(tbl_Finance[Ex GST],tbl_Finance[Job Number],C382&amp;""))</f>
        <v/>
      </c>
      <c r="I382" s="15">
        <f>IF(C382="","",IFERROR(INDEX(tbl_Finance[Cost Centre],MATCH(C382&amp;"",tbl_Finance[Job Number],0)),"not invoiced yet"))</f>
        <v/>
      </c>
      <c r="J382" s="14" t="n"/>
      <c r="K382" s="14" t="n"/>
      <c r="L382" s="15">
        <f>IF(K382="","",HYPERLINK(IF(LEFT(K382,4)="http",K382,set_QwilrBase&amp;K382),"Open quote"))</f>
        <v/>
      </c>
      <c r="M382" s="53" t="n"/>
      <c r="N382" s="14" t="n"/>
      <c r="O382" s="14" t="n"/>
    </row>
    <row r="383" ht="15" customHeight="1">
      <c r="A383" s="51">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52">
        <f>IF(C383="","",COUNTIFS(tbl_Finance[Job Number],C383&amp;"",tbl_Finance[Ex GST],"&lt;&gt;"))</f>
        <v/>
      </c>
      <c r="H383" s="17">
        <f>IF(C383="","",SUMIFS(tbl_Finance[Ex GST],tbl_Finance[Job Number],C383&amp;""))</f>
        <v/>
      </c>
      <c r="I383" s="15">
        <f>IF(C383="","",IFERROR(INDEX(tbl_Finance[Cost Centre],MATCH(C383&amp;"",tbl_Finance[Job Number],0)),"not invoiced yet"))</f>
        <v/>
      </c>
      <c r="J383" s="14" t="n"/>
      <c r="K383" s="14" t="n"/>
      <c r="L383" s="15">
        <f>IF(K383="","",HYPERLINK(IF(LEFT(K383,4)="http",K383,set_QwilrBase&amp;K383),"Open quote"))</f>
        <v/>
      </c>
      <c r="M383" s="53" t="n"/>
      <c r="N383" s="14" t="n"/>
      <c r="O383" s="14" t="n"/>
    </row>
    <row r="384" ht="15" customHeight="1">
      <c r="A384" s="51">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52">
        <f>IF(C384="","",COUNTIFS(tbl_Finance[Job Number],C384&amp;"",tbl_Finance[Ex GST],"&lt;&gt;"))</f>
        <v/>
      </c>
      <c r="H384" s="17">
        <f>IF(C384="","",SUMIFS(tbl_Finance[Ex GST],tbl_Finance[Job Number],C384&amp;""))</f>
        <v/>
      </c>
      <c r="I384" s="15">
        <f>IF(C384="","",IFERROR(INDEX(tbl_Finance[Cost Centre],MATCH(C384&amp;"",tbl_Finance[Job Number],0)),"not invoiced yet"))</f>
        <v/>
      </c>
      <c r="J384" s="14" t="n"/>
      <c r="K384" s="14" t="n"/>
      <c r="L384" s="15">
        <f>IF(K384="","",HYPERLINK(IF(LEFT(K384,4)="http",K384,set_QwilrBase&amp;K384),"Open quote"))</f>
        <v/>
      </c>
      <c r="M384" s="53" t="n"/>
      <c r="N384" s="14" t="n"/>
      <c r="O384" s="14" t="n"/>
    </row>
    <row r="385" ht="15" customHeight="1">
      <c r="A385" s="51">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52">
        <f>IF(C385="","",COUNTIFS(tbl_Finance[Job Number],C385&amp;"",tbl_Finance[Ex GST],"&lt;&gt;"))</f>
        <v/>
      </c>
      <c r="H385" s="17">
        <f>IF(C385="","",SUMIFS(tbl_Finance[Ex GST],tbl_Finance[Job Number],C385&amp;""))</f>
        <v/>
      </c>
      <c r="I385" s="15">
        <f>IF(C385="","",IFERROR(INDEX(tbl_Finance[Cost Centre],MATCH(C385&amp;"",tbl_Finance[Job Number],0)),"not invoiced yet"))</f>
        <v/>
      </c>
      <c r="J385" s="14" t="n"/>
      <c r="K385" s="14" t="n"/>
      <c r="L385" s="15">
        <f>IF(K385="","",HYPERLINK(IF(LEFT(K385,4)="http",K385,set_QwilrBase&amp;K385),"Open quote"))</f>
        <v/>
      </c>
      <c r="M385" s="53" t="n"/>
      <c r="N385" s="14" t="n"/>
      <c r="O385" s="14" t="n"/>
    </row>
    <row r="386" ht="15" customHeight="1">
      <c r="A386" s="51">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52">
        <f>IF(C386="","",COUNTIFS(tbl_Finance[Job Number],C386&amp;"",tbl_Finance[Ex GST],"&lt;&gt;"))</f>
        <v/>
      </c>
      <c r="H386" s="17">
        <f>IF(C386="","",SUMIFS(tbl_Finance[Ex GST],tbl_Finance[Job Number],C386&amp;""))</f>
        <v/>
      </c>
      <c r="I386" s="15">
        <f>IF(C386="","",IFERROR(INDEX(tbl_Finance[Cost Centre],MATCH(C386&amp;"",tbl_Finance[Job Number],0)),"not invoiced yet"))</f>
        <v/>
      </c>
      <c r="J386" s="14" t="n"/>
      <c r="K386" s="14" t="n"/>
      <c r="L386" s="15">
        <f>IF(K386="","",HYPERLINK(IF(LEFT(K386,4)="http",K386,set_QwilrBase&amp;K386),"Open quote"))</f>
        <v/>
      </c>
      <c r="M386" s="53" t="n"/>
      <c r="N386" s="14" t="n"/>
      <c r="O386" s="14" t="n"/>
    </row>
    <row r="387" ht="15" customHeight="1">
      <c r="A387" s="51">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52">
        <f>IF(C387="","",COUNTIFS(tbl_Finance[Job Number],C387&amp;"",tbl_Finance[Ex GST],"&lt;&gt;"))</f>
        <v/>
      </c>
      <c r="H387" s="17">
        <f>IF(C387="","",SUMIFS(tbl_Finance[Ex GST],tbl_Finance[Job Number],C387&amp;""))</f>
        <v/>
      </c>
      <c r="I387" s="15">
        <f>IF(C387="","",IFERROR(INDEX(tbl_Finance[Cost Centre],MATCH(C387&amp;"",tbl_Finance[Job Number],0)),"not invoiced yet"))</f>
        <v/>
      </c>
      <c r="J387" s="14" t="n"/>
      <c r="K387" s="14" t="n"/>
      <c r="L387" s="15">
        <f>IF(K387="","",HYPERLINK(IF(LEFT(K387,4)="http",K387,set_QwilrBase&amp;K387),"Open quote"))</f>
        <v/>
      </c>
      <c r="M387" s="53" t="n"/>
      <c r="N387" s="14" t="n"/>
      <c r="O387" s="14" t="n"/>
    </row>
    <row r="388" ht="15" customHeight="1">
      <c r="A388" s="51">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52">
        <f>IF(C388="","",COUNTIFS(tbl_Finance[Job Number],C388&amp;"",tbl_Finance[Ex GST],"&lt;&gt;"))</f>
        <v/>
      </c>
      <c r="H388" s="17">
        <f>IF(C388="","",SUMIFS(tbl_Finance[Ex GST],tbl_Finance[Job Number],C388&amp;""))</f>
        <v/>
      </c>
      <c r="I388" s="15">
        <f>IF(C388="","",IFERROR(INDEX(tbl_Finance[Cost Centre],MATCH(C388&amp;"",tbl_Finance[Job Number],0)),"not invoiced yet"))</f>
        <v/>
      </c>
      <c r="J388" s="14" t="n"/>
      <c r="K388" s="14" t="n"/>
      <c r="L388" s="15">
        <f>IF(K388="","",HYPERLINK(IF(LEFT(K388,4)="http",K388,set_QwilrBase&amp;K388),"Open quote"))</f>
        <v/>
      </c>
      <c r="M388" s="53" t="n"/>
      <c r="N388" s="14" t="n"/>
      <c r="O388" s="14" t="n"/>
    </row>
    <row r="389" ht="15" customHeight="1">
      <c r="A389" s="51">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52">
        <f>IF(C389="","",COUNTIFS(tbl_Finance[Job Number],C389&amp;"",tbl_Finance[Ex GST],"&lt;&gt;"))</f>
        <v/>
      </c>
      <c r="H389" s="17">
        <f>IF(C389="","",SUMIFS(tbl_Finance[Ex GST],tbl_Finance[Job Number],C389&amp;""))</f>
        <v/>
      </c>
      <c r="I389" s="15">
        <f>IF(C389="","",IFERROR(INDEX(tbl_Finance[Cost Centre],MATCH(C389&amp;"",tbl_Finance[Job Number],0)),"not invoiced yet"))</f>
        <v/>
      </c>
      <c r="J389" s="14" t="n"/>
      <c r="K389" s="14" t="n"/>
      <c r="L389" s="15">
        <f>IF(K389="","",HYPERLINK(IF(LEFT(K389,4)="http",K389,set_QwilrBase&amp;K389),"Open quote"))</f>
        <v/>
      </c>
      <c r="M389" s="53" t="n"/>
      <c r="N389" s="14" t="n"/>
      <c r="O389" s="14" t="n"/>
    </row>
    <row r="390" ht="15" customHeight="1">
      <c r="A390" s="51">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52">
        <f>IF(C390="","",COUNTIFS(tbl_Finance[Job Number],C390&amp;"",tbl_Finance[Ex GST],"&lt;&gt;"))</f>
        <v/>
      </c>
      <c r="H390" s="17">
        <f>IF(C390="","",SUMIFS(tbl_Finance[Ex GST],tbl_Finance[Job Number],C390&amp;""))</f>
        <v/>
      </c>
      <c r="I390" s="15">
        <f>IF(C390="","",IFERROR(INDEX(tbl_Finance[Cost Centre],MATCH(C390&amp;"",tbl_Finance[Job Number],0)),"not invoiced yet"))</f>
        <v/>
      </c>
      <c r="J390" s="14" t="n"/>
      <c r="K390" s="14" t="n"/>
      <c r="L390" s="15">
        <f>IF(K390="","",HYPERLINK(IF(LEFT(K390,4)="http",K390,set_QwilrBase&amp;K390),"Open quote"))</f>
        <v/>
      </c>
      <c r="M390" s="53" t="n"/>
      <c r="N390" s="14" t="n"/>
      <c r="O390" s="14" t="n"/>
    </row>
    <row r="391" ht="15" customHeight="1">
      <c r="A391" s="51">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52">
        <f>IF(C391="","",COUNTIFS(tbl_Finance[Job Number],C391&amp;"",tbl_Finance[Ex GST],"&lt;&gt;"))</f>
        <v/>
      </c>
      <c r="H391" s="17">
        <f>IF(C391="","",SUMIFS(tbl_Finance[Ex GST],tbl_Finance[Job Number],C391&amp;""))</f>
        <v/>
      </c>
      <c r="I391" s="15">
        <f>IF(C391="","",IFERROR(INDEX(tbl_Finance[Cost Centre],MATCH(C391&amp;"",tbl_Finance[Job Number],0)),"not invoiced yet"))</f>
        <v/>
      </c>
      <c r="J391" s="14" t="n"/>
      <c r="K391" s="14" t="n"/>
      <c r="L391" s="15">
        <f>IF(K391="","",HYPERLINK(IF(LEFT(K391,4)="http",K391,set_QwilrBase&amp;K391),"Open quote"))</f>
        <v/>
      </c>
      <c r="M391" s="53" t="n"/>
      <c r="N391" s="14" t="n"/>
      <c r="O391" s="14" t="n"/>
    </row>
    <row r="392" ht="15" customHeight="1">
      <c r="A392" s="51">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52">
        <f>IF(C392="","",COUNTIFS(tbl_Finance[Job Number],C392&amp;"",tbl_Finance[Ex GST],"&lt;&gt;"))</f>
        <v/>
      </c>
      <c r="H392" s="17">
        <f>IF(C392="","",SUMIFS(tbl_Finance[Ex GST],tbl_Finance[Job Number],C392&amp;""))</f>
        <v/>
      </c>
      <c r="I392" s="15">
        <f>IF(C392="","",IFERROR(INDEX(tbl_Finance[Cost Centre],MATCH(C392&amp;"",tbl_Finance[Job Number],0)),"not invoiced yet"))</f>
        <v/>
      </c>
      <c r="J392" s="14" t="n"/>
      <c r="K392" s="14" t="n"/>
      <c r="L392" s="15">
        <f>IF(K392="","",HYPERLINK(IF(LEFT(K392,4)="http",K392,set_QwilrBase&amp;K392),"Open quote"))</f>
        <v/>
      </c>
      <c r="M392" s="53" t="n"/>
      <c r="N392" s="14" t="n"/>
      <c r="O392" s="14" t="n"/>
    </row>
    <row r="393" ht="15" customHeight="1">
      <c r="A393" s="51">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52">
        <f>IF(C393="","",COUNTIFS(tbl_Finance[Job Number],C393&amp;"",tbl_Finance[Ex GST],"&lt;&gt;"))</f>
        <v/>
      </c>
      <c r="H393" s="17">
        <f>IF(C393="","",SUMIFS(tbl_Finance[Ex GST],tbl_Finance[Job Number],C393&amp;""))</f>
        <v/>
      </c>
      <c r="I393" s="15">
        <f>IF(C393="","",IFERROR(INDEX(tbl_Finance[Cost Centre],MATCH(C393&amp;"",tbl_Finance[Job Number],0)),"not invoiced yet"))</f>
        <v/>
      </c>
      <c r="J393" s="14" t="n"/>
      <c r="K393" s="14" t="n"/>
      <c r="L393" s="15">
        <f>IF(K393="","",HYPERLINK(IF(LEFT(K393,4)="http",K393,set_QwilrBase&amp;K393),"Open quote"))</f>
        <v/>
      </c>
      <c r="M393" s="53" t="n"/>
      <c r="N393" s="14" t="n"/>
      <c r="O393" s="14" t="n"/>
    </row>
    <row r="394" ht="15" customHeight="1">
      <c r="A394" s="51">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52">
        <f>IF(C394="","",COUNTIFS(tbl_Finance[Job Number],C394&amp;"",tbl_Finance[Ex GST],"&lt;&gt;"))</f>
        <v/>
      </c>
      <c r="H394" s="17">
        <f>IF(C394="","",SUMIFS(tbl_Finance[Ex GST],tbl_Finance[Job Number],C394&amp;""))</f>
        <v/>
      </c>
      <c r="I394" s="15">
        <f>IF(C394="","",IFERROR(INDEX(tbl_Finance[Cost Centre],MATCH(C394&amp;"",tbl_Finance[Job Number],0)),"not invoiced yet"))</f>
        <v/>
      </c>
      <c r="J394" s="14" t="n"/>
      <c r="K394" s="14" t="n"/>
      <c r="L394" s="15">
        <f>IF(K394="","",HYPERLINK(IF(LEFT(K394,4)="http",K394,set_QwilrBase&amp;K394),"Open quote"))</f>
        <v/>
      </c>
      <c r="M394" s="53" t="n"/>
      <c r="N394" s="14" t="n"/>
      <c r="O394" s="14" t="n"/>
    </row>
    <row r="395" ht="15" customHeight="1">
      <c r="A395" s="51">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52">
        <f>IF(C395="","",COUNTIFS(tbl_Finance[Job Number],C395&amp;"",tbl_Finance[Ex GST],"&lt;&gt;"))</f>
        <v/>
      </c>
      <c r="H395" s="17">
        <f>IF(C395="","",SUMIFS(tbl_Finance[Ex GST],tbl_Finance[Job Number],C395&amp;""))</f>
        <v/>
      </c>
      <c r="I395" s="15">
        <f>IF(C395="","",IFERROR(INDEX(tbl_Finance[Cost Centre],MATCH(C395&amp;"",tbl_Finance[Job Number],0)),"not invoiced yet"))</f>
        <v/>
      </c>
      <c r="J395" s="14" t="n"/>
      <c r="K395" s="14" t="n"/>
      <c r="L395" s="15">
        <f>IF(K395="","",HYPERLINK(IF(LEFT(K395,4)="http",K395,set_QwilrBase&amp;K395),"Open quote"))</f>
        <v/>
      </c>
      <c r="M395" s="53" t="n"/>
      <c r="N395" s="14" t="n"/>
      <c r="O395" s="14" t="n"/>
    </row>
    <row r="396" ht="15" customHeight="1">
      <c r="A396" s="51">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52">
        <f>IF(C396="","",COUNTIFS(tbl_Finance[Job Number],C396&amp;"",tbl_Finance[Ex GST],"&lt;&gt;"))</f>
        <v/>
      </c>
      <c r="H396" s="17">
        <f>IF(C396="","",SUMIFS(tbl_Finance[Ex GST],tbl_Finance[Job Number],C396&amp;""))</f>
        <v/>
      </c>
      <c r="I396" s="15">
        <f>IF(C396="","",IFERROR(INDEX(tbl_Finance[Cost Centre],MATCH(C396&amp;"",tbl_Finance[Job Number],0)),"not invoiced yet"))</f>
        <v/>
      </c>
      <c r="J396" s="14" t="n"/>
      <c r="K396" s="14" t="n"/>
      <c r="L396" s="15">
        <f>IF(K396="","",HYPERLINK(IF(LEFT(K396,4)="http",K396,set_QwilrBase&amp;K396),"Open quote"))</f>
        <v/>
      </c>
      <c r="M396" s="53" t="n"/>
      <c r="N396" s="14" t="n"/>
      <c r="O396" s="14" t="n"/>
    </row>
    <row r="397" ht="15" customHeight="1">
      <c r="A397" s="51">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52">
        <f>IF(C397="","",COUNTIFS(tbl_Finance[Job Number],C397&amp;"",tbl_Finance[Ex GST],"&lt;&gt;"))</f>
        <v/>
      </c>
      <c r="H397" s="17">
        <f>IF(C397="","",SUMIFS(tbl_Finance[Ex GST],tbl_Finance[Job Number],C397&amp;""))</f>
        <v/>
      </c>
      <c r="I397" s="15">
        <f>IF(C397="","",IFERROR(INDEX(tbl_Finance[Cost Centre],MATCH(C397&amp;"",tbl_Finance[Job Number],0)),"not invoiced yet"))</f>
        <v/>
      </c>
      <c r="J397" s="14" t="n"/>
      <c r="K397" s="14" t="n"/>
      <c r="L397" s="15">
        <f>IF(K397="","",HYPERLINK(IF(LEFT(K397,4)="http",K397,set_QwilrBase&amp;K397),"Open quote"))</f>
        <v/>
      </c>
      <c r="M397" s="53" t="n"/>
      <c r="N397" s="14" t="n"/>
      <c r="O397" s="14" t="n"/>
    </row>
    <row r="398" ht="15" customHeight="1">
      <c r="A398" s="51">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52">
        <f>IF(C398="","",COUNTIFS(tbl_Finance[Job Number],C398&amp;"",tbl_Finance[Ex GST],"&lt;&gt;"))</f>
        <v/>
      </c>
      <c r="H398" s="17">
        <f>IF(C398="","",SUMIFS(tbl_Finance[Ex GST],tbl_Finance[Job Number],C398&amp;""))</f>
        <v/>
      </c>
      <c r="I398" s="15">
        <f>IF(C398="","",IFERROR(INDEX(tbl_Finance[Cost Centre],MATCH(C398&amp;"",tbl_Finance[Job Number],0)),"not invoiced yet"))</f>
        <v/>
      </c>
      <c r="J398" s="14" t="n"/>
      <c r="K398" s="14" t="n"/>
      <c r="L398" s="15">
        <f>IF(K398="","",HYPERLINK(IF(LEFT(K398,4)="http",K398,set_QwilrBase&amp;K398),"Open quote"))</f>
        <v/>
      </c>
      <c r="M398" s="53" t="n"/>
      <c r="N398" s="14" t="n"/>
      <c r="O398" s="14" t="n"/>
    </row>
    <row r="399" ht="15" customHeight="1">
      <c r="A399" s="51">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52">
        <f>IF(C399="","",COUNTIFS(tbl_Finance[Job Number],C399&amp;"",tbl_Finance[Ex GST],"&lt;&gt;"))</f>
        <v/>
      </c>
      <c r="H399" s="17">
        <f>IF(C399="","",SUMIFS(tbl_Finance[Ex GST],tbl_Finance[Job Number],C399&amp;""))</f>
        <v/>
      </c>
      <c r="I399" s="15">
        <f>IF(C399="","",IFERROR(INDEX(tbl_Finance[Cost Centre],MATCH(C399&amp;"",tbl_Finance[Job Number],0)),"not invoiced yet"))</f>
        <v/>
      </c>
      <c r="J399" s="14" t="n"/>
      <c r="K399" s="14" t="n"/>
      <c r="L399" s="15">
        <f>IF(K399="","",HYPERLINK(IF(LEFT(K399,4)="http",K399,set_QwilrBase&amp;K399),"Open quote"))</f>
        <v/>
      </c>
      <c r="M399" s="53" t="n"/>
      <c r="N399" s="14" t="n"/>
      <c r="O399" s="14" t="n"/>
    </row>
    <row r="400" ht="15" customHeight="1">
      <c r="A400" s="51">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52">
        <f>IF(C400="","",COUNTIFS(tbl_Finance[Job Number],C400&amp;"",tbl_Finance[Ex GST],"&lt;&gt;"))</f>
        <v/>
      </c>
      <c r="H400" s="17">
        <f>IF(C400="","",SUMIFS(tbl_Finance[Ex GST],tbl_Finance[Job Number],C400&amp;""))</f>
        <v/>
      </c>
      <c r="I400" s="15">
        <f>IF(C400="","",IFERROR(INDEX(tbl_Finance[Cost Centre],MATCH(C400&amp;"",tbl_Finance[Job Number],0)),"not invoiced yet"))</f>
        <v/>
      </c>
      <c r="J400" s="14" t="n"/>
      <c r="K400" s="14" t="n"/>
      <c r="L400" s="15">
        <f>IF(K400="","",HYPERLINK(IF(LEFT(K400,4)="http",K400,set_QwilrBase&amp;K400),"Open quote"))</f>
        <v/>
      </c>
      <c r="M400" s="53" t="n"/>
      <c r="N400" s="14" t="n"/>
      <c r="O400" s="14" t="n"/>
    </row>
    <row r="401" ht="15" customHeight="1">
      <c r="A401" s="51">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52">
        <f>IF(C401="","",COUNTIFS(tbl_Finance[Job Number],C401&amp;"",tbl_Finance[Ex GST],"&lt;&gt;"))</f>
        <v/>
      </c>
      <c r="H401" s="17">
        <f>IF(C401="","",SUMIFS(tbl_Finance[Ex GST],tbl_Finance[Job Number],C401&amp;""))</f>
        <v/>
      </c>
      <c r="I401" s="15">
        <f>IF(C401="","",IFERROR(INDEX(tbl_Finance[Cost Centre],MATCH(C401&amp;"",tbl_Finance[Job Number],0)),"not invoiced yet"))</f>
        <v/>
      </c>
      <c r="J401" s="14" t="n"/>
      <c r="K401" s="14" t="n"/>
      <c r="L401" s="15">
        <f>IF(K401="","",HYPERLINK(IF(LEFT(K401,4)="http",K401,set_QwilrBase&amp;K401),"Open quote"))</f>
        <v/>
      </c>
      <c r="M401" s="53" t="n"/>
      <c r="N401" s="14" t="n"/>
      <c r="O401" s="14" t="n"/>
    </row>
    <row r="402" ht="15" customHeight="1">
      <c r="A402" s="51">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52">
        <f>IF(C402="","",COUNTIFS(tbl_Finance[Job Number],C402&amp;"",tbl_Finance[Ex GST],"&lt;&gt;"))</f>
        <v/>
      </c>
      <c r="H402" s="17">
        <f>IF(C402="","",SUMIFS(tbl_Finance[Ex GST],tbl_Finance[Job Number],C402&amp;""))</f>
        <v/>
      </c>
      <c r="I402" s="15">
        <f>IF(C402="","",IFERROR(INDEX(tbl_Finance[Cost Centre],MATCH(C402&amp;"",tbl_Finance[Job Number],0)),"not invoiced yet"))</f>
        <v/>
      </c>
      <c r="J402" s="14" t="n"/>
      <c r="K402" s="14" t="n"/>
      <c r="L402" s="15">
        <f>IF(K402="","",HYPERLINK(IF(LEFT(K402,4)="http",K402,set_QwilrBase&amp;K402),"Open quote"))</f>
        <v/>
      </c>
      <c r="M402" s="53" t="n"/>
      <c r="N402" s="14" t="n"/>
      <c r="O402" s="14" t="n"/>
    </row>
    <row r="403" ht="15" customHeight="1">
      <c r="A403" s="51">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52">
        <f>IF(C403="","",COUNTIFS(tbl_Finance[Job Number],C403&amp;"",tbl_Finance[Ex GST],"&lt;&gt;"))</f>
        <v/>
      </c>
      <c r="H403" s="17">
        <f>IF(C403="","",SUMIFS(tbl_Finance[Ex GST],tbl_Finance[Job Number],C403&amp;""))</f>
        <v/>
      </c>
      <c r="I403" s="15">
        <f>IF(C403="","",IFERROR(INDEX(tbl_Finance[Cost Centre],MATCH(C403&amp;"",tbl_Finance[Job Number],0)),"not invoiced yet"))</f>
        <v/>
      </c>
      <c r="J403" s="14" t="n"/>
      <c r="K403" s="14" t="n"/>
      <c r="L403" s="15">
        <f>IF(K403="","",HYPERLINK(IF(LEFT(K403,4)="http",K403,set_QwilrBase&amp;K403),"Open quote"))</f>
        <v/>
      </c>
      <c r="M403" s="53" t="n"/>
      <c r="N403" s="14" t="n"/>
      <c r="O403" s="14" t="n"/>
    </row>
    <row r="404" ht="15" customHeight="1">
      <c r="A404" s="51">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52">
        <f>IF(C404="","",COUNTIFS(tbl_Finance[Job Number],C404&amp;"",tbl_Finance[Ex GST],"&lt;&gt;"))</f>
        <v/>
      </c>
      <c r="H404" s="17">
        <f>IF(C404="","",SUMIFS(tbl_Finance[Ex GST],tbl_Finance[Job Number],C404&amp;""))</f>
        <v/>
      </c>
      <c r="I404" s="15">
        <f>IF(C404="","",IFERROR(INDEX(tbl_Finance[Cost Centre],MATCH(C404&amp;"",tbl_Finance[Job Number],0)),"not invoiced yet"))</f>
        <v/>
      </c>
      <c r="J404" s="14" t="n"/>
      <c r="K404" s="14" t="n"/>
      <c r="L404" s="15">
        <f>IF(K404="","",HYPERLINK(IF(LEFT(K404,4)="http",K404,set_QwilrBase&amp;K404),"Open quote"))</f>
        <v/>
      </c>
      <c r="M404" s="53" t="n"/>
      <c r="N404" s="14" t="n"/>
      <c r="O404" s="14" t="n"/>
    </row>
    <row r="405" ht="15" customHeight="1">
      <c r="A405" s="51">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52">
        <f>IF(C405="","",COUNTIFS(tbl_Finance[Job Number],C405&amp;"",tbl_Finance[Ex GST],"&lt;&gt;"))</f>
        <v/>
      </c>
      <c r="H405" s="17">
        <f>IF(C405="","",SUMIFS(tbl_Finance[Ex GST],tbl_Finance[Job Number],C405&amp;""))</f>
        <v/>
      </c>
      <c r="I405" s="15">
        <f>IF(C405="","",IFERROR(INDEX(tbl_Finance[Cost Centre],MATCH(C405&amp;"",tbl_Finance[Job Number],0)),"not invoiced yet"))</f>
        <v/>
      </c>
      <c r="J405" s="14" t="n"/>
      <c r="K405" s="14" t="n"/>
      <c r="L405" s="15">
        <f>IF(K405="","",HYPERLINK(IF(LEFT(K405,4)="http",K405,set_QwilrBase&amp;K405),"Open quote"))</f>
        <v/>
      </c>
      <c r="M405" s="53" t="n"/>
      <c r="N405" s="14" t="n"/>
      <c r="O405" s="14" t="n"/>
    </row>
    <row r="406" ht="15" customHeight="1">
      <c r="A406" s="51">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52">
        <f>IF(C406="","",COUNTIFS(tbl_Finance[Job Number],C406&amp;"",tbl_Finance[Ex GST],"&lt;&gt;"))</f>
        <v/>
      </c>
      <c r="H406" s="17">
        <f>IF(C406="","",SUMIFS(tbl_Finance[Ex GST],tbl_Finance[Job Number],C406&amp;""))</f>
        <v/>
      </c>
      <c r="I406" s="15">
        <f>IF(C406="","",IFERROR(INDEX(tbl_Finance[Cost Centre],MATCH(C406&amp;"",tbl_Finance[Job Number],0)),"not invoiced yet"))</f>
        <v/>
      </c>
      <c r="J406" s="14" t="n"/>
      <c r="K406" s="14" t="n"/>
      <c r="L406" s="15">
        <f>IF(K406="","",HYPERLINK(IF(LEFT(K406,4)="http",K406,set_QwilrBase&amp;K406),"Open quote"))</f>
        <v/>
      </c>
      <c r="M406" s="53" t="n"/>
      <c r="N406" s="14" t="n"/>
      <c r="O406" s="14" t="n"/>
    </row>
    <row r="407" ht="15" customHeight="1">
      <c r="A407" s="51">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52">
        <f>IF(C407="","",COUNTIFS(tbl_Finance[Job Number],C407&amp;"",tbl_Finance[Ex GST],"&lt;&gt;"))</f>
        <v/>
      </c>
      <c r="H407" s="17">
        <f>IF(C407="","",SUMIFS(tbl_Finance[Ex GST],tbl_Finance[Job Number],C407&amp;""))</f>
        <v/>
      </c>
      <c r="I407" s="15">
        <f>IF(C407="","",IFERROR(INDEX(tbl_Finance[Cost Centre],MATCH(C407&amp;"",tbl_Finance[Job Number],0)),"not invoiced yet"))</f>
        <v/>
      </c>
      <c r="J407" s="14" t="n"/>
      <c r="K407" s="14" t="n"/>
      <c r="L407" s="15">
        <f>IF(K407="","",HYPERLINK(IF(LEFT(K407,4)="http",K407,set_QwilrBase&amp;K407),"Open quote"))</f>
        <v/>
      </c>
      <c r="M407" s="53" t="n"/>
      <c r="N407" s="14" t="n"/>
      <c r="O407" s="14" t="n"/>
    </row>
    <row r="408" ht="15" customHeight="1">
      <c r="A408" s="51">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52">
        <f>IF(C408="","",COUNTIFS(tbl_Finance[Job Number],C408&amp;"",tbl_Finance[Ex GST],"&lt;&gt;"))</f>
        <v/>
      </c>
      <c r="H408" s="17">
        <f>IF(C408="","",SUMIFS(tbl_Finance[Ex GST],tbl_Finance[Job Number],C408&amp;""))</f>
        <v/>
      </c>
      <c r="I408" s="15">
        <f>IF(C408="","",IFERROR(INDEX(tbl_Finance[Cost Centre],MATCH(C408&amp;"",tbl_Finance[Job Number],0)),"not invoiced yet"))</f>
        <v/>
      </c>
      <c r="J408" s="14" t="n"/>
      <c r="K408" s="14" t="n"/>
      <c r="L408" s="15">
        <f>IF(K408="","",HYPERLINK(IF(LEFT(K408,4)="http",K408,set_QwilrBase&amp;K408),"Open quote"))</f>
        <v/>
      </c>
      <c r="M408" s="53" t="n"/>
      <c r="N408" s="14" t="n"/>
      <c r="O408" s="14" t="n"/>
    </row>
    <row r="409" ht="15" customHeight="1">
      <c r="A409" s="51">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52">
        <f>IF(C409="","",COUNTIFS(tbl_Finance[Job Number],C409&amp;"",tbl_Finance[Ex GST],"&lt;&gt;"))</f>
        <v/>
      </c>
      <c r="H409" s="17">
        <f>IF(C409="","",SUMIFS(tbl_Finance[Ex GST],tbl_Finance[Job Number],C409&amp;""))</f>
        <v/>
      </c>
      <c r="I409" s="15">
        <f>IF(C409="","",IFERROR(INDEX(tbl_Finance[Cost Centre],MATCH(C409&amp;"",tbl_Finance[Job Number],0)),"not invoiced yet"))</f>
        <v/>
      </c>
      <c r="J409" s="14" t="n"/>
      <c r="K409" s="14" t="n"/>
      <c r="L409" s="15">
        <f>IF(K409="","",HYPERLINK(IF(LEFT(K409,4)="http",K409,set_QwilrBase&amp;K409),"Open quote"))</f>
        <v/>
      </c>
      <c r="M409" s="53" t="n"/>
      <c r="N409" s="14" t="n"/>
      <c r="O409" s="14" t="n"/>
    </row>
    <row r="410" ht="15" customHeight="1">
      <c r="A410" s="51">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52">
        <f>IF(C410="","",COUNTIFS(tbl_Finance[Job Number],C410&amp;"",tbl_Finance[Ex GST],"&lt;&gt;"))</f>
        <v/>
      </c>
      <c r="H410" s="17">
        <f>IF(C410="","",SUMIFS(tbl_Finance[Ex GST],tbl_Finance[Job Number],C410&amp;""))</f>
        <v/>
      </c>
      <c r="I410" s="15">
        <f>IF(C410="","",IFERROR(INDEX(tbl_Finance[Cost Centre],MATCH(C410&amp;"",tbl_Finance[Job Number],0)),"not invoiced yet"))</f>
        <v/>
      </c>
      <c r="J410" s="14" t="n"/>
      <c r="K410" s="14" t="n"/>
      <c r="L410" s="15">
        <f>IF(K410="","",HYPERLINK(IF(LEFT(K410,4)="http",K410,set_QwilrBase&amp;K410),"Open quote"))</f>
        <v/>
      </c>
      <c r="M410" s="53" t="n"/>
      <c r="N410" s="14" t="n"/>
      <c r="O410" s="14" t="n"/>
    </row>
    <row r="411" ht="15" customHeight="1">
      <c r="A411" s="51">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52">
        <f>IF(C411="","",COUNTIFS(tbl_Finance[Job Number],C411&amp;"",tbl_Finance[Ex GST],"&lt;&gt;"))</f>
        <v/>
      </c>
      <c r="H411" s="17">
        <f>IF(C411="","",SUMIFS(tbl_Finance[Ex GST],tbl_Finance[Job Number],C411&amp;""))</f>
        <v/>
      </c>
      <c r="I411" s="15">
        <f>IF(C411="","",IFERROR(INDEX(tbl_Finance[Cost Centre],MATCH(C411&amp;"",tbl_Finance[Job Number],0)),"not invoiced yet"))</f>
        <v/>
      </c>
      <c r="J411" s="14" t="n"/>
      <c r="K411" s="14" t="n"/>
      <c r="L411" s="15">
        <f>IF(K411="","",HYPERLINK(IF(LEFT(K411,4)="http",K411,set_QwilrBase&amp;K411),"Open quote"))</f>
        <v/>
      </c>
      <c r="M411" s="53" t="n"/>
      <c r="N411" s="14" t="n"/>
      <c r="O411" s="14" t="n"/>
    </row>
    <row r="412" ht="15" customHeight="1">
      <c r="A412" s="51">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52">
        <f>IF(C412="","",COUNTIFS(tbl_Finance[Job Number],C412&amp;"",tbl_Finance[Ex GST],"&lt;&gt;"))</f>
        <v/>
      </c>
      <c r="H412" s="17">
        <f>IF(C412="","",SUMIFS(tbl_Finance[Ex GST],tbl_Finance[Job Number],C412&amp;""))</f>
        <v/>
      </c>
      <c r="I412" s="15">
        <f>IF(C412="","",IFERROR(INDEX(tbl_Finance[Cost Centre],MATCH(C412&amp;"",tbl_Finance[Job Number],0)),"not invoiced yet"))</f>
        <v/>
      </c>
      <c r="J412" s="14" t="n"/>
      <c r="K412" s="14" t="n"/>
      <c r="L412" s="15">
        <f>IF(K412="","",HYPERLINK(IF(LEFT(K412,4)="http",K412,set_QwilrBase&amp;K412),"Open quote"))</f>
        <v/>
      </c>
      <c r="M412" s="53" t="n"/>
      <c r="N412" s="14" t="n"/>
      <c r="O412" s="14" t="n"/>
    </row>
    <row r="413" ht="15" customHeight="1">
      <c r="A413" s="51">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52">
        <f>IF(C413="","",COUNTIFS(tbl_Finance[Job Number],C413&amp;"",tbl_Finance[Ex GST],"&lt;&gt;"))</f>
        <v/>
      </c>
      <c r="H413" s="17">
        <f>IF(C413="","",SUMIFS(tbl_Finance[Ex GST],tbl_Finance[Job Number],C413&amp;""))</f>
        <v/>
      </c>
      <c r="I413" s="15">
        <f>IF(C413="","",IFERROR(INDEX(tbl_Finance[Cost Centre],MATCH(C413&amp;"",tbl_Finance[Job Number],0)),"not invoiced yet"))</f>
        <v/>
      </c>
      <c r="J413" s="14" t="n"/>
      <c r="K413" s="14" t="n"/>
      <c r="L413" s="15">
        <f>IF(K413="","",HYPERLINK(IF(LEFT(K413,4)="http",K413,set_QwilrBase&amp;K413),"Open quote"))</f>
        <v/>
      </c>
      <c r="M413" s="53" t="n"/>
      <c r="N413" s="14" t="n"/>
      <c r="O413" s="14" t="n"/>
    </row>
    <row r="414" ht="15" customHeight="1">
      <c r="A414" s="51">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52">
        <f>IF(C414="","",COUNTIFS(tbl_Finance[Job Number],C414&amp;"",tbl_Finance[Ex GST],"&lt;&gt;"))</f>
        <v/>
      </c>
      <c r="H414" s="17">
        <f>IF(C414="","",SUMIFS(tbl_Finance[Ex GST],tbl_Finance[Job Number],C414&amp;""))</f>
        <v/>
      </c>
      <c r="I414" s="15">
        <f>IF(C414="","",IFERROR(INDEX(tbl_Finance[Cost Centre],MATCH(C414&amp;"",tbl_Finance[Job Number],0)),"not invoiced yet"))</f>
        <v/>
      </c>
      <c r="J414" s="14" t="n"/>
      <c r="K414" s="14" t="n"/>
      <c r="L414" s="15">
        <f>IF(K414="","",HYPERLINK(IF(LEFT(K414,4)="http",K414,set_QwilrBase&amp;K414),"Open quote"))</f>
        <v/>
      </c>
      <c r="M414" s="53" t="n"/>
      <c r="N414" s="14" t="n"/>
      <c r="O414" s="14" t="n"/>
    </row>
    <row r="415" ht="15" customHeight="1">
      <c r="A415" s="51">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52">
        <f>IF(C415="","",COUNTIFS(tbl_Finance[Job Number],C415&amp;"",tbl_Finance[Ex GST],"&lt;&gt;"))</f>
        <v/>
      </c>
      <c r="H415" s="17">
        <f>IF(C415="","",SUMIFS(tbl_Finance[Ex GST],tbl_Finance[Job Number],C415&amp;""))</f>
        <v/>
      </c>
      <c r="I415" s="15">
        <f>IF(C415="","",IFERROR(INDEX(tbl_Finance[Cost Centre],MATCH(C415&amp;"",tbl_Finance[Job Number],0)),"not invoiced yet"))</f>
        <v/>
      </c>
      <c r="J415" s="14" t="n"/>
      <c r="K415" s="14" t="n"/>
      <c r="L415" s="15">
        <f>IF(K415="","",HYPERLINK(IF(LEFT(K415,4)="http",K415,set_QwilrBase&amp;K415),"Open quote"))</f>
        <v/>
      </c>
      <c r="M415" s="53" t="n"/>
      <c r="N415" s="14" t="n"/>
      <c r="O415" s="14" t="n"/>
    </row>
    <row r="416" ht="15" customHeight="1">
      <c r="A416" s="51">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52">
        <f>IF(C416="","",COUNTIFS(tbl_Finance[Job Number],C416&amp;"",tbl_Finance[Ex GST],"&lt;&gt;"))</f>
        <v/>
      </c>
      <c r="H416" s="17">
        <f>IF(C416="","",SUMIFS(tbl_Finance[Ex GST],tbl_Finance[Job Number],C416&amp;""))</f>
        <v/>
      </c>
      <c r="I416" s="15">
        <f>IF(C416="","",IFERROR(INDEX(tbl_Finance[Cost Centre],MATCH(C416&amp;"",tbl_Finance[Job Number],0)),"not invoiced yet"))</f>
        <v/>
      </c>
      <c r="J416" s="14" t="n"/>
      <c r="K416" s="14" t="n"/>
      <c r="L416" s="15">
        <f>IF(K416="","",HYPERLINK(IF(LEFT(K416,4)="http",K416,set_QwilrBase&amp;K416),"Open quote"))</f>
        <v/>
      </c>
      <c r="M416" s="53" t="n"/>
      <c r="N416" s="14" t="n"/>
      <c r="O416" s="14" t="n"/>
    </row>
    <row r="417" ht="15" customHeight="1">
      <c r="A417" s="51">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52">
        <f>IF(C417="","",COUNTIFS(tbl_Finance[Job Number],C417&amp;"",tbl_Finance[Ex GST],"&lt;&gt;"))</f>
        <v/>
      </c>
      <c r="H417" s="17">
        <f>IF(C417="","",SUMIFS(tbl_Finance[Ex GST],tbl_Finance[Job Number],C417&amp;""))</f>
        <v/>
      </c>
      <c r="I417" s="15">
        <f>IF(C417="","",IFERROR(INDEX(tbl_Finance[Cost Centre],MATCH(C417&amp;"",tbl_Finance[Job Number],0)),"not invoiced yet"))</f>
        <v/>
      </c>
      <c r="J417" s="14" t="n"/>
      <c r="K417" s="14" t="n"/>
      <c r="L417" s="15">
        <f>IF(K417="","",HYPERLINK(IF(LEFT(K417,4)="http",K417,set_QwilrBase&amp;K417),"Open quote"))</f>
        <v/>
      </c>
      <c r="M417" s="53" t="n"/>
      <c r="N417" s="14" t="n"/>
      <c r="O417" s="14" t="n"/>
    </row>
    <row r="418" ht="15" customHeight="1">
      <c r="A418" s="51">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52">
        <f>IF(C418="","",COUNTIFS(tbl_Finance[Job Number],C418&amp;"",tbl_Finance[Ex GST],"&lt;&gt;"))</f>
        <v/>
      </c>
      <c r="H418" s="17">
        <f>IF(C418="","",SUMIFS(tbl_Finance[Ex GST],tbl_Finance[Job Number],C418&amp;""))</f>
        <v/>
      </c>
      <c r="I418" s="15">
        <f>IF(C418="","",IFERROR(INDEX(tbl_Finance[Cost Centre],MATCH(C418&amp;"",tbl_Finance[Job Number],0)),"not invoiced yet"))</f>
        <v/>
      </c>
      <c r="J418" s="14" t="n"/>
      <c r="K418" s="14" t="n"/>
      <c r="L418" s="15">
        <f>IF(K418="","",HYPERLINK(IF(LEFT(K418,4)="http",K418,set_QwilrBase&amp;K418),"Open quote"))</f>
        <v/>
      </c>
      <c r="M418" s="53" t="n"/>
      <c r="N418" s="14" t="n"/>
      <c r="O418" s="14" t="n"/>
    </row>
    <row r="419" ht="15" customHeight="1">
      <c r="A419" s="51">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52">
        <f>IF(C419="","",COUNTIFS(tbl_Finance[Job Number],C419&amp;"",tbl_Finance[Ex GST],"&lt;&gt;"))</f>
        <v/>
      </c>
      <c r="H419" s="17">
        <f>IF(C419="","",SUMIFS(tbl_Finance[Ex GST],tbl_Finance[Job Number],C419&amp;""))</f>
        <v/>
      </c>
      <c r="I419" s="15">
        <f>IF(C419="","",IFERROR(INDEX(tbl_Finance[Cost Centre],MATCH(C419&amp;"",tbl_Finance[Job Number],0)),"not invoiced yet"))</f>
        <v/>
      </c>
      <c r="J419" s="14" t="n"/>
      <c r="K419" s="14" t="n"/>
      <c r="L419" s="15">
        <f>IF(K419="","",HYPERLINK(IF(LEFT(K419,4)="http",K419,set_QwilrBase&amp;K419),"Open quote"))</f>
        <v/>
      </c>
      <c r="M419" s="53" t="n"/>
      <c r="N419" s="14" t="n"/>
      <c r="O419" s="14" t="n"/>
    </row>
    <row r="420" ht="15" customHeight="1">
      <c r="A420" s="51">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52">
        <f>IF(C420="","",COUNTIFS(tbl_Finance[Job Number],C420&amp;"",tbl_Finance[Ex GST],"&lt;&gt;"))</f>
        <v/>
      </c>
      <c r="H420" s="17">
        <f>IF(C420="","",SUMIFS(tbl_Finance[Ex GST],tbl_Finance[Job Number],C420&amp;""))</f>
        <v/>
      </c>
      <c r="I420" s="15">
        <f>IF(C420="","",IFERROR(INDEX(tbl_Finance[Cost Centre],MATCH(C420&amp;"",tbl_Finance[Job Number],0)),"not invoiced yet"))</f>
        <v/>
      </c>
      <c r="J420" s="14" t="n"/>
      <c r="K420" s="14" t="n"/>
      <c r="L420" s="15">
        <f>IF(K420="","",HYPERLINK(IF(LEFT(K420,4)="http",K420,set_QwilrBase&amp;K420),"Open quote"))</f>
        <v/>
      </c>
      <c r="M420" s="53" t="n"/>
      <c r="N420" s="14" t="n"/>
      <c r="O420" s="14" t="n"/>
    </row>
    <row r="421" ht="15" customHeight="1">
      <c r="A421" s="51">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52">
        <f>IF(C421="","",COUNTIFS(tbl_Finance[Job Number],C421&amp;"",tbl_Finance[Ex GST],"&lt;&gt;"))</f>
        <v/>
      </c>
      <c r="H421" s="17">
        <f>IF(C421="","",SUMIFS(tbl_Finance[Ex GST],tbl_Finance[Job Number],C421&amp;""))</f>
        <v/>
      </c>
      <c r="I421" s="15">
        <f>IF(C421="","",IFERROR(INDEX(tbl_Finance[Cost Centre],MATCH(C421&amp;"",tbl_Finance[Job Number],0)),"not invoiced yet"))</f>
        <v/>
      </c>
      <c r="J421" s="14" t="n"/>
      <c r="K421" s="14" t="n"/>
      <c r="L421" s="15">
        <f>IF(K421="","",HYPERLINK(IF(LEFT(K421,4)="http",K421,set_QwilrBase&amp;K421),"Open quote"))</f>
        <v/>
      </c>
      <c r="M421" s="53" t="n"/>
      <c r="N421" s="14" t="n"/>
      <c r="O421" s="14" t="n"/>
    </row>
    <row r="422" ht="15" customHeight="1">
      <c r="A422" s="51">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52">
        <f>IF(C422="","",COUNTIFS(tbl_Finance[Job Number],C422&amp;"",tbl_Finance[Ex GST],"&lt;&gt;"))</f>
        <v/>
      </c>
      <c r="H422" s="17">
        <f>IF(C422="","",SUMIFS(tbl_Finance[Ex GST],tbl_Finance[Job Number],C422&amp;""))</f>
        <v/>
      </c>
      <c r="I422" s="15">
        <f>IF(C422="","",IFERROR(INDEX(tbl_Finance[Cost Centre],MATCH(C422&amp;"",tbl_Finance[Job Number],0)),"not invoiced yet"))</f>
        <v/>
      </c>
      <c r="J422" s="14" t="n"/>
      <c r="K422" s="14" t="n"/>
      <c r="L422" s="15">
        <f>IF(K422="","",HYPERLINK(IF(LEFT(K422,4)="http",K422,set_QwilrBase&amp;K422),"Open quote"))</f>
        <v/>
      </c>
      <c r="M422" s="53" t="n"/>
      <c r="N422" s="14" t="n"/>
      <c r="O422" s="14" t="n"/>
    </row>
    <row r="423" ht="15" customHeight="1">
      <c r="A423" s="51">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52">
        <f>IF(C423="","",COUNTIFS(tbl_Finance[Job Number],C423&amp;"",tbl_Finance[Ex GST],"&lt;&gt;"))</f>
        <v/>
      </c>
      <c r="H423" s="17">
        <f>IF(C423="","",SUMIFS(tbl_Finance[Ex GST],tbl_Finance[Job Number],C423&amp;""))</f>
        <v/>
      </c>
      <c r="I423" s="15">
        <f>IF(C423="","",IFERROR(INDEX(tbl_Finance[Cost Centre],MATCH(C423&amp;"",tbl_Finance[Job Number],0)),"not invoiced yet"))</f>
        <v/>
      </c>
      <c r="J423" s="14" t="n"/>
      <c r="K423" s="14" t="n"/>
      <c r="L423" s="15">
        <f>IF(K423="","",HYPERLINK(IF(LEFT(K423,4)="http",K423,set_QwilrBase&amp;K423),"Open quote"))</f>
        <v/>
      </c>
      <c r="M423" s="53" t="n"/>
      <c r="N423" s="14" t="n"/>
      <c r="O423" s="14" t="n"/>
    </row>
    <row r="424" ht="15" customHeight="1">
      <c r="A424" s="51">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52">
        <f>IF(C424="","",COUNTIFS(tbl_Finance[Job Number],C424&amp;"",tbl_Finance[Ex GST],"&lt;&gt;"))</f>
        <v/>
      </c>
      <c r="H424" s="17">
        <f>IF(C424="","",SUMIFS(tbl_Finance[Ex GST],tbl_Finance[Job Number],C424&amp;""))</f>
        <v/>
      </c>
      <c r="I424" s="15">
        <f>IF(C424="","",IFERROR(INDEX(tbl_Finance[Cost Centre],MATCH(C424&amp;"",tbl_Finance[Job Number],0)),"not invoiced yet"))</f>
        <v/>
      </c>
      <c r="J424" s="14" t="n"/>
      <c r="K424" s="14" t="n"/>
      <c r="L424" s="15">
        <f>IF(K424="","",HYPERLINK(IF(LEFT(K424,4)="http",K424,set_QwilrBase&amp;K424),"Open quote"))</f>
        <v/>
      </c>
      <c r="M424" s="53" t="n"/>
      <c r="N424" s="14" t="n"/>
      <c r="O424" s="14" t="n"/>
    </row>
    <row r="425" ht="15" customHeight="1">
      <c r="A425" s="51">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52">
        <f>IF(C425="","",COUNTIFS(tbl_Finance[Job Number],C425&amp;"",tbl_Finance[Ex GST],"&lt;&gt;"))</f>
        <v/>
      </c>
      <c r="H425" s="17">
        <f>IF(C425="","",SUMIFS(tbl_Finance[Ex GST],tbl_Finance[Job Number],C425&amp;""))</f>
        <v/>
      </c>
      <c r="I425" s="15">
        <f>IF(C425="","",IFERROR(INDEX(tbl_Finance[Cost Centre],MATCH(C425&amp;"",tbl_Finance[Job Number],0)),"not invoiced yet"))</f>
        <v/>
      </c>
      <c r="J425" s="14" t="n"/>
      <c r="K425" s="14" t="n"/>
      <c r="L425" s="15">
        <f>IF(K425="","",HYPERLINK(IF(LEFT(K425,4)="http",K425,set_QwilrBase&amp;K425),"Open quote"))</f>
        <v/>
      </c>
      <c r="M425" s="53" t="n"/>
      <c r="N425" s="14" t="n"/>
      <c r="O425" s="14" t="n"/>
    </row>
    <row r="426" ht="15" customHeight="1">
      <c r="A426" s="51">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52">
        <f>IF(C426="","",COUNTIFS(tbl_Finance[Job Number],C426&amp;"",tbl_Finance[Ex GST],"&lt;&gt;"))</f>
        <v/>
      </c>
      <c r="H426" s="17">
        <f>IF(C426="","",SUMIFS(tbl_Finance[Ex GST],tbl_Finance[Job Number],C426&amp;""))</f>
        <v/>
      </c>
      <c r="I426" s="15">
        <f>IF(C426="","",IFERROR(INDEX(tbl_Finance[Cost Centre],MATCH(C426&amp;"",tbl_Finance[Job Number],0)),"not invoiced yet"))</f>
        <v/>
      </c>
      <c r="J426" s="14" t="n"/>
      <c r="K426" s="14" t="n"/>
      <c r="L426" s="15">
        <f>IF(K426="","",HYPERLINK(IF(LEFT(K426,4)="http",K426,set_QwilrBase&amp;K426),"Open quote"))</f>
        <v/>
      </c>
      <c r="M426" s="53" t="n"/>
      <c r="N426" s="14" t="n"/>
      <c r="O426" s="14" t="n"/>
    </row>
    <row r="427" ht="15" customHeight="1">
      <c r="A427" s="51">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52">
        <f>IF(C427="","",COUNTIFS(tbl_Finance[Job Number],C427&amp;"",tbl_Finance[Ex GST],"&lt;&gt;"))</f>
        <v/>
      </c>
      <c r="H427" s="17">
        <f>IF(C427="","",SUMIFS(tbl_Finance[Ex GST],tbl_Finance[Job Number],C427&amp;""))</f>
        <v/>
      </c>
      <c r="I427" s="15">
        <f>IF(C427="","",IFERROR(INDEX(tbl_Finance[Cost Centre],MATCH(C427&amp;"",tbl_Finance[Job Number],0)),"not invoiced yet"))</f>
        <v/>
      </c>
      <c r="J427" s="14" t="n"/>
      <c r="K427" s="14" t="n"/>
      <c r="L427" s="15">
        <f>IF(K427="","",HYPERLINK(IF(LEFT(K427,4)="http",K427,set_QwilrBase&amp;K427),"Open quote"))</f>
        <v/>
      </c>
      <c r="M427" s="53" t="n"/>
      <c r="N427" s="14" t="n"/>
      <c r="O427" s="14" t="n"/>
    </row>
    <row r="428" ht="15" customHeight="1">
      <c r="A428" s="51">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52">
        <f>IF(C428="","",COUNTIFS(tbl_Finance[Job Number],C428&amp;"",tbl_Finance[Ex GST],"&lt;&gt;"))</f>
        <v/>
      </c>
      <c r="H428" s="17">
        <f>IF(C428="","",SUMIFS(tbl_Finance[Ex GST],tbl_Finance[Job Number],C428&amp;""))</f>
        <v/>
      </c>
      <c r="I428" s="15">
        <f>IF(C428="","",IFERROR(INDEX(tbl_Finance[Cost Centre],MATCH(C428&amp;"",tbl_Finance[Job Number],0)),"not invoiced yet"))</f>
        <v/>
      </c>
      <c r="J428" s="14" t="n"/>
      <c r="K428" s="14" t="n"/>
      <c r="L428" s="15">
        <f>IF(K428="","",HYPERLINK(IF(LEFT(K428,4)="http",K428,set_QwilrBase&amp;K428),"Open quote"))</f>
        <v/>
      </c>
      <c r="M428" s="53" t="n"/>
      <c r="N428" s="14" t="n"/>
      <c r="O428" s="14" t="n"/>
    </row>
    <row r="429" ht="15" customHeight="1">
      <c r="A429" s="51">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52">
        <f>IF(C429="","",COUNTIFS(tbl_Finance[Job Number],C429&amp;"",tbl_Finance[Ex GST],"&lt;&gt;"))</f>
        <v/>
      </c>
      <c r="H429" s="17">
        <f>IF(C429="","",SUMIFS(tbl_Finance[Ex GST],tbl_Finance[Job Number],C429&amp;""))</f>
        <v/>
      </c>
      <c r="I429" s="15">
        <f>IF(C429="","",IFERROR(INDEX(tbl_Finance[Cost Centre],MATCH(C429&amp;"",tbl_Finance[Job Number],0)),"not invoiced yet"))</f>
        <v/>
      </c>
      <c r="J429" s="14" t="n"/>
      <c r="K429" s="14" t="n"/>
      <c r="L429" s="15">
        <f>IF(K429="","",HYPERLINK(IF(LEFT(K429,4)="http",K429,set_QwilrBase&amp;K429),"Open quote"))</f>
        <v/>
      </c>
      <c r="M429" s="53" t="n"/>
      <c r="N429" s="14" t="n"/>
      <c r="O429" s="14" t="n"/>
    </row>
    <row r="430" ht="15" customHeight="1">
      <c r="A430" s="51">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52">
        <f>IF(C430="","",COUNTIFS(tbl_Finance[Job Number],C430&amp;"",tbl_Finance[Ex GST],"&lt;&gt;"))</f>
        <v/>
      </c>
      <c r="H430" s="17">
        <f>IF(C430="","",SUMIFS(tbl_Finance[Ex GST],tbl_Finance[Job Number],C430&amp;""))</f>
        <v/>
      </c>
      <c r="I430" s="15">
        <f>IF(C430="","",IFERROR(INDEX(tbl_Finance[Cost Centre],MATCH(C430&amp;"",tbl_Finance[Job Number],0)),"not invoiced yet"))</f>
        <v/>
      </c>
      <c r="J430" s="14" t="n"/>
      <c r="K430" s="14" t="n"/>
      <c r="L430" s="15">
        <f>IF(K430="","",HYPERLINK(IF(LEFT(K430,4)="http",K430,set_QwilrBase&amp;K430),"Open quote"))</f>
        <v/>
      </c>
      <c r="M430" s="53" t="n"/>
      <c r="N430" s="14" t="n"/>
      <c r="O430" s="14" t="n"/>
    </row>
    <row r="431" ht="15" customHeight="1">
      <c r="A431" s="51">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52">
        <f>IF(C431="","",COUNTIFS(tbl_Finance[Job Number],C431&amp;"",tbl_Finance[Ex GST],"&lt;&gt;"))</f>
        <v/>
      </c>
      <c r="H431" s="17">
        <f>IF(C431="","",SUMIFS(tbl_Finance[Ex GST],tbl_Finance[Job Number],C431&amp;""))</f>
        <v/>
      </c>
      <c r="I431" s="15">
        <f>IF(C431="","",IFERROR(INDEX(tbl_Finance[Cost Centre],MATCH(C431&amp;"",tbl_Finance[Job Number],0)),"not invoiced yet"))</f>
        <v/>
      </c>
      <c r="J431" s="14" t="n"/>
      <c r="K431" s="14" t="n"/>
      <c r="L431" s="15">
        <f>IF(K431="","",HYPERLINK(IF(LEFT(K431,4)="http",K431,set_QwilrBase&amp;K431),"Open quote"))</f>
        <v/>
      </c>
      <c r="M431" s="53" t="n"/>
      <c r="N431" s="14" t="n"/>
      <c r="O431"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B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12" customWidth="1" min="10" max="10"/>
    <col width="14" customWidth="1" min="11" max="11"/>
    <col width="18" customWidth="1" min="12" max="12"/>
    <col width="14" customWidth="1" min="13" max="13"/>
    <col width="11" customWidth="1" min="14" max="14"/>
    <col width="16" customWidth="1" min="15" max="15"/>
    <col width="20" customWidth="1" min="16" max="16"/>
    <col width="11" customWidth="1" min="17" max="17"/>
    <col width="17" customWidth="1" min="18" max="18"/>
    <col width="22" customWidth="1" min="19" max="19"/>
    <col width="14" customWidth="1" min="20" max="20"/>
    <col width="14" customWidth="1" min="21" max="21"/>
    <col width="10" customWidth="1" min="22" max="22"/>
    <col width="15" customWidth="1" min="23" max="23"/>
    <col width="15" customWidth="1" min="24" max="24"/>
    <col width="15" customWidth="1" min="25" max="25"/>
    <col width="19" customWidth="1" min="26" max="26"/>
    <col width="18" customWidth="1" min="27" max="27"/>
    <col width="38" customWidth="1" min="28" max="28"/>
  </cols>
  <sheetData>
    <row r="1" ht="24" customHeight="1">
      <c r="A1" s="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9">
        <f>"Revenue Ex GST  "&amp;TEXT(SUBTOTAL(109,tbl_Production[Revenue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Event Date</t>
        </is>
      </c>
      <c r="K4" s="10" t="inlineStr">
        <is>
          <t>Current RMS No</t>
        </is>
      </c>
      <c r="L4" s="11" t="inlineStr">
        <is>
          <t>Open in Current RMS</t>
        </is>
      </c>
      <c r="M4" s="11" t="inlineStr">
        <is>
          <t>Zoho Number</t>
        </is>
      </c>
      <c r="N4" s="10" t="inlineStr">
        <is>
          <t>Job Closed</t>
        </is>
      </c>
      <c r="O4" s="10" t="inlineStr">
        <is>
          <t>Discounts Given</t>
        </is>
      </c>
      <c r="P4" s="11" t="inlineStr">
        <is>
          <t>Value Before Discount</t>
        </is>
      </c>
      <c r="Q4" s="11" t="inlineStr">
        <is>
          <t>Discount %</t>
        </is>
      </c>
      <c r="R4" s="10" t="inlineStr">
        <is>
          <t>Cross Hire Expense</t>
        </is>
      </c>
      <c r="S4" s="10" t="inlineStr">
        <is>
          <t>Labour Expense (Internal)</t>
        </is>
      </c>
      <c r="T4" s="11" t="inlineStr">
        <is>
          <t>Total Expense</t>
        </is>
      </c>
      <c r="U4" s="11" t="inlineStr">
        <is>
          <t>Margin</t>
        </is>
      </c>
      <c r="V4" s="11" t="inlineStr">
        <is>
          <t>Margin %</t>
        </is>
      </c>
      <c r="W4" s="10" t="inlineStr">
        <is>
          <t>Video Filming Hrs</t>
        </is>
      </c>
      <c r="X4" s="10" t="inlineStr">
        <is>
          <t>Video Editing Hrs</t>
        </is>
      </c>
      <c r="Y4" s="10" t="inlineStr">
        <is>
          <t>Project Mgmt Hrs</t>
        </is>
      </c>
      <c r="Z4" s="10" t="inlineStr">
        <is>
          <t>Video Project Mgmt Hrs</t>
        </is>
      </c>
      <c r="AA4" s="10" t="inlineStr">
        <is>
          <t>Production Labour Hrs</t>
        </is>
      </c>
      <c r="AB4" s="10" t="inlineStr">
        <is>
          <t>Notes</t>
        </is>
      </c>
    </row>
    <row r="5" ht="15" customHeight="1">
      <c r="A5" s="51">
        <f>IF(C5="","",IFERROR(IF(SUMPRODUCT(MAX((tbl_Finance[Job Number]=C5&amp;"")*tbl_Finance[Date]))=0,"",SUMPRODUCT(MAX((tbl_Finance[Job Number]=C5&amp;"")*tbl_Finance[Date]))),""))</f>
        <v/>
      </c>
      <c r="B5" s="15">
        <f>IF(A5="","",IFERROR(LOOKUP(2,1/((tbl_Finance[Job Number]=C5&amp;"")*(tbl_Finance[Date]=A5)),tbl_Finance[Xero Invoice No]),""))</f>
        <v/>
      </c>
      <c r="C5" s="14" t="inlineStr">
        <is>
          <t>2602309</t>
        </is>
      </c>
      <c r="D5" s="15">
        <f>IF(C5="","",IF(COUNTIF(lst_Jobs,C5&amp;"")&gt;0,"OK","CHECK"))</f>
        <v/>
      </c>
      <c r="E5" s="15">
        <f>IF(C5="","",IFERROR(INDEX(lst_JobName,MATCH(C5&amp;"",lst_Jobs,0)),""))</f>
        <v/>
      </c>
      <c r="F5" s="15">
        <f>IF(C5="","",IFERROR(INDEX(tbl_Finance[Client],MATCH(C5&amp;"",tbl_Finance[Job Number],0)),""))</f>
        <v/>
      </c>
      <c r="G5" s="52">
        <f>IF(C5="","",COUNTIFS(tbl_Finance[Job Number],C5&amp;"",tbl_Finance[Ex GST],"&lt;&gt;"))</f>
        <v/>
      </c>
      <c r="H5" s="17">
        <f>IF(C5="","",SUMIFS(tbl_Finance[Ex GST],tbl_Finance[Job Number],C5&amp;""))</f>
        <v/>
      </c>
      <c r="I5" s="15">
        <f>IF(C5="","",IFERROR(INDEX(tbl_Finance[Cost Centre],MATCH(C5&amp;"",tbl_Finance[Job Number],0)),"not invoiced yet"))</f>
        <v/>
      </c>
      <c r="J5" s="12" t="inlineStr">
        <is>
          <t>7/1/2026</t>
        </is>
      </c>
      <c r="K5" s="14" t="inlineStr">
        <is>
          <t>5879</t>
        </is>
      </c>
      <c r="L5" s="15">
        <f>IF(OR(K5="",set_RMSBase=""),"",HYPERLINK(set_RMSBase&amp;K5,"Open "&amp;K5))</f>
        <v/>
      </c>
      <c r="M5" s="15">
        <f>IF(C5="","",C5)</f>
        <v/>
      </c>
      <c r="N5" s="14" t="inlineStr">
        <is>
          <t>Y</t>
        </is>
      </c>
      <c r="O5" s="16" t="n"/>
      <c r="P5" s="17">
        <f>IF(C5="","",H5+N(O5))</f>
        <v/>
      </c>
      <c r="Q5" s="54">
        <f>IFERROR(O5/P5,"")</f>
        <v/>
      </c>
      <c r="R5" s="16" t="n"/>
      <c r="S5" s="16" t="n">
        <v>229.56</v>
      </c>
      <c r="T5" s="17">
        <f>IF(C5="","",N(R5)+N(S5))</f>
        <v/>
      </c>
      <c r="U5" s="17">
        <f>IF(C5="","",H5-T5)</f>
        <v/>
      </c>
      <c r="V5" s="54">
        <f>IFERROR(U5/H5,"")</f>
        <v/>
      </c>
      <c r="W5" s="53" t="n"/>
      <c r="X5" s="53" t="n"/>
      <c r="Y5" s="53" t="n"/>
      <c r="Z5" s="53" t="n"/>
      <c r="AA5" s="53" t="n">
        <v>4</v>
      </c>
      <c r="AB5" s="14" t="n"/>
    </row>
    <row r="6" ht="15" customHeight="1">
      <c r="A6" s="51">
        <f>IF(C6="","",IFERROR(IF(SUMPRODUCT(MAX((tbl_Finance[Job Number]=C6&amp;"")*tbl_Finance[Date]))=0,"",SUMPRODUCT(MAX((tbl_Finance[Job Number]=C6&amp;"")*tbl_Finance[Date]))),""))</f>
        <v/>
      </c>
      <c r="B6" s="15">
        <f>IF(A6="","",IFERROR(LOOKUP(2,1/((tbl_Finance[Job Number]=C6&amp;"")*(tbl_Finance[Date]=A6)),tbl_Finance[Xero Invoice No]),""))</f>
        <v/>
      </c>
      <c r="C6" s="14" t="inlineStr">
        <is>
          <t>26032301</t>
        </is>
      </c>
      <c r="D6" s="15">
        <f>IF(C6="","",IF(COUNTIF(lst_Jobs,C6&amp;"")&gt;0,"OK","CHECK"))</f>
        <v/>
      </c>
      <c r="E6" s="15">
        <f>IF(C6="","",IFERROR(INDEX(lst_JobName,MATCH(C6&amp;"",lst_Jobs,0)),""))</f>
        <v/>
      </c>
      <c r="F6" s="15">
        <f>IF(C6="","",IFERROR(INDEX(tbl_Finance[Client],MATCH(C6&amp;"",tbl_Finance[Job Number],0)),""))</f>
        <v/>
      </c>
      <c r="G6" s="52">
        <f>IF(C6="","",COUNTIFS(tbl_Finance[Job Number],C6&amp;"",tbl_Finance[Ex GST],"&lt;&gt;"))</f>
        <v/>
      </c>
      <c r="H6" s="17">
        <f>IF(C6="","",SUMIFS(tbl_Finance[Ex GST],tbl_Finance[Job Number],C6&amp;""))</f>
        <v/>
      </c>
      <c r="I6" s="15">
        <f>IF(C6="","",IFERROR(INDEX(tbl_Finance[Cost Centre],MATCH(C6&amp;"",tbl_Finance[Job Number],0)),"not invoiced yet"))</f>
        <v/>
      </c>
      <c r="J6" s="12" t="inlineStr">
        <is>
          <t>7/1/2026</t>
        </is>
      </c>
      <c r="K6" s="14" t="inlineStr">
        <is>
          <t>5924</t>
        </is>
      </c>
      <c r="L6" s="15">
        <f>IF(OR(K6="",set_RMSBase=""),"",HYPERLINK(set_RMSBase&amp;K6,"Open "&amp;K6))</f>
        <v/>
      </c>
      <c r="M6" s="15">
        <f>IF(C6="","",C6)</f>
        <v/>
      </c>
      <c r="N6" s="14" t="inlineStr">
        <is>
          <t>Y</t>
        </is>
      </c>
      <c r="O6" s="16" t="n">
        <v>334</v>
      </c>
      <c r="P6" s="17">
        <f>IF(C6="","",H6+N(O6))</f>
        <v/>
      </c>
      <c r="Q6" s="54">
        <f>IFERROR(O6/P6,"")</f>
        <v/>
      </c>
      <c r="R6" s="16" t="n"/>
      <c r="S6" s="16" t="n">
        <v>977.23</v>
      </c>
      <c r="T6" s="17">
        <f>IF(C6="","",N(R6)+N(S6))</f>
        <v/>
      </c>
      <c r="U6" s="17">
        <f>IF(C6="","",H6-T6)</f>
        <v/>
      </c>
      <c r="V6" s="54">
        <f>IFERROR(U6/H6,"")</f>
        <v/>
      </c>
      <c r="W6" s="53" t="n">
        <v>4</v>
      </c>
      <c r="X6" s="53" t="n"/>
      <c r="Y6" s="53" t="n"/>
      <c r="Z6" s="53" t="n"/>
      <c r="AA6" s="53" t="n">
        <v>10</v>
      </c>
      <c r="AB6" s="14" t="n"/>
    </row>
    <row r="7" ht="15" customHeight="1">
      <c r="A7" s="51">
        <f>IF(C7="","",IFERROR(IF(SUMPRODUCT(MAX((tbl_Finance[Job Number]=C7&amp;"")*tbl_Finance[Date]))=0,"",SUMPRODUCT(MAX((tbl_Finance[Job Number]=C7&amp;"")*tbl_Finance[Date]))),""))</f>
        <v/>
      </c>
      <c r="B7" s="15">
        <f>IF(A7="","",IFERROR(LOOKUP(2,1/((tbl_Finance[Job Number]=C7&amp;"")*(tbl_Finance[Date]=A7)),tbl_Finance[Xero Invoice No]),""))</f>
        <v/>
      </c>
      <c r="C7" s="14" t="inlineStr">
        <is>
          <t>26062201</t>
        </is>
      </c>
      <c r="D7" s="15">
        <f>IF(C7="","",IF(COUNTIF(lst_Jobs,C7&amp;"")&gt;0,"OK","CHECK"))</f>
        <v/>
      </c>
      <c r="E7" s="15">
        <f>IF(C7="","",IFERROR(INDEX(lst_JobName,MATCH(C7&amp;"",lst_Jobs,0)),""))</f>
        <v/>
      </c>
      <c r="F7" s="15">
        <f>IF(C7="","",IFERROR(INDEX(tbl_Finance[Client],MATCH(C7&amp;"",tbl_Finance[Job Number],0)),""))</f>
        <v/>
      </c>
      <c r="G7" s="52">
        <f>IF(C7="","",COUNTIFS(tbl_Finance[Job Number],C7&amp;"",tbl_Finance[Ex GST],"&lt;&gt;"))</f>
        <v/>
      </c>
      <c r="H7" s="17">
        <f>IF(C7="","",SUMIFS(tbl_Finance[Ex GST],tbl_Finance[Job Number],C7&amp;""))</f>
        <v/>
      </c>
      <c r="I7" s="15">
        <f>IF(C7="","",IFERROR(INDEX(tbl_Finance[Cost Centre],MATCH(C7&amp;"",tbl_Finance[Job Number],0)),"not invoiced yet"))</f>
        <v/>
      </c>
      <c r="J7" s="12" t="inlineStr">
        <is>
          <t>7/2/2026</t>
        </is>
      </c>
      <c r="K7" s="14" t="inlineStr">
        <is>
          <t>6076</t>
        </is>
      </c>
      <c r="L7" s="15">
        <f>IF(OR(K7="",set_RMSBase=""),"",HYPERLINK(set_RMSBase&amp;K7,"Open "&amp;K7))</f>
        <v/>
      </c>
      <c r="M7" s="15">
        <f>IF(C7="","",C7)</f>
        <v/>
      </c>
      <c r="N7" s="14" t="inlineStr">
        <is>
          <t>Y</t>
        </is>
      </c>
      <c r="O7" s="16" t="n"/>
      <c r="P7" s="17">
        <f>IF(C7="","",H7+N(O7))</f>
        <v/>
      </c>
      <c r="Q7" s="54">
        <f>IFERROR(O7/P7,"")</f>
        <v/>
      </c>
      <c r="R7" s="16" t="n"/>
      <c r="S7" s="16" t="n">
        <v>821.5599999999999</v>
      </c>
      <c r="T7" s="17">
        <f>IF(C7="","",N(R7)+N(S7))</f>
        <v/>
      </c>
      <c r="U7" s="17">
        <f>IF(C7="","",H7-T7)</f>
        <v/>
      </c>
      <c r="V7" s="54">
        <f>IFERROR(U7/H7,"")</f>
        <v/>
      </c>
      <c r="W7" s="53" t="n">
        <v>8</v>
      </c>
      <c r="X7" s="53" t="n"/>
      <c r="Y7" s="53" t="n">
        <v>1</v>
      </c>
      <c r="Z7" s="53" t="n"/>
      <c r="AA7" s="53" t="n">
        <v>8</v>
      </c>
      <c r="AB7" s="14" t="n"/>
    </row>
    <row r="8" ht="15" customHeight="1">
      <c r="A8" s="51">
        <f>IF(C8="","",IFERROR(IF(SUMPRODUCT(MAX((tbl_Finance[Job Number]=C8&amp;"")*tbl_Finance[Date]))=0,"",SUMPRODUCT(MAX((tbl_Finance[Job Number]=C8&amp;"")*tbl_Finance[Date]))),""))</f>
        <v/>
      </c>
      <c r="B8" s="15">
        <f>IF(A8="","",IFERROR(LOOKUP(2,1/((tbl_Finance[Job Number]=C8&amp;"")*(tbl_Finance[Date]=A8)),tbl_Finance[Xero Invoice No]),""))</f>
        <v/>
      </c>
      <c r="C8" s="14" t="inlineStr">
        <is>
          <t>2605802</t>
        </is>
      </c>
      <c r="D8" s="15">
        <f>IF(C8="","",IF(COUNTIF(lst_Jobs,C8&amp;"")&gt;0,"OK","CHECK"))</f>
        <v/>
      </c>
      <c r="E8" s="15">
        <f>IF(C8="","",IFERROR(INDEX(lst_JobName,MATCH(C8&amp;"",lst_Jobs,0)),""))</f>
        <v/>
      </c>
      <c r="F8" s="15">
        <f>IF(C8="","",IFERROR(INDEX(tbl_Finance[Client],MATCH(C8&amp;"",tbl_Finance[Job Number],0)),""))</f>
        <v/>
      </c>
      <c r="G8" s="52">
        <f>IF(C8="","",COUNTIFS(tbl_Finance[Job Number],C8&amp;"",tbl_Finance[Ex GST],"&lt;&gt;"))</f>
        <v/>
      </c>
      <c r="H8" s="17">
        <f>IF(C8="","",SUMIFS(tbl_Finance[Ex GST],tbl_Finance[Job Number],C8&amp;""))</f>
        <v/>
      </c>
      <c r="I8" s="15">
        <f>IF(C8="","",IFERROR(INDEX(tbl_Finance[Cost Centre],MATCH(C8&amp;"",tbl_Finance[Job Number],0)),"not invoiced yet"))</f>
        <v/>
      </c>
      <c r="J8" s="12" t="inlineStr">
        <is>
          <t>7/15/2026</t>
        </is>
      </c>
      <c r="K8" s="14" t="inlineStr">
        <is>
          <t>6013</t>
        </is>
      </c>
      <c r="L8" s="15">
        <f>IF(OR(K8="",set_RMSBase=""),"",HYPERLINK(set_RMSBase&amp;K8,"Open "&amp;K8))</f>
        <v/>
      </c>
      <c r="M8" s="15">
        <f>IF(C8="","",C8)</f>
        <v/>
      </c>
      <c r="N8" s="14" t="inlineStr">
        <is>
          <t>Y</t>
        </is>
      </c>
      <c r="O8" s="16" t="n"/>
      <c r="P8" s="17">
        <f>IF(C8="","",H8+N(O8))</f>
        <v/>
      </c>
      <c r="Q8" s="54">
        <f>IFERROR(O8/P8,"")</f>
        <v/>
      </c>
      <c r="R8" s="16" t="n"/>
      <c r="S8" s="16" t="n"/>
      <c r="T8" s="17">
        <f>IF(C8="","",N(R8)+N(S8))</f>
        <v/>
      </c>
      <c r="U8" s="17">
        <f>IF(C8="","",H8-T8)</f>
        <v/>
      </c>
      <c r="V8" s="54">
        <f>IFERROR(U8/H8,"")</f>
        <v/>
      </c>
      <c r="W8" s="53" t="n"/>
      <c r="X8" s="53" t="n"/>
      <c r="Y8" s="53" t="n">
        <v>2</v>
      </c>
      <c r="Z8" s="53" t="n"/>
      <c r="AA8" s="53" t="n">
        <v>4</v>
      </c>
      <c r="AB8" s="14" t="n"/>
    </row>
    <row r="9" ht="15" customHeight="1">
      <c r="A9" s="51">
        <f>IF(C9="","",IFERROR(IF(SUMPRODUCT(MAX((tbl_Finance[Job Number]=C9&amp;"")*tbl_Finance[Date]))=0,"",SUMPRODUCT(MAX((tbl_Finance[Job Number]=C9&amp;"")*tbl_Finance[Date]))),""))</f>
        <v/>
      </c>
      <c r="B9" s="15">
        <f>IF(A9="","",IFERROR(LOOKUP(2,1/((tbl_Finance[Job Number]=C9&amp;"")*(tbl_Finance[Date]=A9)),tbl_Finance[Xero Invoice No]),""))</f>
        <v/>
      </c>
      <c r="C9" s="14" t="inlineStr">
        <is>
          <t>2607701</t>
        </is>
      </c>
      <c r="D9" s="15">
        <f>IF(C9="","",IF(COUNTIF(lst_Jobs,C9&amp;"")&gt;0,"OK","CHECK"))</f>
        <v/>
      </c>
      <c r="E9" s="15">
        <f>IF(C9="","",IFERROR(INDEX(lst_JobName,MATCH(C9&amp;"",lst_Jobs,0)),""))</f>
        <v/>
      </c>
      <c r="F9" s="15">
        <f>IF(C9="","",IFERROR(INDEX(tbl_Finance[Client],MATCH(C9&amp;"",tbl_Finance[Job Number],0)),""))</f>
        <v/>
      </c>
      <c r="G9" s="52">
        <f>IF(C9="","",COUNTIFS(tbl_Finance[Job Number],C9&amp;"",tbl_Finance[Ex GST],"&lt;&gt;"))</f>
        <v/>
      </c>
      <c r="H9" s="17">
        <f>IF(C9="","",SUMIFS(tbl_Finance[Ex GST],tbl_Finance[Job Number],C9&amp;""))</f>
        <v/>
      </c>
      <c r="I9" s="15">
        <f>IF(C9="","",IFERROR(INDEX(tbl_Finance[Cost Centre],MATCH(C9&amp;"",tbl_Finance[Job Number],0)),"not invoiced yet"))</f>
        <v/>
      </c>
      <c r="J9" s="12" t="inlineStr">
        <is>
          <t>7/16/2026</t>
        </is>
      </c>
      <c r="K9" s="14" t="inlineStr">
        <is>
          <t>6089</t>
        </is>
      </c>
      <c r="L9" s="15">
        <f>IF(OR(K9="",set_RMSBase=""),"",HYPERLINK(set_RMSBase&amp;K9,"Open "&amp;K9))</f>
        <v/>
      </c>
      <c r="M9" s="15">
        <f>IF(C9="","",C9)</f>
        <v/>
      </c>
      <c r="N9" s="14" t="inlineStr">
        <is>
          <t>Y</t>
        </is>
      </c>
      <c r="O9" s="16" t="n">
        <v>465</v>
      </c>
      <c r="P9" s="17">
        <f>IF(C9="","",H9+N(O9))</f>
        <v/>
      </c>
      <c r="Q9" s="54">
        <f>IFERROR(O9/P9,"")</f>
        <v/>
      </c>
      <c r="R9" s="16" t="n"/>
      <c r="S9" s="16" t="n">
        <v>312.18</v>
      </c>
      <c r="T9" s="17">
        <f>IF(C9="","",N(R9)+N(S9))</f>
        <v/>
      </c>
      <c r="U9" s="17">
        <f>IF(C9="","",H9-T9)</f>
        <v/>
      </c>
      <c r="V9" s="54">
        <f>IFERROR(U9/H9,"")</f>
        <v/>
      </c>
      <c r="W9" s="53" t="n">
        <v>4</v>
      </c>
      <c r="X9" s="53" t="n"/>
      <c r="Y9" s="53" t="n"/>
      <c r="Z9" s="53" t="n"/>
      <c r="AA9" s="53" t="n">
        <v>2</v>
      </c>
      <c r="AB9" s="14" t="n"/>
    </row>
    <row r="10" ht="15" customHeight="1">
      <c r="A10" s="51">
        <f>IF(C10="","",IFERROR(IF(SUMPRODUCT(MAX((tbl_Finance[Job Number]=C10&amp;"")*tbl_Finance[Date]))=0,"",SUMPRODUCT(MAX((tbl_Finance[Job Number]=C10&amp;"")*tbl_Finance[Date]))),""))</f>
        <v/>
      </c>
      <c r="B10" s="15">
        <f>IF(A10="","",IFERROR(LOOKUP(2,1/((tbl_Finance[Job Number]=C10&amp;"")*(tbl_Finance[Date]=A10)),tbl_Finance[Xero Invoice No]),""))</f>
        <v/>
      </c>
      <c r="C10" s="14" t="inlineStr">
        <is>
          <t>26052703</t>
        </is>
      </c>
      <c r="D10" s="15">
        <f>IF(C10="","",IF(COUNTIF(lst_Jobs,C10&amp;"")&gt;0,"OK","CHECK"))</f>
        <v/>
      </c>
      <c r="E10" s="15">
        <f>IF(C10="","",IFERROR(INDEX(lst_JobName,MATCH(C10&amp;"",lst_Jobs,0)),""))</f>
        <v/>
      </c>
      <c r="F10" s="15">
        <f>IF(C10="","",IFERROR(INDEX(tbl_Finance[Client],MATCH(C10&amp;"",tbl_Finance[Job Number],0)),""))</f>
        <v/>
      </c>
      <c r="G10" s="52">
        <f>IF(C10="","",COUNTIFS(tbl_Finance[Job Number],C10&amp;"",tbl_Finance[Ex GST],"&lt;&gt;"))</f>
        <v/>
      </c>
      <c r="H10" s="17">
        <f>IF(C10="","",SUMIFS(tbl_Finance[Ex GST],tbl_Finance[Job Number],C10&amp;""))</f>
        <v/>
      </c>
      <c r="I10" s="15">
        <f>IF(C10="","",IFERROR(INDEX(tbl_Finance[Cost Centre],MATCH(C10&amp;"",tbl_Finance[Job Number],0)),"not invoiced yet"))</f>
        <v/>
      </c>
      <c r="J10" s="12" t="n">
        <v>46224</v>
      </c>
      <c r="K10" s="14" t="inlineStr">
        <is>
          <t>6034</t>
        </is>
      </c>
      <c r="L10" s="15">
        <f>IF(OR(K10="",set_RMSBase=""),"",HYPERLINK(set_RMSBase&amp;K10,"Open "&amp;K10))</f>
        <v/>
      </c>
      <c r="M10" s="15">
        <f>IF(C10="","",C10)</f>
        <v/>
      </c>
      <c r="N10" s="14" t="inlineStr">
        <is>
          <t>Y</t>
        </is>
      </c>
      <c r="O10" s="16" t="n">
        <v>580</v>
      </c>
      <c r="P10" s="17">
        <f>IF(C10="","",H10+N(O10))</f>
        <v/>
      </c>
      <c r="Q10" s="54">
        <f>IFERROR(O10/P10,"")</f>
        <v/>
      </c>
      <c r="R10" s="16" t="n">
        <v>631.5</v>
      </c>
      <c r="S10" s="16" t="n">
        <v>3148.7</v>
      </c>
      <c r="T10" s="17">
        <f>IF(C10="","",N(R10)+N(S10))</f>
        <v/>
      </c>
      <c r="U10" s="17">
        <f>IF(C10="","",H10-T10)</f>
        <v/>
      </c>
      <c r="V10" s="54">
        <f>IFERROR(U10/H10,"")</f>
        <v/>
      </c>
      <c r="W10" s="53" t="n">
        <v>4</v>
      </c>
      <c r="X10" s="53" t="n"/>
      <c r="Y10" s="53" t="n"/>
      <c r="Z10" s="53" t="n"/>
      <c r="AA10" s="53" t="n">
        <v>44</v>
      </c>
      <c r="AB10" s="14" t="n"/>
    </row>
    <row r="11" ht="15" customHeight="1">
      <c r="A11" s="51">
        <f>IF(C11="","",IFERROR(IF(SUMPRODUCT(MAX((tbl_Finance[Job Number]=C11&amp;"")*tbl_Finance[Date]))=0,"",SUMPRODUCT(MAX((tbl_Finance[Job Number]=C11&amp;"")*tbl_Finance[Date]))),""))</f>
        <v/>
      </c>
      <c r="B11" s="15">
        <f>IF(A11="","",IFERROR(LOOKUP(2,1/((tbl_Finance[Job Number]=C11&amp;"")*(tbl_Finance[Date]=A11)),tbl_Finance[Xero Invoice No]),""))</f>
        <v/>
      </c>
      <c r="C11" s="14" t="inlineStr">
        <is>
          <t>26041603</t>
        </is>
      </c>
      <c r="D11" s="15">
        <f>IF(C11="","",IF(COUNTIF(lst_Jobs,C11&amp;"")&gt;0,"OK","CHECK"))</f>
        <v/>
      </c>
      <c r="E11" s="15">
        <f>IF(C11="","",IFERROR(INDEX(lst_JobName,MATCH(C11&amp;"",lst_Jobs,0)),""))</f>
        <v/>
      </c>
      <c r="F11" s="15">
        <f>IF(C11="","",IFERROR(INDEX(tbl_Finance[Client],MATCH(C11&amp;"",tbl_Finance[Job Number],0)),""))</f>
        <v/>
      </c>
      <c r="G11" s="52">
        <f>IF(C11="","",COUNTIFS(tbl_Finance[Job Number],C11&amp;"",tbl_Finance[Ex GST],"&lt;&gt;"))</f>
        <v/>
      </c>
      <c r="H11" s="17">
        <f>IF(C11="","",SUMIFS(tbl_Finance[Ex GST],tbl_Finance[Job Number],C11&amp;""))</f>
        <v/>
      </c>
      <c r="I11" s="15">
        <f>IF(C11="","",IFERROR(INDEX(tbl_Finance[Cost Centre],MATCH(C11&amp;"",tbl_Finance[Job Number],0)),"not invoiced yet"))</f>
        <v/>
      </c>
      <c r="J11" s="12" t="n">
        <v>46226</v>
      </c>
      <c r="K11" s="14" t="inlineStr">
        <is>
          <t>6085</t>
        </is>
      </c>
      <c r="L11" s="15">
        <f>IF(OR(K11="",set_RMSBase=""),"",HYPERLINK(set_RMSBase&amp;K11,"Open "&amp;K11))</f>
        <v/>
      </c>
      <c r="M11" s="15">
        <f>IF(C11="","",C11)</f>
        <v/>
      </c>
      <c r="N11" s="14" t="inlineStr">
        <is>
          <t>Y</t>
        </is>
      </c>
      <c r="O11" s="16" t="n"/>
      <c r="P11" s="17">
        <f>IF(C11="","",H11+N(O11))</f>
        <v/>
      </c>
      <c r="Q11" s="54">
        <f>IFERROR(O11/P11,"")</f>
        <v/>
      </c>
      <c r="R11" s="16" t="n"/>
      <c r="S11" s="16" t="n">
        <v>153.84</v>
      </c>
      <c r="T11" s="17">
        <f>IF(C11="","",N(R11)+N(S11))</f>
        <v/>
      </c>
      <c r="U11" s="17">
        <f>IF(C11="","",H11-T11)</f>
        <v/>
      </c>
      <c r="V11" s="54">
        <f>IFERROR(U11/H11,"")</f>
        <v/>
      </c>
      <c r="W11" s="53" t="n"/>
      <c r="X11" s="53" t="n"/>
      <c r="Y11" s="53" t="n"/>
      <c r="Z11" s="53" t="n"/>
      <c r="AA11" s="53" t="n">
        <v>4</v>
      </c>
      <c r="AB11" s="14" t="n"/>
    </row>
    <row r="12" ht="15" customHeight="1">
      <c r="A12" s="51">
        <f>IF(C12="","",IFERROR(IF(SUMPRODUCT(MAX((tbl_Finance[Job Number]=C12&amp;"")*tbl_Finance[Date]))=0,"",SUMPRODUCT(MAX((tbl_Finance[Job Number]=C12&amp;"")*tbl_Finance[Date]))),""))</f>
        <v/>
      </c>
      <c r="B12" s="15">
        <f>IF(A12="","",IFERROR(LOOKUP(2,1/((tbl_Finance[Job Number]=C12&amp;"")*(tbl_Finance[Date]=A12)),tbl_Finance[Xero Invoice No]),""))</f>
        <v/>
      </c>
      <c r="C12" s="14" t="inlineStr">
        <is>
          <t>2605403</t>
        </is>
      </c>
      <c r="D12" s="15">
        <f>IF(C12="","",IF(COUNTIF(lst_Jobs,C12&amp;"")&gt;0,"OK","CHECK"))</f>
        <v/>
      </c>
      <c r="E12" s="15">
        <f>IF(C12="","",IFERROR(INDEX(lst_JobName,MATCH(C12&amp;"",lst_Jobs,0)),""))</f>
        <v/>
      </c>
      <c r="F12" s="15">
        <f>IF(C12="","",IFERROR(INDEX(tbl_Finance[Client],MATCH(C12&amp;"",tbl_Finance[Job Number],0)),""))</f>
        <v/>
      </c>
      <c r="G12" s="52">
        <f>IF(C12="","",COUNTIFS(tbl_Finance[Job Number],C12&amp;"",tbl_Finance[Ex GST],"&lt;&gt;"))</f>
        <v/>
      </c>
      <c r="H12" s="17">
        <f>IF(C12="","",SUMIFS(tbl_Finance[Ex GST],tbl_Finance[Job Number],C12&amp;""))</f>
        <v/>
      </c>
      <c r="I12" s="15">
        <f>IF(C12="","",IFERROR(INDEX(tbl_Finance[Cost Centre],MATCH(C12&amp;"",tbl_Finance[Job Number],0)),"not invoiced yet"))</f>
        <v/>
      </c>
      <c r="J12" s="12" t="n">
        <v>46226</v>
      </c>
      <c r="K12" s="14" t="inlineStr">
        <is>
          <t>5956</t>
        </is>
      </c>
      <c r="L12" s="15">
        <f>IF(OR(K12="",set_RMSBase=""),"",HYPERLINK(set_RMSBase&amp;K12,"Open "&amp;K12))</f>
        <v/>
      </c>
      <c r="M12" s="15">
        <f>IF(C12="","",C12)</f>
        <v/>
      </c>
      <c r="N12" s="14" t="inlineStr">
        <is>
          <t>Y</t>
        </is>
      </c>
      <c r="O12" s="16" t="n">
        <v>839</v>
      </c>
      <c r="P12" s="17">
        <f>IF(C12="","",H12+N(O12))</f>
        <v/>
      </c>
      <c r="Q12" s="54">
        <f>IFERROR(O12/P12,"")</f>
        <v/>
      </c>
      <c r="R12" s="16" t="n"/>
      <c r="S12" s="16" t="n">
        <v>1375.96</v>
      </c>
      <c r="T12" s="17">
        <f>IF(C12="","",N(R12)+N(S12))</f>
        <v/>
      </c>
      <c r="U12" s="17">
        <f>IF(C12="","",H12-T12)</f>
        <v/>
      </c>
      <c r="V12" s="54">
        <f>IFERROR(U12/H12,"")</f>
        <v/>
      </c>
      <c r="W12" s="53" t="n"/>
      <c r="X12" s="53" t="n"/>
      <c r="Y12" s="53" t="n"/>
      <c r="Z12" s="53" t="n"/>
      <c r="AA12" s="53" t="n">
        <v>16</v>
      </c>
      <c r="AB12" s="14" t="n"/>
    </row>
    <row r="13" ht="15" customHeight="1">
      <c r="A13" s="51">
        <f>IF(C13="","",IFERROR(IF(SUMPRODUCT(MAX((tbl_Finance[Job Number]=C13&amp;"")*tbl_Finance[Date]))=0,"",SUMPRODUCT(MAX((tbl_Finance[Job Number]=C13&amp;"")*tbl_Finance[Date]))),""))</f>
        <v/>
      </c>
      <c r="B13" s="15">
        <f>IF(A13="","",IFERROR(LOOKUP(2,1/((tbl_Finance[Job Number]=C13&amp;"")*(tbl_Finance[Date]=A13)),tbl_Finance[Xero Invoice No]),""))</f>
        <v/>
      </c>
      <c r="C13" s="14" t="inlineStr">
        <is>
          <t>2607901</t>
        </is>
      </c>
      <c r="D13" s="15">
        <f>IF(C13="","",IF(COUNTIF(lst_Jobs,C13&amp;"")&gt;0,"OK","CHECK"))</f>
        <v/>
      </c>
      <c r="E13" s="15">
        <f>IF(C13="","",IFERROR(INDEX(lst_JobName,MATCH(C13&amp;"",lst_Jobs,0)),""))</f>
        <v/>
      </c>
      <c r="F13" s="15">
        <f>IF(C13="","",IFERROR(INDEX(tbl_Finance[Client],MATCH(C13&amp;"",tbl_Finance[Job Number],0)),""))</f>
        <v/>
      </c>
      <c r="G13" s="52">
        <f>IF(C13="","",COUNTIFS(tbl_Finance[Job Number],C13&amp;"",tbl_Finance[Ex GST],"&lt;&gt;"))</f>
        <v/>
      </c>
      <c r="H13" s="17">
        <f>IF(C13="","",SUMIFS(tbl_Finance[Ex GST],tbl_Finance[Job Number],C13&amp;""))</f>
        <v/>
      </c>
      <c r="I13" s="15">
        <f>IF(C13="","",IFERROR(INDEX(tbl_Finance[Cost Centre],MATCH(C13&amp;"",tbl_Finance[Job Number],0)),"not invoiced yet"))</f>
        <v/>
      </c>
      <c r="J13" s="12" t="n">
        <v>46226</v>
      </c>
      <c r="K13" s="14" t="inlineStr">
        <is>
          <t>6097</t>
        </is>
      </c>
      <c r="L13" s="15">
        <f>IF(OR(K13="",set_RMSBase=""),"",HYPERLINK(set_RMSBase&amp;K13,"Open "&amp;K13))</f>
        <v/>
      </c>
      <c r="M13" s="15">
        <f>IF(C13="","",C13)</f>
        <v/>
      </c>
      <c r="N13" s="14" t="inlineStr">
        <is>
          <t>Y</t>
        </is>
      </c>
      <c r="O13" s="16" t="n">
        <v>95</v>
      </c>
      <c r="P13" s="17">
        <f>IF(C13="","",H13+N(O13))</f>
        <v/>
      </c>
      <c r="Q13" s="54">
        <f>IFERROR(O13/P13,"")</f>
        <v/>
      </c>
      <c r="R13" s="16" t="n"/>
      <c r="S13" s="16" t="n">
        <v>453.31</v>
      </c>
      <c r="T13" s="17">
        <f>IF(C13="","",N(R13)+N(S13))</f>
        <v/>
      </c>
      <c r="U13" s="17">
        <f>IF(C13="","",H13-T13)</f>
        <v/>
      </c>
      <c r="V13" s="54">
        <f>IFERROR(U13/H13,"")</f>
        <v/>
      </c>
      <c r="W13" s="53" t="n"/>
      <c r="X13" s="53" t="n"/>
      <c r="Y13" s="53" t="n"/>
      <c r="Z13" s="53" t="n"/>
      <c r="AA13" s="53" t="n">
        <v>6</v>
      </c>
      <c r="AB13" s="14" t="n"/>
    </row>
    <row r="14" ht="15" customHeight="1">
      <c r="A14" s="51">
        <f>IF(C14="","",IFERROR(IF(SUMPRODUCT(MAX((tbl_Finance[Job Number]=C14&amp;"")*tbl_Finance[Date]))=0,"",SUMPRODUCT(MAX((tbl_Finance[Job Number]=C14&amp;"")*tbl_Finance[Date]))),""))</f>
        <v/>
      </c>
      <c r="B14" s="15">
        <f>IF(A14="","",IFERROR(LOOKUP(2,1/((tbl_Finance[Job Number]=C14&amp;"")*(tbl_Finance[Date]=A14)),tbl_Finance[Xero Invoice No]),""))</f>
        <v/>
      </c>
      <c r="C14" s="14" t="inlineStr">
        <is>
          <t>26063001</t>
        </is>
      </c>
      <c r="D14" s="15">
        <f>IF(C14="","",IF(COUNTIF(lst_Jobs,C14&amp;"")&gt;0,"OK","CHECK"))</f>
        <v/>
      </c>
      <c r="E14" s="15">
        <f>IF(C14="","",IFERROR(INDEX(lst_JobName,MATCH(C14&amp;"",lst_Jobs,0)),""))</f>
        <v/>
      </c>
      <c r="F14" s="15">
        <f>IF(C14="","",IFERROR(INDEX(tbl_Finance[Client],MATCH(C14&amp;"",tbl_Finance[Job Number],0)),""))</f>
        <v/>
      </c>
      <c r="G14" s="52">
        <f>IF(C14="","",COUNTIFS(tbl_Finance[Job Number],C14&amp;"",tbl_Finance[Ex GST],"&lt;&gt;"))</f>
        <v/>
      </c>
      <c r="H14" s="17">
        <f>IF(C14="","",SUMIFS(tbl_Finance[Ex GST],tbl_Finance[Job Number],C14&amp;""))</f>
        <v/>
      </c>
      <c r="I14" s="15">
        <f>IF(C14="","",IFERROR(INDEX(tbl_Finance[Cost Centre],MATCH(C14&amp;"",tbl_Finance[Job Number],0)),"not invoiced yet"))</f>
        <v/>
      </c>
      <c r="J14" s="12" t="n">
        <v>46229</v>
      </c>
      <c r="K14" s="14" t="inlineStr">
        <is>
          <t>6114</t>
        </is>
      </c>
      <c r="L14" s="15">
        <f>IF(OR(K14="",set_RMSBase=""),"",HYPERLINK(set_RMSBase&amp;K14,"Open "&amp;K14))</f>
        <v/>
      </c>
      <c r="M14" s="15">
        <f>IF(C14="","",C14)</f>
        <v/>
      </c>
      <c r="N14" s="14" t="inlineStr">
        <is>
          <t>Y</t>
        </is>
      </c>
      <c r="O14" s="16" t="n"/>
      <c r="P14" s="17">
        <f>IF(C14="","",H14+N(O14))</f>
        <v/>
      </c>
      <c r="Q14" s="54">
        <f>IFERROR(O14/P14,"")</f>
        <v/>
      </c>
      <c r="R14" s="16" t="n">
        <v>850</v>
      </c>
      <c r="S14" s="16" t="n"/>
      <c r="T14" s="17">
        <f>IF(C14="","",N(R14)+N(S14))</f>
        <v/>
      </c>
      <c r="U14" s="17">
        <f>IF(C14="","",H14-T14)</f>
        <v/>
      </c>
      <c r="V14" s="54">
        <f>IFERROR(U14/H14,"")</f>
        <v/>
      </c>
      <c r="W14" s="53" t="n"/>
      <c r="X14" s="53" t="n"/>
      <c r="Y14" s="53" t="n"/>
      <c r="Z14" s="53" t="n"/>
      <c r="AA14" s="53" t="n"/>
      <c r="AB14" s="14" t="n"/>
    </row>
    <row r="15" ht="15" customHeight="1">
      <c r="A15" s="51">
        <f>IF(C15="","",IFERROR(IF(SUMPRODUCT(MAX((tbl_Finance[Job Number]=C15&amp;"")*tbl_Finance[Date]))=0,"",SUMPRODUCT(MAX((tbl_Finance[Job Number]=C15&amp;"")*tbl_Finance[Date]))),""))</f>
        <v/>
      </c>
      <c r="B15" s="15">
        <f>IF(A15="","",IFERROR(LOOKUP(2,1/((tbl_Finance[Job Number]=C15&amp;"")*(tbl_Finance[Date]=A15)),tbl_Finance[Xero Invoice No]),""))</f>
        <v/>
      </c>
      <c r="C15" s="14" t="inlineStr">
        <is>
          <t>2604202</t>
        </is>
      </c>
      <c r="D15" s="15">
        <f>IF(C15="","",IF(COUNTIF(lst_Jobs,C15&amp;"")&gt;0,"OK","CHECK"))</f>
        <v/>
      </c>
      <c r="E15" s="15">
        <f>IF(C15="","",IFERROR(INDEX(lst_JobName,MATCH(C15&amp;"",lst_Jobs,0)),""))</f>
        <v/>
      </c>
      <c r="F15" s="15">
        <f>IF(C15="","",IFERROR(INDEX(tbl_Finance[Client],MATCH(C15&amp;"",tbl_Finance[Job Number],0)),""))</f>
        <v/>
      </c>
      <c r="G15" s="52">
        <f>IF(C15="","",COUNTIFS(tbl_Finance[Job Number],C15&amp;"",tbl_Finance[Ex GST],"&lt;&gt;"))</f>
        <v/>
      </c>
      <c r="H15" s="17">
        <f>IF(C15="","",SUMIFS(tbl_Finance[Ex GST],tbl_Finance[Job Number],C15&amp;""))</f>
        <v/>
      </c>
      <c r="I15" s="15">
        <f>IF(C15="","",IFERROR(INDEX(tbl_Finance[Cost Centre],MATCH(C15&amp;"",tbl_Finance[Job Number],0)),"not invoiced yet"))</f>
        <v/>
      </c>
      <c r="J15" s="12" t="n">
        <v>46231</v>
      </c>
      <c r="K15" s="14" t="inlineStr">
        <is>
          <t>6099</t>
        </is>
      </c>
      <c r="L15" s="15">
        <f>IF(OR(K15="",set_RMSBase=""),"",HYPERLINK(set_RMSBase&amp;K15,"Open "&amp;K15))</f>
        <v/>
      </c>
      <c r="M15" s="15">
        <f>IF(C15="","",C15)</f>
        <v/>
      </c>
      <c r="N15" s="14" t="inlineStr">
        <is>
          <t>Y</t>
        </is>
      </c>
      <c r="O15" s="16" t="n">
        <v>4452.72</v>
      </c>
      <c r="P15" s="17">
        <f>IF(C15="","",H15+N(O15))</f>
        <v/>
      </c>
      <c r="Q15" s="54">
        <f>IFERROR(O15/P15,"")</f>
        <v/>
      </c>
      <c r="R15" s="16" t="n">
        <v>19155.02</v>
      </c>
      <c r="S15" s="16" t="n">
        <v>462.23</v>
      </c>
      <c r="T15" s="17">
        <f>IF(C15="","",N(R15)+N(S15))</f>
        <v/>
      </c>
      <c r="U15" s="17">
        <f>IF(C15="","",H15-T15)</f>
        <v/>
      </c>
      <c r="V15" s="54">
        <f>IFERROR(U15/H15,"")</f>
        <v/>
      </c>
      <c r="W15" s="53" t="n"/>
      <c r="X15" s="53" t="n"/>
      <c r="Y15" s="53" t="n">
        <v>8</v>
      </c>
      <c r="Z15" s="53" t="n"/>
      <c r="AA15" s="53" t="n">
        <v>142</v>
      </c>
      <c r="AB15" s="14" t="n"/>
    </row>
    <row r="16" ht="15" customHeight="1">
      <c r="A16" s="51">
        <f>IF(C16="","",IFERROR(IF(SUMPRODUCT(MAX((tbl_Finance[Job Number]=C16&amp;"")*tbl_Finance[Date]))=0,"",SUMPRODUCT(MAX((tbl_Finance[Job Number]=C16&amp;"")*tbl_Finance[Date]))),""))</f>
        <v/>
      </c>
      <c r="B16" s="15">
        <f>IF(A16="","",IFERROR(LOOKUP(2,1/((tbl_Finance[Job Number]=C16&amp;"")*(tbl_Finance[Date]=A16)),tbl_Finance[Xero Invoice No]),""))</f>
        <v/>
      </c>
      <c r="C16" s="14" t="inlineStr">
        <is>
          <t>26062202</t>
        </is>
      </c>
      <c r="D16" s="15">
        <f>IF(C16="","",IF(COUNTIF(lst_Jobs,C16&amp;"")&gt;0,"OK","CHECK"))</f>
        <v/>
      </c>
      <c r="E16" s="15">
        <f>IF(C16="","",IFERROR(INDEX(lst_JobName,MATCH(C16&amp;"",lst_Jobs,0)),""))</f>
        <v/>
      </c>
      <c r="F16" s="15">
        <f>IF(C16="","",IFERROR(INDEX(tbl_Finance[Client],MATCH(C16&amp;"",tbl_Finance[Job Number],0)),""))</f>
        <v/>
      </c>
      <c r="G16" s="52">
        <f>IF(C16="","",COUNTIFS(tbl_Finance[Job Number],C16&amp;"",tbl_Finance[Ex GST],"&lt;&gt;"))</f>
        <v/>
      </c>
      <c r="H16" s="17">
        <f>IF(C16="","",SUMIFS(tbl_Finance[Ex GST],tbl_Finance[Job Number],C16&amp;""))</f>
        <v/>
      </c>
      <c r="I16" s="15">
        <f>IF(C16="","",IFERROR(INDEX(tbl_Finance[Cost Centre],MATCH(C16&amp;"",tbl_Finance[Job Number],0)),"not invoiced yet"))</f>
        <v/>
      </c>
      <c r="J16" s="12" t="n">
        <v>46232</v>
      </c>
      <c r="K16" s="14" t="inlineStr">
        <is>
          <t>6075</t>
        </is>
      </c>
      <c r="L16" s="15">
        <f>IF(OR(K16="",set_RMSBase=""),"",HYPERLINK(set_RMSBase&amp;K16,"Open "&amp;K16))</f>
        <v/>
      </c>
      <c r="M16" s="15">
        <f>IF(C16="","",C16)</f>
        <v/>
      </c>
      <c r="N16" s="14" t="inlineStr">
        <is>
          <t>Y</t>
        </is>
      </c>
      <c r="O16" s="16" t="n"/>
      <c r="P16" s="17">
        <f>IF(C16="","",H16+N(O16))</f>
        <v/>
      </c>
      <c r="Q16" s="54">
        <f>IFERROR(O16/P16,"")</f>
        <v/>
      </c>
      <c r="R16" s="16" t="n"/>
      <c r="S16" s="16" t="n">
        <v>812.09</v>
      </c>
      <c r="T16" s="17">
        <f>IF(C16="","",N(R16)+N(S16))</f>
        <v/>
      </c>
      <c r="U16" s="17">
        <f>IF(C16="","",H16-T16)</f>
        <v/>
      </c>
      <c r="V16" s="54">
        <f>IFERROR(U16/H16,"")</f>
        <v/>
      </c>
      <c r="W16" s="53" t="n">
        <v>8</v>
      </c>
      <c r="X16" s="53" t="n"/>
      <c r="Y16" s="53" t="n">
        <v>1</v>
      </c>
      <c r="Z16" s="53" t="n"/>
      <c r="AA16" s="53" t="n">
        <v>8</v>
      </c>
      <c r="AB16" s="14" t="n"/>
    </row>
    <row r="17" ht="15" customHeight="1">
      <c r="A17" s="51">
        <f>IF(C17="","",IFERROR(IF(SUMPRODUCT(MAX((tbl_Finance[Job Number]=C17&amp;"")*tbl_Finance[Date]))=0,"",SUMPRODUCT(MAX((tbl_Finance[Job Number]=C17&amp;"")*tbl_Finance[Date]))),""))</f>
        <v/>
      </c>
      <c r="B17" s="15">
        <f>IF(A17="","",IFERROR(LOOKUP(2,1/((tbl_Finance[Job Number]=C17&amp;"")*(tbl_Finance[Date]=A17)),tbl_Finance[Xero Invoice No]),""))</f>
        <v/>
      </c>
      <c r="C17" s="14" t="inlineStr">
        <is>
          <t>26071303</t>
        </is>
      </c>
      <c r="D17" s="15">
        <f>IF(C17="","",IF(COUNTIF(lst_Jobs,C17&amp;"")&gt;0,"OK","CHECK"))</f>
        <v/>
      </c>
      <c r="E17" s="15">
        <f>IF(C17="","",IFERROR(INDEX(lst_JobName,MATCH(C17&amp;"",lst_Jobs,0)),""))</f>
        <v/>
      </c>
      <c r="F17" s="15">
        <f>IF(C17="","",IFERROR(INDEX(tbl_Finance[Client],MATCH(C17&amp;"",tbl_Finance[Job Number],0)),""))</f>
        <v/>
      </c>
      <c r="G17" s="52">
        <f>IF(C17="","",COUNTIFS(tbl_Finance[Job Number],C17&amp;"",tbl_Finance[Ex GST],"&lt;&gt;"))</f>
        <v/>
      </c>
      <c r="H17" s="17">
        <f>IF(C17="","",SUMIFS(tbl_Finance[Ex GST],tbl_Finance[Job Number],C17&amp;""))</f>
        <v/>
      </c>
      <c r="I17" s="15">
        <f>IF(C17="","",IFERROR(INDEX(tbl_Finance[Cost Centre],MATCH(C17&amp;"",tbl_Finance[Job Number],0)),"not invoiced yet"))</f>
        <v/>
      </c>
      <c r="J17" s="12" t="n">
        <v>46233</v>
      </c>
      <c r="K17" s="14" t="inlineStr">
        <is>
          <t>6125</t>
        </is>
      </c>
      <c r="L17" s="15">
        <f>IF(OR(K17="",set_RMSBase=""),"",HYPERLINK(set_RMSBase&amp;K17,"Open "&amp;K17))</f>
        <v/>
      </c>
      <c r="M17" s="15">
        <f>IF(C17="","",C17)</f>
        <v/>
      </c>
      <c r="N17" s="14" t="inlineStr">
        <is>
          <t>Y</t>
        </is>
      </c>
      <c r="O17" s="16" t="n"/>
      <c r="P17" s="17">
        <f>IF(C17="","",H17+N(O17))</f>
        <v/>
      </c>
      <c r="Q17" s="54">
        <f>IFERROR(O17/P17,"")</f>
        <v/>
      </c>
      <c r="R17" s="16" t="n">
        <v>9487</v>
      </c>
      <c r="S17" s="16" t="n">
        <v>283.18</v>
      </c>
      <c r="T17" s="17">
        <f>IF(C17="","",N(R17)+N(S17))</f>
        <v/>
      </c>
      <c r="U17" s="17">
        <f>IF(C17="","",H17-T17)</f>
        <v/>
      </c>
      <c r="V17" s="54">
        <f>IFERROR(U17/H17,"")</f>
        <v/>
      </c>
      <c r="W17" s="53" t="n"/>
      <c r="X17" s="53" t="n"/>
      <c r="Y17" s="53" t="n"/>
      <c r="Z17" s="53" t="n"/>
      <c r="AA17" s="53" t="n">
        <v>40</v>
      </c>
      <c r="AB17" s="14" t="n"/>
    </row>
    <row r="18" ht="15" customHeight="1">
      <c r="A18" s="51">
        <f>IF(C18="","",IFERROR(IF(SUMPRODUCT(MAX((tbl_Finance[Job Number]=C18&amp;"")*tbl_Finance[Date]))=0,"",SUMPRODUCT(MAX((tbl_Finance[Job Number]=C18&amp;"")*tbl_Finance[Date]))),""))</f>
        <v/>
      </c>
      <c r="B18" s="15">
        <f>IF(A18="","",IFERROR(LOOKUP(2,1/((tbl_Finance[Job Number]=C18&amp;"")*(tbl_Finance[Date]=A18)),tbl_Finance[Xero Invoice No]),""))</f>
        <v/>
      </c>
      <c r="C18" s="14" t="inlineStr">
        <is>
          <t>26061702</t>
        </is>
      </c>
      <c r="D18" s="15">
        <f>IF(C18="","",IF(COUNTIF(lst_Jobs,C18&amp;"")&gt;0,"OK","CHECK"))</f>
        <v/>
      </c>
      <c r="E18" s="15">
        <f>IF(C18="","",IFERROR(INDEX(lst_JobName,MATCH(C18&amp;"",lst_Jobs,0)),""))</f>
        <v/>
      </c>
      <c r="F18" s="15">
        <f>IF(C18="","",IFERROR(INDEX(tbl_Finance[Client],MATCH(C18&amp;"",tbl_Finance[Job Number],0)),""))</f>
        <v/>
      </c>
      <c r="G18" s="52">
        <f>IF(C18="","",COUNTIFS(tbl_Finance[Job Number],C18&amp;"",tbl_Finance[Ex GST],"&lt;&gt;"))</f>
        <v/>
      </c>
      <c r="H18" s="17">
        <f>IF(C18="","",SUMIFS(tbl_Finance[Ex GST],tbl_Finance[Job Number],C18&amp;""))</f>
        <v/>
      </c>
      <c r="I18" s="15">
        <f>IF(C18="","",IFERROR(INDEX(tbl_Finance[Cost Centre],MATCH(C18&amp;"",tbl_Finance[Job Number],0)),"not invoiced yet"))</f>
        <v/>
      </c>
      <c r="J18" s="12" t="n">
        <v>46234</v>
      </c>
      <c r="K18" s="14" t="inlineStr">
        <is>
          <t>6066</t>
        </is>
      </c>
      <c r="L18" s="15">
        <f>IF(OR(K18="",set_RMSBase=""),"",HYPERLINK(set_RMSBase&amp;K18,"Open "&amp;K18))</f>
        <v/>
      </c>
      <c r="M18" s="15">
        <f>IF(C18="","",C18)</f>
        <v/>
      </c>
      <c r="N18" s="14" t="inlineStr">
        <is>
          <t>Y</t>
        </is>
      </c>
      <c r="O18" s="16" t="n"/>
      <c r="P18" s="17">
        <f>IF(C18="","",H18+N(O18))</f>
        <v/>
      </c>
      <c r="Q18" s="54">
        <f>IFERROR(O18/P18,"")</f>
        <v/>
      </c>
      <c r="R18" s="16" t="n"/>
      <c r="S18" s="16" t="n">
        <v>626.92</v>
      </c>
      <c r="T18" s="17">
        <f>IF(C18="","",N(R18)+N(S18))</f>
        <v/>
      </c>
      <c r="U18" s="17">
        <f>IF(C18="","",H18-T18)</f>
        <v/>
      </c>
      <c r="V18" s="54">
        <f>IFERROR(U18/H18,"")</f>
        <v/>
      </c>
      <c r="W18" s="53" t="n"/>
      <c r="X18" s="53" t="n"/>
      <c r="Y18" s="53" t="n"/>
      <c r="Z18" s="53" t="n"/>
      <c r="AA18" s="53" t="n">
        <v>10</v>
      </c>
      <c r="AB18" s="14" t="n"/>
    </row>
    <row r="19" ht="15" customHeight="1">
      <c r="A19" s="51">
        <f>IF(C19="","",IFERROR(IF(SUMPRODUCT(MAX((tbl_Finance[Job Number]=C19&amp;"")*tbl_Finance[Date]))=0,"",SUMPRODUCT(MAX((tbl_Finance[Job Number]=C19&amp;"")*tbl_Finance[Date]))),""))</f>
        <v/>
      </c>
      <c r="B19" s="15">
        <f>IF(A19="","",IFERROR(LOOKUP(2,1/((tbl_Finance[Job Number]=C19&amp;"")*(tbl_Finance[Date]=A19)),tbl_Finance[Xero Invoice No]),""))</f>
        <v/>
      </c>
      <c r="C19" s="14" t="inlineStr">
        <is>
          <t>26061701</t>
        </is>
      </c>
      <c r="D19" s="15">
        <f>IF(C19="","",IF(COUNTIF(lst_Jobs,C19&amp;"")&gt;0,"OK","CHECK"))</f>
        <v/>
      </c>
      <c r="E19" s="15">
        <f>IF(C19="","",IFERROR(INDEX(lst_JobName,MATCH(C19&amp;"",lst_Jobs,0)),""))</f>
        <v/>
      </c>
      <c r="F19" s="15">
        <f>IF(C19="","",IFERROR(INDEX(tbl_Finance[Client],MATCH(C19&amp;"",tbl_Finance[Job Number],0)),""))</f>
        <v/>
      </c>
      <c r="G19" s="52">
        <f>IF(C19="","",COUNTIFS(tbl_Finance[Job Number],C19&amp;"",tbl_Finance[Ex GST],"&lt;&gt;"))</f>
        <v/>
      </c>
      <c r="H19" s="17">
        <f>IF(C19="","",SUMIFS(tbl_Finance[Ex GST],tbl_Finance[Job Number],C19&amp;""))</f>
        <v/>
      </c>
      <c r="I19" s="15">
        <f>IF(C19="","",IFERROR(INDEX(tbl_Finance[Cost Centre],MATCH(C19&amp;"",tbl_Finance[Job Number],0)),"not invoiced yet"))</f>
        <v/>
      </c>
      <c r="J19" s="12" t="n">
        <v>46234</v>
      </c>
      <c r="K19" s="14" t="inlineStr">
        <is>
          <t>6145</t>
        </is>
      </c>
      <c r="L19" s="15">
        <f>IF(OR(K19="",set_RMSBase=""),"",HYPERLINK(set_RMSBase&amp;K19,"Open "&amp;K19))</f>
        <v/>
      </c>
      <c r="M19" s="15">
        <f>IF(C19="","",C19)</f>
        <v/>
      </c>
      <c r="N19" s="14" t="inlineStr">
        <is>
          <t>Y</t>
        </is>
      </c>
      <c r="O19" s="16" t="n"/>
      <c r="P19" s="17">
        <f>IF(C19="","",H19+N(O19))</f>
        <v/>
      </c>
      <c r="Q19" s="54">
        <f>IFERROR(O19/P19,"")</f>
        <v/>
      </c>
      <c r="R19" s="16" t="n"/>
      <c r="S19" s="16" t="n"/>
      <c r="T19" s="17">
        <f>IF(C19="","",N(R19)+N(S19))</f>
        <v/>
      </c>
      <c r="U19" s="17">
        <f>IF(C19="","",H19-T19)</f>
        <v/>
      </c>
      <c r="V19" s="54">
        <f>IFERROR(U19/H19,"")</f>
        <v/>
      </c>
      <c r="W19" s="53" t="n"/>
      <c r="X19" s="53" t="n"/>
      <c r="Y19" s="53" t="n"/>
      <c r="Z19" s="53" t="n"/>
      <c r="AA19" s="53" t="n"/>
      <c r="AB19" s="14" t="n"/>
    </row>
    <row r="20" ht="15" customHeight="1">
      <c r="A20" s="51">
        <f>IF(C20="","",IFERROR(IF(SUMPRODUCT(MAX((tbl_Finance[Job Number]=C20&amp;"")*tbl_Finance[Date]))=0,"",SUMPRODUCT(MAX((tbl_Finance[Job Number]=C20&amp;"")*tbl_Finance[Date]))),""))</f>
        <v/>
      </c>
      <c r="B20" s="15">
        <f>IF(A20="","",IFERROR(LOOKUP(2,1/((tbl_Finance[Job Number]=C20&amp;"")*(tbl_Finance[Date]=A20)),tbl_Finance[Xero Invoice No]),""))</f>
        <v/>
      </c>
      <c r="C20" s="14" t="inlineStr">
        <is>
          <t>2512804</t>
        </is>
      </c>
      <c r="D20" s="15">
        <f>IF(C20="","",IF(COUNTIF(lst_Jobs,C20&amp;"")&gt;0,"OK","CHECK"))</f>
        <v/>
      </c>
      <c r="E20" s="15">
        <f>IF(C20="","",IFERROR(INDEX(lst_JobName,MATCH(C20&amp;"",lst_Jobs,0)),""))</f>
        <v/>
      </c>
      <c r="F20" s="15">
        <f>IF(C20="","",IFERROR(INDEX(tbl_Finance[Client],MATCH(C20&amp;"",tbl_Finance[Job Number],0)),""))</f>
        <v/>
      </c>
      <c r="G20" s="52">
        <f>IF(C20="","",COUNTIFS(tbl_Finance[Job Number],C20&amp;"",tbl_Finance[Ex GST],"&lt;&gt;"))</f>
        <v/>
      </c>
      <c r="H20" s="17">
        <f>IF(C20="","",SUMIFS(tbl_Finance[Ex GST],tbl_Finance[Job Number],C20&amp;""))</f>
        <v/>
      </c>
      <c r="I20" s="15">
        <f>IF(C20="","",IFERROR(INDEX(tbl_Finance[Cost Centre],MATCH(C20&amp;"",tbl_Finance[Job Number],0)),"not invoiced yet"))</f>
        <v/>
      </c>
      <c r="J20" s="12" t="n">
        <v>46239</v>
      </c>
      <c r="K20" s="14" t="inlineStr">
        <is>
          <t>5826</t>
        </is>
      </c>
      <c r="L20" s="15">
        <f>IF(OR(K20="",set_RMSBase=""),"",HYPERLINK(set_RMSBase&amp;K20,"Open "&amp;K20))</f>
        <v/>
      </c>
      <c r="M20" s="15">
        <f>IF(C20="","",C20)</f>
        <v/>
      </c>
      <c r="N20" s="14" t="inlineStr">
        <is>
          <t>Y</t>
        </is>
      </c>
      <c r="O20" s="16" t="n">
        <v>334</v>
      </c>
      <c r="P20" s="17">
        <f>IF(C20="","",H20+N(O20))</f>
        <v/>
      </c>
      <c r="Q20" s="54">
        <f>IFERROR(O20/P20,"")</f>
        <v/>
      </c>
      <c r="R20" s="16" t="n"/>
      <c r="S20" s="16" t="n"/>
      <c r="T20" s="17">
        <f>IF(C20="","",N(R20)+N(S20))</f>
        <v/>
      </c>
      <c r="U20" s="17">
        <f>IF(C20="","",H20-T20)</f>
        <v/>
      </c>
      <c r="V20" s="54">
        <f>IFERROR(U20/H20,"")</f>
        <v/>
      </c>
      <c r="W20" s="53" t="n">
        <v>4</v>
      </c>
      <c r="X20" s="53" t="n"/>
      <c r="Y20" s="53" t="n"/>
      <c r="Z20" s="53" t="n"/>
      <c r="AA20" s="53" t="n">
        <v>12</v>
      </c>
      <c r="AB20" s="14" t="n"/>
    </row>
    <row r="21" ht="15" customHeight="1">
      <c r="A21" s="51">
        <f>IF(C21="","",IFERROR(IF(SUMPRODUCT(MAX((tbl_Finance[Job Number]=C21&amp;"")*tbl_Finance[Date]))=0,"",SUMPRODUCT(MAX((tbl_Finance[Job Number]=C21&amp;"")*tbl_Finance[Date]))),""))</f>
        <v/>
      </c>
      <c r="B21" s="15">
        <f>IF(A21="","",IFERROR(LOOKUP(2,1/((tbl_Finance[Job Number]=C21&amp;"")*(tbl_Finance[Date]=A21)),tbl_Finance[Xero Invoice No]),""))</f>
        <v/>
      </c>
      <c r="C21" s="14" t="inlineStr">
        <is>
          <t>2607703</t>
        </is>
      </c>
      <c r="D21" s="15">
        <f>IF(C21="","",IF(COUNTIF(lst_Jobs,C21&amp;"")&gt;0,"OK","CHECK"))</f>
        <v/>
      </c>
      <c r="E21" s="15">
        <f>IF(C21="","",IFERROR(INDEX(lst_JobName,MATCH(C21&amp;"",lst_Jobs,0)),""))</f>
        <v/>
      </c>
      <c r="F21" s="15">
        <f>IF(C21="","",IFERROR(INDEX(tbl_Finance[Client],MATCH(C21&amp;"",tbl_Finance[Job Number],0)),""))</f>
        <v/>
      </c>
      <c r="G21" s="52">
        <f>IF(C21="","",COUNTIFS(tbl_Finance[Job Number],C21&amp;"",tbl_Finance[Ex GST],"&lt;&gt;"))</f>
        <v/>
      </c>
      <c r="H21" s="17">
        <f>IF(C21="","",SUMIFS(tbl_Finance[Ex GST],tbl_Finance[Job Number],C21&amp;""))</f>
        <v/>
      </c>
      <c r="I21" s="15">
        <f>IF(C21="","",IFERROR(INDEX(tbl_Finance[Cost Centre],MATCH(C21&amp;"",tbl_Finance[Job Number],0)),"not invoiced yet"))</f>
        <v/>
      </c>
      <c r="J21" s="12" t="n">
        <v>46240</v>
      </c>
      <c r="K21" s="14" t="inlineStr">
        <is>
          <t>6088</t>
        </is>
      </c>
      <c r="L21" s="15">
        <f>IF(OR(K21="",set_RMSBase=""),"",HYPERLINK(set_RMSBase&amp;K21,"Open "&amp;K21))</f>
        <v/>
      </c>
      <c r="M21" s="15">
        <f>IF(C21="","",C21)</f>
        <v/>
      </c>
      <c r="N21" s="14" t="inlineStr">
        <is>
          <t>Y</t>
        </is>
      </c>
      <c r="O21" s="16" t="n"/>
      <c r="P21" s="17">
        <f>IF(C21="","",H21+N(O21))</f>
        <v/>
      </c>
      <c r="Q21" s="54">
        <f>IFERROR(O21/P21,"")</f>
        <v/>
      </c>
      <c r="R21" s="16" t="n"/>
      <c r="S21" s="16" t="n"/>
      <c r="T21" s="17">
        <f>IF(C21="","",N(R21)+N(S21))</f>
        <v/>
      </c>
      <c r="U21" s="17">
        <f>IF(C21="","",H21-T21)</f>
        <v/>
      </c>
      <c r="V21" s="54">
        <f>IFERROR(U21/H21,"")</f>
        <v/>
      </c>
      <c r="W21" s="53" t="n"/>
      <c r="X21" s="53" t="n"/>
      <c r="Y21" s="53" t="n"/>
      <c r="Z21" s="53" t="n"/>
      <c r="AA21" s="53" t="n">
        <v>11</v>
      </c>
      <c r="AB21" s="14" t="n"/>
    </row>
    <row r="22" ht="15" customHeight="1">
      <c r="A22" s="51">
        <f>IF(C22="","",IFERROR(IF(SUMPRODUCT(MAX((tbl_Finance[Job Number]=C22&amp;"")*tbl_Finance[Date]))=0,"",SUMPRODUCT(MAX((tbl_Finance[Job Number]=C22&amp;"")*tbl_Finance[Date]))),""))</f>
        <v/>
      </c>
      <c r="B22" s="15">
        <f>IF(A22="","",IFERROR(LOOKUP(2,1/((tbl_Finance[Job Number]=C22&amp;"")*(tbl_Finance[Date]=A22)),tbl_Finance[Xero Invoice No]),""))</f>
        <v/>
      </c>
      <c r="C22" s="14" t="inlineStr">
        <is>
          <t>26072902</t>
        </is>
      </c>
      <c r="D22" s="15">
        <f>IF(C22="","",IF(COUNTIF(lst_Jobs,C22&amp;"")&gt;0,"OK","CHECK"))</f>
        <v/>
      </c>
      <c r="E22" s="15">
        <f>IF(C22="","",IFERROR(INDEX(lst_JobName,MATCH(C22&amp;"",lst_Jobs,0)),""))</f>
        <v/>
      </c>
      <c r="F22" s="15">
        <f>IF(C22="","",IFERROR(INDEX(tbl_Finance[Client],MATCH(C22&amp;"",tbl_Finance[Job Number],0)),""))</f>
        <v/>
      </c>
      <c r="G22" s="52">
        <f>IF(C22="","",COUNTIFS(tbl_Finance[Job Number],C22&amp;"",tbl_Finance[Ex GST],"&lt;&gt;"))</f>
        <v/>
      </c>
      <c r="H22" s="17">
        <f>IF(C22="","",SUMIFS(tbl_Finance[Ex GST],tbl_Finance[Job Number],C22&amp;""))</f>
        <v/>
      </c>
      <c r="I22" s="15">
        <f>IF(C22="","",IFERROR(INDEX(tbl_Finance[Cost Centre],MATCH(C22&amp;"",tbl_Finance[Job Number],0)),"not invoiced yet"))</f>
        <v/>
      </c>
      <c r="J22" s="12" t="n">
        <v>46240</v>
      </c>
      <c r="K22" s="14" t="inlineStr">
        <is>
          <t>6128</t>
        </is>
      </c>
      <c r="L22" s="15">
        <f>IF(OR(K22="",set_RMSBase=""),"",HYPERLINK(set_RMSBase&amp;K22,"Open "&amp;K22))</f>
        <v/>
      </c>
      <c r="M22" s="15">
        <f>IF(C22="","",C22)</f>
        <v/>
      </c>
      <c r="N22" s="14" t="inlineStr">
        <is>
          <t>Y</t>
        </is>
      </c>
      <c r="O22" s="16" t="n"/>
      <c r="P22" s="17">
        <f>IF(C22="","",H22+N(O22))</f>
        <v/>
      </c>
      <c r="Q22" s="54">
        <f>IFERROR(O22/P22,"")</f>
        <v/>
      </c>
      <c r="R22" s="16" t="n">
        <v>1092.36</v>
      </c>
      <c r="S22" s="16" t="n"/>
      <c r="T22" s="17">
        <f>IF(C22="","",N(R22)+N(S22))</f>
        <v/>
      </c>
      <c r="U22" s="17">
        <f>IF(C22="","",H22-T22)</f>
        <v/>
      </c>
      <c r="V22" s="54">
        <f>IFERROR(U22/H22,"")</f>
        <v/>
      </c>
      <c r="W22" s="53" t="n">
        <v>4</v>
      </c>
      <c r="X22" s="53" t="n"/>
      <c r="Y22" s="53" t="n">
        <v>1</v>
      </c>
      <c r="Z22" s="53" t="n"/>
      <c r="AA22" s="53" t="n">
        <v>10</v>
      </c>
      <c r="AB22" s="14" t="n"/>
    </row>
    <row r="23" ht="15" customHeight="1">
      <c r="A23" s="51">
        <f>IF(C23="","",IFERROR(IF(SUMPRODUCT(MAX((tbl_Finance[Job Number]=C23&amp;"")*tbl_Finance[Date]))=0,"",SUMPRODUCT(MAX((tbl_Finance[Job Number]=C23&amp;"")*tbl_Finance[Date]))),""))</f>
        <v/>
      </c>
      <c r="B23" s="15">
        <f>IF(A23="","",IFERROR(LOOKUP(2,1/((tbl_Finance[Job Number]=C23&amp;"")*(tbl_Finance[Date]=A23)),tbl_Finance[Xero Invoice No]),""))</f>
        <v/>
      </c>
      <c r="C23" s="14" t="inlineStr">
        <is>
          <t>26071901</t>
        </is>
      </c>
      <c r="D23" s="15">
        <f>IF(C23="","",IF(COUNTIF(lst_Jobs,C23&amp;"")&gt;0,"OK","CHECK"))</f>
        <v/>
      </c>
      <c r="E23" s="15">
        <f>IF(C23="","",IFERROR(INDEX(lst_JobName,MATCH(C23&amp;"",lst_Jobs,0)),""))</f>
        <v/>
      </c>
      <c r="F23" s="15">
        <f>IF(C23="","",IFERROR(INDEX(tbl_Finance[Client],MATCH(C23&amp;"",tbl_Finance[Job Number],0)),""))</f>
        <v/>
      </c>
      <c r="G23" s="52">
        <f>IF(C23="","",COUNTIFS(tbl_Finance[Job Number],C23&amp;"",tbl_Finance[Ex GST],"&lt;&gt;"))</f>
        <v/>
      </c>
      <c r="H23" s="17">
        <f>IF(C23="","",SUMIFS(tbl_Finance[Ex GST],tbl_Finance[Job Number],C23&amp;""))</f>
        <v/>
      </c>
      <c r="I23" s="15">
        <f>IF(C23="","",IFERROR(INDEX(tbl_Finance[Cost Centre],MATCH(C23&amp;"",tbl_Finance[Job Number],0)),"not invoiced yet"))</f>
        <v/>
      </c>
      <c r="J23" s="12" t="n">
        <v>46245</v>
      </c>
      <c r="K23" s="14" t="inlineStr">
        <is>
          <t>6127</t>
        </is>
      </c>
      <c r="L23" s="15">
        <f>IF(OR(K23="",set_RMSBase=""),"",HYPERLINK(set_RMSBase&amp;K23,"Open "&amp;K23))</f>
        <v/>
      </c>
      <c r="M23" s="15">
        <f>IF(C23="","",C23)</f>
        <v/>
      </c>
      <c r="N23" s="14" t="inlineStr">
        <is>
          <t>Y</t>
        </is>
      </c>
      <c r="O23" s="16" t="n"/>
      <c r="P23" s="17">
        <f>IF(C23="","",H23+N(O23))</f>
        <v/>
      </c>
      <c r="Q23" s="54">
        <f>IFERROR(O23/P23,"")</f>
        <v/>
      </c>
      <c r="R23" s="16" t="n"/>
      <c r="S23" s="16" t="n"/>
      <c r="T23" s="17">
        <f>IF(C23="","",N(R23)+N(S23))</f>
        <v/>
      </c>
      <c r="U23" s="17">
        <f>IF(C23="","",H23-T23)</f>
        <v/>
      </c>
      <c r="V23" s="54">
        <f>IFERROR(U23/H23,"")</f>
        <v/>
      </c>
      <c r="W23" s="53" t="n"/>
      <c r="X23" s="53" t="n"/>
      <c r="Y23" s="53" t="n"/>
      <c r="Z23" s="53" t="n"/>
      <c r="AA23" s="53" t="n">
        <v>4</v>
      </c>
      <c r="AB23" s="14" t="n"/>
    </row>
    <row r="24" ht="15" customHeight="1">
      <c r="A24" s="51">
        <f>IF(C24="","",IFERROR(IF(SUMPRODUCT(MAX((tbl_Finance[Job Number]=C24&amp;"")*tbl_Finance[Date]))=0,"",SUMPRODUCT(MAX((tbl_Finance[Job Number]=C24&amp;"")*tbl_Finance[Date]))),""))</f>
        <v/>
      </c>
      <c r="B24" s="15">
        <f>IF(A24="","",IFERROR(LOOKUP(2,1/((tbl_Finance[Job Number]=C24&amp;"")*(tbl_Finance[Date]=A24)),tbl_Finance[Xero Invoice No]),""))</f>
        <v/>
      </c>
      <c r="C24" s="14" t="inlineStr">
        <is>
          <t>26063002</t>
        </is>
      </c>
      <c r="D24" s="15">
        <f>IF(C24="","",IF(COUNTIF(lst_Jobs,C24&amp;"")&gt;0,"OK","CHECK"))</f>
        <v/>
      </c>
      <c r="E24" s="15">
        <f>IF(C24="","",IFERROR(INDEX(lst_JobName,MATCH(C24&amp;"",lst_Jobs,0)),""))</f>
        <v/>
      </c>
      <c r="F24" s="15">
        <f>IF(C24="","",IFERROR(INDEX(tbl_Finance[Client],MATCH(C24&amp;"",tbl_Finance[Job Number],0)),""))</f>
        <v/>
      </c>
      <c r="G24" s="52">
        <f>IF(C24="","",COUNTIFS(tbl_Finance[Job Number],C24&amp;"",tbl_Finance[Ex GST],"&lt;&gt;"))</f>
        <v/>
      </c>
      <c r="H24" s="17">
        <f>IF(C24="","",SUMIFS(tbl_Finance[Ex GST],tbl_Finance[Job Number],C24&amp;""))</f>
        <v/>
      </c>
      <c r="I24" s="15">
        <f>IF(C24="","",IFERROR(INDEX(tbl_Finance[Cost Centre],MATCH(C24&amp;"",tbl_Finance[Job Number],0)),"not invoiced yet"))</f>
        <v/>
      </c>
      <c r="J24" s="12" t="n">
        <v>46245</v>
      </c>
      <c r="K24" s="14" t="inlineStr">
        <is>
          <t>6084</t>
        </is>
      </c>
      <c r="L24" s="15">
        <f>IF(OR(K24="",set_RMSBase=""),"",HYPERLINK(set_RMSBase&amp;K24,"Open "&amp;K24))</f>
        <v/>
      </c>
      <c r="M24" s="15">
        <f>IF(C24="","",C24)</f>
        <v/>
      </c>
      <c r="N24" s="14" t="inlineStr">
        <is>
          <t>Y</t>
        </is>
      </c>
      <c r="O24" s="16" t="n">
        <v>2104.4</v>
      </c>
      <c r="P24" s="17">
        <f>IF(C24="","",H24+N(O24))</f>
        <v/>
      </c>
      <c r="Q24" s="54">
        <f>IFERROR(O24/P24,"")</f>
        <v/>
      </c>
      <c r="R24" s="16" t="n"/>
      <c r="S24" s="16" t="n"/>
      <c r="T24" s="17">
        <f>IF(C24="","",N(R24)+N(S24))</f>
        <v/>
      </c>
      <c r="U24" s="17">
        <f>IF(C24="","",H24-T24)</f>
        <v/>
      </c>
      <c r="V24" s="54">
        <f>IFERROR(U24/H24,"")</f>
        <v/>
      </c>
      <c r="W24" s="53" t="n">
        <v>7</v>
      </c>
      <c r="X24" s="53" t="n"/>
      <c r="Y24" s="53" t="n">
        <v>2</v>
      </c>
      <c r="Z24" s="53" t="n"/>
      <c r="AA24" s="53" t="n">
        <v>37</v>
      </c>
      <c r="AB24" s="14" t="n"/>
    </row>
    <row r="25" ht="15" customHeight="1">
      <c r="A25" s="51">
        <f>IF(C25="","",IFERROR(IF(SUMPRODUCT(MAX((tbl_Finance[Job Number]=C25&amp;"")*tbl_Finance[Date]))=0,"",SUMPRODUCT(MAX((tbl_Finance[Job Number]=C25&amp;"")*tbl_Finance[Date]))),""))</f>
        <v/>
      </c>
      <c r="B25" s="15">
        <f>IF(A25="","",IFERROR(LOOKUP(2,1/((tbl_Finance[Job Number]=C25&amp;"")*(tbl_Finance[Date]=A25)),tbl_Finance[Xero Invoice No]),""))</f>
        <v/>
      </c>
      <c r="C25" s="14" t="inlineStr">
        <is>
          <t>26072903</t>
        </is>
      </c>
      <c r="D25" s="15">
        <f>IF(C25="","",IF(COUNTIF(lst_Jobs,C25&amp;"")&gt;0,"OK","CHECK"))</f>
        <v/>
      </c>
      <c r="E25" s="15">
        <f>IF(C25="","",IFERROR(INDEX(lst_JobName,MATCH(C25&amp;"",lst_Jobs,0)),""))</f>
        <v/>
      </c>
      <c r="F25" s="15">
        <f>IF(C25="","",IFERROR(INDEX(tbl_Finance[Client],MATCH(C25&amp;"",tbl_Finance[Job Number],0)),""))</f>
        <v/>
      </c>
      <c r="G25" s="52">
        <f>IF(C25="","",COUNTIFS(tbl_Finance[Job Number],C25&amp;"",tbl_Finance[Ex GST],"&lt;&gt;"))</f>
        <v/>
      </c>
      <c r="H25" s="17">
        <f>IF(C25="","",SUMIFS(tbl_Finance[Ex GST],tbl_Finance[Job Number],C25&amp;""))</f>
        <v/>
      </c>
      <c r="I25" s="15">
        <f>IF(C25="","",IFERROR(INDEX(tbl_Finance[Cost Centre],MATCH(C25&amp;"",tbl_Finance[Job Number],0)),"not invoiced yet"))</f>
        <v/>
      </c>
      <c r="J25" s="12" t="n">
        <v>46245</v>
      </c>
      <c r="K25" s="14" t="inlineStr">
        <is>
          <t>6134</t>
        </is>
      </c>
      <c r="L25" s="15">
        <f>IF(OR(K25="",set_RMSBase=""),"",HYPERLINK(set_RMSBase&amp;K25,"Open "&amp;K25))</f>
        <v/>
      </c>
      <c r="M25" s="15">
        <f>IF(C25="","",C25)</f>
        <v/>
      </c>
      <c r="N25" s="14" t="inlineStr">
        <is>
          <t>Y</t>
        </is>
      </c>
      <c r="O25" s="16" t="n"/>
      <c r="P25" s="17">
        <f>IF(C25="","",H25+N(O25))</f>
        <v/>
      </c>
      <c r="Q25" s="54">
        <f>IFERROR(O25/P25,"")</f>
        <v/>
      </c>
      <c r="R25" s="16" t="n">
        <v>1092.36</v>
      </c>
      <c r="S25" s="16" t="n"/>
      <c r="T25" s="17">
        <f>IF(C25="","",N(R25)+N(S25))</f>
        <v/>
      </c>
      <c r="U25" s="17">
        <f>IF(C25="","",H25-T25)</f>
        <v/>
      </c>
      <c r="V25" s="54">
        <f>IFERROR(U25/H25,"")</f>
        <v/>
      </c>
      <c r="W25" s="53" t="n">
        <v>9</v>
      </c>
      <c r="X25" s="53" t="n"/>
      <c r="Y25" s="53" t="n"/>
      <c r="Z25" s="53" t="n"/>
      <c r="AA25" s="53" t="n">
        <v>9</v>
      </c>
      <c r="AB25" s="14" t="n"/>
    </row>
    <row r="26" ht="15" customHeight="1">
      <c r="A26" s="51">
        <f>IF(C26="","",IFERROR(IF(SUMPRODUCT(MAX((tbl_Finance[Job Number]=C26&amp;"")*tbl_Finance[Date]))=0,"",SUMPRODUCT(MAX((tbl_Finance[Job Number]=C26&amp;"")*tbl_Finance[Date]))),""))</f>
        <v/>
      </c>
      <c r="B26" s="15">
        <f>IF(A26="","",IFERROR(LOOKUP(2,1/((tbl_Finance[Job Number]=C26&amp;"")*(tbl_Finance[Date]=A26)),tbl_Finance[Xero Invoice No]),""))</f>
        <v/>
      </c>
      <c r="C26" s="14" t="inlineStr">
        <is>
          <t>26061104</t>
        </is>
      </c>
      <c r="D26" s="15">
        <f>IF(C26="","",IF(COUNTIF(lst_Jobs,C26&amp;"")&gt;0,"OK","CHECK"))</f>
        <v/>
      </c>
      <c r="E26" s="15">
        <f>IF(C26="","",IFERROR(INDEX(lst_JobName,MATCH(C26&amp;"",lst_Jobs,0)),""))</f>
        <v/>
      </c>
      <c r="F26" s="15">
        <f>IF(C26="","",IFERROR(INDEX(tbl_Finance[Client],MATCH(C26&amp;"",tbl_Finance[Job Number],0)),""))</f>
        <v/>
      </c>
      <c r="G26" s="52">
        <f>IF(C26="","",COUNTIFS(tbl_Finance[Job Number],C26&amp;"",tbl_Finance[Ex GST],"&lt;&gt;"))</f>
        <v/>
      </c>
      <c r="H26" s="17">
        <f>IF(C26="","",SUMIFS(tbl_Finance[Ex GST],tbl_Finance[Job Number],C26&amp;""))</f>
        <v/>
      </c>
      <c r="I26" s="15">
        <f>IF(C26="","",IFERROR(INDEX(tbl_Finance[Cost Centre],MATCH(C26&amp;"",tbl_Finance[Job Number],0)),"not invoiced yet"))</f>
        <v/>
      </c>
      <c r="J26" s="12" t="n">
        <v>46246</v>
      </c>
      <c r="K26" s="14" t="inlineStr">
        <is>
          <t>Proj: 0016</t>
        </is>
      </c>
      <c r="L26" s="15">
        <f>IF(OR(K26="",set_RMSBase=""),"",HYPERLINK(set_RMSBase&amp;K26,"Open "&amp;K26))</f>
        <v/>
      </c>
      <c r="M26" s="15">
        <f>IF(C26="","",C26)</f>
        <v/>
      </c>
      <c r="N26" s="14" t="inlineStr">
        <is>
          <t>Y</t>
        </is>
      </c>
      <c r="O26" s="16" t="n">
        <v>5271.5</v>
      </c>
      <c r="P26" s="17">
        <f>IF(C26="","",H26+N(O26))</f>
        <v/>
      </c>
      <c r="Q26" s="54">
        <f>IFERROR(O26/P26,"")</f>
        <v/>
      </c>
      <c r="R26" s="16" t="n">
        <v>980.16</v>
      </c>
      <c r="S26" s="16" t="n"/>
      <c r="T26" s="17">
        <f>IF(C26="","",N(R26)+N(S26))</f>
        <v/>
      </c>
      <c r="U26" s="17">
        <f>IF(C26="","",H26-T26)</f>
        <v/>
      </c>
      <c r="V26" s="54">
        <f>IFERROR(U26/H26,"")</f>
        <v/>
      </c>
      <c r="W26" s="53" t="n">
        <v>8</v>
      </c>
      <c r="X26" s="53" t="n"/>
      <c r="Y26" s="53" t="n">
        <v>12</v>
      </c>
      <c r="Z26" s="53" t="n"/>
      <c r="AA26" s="53" t="n">
        <v>104</v>
      </c>
      <c r="AB26" s="14" t="n"/>
    </row>
    <row r="27" ht="15" customHeight="1">
      <c r="A27" s="51">
        <f>IF(C27="","",IFERROR(IF(SUMPRODUCT(MAX((tbl_Finance[Job Number]=C27&amp;"")*tbl_Finance[Date]))=0,"",SUMPRODUCT(MAX((tbl_Finance[Job Number]=C27&amp;"")*tbl_Finance[Date]))),""))</f>
        <v/>
      </c>
      <c r="B27" s="15">
        <f>IF(A27="","",IFERROR(LOOKUP(2,1/((tbl_Finance[Job Number]=C27&amp;"")*(tbl_Finance[Date]=A27)),tbl_Finance[Xero Invoice No]),""))</f>
        <v/>
      </c>
      <c r="C27" s="14" t="inlineStr">
        <is>
          <t>26061105</t>
        </is>
      </c>
      <c r="D27" s="15">
        <f>IF(C27="","",IF(COUNTIF(lst_Jobs,C27&amp;"")&gt;0,"OK","CHECK"))</f>
        <v/>
      </c>
      <c r="E27" s="15">
        <f>IF(C27="","",IFERROR(INDEX(lst_JobName,MATCH(C27&amp;"",lst_Jobs,0)),""))</f>
        <v/>
      </c>
      <c r="F27" s="15">
        <f>IF(C27="","",IFERROR(INDEX(tbl_Finance[Client],MATCH(C27&amp;"",tbl_Finance[Job Number],0)),""))</f>
        <v/>
      </c>
      <c r="G27" s="52">
        <f>IF(C27="","",COUNTIFS(tbl_Finance[Job Number],C27&amp;"",tbl_Finance[Ex GST],"&lt;&gt;"))</f>
        <v/>
      </c>
      <c r="H27" s="17">
        <f>IF(C27="","",SUMIFS(tbl_Finance[Ex GST],tbl_Finance[Job Number],C27&amp;""))</f>
        <v/>
      </c>
      <c r="I27" s="15">
        <f>IF(C27="","",IFERROR(INDEX(tbl_Finance[Cost Centre],MATCH(C27&amp;"",tbl_Finance[Job Number],0)),"not invoiced yet"))</f>
        <v/>
      </c>
      <c r="J27" s="12" t="n">
        <v>46246</v>
      </c>
      <c r="K27" s="14" t="inlineStr">
        <is>
          <t>6093</t>
        </is>
      </c>
      <c r="L27" s="15">
        <f>IF(OR(K27="",set_RMSBase=""),"",HYPERLINK(set_RMSBase&amp;K27,"Open "&amp;K27))</f>
        <v/>
      </c>
      <c r="M27" s="15">
        <f>IF(C27="","",C27)</f>
        <v/>
      </c>
      <c r="N27" s="14" t="inlineStr">
        <is>
          <t>Y</t>
        </is>
      </c>
      <c r="O27" s="16" t="n">
        <v>1680</v>
      </c>
      <c r="P27" s="17">
        <f>IF(C27="","",H27+N(O27))</f>
        <v/>
      </c>
      <c r="Q27" s="54">
        <f>IFERROR(O27/P27,"")</f>
        <v/>
      </c>
      <c r="R27" s="16" t="n">
        <v>3111.2</v>
      </c>
      <c r="S27" s="16" t="n"/>
      <c r="T27" s="17">
        <f>IF(C27="","",N(R27)+N(S27))</f>
        <v/>
      </c>
      <c r="U27" s="17">
        <f>IF(C27="","",H27-T27)</f>
        <v/>
      </c>
      <c r="V27" s="54">
        <f>IFERROR(U27/H27,"")</f>
        <v/>
      </c>
      <c r="W27" s="53" t="n"/>
      <c r="X27" s="53" t="n"/>
      <c r="Y27" s="53" t="n"/>
      <c r="Z27" s="53" t="n"/>
      <c r="AA27" s="53" t="n">
        <v>16</v>
      </c>
      <c r="AB27" s="14" t="n"/>
    </row>
    <row r="28" ht="15" customHeight="1">
      <c r="A28" s="51">
        <f>IF(C28="","",IFERROR(IF(SUMPRODUCT(MAX((tbl_Finance[Job Number]=C28&amp;"")*tbl_Finance[Date]))=0,"",SUMPRODUCT(MAX((tbl_Finance[Job Number]=C28&amp;"")*tbl_Finance[Date]))),""))</f>
        <v/>
      </c>
      <c r="B28" s="15">
        <f>IF(A28="","",IFERROR(LOOKUP(2,1/((tbl_Finance[Job Number]=C28&amp;"")*(tbl_Finance[Date]=A28)),tbl_Finance[Xero Invoice No]),""))</f>
        <v/>
      </c>
      <c r="C28" s="14" t="inlineStr">
        <is>
          <t>2605401</t>
        </is>
      </c>
      <c r="D28" s="15">
        <f>IF(C28="","",IF(COUNTIF(lst_Jobs,C28&amp;"")&gt;0,"OK","CHECK"))</f>
        <v/>
      </c>
      <c r="E28" s="15">
        <f>IF(C28="","",IFERROR(INDEX(lst_JobName,MATCH(C28&amp;"",lst_Jobs,0)),""))</f>
        <v/>
      </c>
      <c r="F28" s="15">
        <f>IF(C28="","",IFERROR(INDEX(tbl_Finance[Client],MATCH(C28&amp;"",tbl_Finance[Job Number],0)),""))</f>
        <v/>
      </c>
      <c r="G28" s="52">
        <f>IF(C28="","",COUNTIFS(tbl_Finance[Job Number],C28&amp;"",tbl_Finance[Ex GST],"&lt;&gt;"))</f>
        <v/>
      </c>
      <c r="H28" s="17">
        <f>IF(C28="","",SUMIFS(tbl_Finance[Ex GST],tbl_Finance[Job Number],C28&amp;""))</f>
        <v/>
      </c>
      <c r="I28" s="15">
        <f>IF(C28="","",IFERROR(INDEX(tbl_Finance[Cost Centre],MATCH(C28&amp;"",tbl_Finance[Job Number],0)),"not invoiced yet"))</f>
        <v/>
      </c>
      <c r="J28" s="12" t="n">
        <v>46246</v>
      </c>
      <c r="K28" s="14" t="inlineStr">
        <is>
          <t>Proj: 0019</t>
        </is>
      </c>
      <c r="L28" s="15">
        <f>IF(OR(K28="",set_RMSBase=""),"",HYPERLINK(set_RMSBase&amp;K28,"Open "&amp;K28))</f>
        <v/>
      </c>
      <c r="M28" s="15">
        <f>IF(C28="","",C28)</f>
        <v/>
      </c>
      <c r="N28" s="14" t="inlineStr">
        <is>
          <t>Y</t>
        </is>
      </c>
      <c r="O28" s="16" t="n">
        <v>2351.5</v>
      </c>
      <c r="P28" s="17">
        <f>IF(C28="","",H28+N(O28))</f>
        <v/>
      </c>
      <c r="Q28" s="54">
        <f>IFERROR(O28/P28,"")</f>
        <v/>
      </c>
      <c r="R28" s="16" t="n">
        <v>3520.25</v>
      </c>
      <c r="S28" s="16" t="n"/>
      <c r="T28" s="17">
        <f>IF(C28="","",N(R28)+N(S28))</f>
        <v/>
      </c>
      <c r="U28" s="17">
        <f>IF(C28="","",H28-T28)</f>
        <v/>
      </c>
      <c r="V28" s="54">
        <f>IFERROR(U28/H28,"")</f>
        <v/>
      </c>
      <c r="W28" s="53" t="n"/>
      <c r="X28" s="53" t="n">
        <v>8</v>
      </c>
      <c r="Y28" s="53" t="n"/>
      <c r="Z28" s="53" t="n"/>
      <c r="AA28" s="53" t="n">
        <v>18</v>
      </c>
      <c r="AB28" s="14" t="n"/>
    </row>
    <row r="29" ht="15" customHeight="1">
      <c r="A29" s="51">
        <f>IF(C29="","",IFERROR(IF(SUMPRODUCT(MAX((tbl_Finance[Job Number]=C29&amp;"")*tbl_Finance[Date]))=0,"",SUMPRODUCT(MAX((tbl_Finance[Job Number]=C29&amp;"")*tbl_Finance[Date]))),""))</f>
        <v/>
      </c>
      <c r="B29" s="15">
        <f>IF(A29="","",IFERROR(LOOKUP(2,1/((tbl_Finance[Job Number]=C29&amp;"")*(tbl_Finance[Date]=A29)),tbl_Finance[Xero Invoice No]),""))</f>
        <v/>
      </c>
      <c r="C29" s="14" t="inlineStr">
        <is>
          <t>2605402</t>
        </is>
      </c>
      <c r="D29" s="15">
        <f>IF(C29="","",IF(COUNTIF(lst_Jobs,C29&amp;"")&gt;0,"OK","CHECK"))</f>
        <v/>
      </c>
      <c r="E29" s="15">
        <f>IF(C29="","",IFERROR(INDEX(lst_JobName,MATCH(C29&amp;"",lst_Jobs,0)),""))</f>
        <v/>
      </c>
      <c r="F29" s="15">
        <f>IF(C29="","",IFERROR(INDEX(tbl_Finance[Client],MATCH(C29&amp;"",tbl_Finance[Job Number],0)),""))</f>
        <v/>
      </c>
      <c r="G29" s="52">
        <f>IF(C29="","",COUNTIFS(tbl_Finance[Job Number],C29&amp;"",tbl_Finance[Ex GST],"&lt;&gt;"))</f>
        <v/>
      </c>
      <c r="H29" s="17">
        <f>IF(C29="","",SUMIFS(tbl_Finance[Ex GST],tbl_Finance[Job Number],C29&amp;""))</f>
        <v/>
      </c>
      <c r="I29" s="15">
        <f>IF(C29="","",IFERROR(INDEX(tbl_Finance[Cost Centre],MATCH(C29&amp;"",tbl_Finance[Job Number],0)),"not invoiced yet"))</f>
        <v/>
      </c>
      <c r="J29" s="12" t="n">
        <v>46246</v>
      </c>
      <c r="K29" s="14" t="inlineStr">
        <is>
          <t>Proj: 0019</t>
        </is>
      </c>
      <c r="L29" s="15">
        <f>IF(OR(K29="",set_RMSBase=""),"",HYPERLINK(set_RMSBase&amp;K29,"Open "&amp;K29))</f>
        <v/>
      </c>
      <c r="M29" s="15">
        <f>IF(C29="","",C29)</f>
        <v/>
      </c>
      <c r="N29" s="14" t="inlineStr">
        <is>
          <t>Y</t>
        </is>
      </c>
      <c r="O29" s="16" t="n">
        <v>1309.25</v>
      </c>
      <c r="P29" s="17">
        <f>IF(C29="","",H29+N(O29))</f>
        <v/>
      </c>
      <c r="Q29" s="54">
        <f>IFERROR(O29/P29,"")</f>
        <v/>
      </c>
      <c r="R29" s="16" t="n">
        <v>706.67</v>
      </c>
      <c r="S29" s="16" t="n"/>
      <c r="T29" s="17">
        <f>IF(C29="","",N(R29)+N(S29))</f>
        <v/>
      </c>
      <c r="U29" s="17">
        <f>IF(C29="","",H29-T29)</f>
        <v/>
      </c>
      <c r="V29" s="54">
        <f>IFERROR(U29/H29,"")</f>
        <v/>
      </c>
      <c r="W29" s="53" t="n">
        <v>4</v>
      </c>
      <c r="X29" s="53" t="n"/>
      <c r="Y29" s="53" t="n"/>
      <c r="Z29" s="53" t="n"/>
      <c r="AA29" s="53" t="n">
        <v>31</v>
      </c>
      <c r="AB29" s="14" t="n"/>
    </row>
    <row r="30" ht="15" customHeight="1">
      <c r="A30" s="51">
        <f>IF(C30="","",IFERROR(IF(SUMPRODUCT(MAX((tbl_Finance[Job Number]=C30&amp;"")*tbl_Finance[Date]))=0,"",SUMPRODUCT(MAX((tbl_Finance[Job Number]=C30&amp;"")*tbl_Finance[Date]))),""))</f>
        <v/>
      </c>
      <c r="B30" s="15">
        <f>IF(A30="","",IFERROR(LOOKUP(2,1/((tbl_Finance[Job Number]=C30&amp;"")*(tbl_Finance[Date]=A30)),tbl_Finance[Xero Invoice No]),""))</f>
        <v/>
      </c>
      <c r="C30" s="14" t="inlineStr">
        <is>
          <t>2608604</t>
        </is>
      </c>
      <c r="D30" s="15">
        <f>IF(C30="","",IF(COUNTIF(lst_Jobs,C30&amp;"")&gt;0,"OK","CHECK"))</f>
        <v/>
      </c>
      <c r="E30" s="15">
        <f>IF(C30="","",IFERROR(INDEX(lst_JobName,MATCH(C30&amp;"",lst_Jobs,0)),""))</f>
        <v/>
      </c>
      <c r="F30" s="15">
        <f>IF(C30="","",IFERROR(INDEX(tbl_Finance[Client],MATCH(C30&amp;"",tbl_Finance[Job Number],0)),""))</f>
        <v/>
      </c>
      <c r="G30" s="52">
        <f>IF(C30="","",COUNTIFS(tbl_Finance[Job Number],C30&amp;"",tbl_Finance[Ex GST],"&lt;&gt;"))</f>
        <v/>
      </c>
      <c r="H30" s="17">
        <f>IF(C30="","",SUMIFS(tbl_Finance[Ex GST],tbl_Finance[Job Number],C30&amp;""))</f>
        <v/>
      </c>
      <c r="I30" s="15">
        <f>IF(C30="","",IFERROR(INDEX(tbl_Finance[Cost Centre],MATCH(C30&amp;"",tbl_Finance[Job Number],0)),"not invoiced yet"))</f>
        <v/>
      </c>
      <c r="J30" s="12" t="n">
        <v>46247</v>
      </c>
      <c r="K30" s="14" t="inlineStr">
        <is>
          <t>6138</t>
        </is>
      </c>
      <c r="L30" s="15">
        <f>IF(OR(K30="",set_RMSBase=""),"",HYPERLINK(set_RMSBase&amp;K30,"Open "&amp;K30))</f>
        <v/>
      </c>
      <c r="M30" s="15">
        <f>IF(C30="","",C30)</f>
        <v/>
      </c>
      <c r="N30" s="14" t="inlineStr">
        <is>
          <t>Y</t>
        </is>
      </c>
      <c r="O30" s="16" t="n">
        <v>25</v>
      </c>
      <c r="P30" s="17">
        <f>IF(C30="","",H30+N(O30))</f>
        <v/>
      </c>
      <c r="Q30" s="54">
        <f>IFERROR(O30/P30,"")</f>
        <v/>
      </c>
      <c r="R30" s="16" t="n"/>
      <c r="S30" s="16" t="n"/>
      <c r="T30" s="17">
        <f>IF(C30="","",N(R30)+N(S30))</f>
        <v/>
      </c>
      <c r="U30" s="17">
        <f>IF(C30="","",H30-T30)</f>
        <v/>
      </c>
      <c r="V30" s="54">
        <f>IFERROR(U30/H30,"")</f>
        <v/>
      </c>
      <c r="W30" s="53" t="n">
        <v>4</v>
      </c>
      <c r="X30" s="53" t="n"/>
      <c r="Y30" s="53" t="n">
        <v>2</v>
      </c>
      <c r="Z30" s="53" t="n"/>
      <c r="AA30" s="53" t="n">
        <v>6</v>
      </c>
      <c r="AB30" s="14" t="n"/>
    </row>
    <row r="31" ht="15" customHeight="1">
      <c r="A31" s="51">
        <f>IF(C31="","",IFERROR(IF(SUMPRODUCT(MAX((tbl_Finance[Job Number]=C31&amp;"")*tbl_Finance[Date]))=0,"",SUMPRODUCT(MAX((tbl_Finance[Job Number]=C31&amp;"")*tbl_Finance[Date]))),""))</f>
        <v/>
      </c>
      <c r="B31" s="15">
        <f>IF(A31="","",IFERROR(LOOKUP(2,1/((tbl_Finance[Job Number]=C31&amp;"")*(tbl_Finance[Date]=A31)),tbl_Finance[Xero Invoice No]),""))</f>
        <v/>
      </c>
      <c r="C31" s="14" t="inlineStr">
        <is>
          <t>26052702</t>
        </is>
      </c>
      <c r="D31" s="15">
        <f>IF(C31="","",IF(COUNTIF(lst_Jobs,C31&amp;"")&gt;0,"OK","CHECK"))</f>
        <v/>
      </c>
      <c r="E31" s="15">
        <f>IF(C31="","",IFERROR(INDEX(lst_JobName,MATCH(C31&amp;"",lst_Jobs,0)),""))</f>
        <v/>
      </c>
      <c r="F31" s="15">
        <f>IF(C31="","",IFERROR(INDEX(tbl_Finance[Client],MATCH(C31&amp;"",tbl_Finance[Job Number],0)),""))</f>
        <v/>
      </c>
      <c r="G31" s="52">
        <f>IF(C31="","",COUNTIFS(tbl_Finance[Job Number],C31&amp;"",tbl_Finance[Ex GST],"&lt;&gt;"))</f>
        <v/>
      </c>
      <c r="H31" s="17">
        <f>IF(C31="","",SUMIFS(tbl_Finance[Ex GST],tbl_Finance[Job Number],C31&amp;""))</f>
        <v/>
      </c>
      <c r="I31" s="15">
        <f>IF(C31="","",IFERROR(INDEX(tbl_Finance[Cost Centre],MATCH(C31&amp;"",tbl_Finance[Job Number],0)),"not invoiced yet"))</f>
        <v/>
      </c>
      <c r="J31" s="12" t="n">
        <v>46247</v>
      </c>
      <c r="K31" s="14" t="inlineStr">
        <is>
          <t>6045</t>
        </is>
      </c>
      <c r="L31" s="15">
        <f>IF(OR(K31="",set_RMSBase=""),"",HYPERLINK(set_RMSBase&amp;K31,"Open "&amp;K31))</f>
        <v/>
      </c>
      <c r="M31" s="15">
        <f>IF(C31="","",C31)</f>
        <v/>
      </c>
      <c r="N31" s="14" t="inlineStr">
        <is>
          <t>Y</t>
        </is>
      </c>
      <c r="O31" s="16" t="n">
        <v>2181</v>
      </c>
      <c r="P31" s="17">
        <f>IF(C31="","",H31+N(O31))</f>
        <v/>
      </c>
      <c r="Q31" s="54">
        <f>IFERROR(O31/P31,"")</f>
        <v/>
      </c>
      <c r="R31" s="16" t="n">
        <v>5005.78</v>
      </c>
      <c r="S31" s="16" t="n"/>
      <c r="T31" s="17">
        <f>IF(C31="","",N(R31)+N(S31))</f>
        <v/>
      </c>
      <c r="U31" s="17">
        <f>IF(C31="","",H31-T31)</f>
        <v/>
      </c>
      <c r="V31" s="54">
        <f>IFERROR(U31/H31,"")</f>
        <v/>
      </c>
      <c r="W31" s="53" t="n"/>
      <c r="X31" s="53" t="n"/>
      <c r="Y31" s="53" t="n">
        <v>6</v>
      </c>
      <c r="Z31" s="53" t="n"/>
      <c r="AA31" s="53" t="n">
        <v>78</v>
      </c>
      <c r="AB31" s="14" t="n"/>
    </row>
    <row r="32" ht="15" customHeight="1">
      <c r="A32" s="51">
        <f>IF(C32="","",IFERROR(IF(SUMPRODUCT(MAX((tbl_Finance[Job Number]=C32&amp;"")*tbl_Finance[Date]))=0,"",SUMPRODUCT(MAX((tbl_Finance[Job Number]=C32&amp;"")*tbl_Finance[Date]))),""))</f>
        <v/>
      </c>
      <c r="B32" s="15">
        <f>IF(A32="","",IFERROR(LOOKUP(2,1/((tbl_Finance[Job Number]=C32&amp;"")*(tbl_Finance[Date]=A32)),tbl_Finance[Xero Invoice No]),""))</f>
        <v/>
      </c>
      <c r="C32" s="14" t="inlineStr">
        <is>
          <t>26072906</t>
        </is>
      </c>
      <c r="D32" s="15">
        <f>IF(C32="","",IF(COUNTIF(lst_Jobs,C32&amp;"")&gt;0,"OK","CHECK"))</f>
        <v/>
      </c>
      <c r="E32" s="15">
        <f>IF(C32="","",IFERROR(INDEX(lst_JobName,MATCH(C32&amp;"",lst_Jobs,0)),""))</f>
        <v/>
      </c>
      <c r="F32" s="15">
        <f>IF(C32="","",IFERROR(INDEX(tbl_Finance[Client],MATCH(C32&amp;"",tbl_Finance[Job Number],0)),""))</f>
        <v/>
      </c>
      <c r="G32" s="52">
        <f>IF(C32="","",COUNTIFS(tbl_Finance[Job Number],C32&amp;"",tbl_Finance[Ex GST],"&lt;&gt;"))</f>
        <v/>
      </c>
      <c r="H32" s="17">
        <f>IF(C32="","",SUMIFS(tbl_Finance[Ex GST],tbl_Finance[Job Number],C32&amp;""))</f>
        <v/>
      </c>
      <c r="I32" s="15">
        <f>IF(C32="","",IFERROR(INDEX(tbl_Finance[Cost Centre],MATCH(C32&amp;"",tbl_Finance[Job Number],0)),"not invoiced yet"))</f>
        <v/>
      </c>
      <c r="J32" s="12" t="n">
        <v>46252</v>
      </c>
      <c r="K32" s="14" t="inlineStr">
        <is>
          <t>6130</t>
        </is>
      </c>
      <c r="L32" s="15">
        <f>IF(OR(K32="",set_RMSBase=""),"",HYPERLINK(set_RMSBase&amp;K32,"Open "&amp;K32))</f>
        <v/>
      </c>
      <c r="M32" s="15">
        <f>IF(C32="","",C32)</f>
        <v/>
      </c>
      <c r="N32" s="14" t="inlineStr">
        <is>
          <t>Y</t>
        </is>
      </c>
      <c r="O32" s="16" t="n">
        <v>148.8</v>
      </c>
      <c r="P32" s="17">
        <f>IF(C32="","",H32+N(O32))</f>
        <v/>
      </c>
      <c r="Q32" s="54">
        <f>IFERROR(O32/P32,"")</f>
        <v/>
      </c>
      <c r="R32" s="16" t="n"/>
      <c r="S32" s="16" t="n"/>
      <c r="T32" s="17">
        <f>IF(C32="","",N(R32)+N(S32))</f>
        <v/>
      </c>
      <c r="U32" s="17">
        <f>IF(C32="","",H32-T32)</f>
        <v/>
      </c>
      <c r="V32" s="54">
        <f>IFERROR(U32/H32,"")</f>
        <v/>
      </c>
      <c r="W32" s="53" t="n">
        <v>8</v>
      </c>
      <c r="X32" s="53" t="n">
        <v>8</v>
      </c>
      <c r="Y32" s="53" t="n"/>
      <c r="Z32" s="53" t="n"/>
      <c r="AA32" s="53" t="n">
        <v>8</v>
      </c>
      <c r="AB32" s="14" t="n"/>
    </row>
    <row r="33" ht="15" customHeight="1">
      <c r="A33" s="51">
        <f>IF(C33="","",IFERROR(IF(SUMPRODUCT(MAX((tbl_Finance[Job Number]=C33&amp;"")*tbl_Finance[Date]))=0,"",SUMPRODUCT(MAX((tbl_Finance[Job Number]=C33&amp;"")*tbl_Finance[Date]))),""))</f>
        <v/>
      </c>
      <c r="B33" s="15">
        <f>IF(A33="","",IFERROR(LOOKUP(2,1/((tbl_Finance[Job Number]=C33&amp;"")*(tbl_Finance[Date]=A33)),tbl_Finance[Xero Invoice No]),""))</f>
        <v/>
      </c>
      <c r="C33" s="14" t="inlineStr">
        <is>
          <t>2603104</t>
        </is>
      </c>
      <c r="D33" s="15">
        <f>IF(C33="","",IF(COUNTIF(lst_Jobs,C33&amp;"")&gt;0,"OK","CHECK"))</f>
        <v/>
      </c>
      <c r="E33" s="15">
        <f>IF(C33="","",IFERROR(INDEX(lst_JobName,MATCH(C33&amp;"",lst_Jobs,0)),""))</f>
        <v/>
      </c>
      <c r="F33" s="15">
        <f>IF(C33="","",IFERROR(INDEX(tbl_Finance[Client],MATCH(C33&amp;"",tbl_Finance[Job Number],0)),""))</f>
        <v/>
      </c>
      <c r="G33" s="52">
        <f>IF(C33="","",COUNTIFS(tbl_Finance[Job Number],C33&amp;"",tbl_Finance[Ex GST],"&lt;&gt;"))</f>
        <v/>
      </c>
      <c r="H33" s="17">
        <f>IF(C33="","",SUMIFS(tbl_Finance[Ex GST],tbl_Finance[Job Number],C33&amp;""))</f>
        <v/>
      </c>
      <c r="I33" s="15">
        <f>IF(C33="","",IFERROR(INDEX(tbl_Finance[Cost Centre],MATCH(C33&amp;"",tbl_Finance[Job Number],0)),"not invoiced yet"))</f>
        <v/>
      </c>
      <c r="J33" s="12" t="n">
        <v>46252</v>
      </c>
      <c r="K33" s="14" t="inlineStr">
        <is>
          <t>6091</t>
        </is>
      </c>
      <c r="L33" s="15">
        <f>IF(OR(K33="",set_RMSBase=""),"",HYPERLINK(set_RMSBase&amp;K33,"Open "&amp;K33))</f>
        <v/>
      </c>
      <c r="M33" s="15">
        <f>IF(C33="","",C33)</f>
        <v/>
      </c>
      <c r="N33" s="14" t="inlineStr">
        <is>
          <t>Y</t>
        </is>
      </c>
      <c r="O33" s="16" t="n">
        <v>2984.5</v>
      </c>
      <c r="P33" s="17">
        <f>IF(C33="","",H33+N(O33))</f>
        <v/>
      </c>
      <c r="Q33" s="54">
        <f>IFERROR(O33/P33,"")</f>
        <v/>
      </c>
      <c r="R33" s="16" t="n">
        <v>2166.76</v>
      </c>
      <c r="S33" s="16" t="n"/>
      <c r="T33" s="17">
        <f>IF(C33="","",N(R33)+N(S33))</f>
        <v/>
      </c>
      <c r="U33" s="17">
        <f>IF(C33="","",H33-T33)</f>
        <v/>
      </c>
      <c r="V33" s="54">
        <f>IFERROR(U33/H33,"")</f>
        <v/>
      </c>
      <c r="W33" s="53" t="n">
        <v>8</v>
      </c>
      <c r="X33" s="53" t="n"/>
      <c r="Y33" s="53" t="n"/>
      <c r="Z33" s="53" t="n"/>
      <c r="AA33" s="53" t="n">
        <v>18</v>
      </c>
      <c r="AB33" s="14" t="n"/>
    </row>
    <row r="34" ht="15" customHeight="1">
      <c r="A34" s="51">
        <f>IF(C34="","",IFERROR(IF(SUMPRODUCT(MAX((tbl_Finance[Job Number]=C34&amp;"")*tbl_Finance[Date]))=0,"",SUMPRODUCT(MAX((tbl_Finance[Job Number]=C34&amp;"")*tbl_Finance[Date]))),""))</f>
        <v/>
      </c>
      <c r="B34" s="15">
        <f>IF(A34="","",IFERROR(LOOKUP(2,1/((tbl_Finance[Job Number]=C34&amp;"")*(tbl_Finance[Date]=A34)),tbl_Finance[Xero Invoice No]),""))</f>
        <v/>
      </c>
      <c r="C34" s="14" t="inlineStr">
        <is>
          <t>26072802</t>
        </is>
      </c>
      <c r="D34" s="15">
        <f>IF(C34="","",IF(COUNTIF(lst_Jobs,C34&amp;"")&gt;0,"OK","CHECK"))</f>
        <v/>
      </c>
      <c r="E34" s="15">
        <f>IF(C34="","",IFERROR(INDEX(lst_JobName,MATCH(C34&amp;"",lst_Jobs,0)),""))</f>
        <v/>
      </c>
      <c r="F34" s="15">
        <f>IF(C34="","",IFERROR(INDEX(tbl_Finance[Client],MATCH(C34&amp;"",tbl_Finance[Job Number],0)),""))</f>
        <v/>
      </c>
      <c r="G34" s="52">
        <f>IF(C34="","",COUNTIFS(tbl_Finance[Job Number],C34&amp;"",tbl_Finance[Ex GST],"&lt;&gt;"))</f>
        <v/>
      </c>
      <c r="H34" s="17">
        <f>IF(C34="","",SUMIFS(tbl_Finance[Ex GST],tbl_Finance[Job Number],C34&amp;""))</f>
        <v/>
      </c>
      <c r="I34" s="15">
        <f>IF(C34="","",IFERROR(INDEX(tbl_Finance[Cost Centre],MATCH(C34&amp;"",tbl_Finance[Job Number],0)),"not invoiced yet"))</f>
        <v/>
      </c>
      <c r="J34" s="12" t="n">
        <v>46252</v>
      </c>
      <c r="K34" s="14" t="inlineStr">
        <is>
          <t>6131</t>
        </is>
      </c>
      <c r="L34" s="15">
        <f>IF(OR(K34="",set_RMSBase=""),"",HYPERLINK(set_RMSBase&amp;K34,"Open "&amp;K34))</f>
        <v/>
      </c>
      <c r="M34" s="15">
        <f>IF(C34="","",C34)</f>
        <v/>
      </c>
      <c r="N34" s="14" t="inlineStr">
        <is>
          <t>Y</t>
        </is>
      </c>
      <c r="O34" s="16" t="n">
        <v>95</v>
      </c>
      <c r="P34" s="17">
        <f>IF(C34="","",H34+N(O34))</f>
        <v/>
      </c>
      <c r="Q34" s="54">
        <f>IFERROR(O34/P34,"")</f>
        <v/>
      </c>
      <c r="R34" s="16" t="n"/>
      <c r="S34" s="16" t="n"/>
      <c r="T34" s="17">
        <f>IF(C34="","",N(R34)+N(S34))</f>
        <v/>
      </c>
      <c r="U34" s="17">
        <f>IF(C34="","",H34-T34)</f>
        <v/>
      </c>
      <c r="V34" s="54">
        <f>IFERROR(U34/H34,"")</f>
        <v/>
      </c>
      <c r="W34" s="53" t="n"/>
      <c r="X34" s="53" t="n"/>
      <c r="Y34" s="53" t="n"/>
      <c r="Z34" s="53" t="n"/>
      <c r="AA34" s="53" t="n">
        <v>6.5</v>
      </c>
      <c r="AB34" s="14" t="n"/>
    </row>
    <row r="35" ht="15" customHeight="1">
      <c r="A35" s="51">
        <f>IF(C35="","",IFERROR(IF(SUMPRODUCT(MAX((tbl_Finance[Job Number]=C35&amp;"")*tbl_Finance[Date]))=0,"",SUMPRODUCT(MAX((tbl_Finance[Job Number]=C35&amp;"")*tbl_Finance[Date]))),""))</f>
        <v/>
      </c>
      <c r="B35" s="15">
        <f>IF(A35="","",IFERROR(LOOKUP(2,1/((tbl_Finance[Job Number]=C35&amp;"")*(tbl_Finance[Date]=A35)),tbl_Finance[Xero Invoice No]),""))</f>
        <v/>
      </c>
      <c r="C35" s="14" t="inlineStr">
        <is>
          <t>26081402</t>
        </is>
      </c>
      <c r="D35" s="15">
        <f>IF(C35="","",IF(COUNTIF(lst_Jobs,C35&amp;"")&gt;0,"OK","CHECK"))</f>
        <v/>
      </c>
      <c r="E35" s="15">
        <f>IF(C35="","",IFERROR(INDEX(lst_JobName,MATCH(C35&amp;"",lst_Jobs,0)),""))</f>
        <v/>
      </c>
      <c r="F35" s="15">
        <f>IF(C35="","",IFERROR(INDEX(tbl_Finance[Client],MATCH(C35&amp;"",tbl_Finance[Job Number],0)),""))</f>
        <v/>
      </c>
      <c r="G35" s="52">
        <f>IF(C35="","",COUNTIFS(tbl_Finance[Job Number],C35&amp;"",tbl_Finance[Ex GST],"&lt;&gt;"))</f>
        <v/>
      </c>
      <c r="H35" s="17">
        <f>IF(C35="","",SUMIFS(tbl_Finance[Ex GST],tbl_Finance[Job Number],C35&amp;""))</f>
        <v/>
      </c>
      <c r="I35" s="15">
        <f>IF(C35="","",IFERROR(INDEX(tbl_Finance[Cost Centre],MATCH(C35&amp;"",tbl_Finance[Job Number],0)),"not invoiced yet"))</f>
        <v/>
      </c>
      <c r="J35" s="12" t="n">
        <v>46253</v>
      </c>
      <c r="K35" s="14" t="inlineStr">
        <is>
          <t>6153</t>
        </is>
      </c>
      <c r="L35" s="15">
        <f>IF(OR(K35="",set_RMSBase=""),"",HYPERLINK(set_RMSBase&amp;K35,"Open "&amp;K35))</f>
        <v/>
      </c>
      <c r="M35" s="15">
        <f>IF(C35="","",C35)</f>
        <v/>
      </c>
      <c r="N35" s="14" t="inlineStr">
        <is>
          <t>Y</t>
        </is>
      </c>
      <c r="O35" s="16" t="n"/>
      <c r="P35" s="17">
        <f>IF(C35="","",H35+N(O35))</f>
        <v/>
      </c>
      <c r="Q35" s="54">
        <f>IFERROR(O35/P35,"")</f>
        <v/>
      </c>
      <c r="R35" s="16" t="n"/>
      <c r="S35" s="16" t="n"/>
      <c r="T35" s="17">
        <f>IF(C35="","",N(R35)+N(S35))</f>
        <v/>
      </c>
      <c r="U35" s="17">
        <f>IF(C35="","",H35-T35)</f>
        <v/>
      </c>
      <c r="V35" s="54">
        <f>IFERROR(U35/H35,"")</f>
        <v/>
      </c>
      <c r="W35" s="53" t="n"/>
      <c r="X35" s="53" t="n"/>
      <c r="Y35" s="53" t="n"/>
      <c r="Z35" s="53" t="n"/>
      <c r="AA35" s="53" t="n">
        <v>4</v>
      </c>
      <c r="AB35" s="14" t="n"/>
    </row>
    <row r="36" ht="15" customHeight="1">
      <c r="A36" s="51">
        <f>IF(C36="","",IFERROR(IF(SUMPRODUCT(MAX((tbl_Finance[Job Number]=C36&amp;"")*tbl_Finance[Date]))=0,"",SUMPRODUCT(MAX((tbl_Finance[Job Number]=C36&amp;"")*tbl_Finance[Date]))),""))</f>
        <v/>
      </c>
      <c r="B36" s="15">
        <f>IF(A36="","",IFERROR(LOOKUP(2,1/((tbl_Finance[Job Number]=C36&amp;"")*(tbl_Finance[Date]=A36)),tbl_Finance[Xero Invoice No]),""))</f>
        <v/>
      </c>
      <c r="C36" s="14" t="inlineStr">
        <is>
          <t>26061106</t>
        </is>
      </c>
      <c r="D36" s="15">
        <f>IF(C36="","",IF(COUNTIF(lst_Jobs,C36&amp;"")&gt;0,"OK","CHECK"))</f>
        <v/>
      </c>
      <c r="E36" s="15">
        <f>IF(C36="","",IFERROR(INDEX(lst_JobName,MATCH(C36&amp;"",lst_Jobs,0)),""))</f>
        <v/>
      </c>
      <c r="F36" s="15">
        <f>IF(C36="","",IFERROR(INDEX(tbl_Finance[Client],MATCH(C36&amp;"",tbl_Finance[Job Number],0)),""))</f>
        <v/>
      </c>
      <c r="G36" s="52">
        <f>IF(C36="","",COUNTIFS(tbl_Finance[Job Number],C36&amp;"",tbl_Finance[Ex GST],"&lt;&gt;"))</f>
        <v/>
      </c>
      <c r="H36" s="17">
        <f>IF(C36="","",SUMIFS(tbl_Finance[Ex GST],tbl_Finance[Job Number],C36&amp;""))</f>
        <v/>
      </c>
      <c r="I36" s="15">
        <f>IF(C36="","",IFERROR(INDEX(tbl_Finance[Cost Centre],MATCH(C36&amp;"",tbl_Finance[Job Number],0)),"not invoiced yet"))</f>
        <v/>
      </c>
      <c r="J36" s="12" t="n">
        <v>46253</v>
      </c>
      <c r="K36" s="14" t="inlineStr">
        <is>
          <t>5853</t>
        </is>
      </c>
      <c r="L36" s="15">
        <f>IF(OR(K36="",set_RMSBase=""),"",HYPERLINK(set_RMSBase&amp;K36,"Open "&amp;K36))</f>
        <v/>
      </c>
      <c r="M36" s="15">
        <f>IF(C36="","",C36)</f>
        <v/>
      </c>
      <c r="N36" s="14" t="inlineStr">
        <is>
          <t>Y</t>
        </is>
      </c>
      <c r="O36" s="16" t="n">
        <v>611.5</v>
      </c>
      <c r="P36" s="17">
        <f>IF(C36="","",H36+N(O36))</f>
        <v/>
      </c>
      <c r="Q36" s="54">
        <f>IFERROR(O36/P36,"")</f>
        <v/>
      </c>
      <c r="R36" s="16" t="n">
        <v>4272.26</v>
      </c>
      <c r="S36" s="16" t="n"/>
      <c r="T36" s="17">
        <f>IF(C36="","",N(R36)+N(S36))</f>
        <v/>
      </c>
      <c r="U36" s="17">
        <f>IF(C36="","",H36-T36)</f>
        <v/>
      </c>
      <c r="V36" s="54">
        <f>IFERROR(U36/H36,"")</f>
        <v/>
      </c>
      <c r="W36" s="53" t="n"/>
      <c r="X36" s="53" t="n">
        <v>4</v>
      </c>
      <c r="Y36" s="53" t="n">
        <v>2</v>
      </c>
      <c r="Z36" s="53" t="n"/>
      <c r="AA36" s="53" t="n">
        <v>25</v>
      </c>
      <c r="AB36" s="14" t="n"/>
    </row>
    <row r="37" ht="15" customHeight="1">
      <c r="A37" s="51">
        <f>IF(C37="","",IFERROR(IF(SUMPRODUCT(MAX((tbl_Finance[Job Number]=C37&amp;"")*tbl_Finance[Date]))=0,"",SUMPRODUCT(MAX((tbl_Finance[Job Number]=C37&amp;"")*tbl_Finance[Date]))),""))</f>
        <v/>
      </c>
      <c r="B37" s="15">
        <f>IF(A37="","",IFERROR(LOOKUP(2,1/((tbl_Finance[Job Number]=C37&amp;"")*(tbl_Finance[Date]=A37)),tbl_Finance[Xero Invoice No]),""))</f>
        <v/>
      </c>
      <c r="C37" s="14" t="inlineStr">
        <is>
          <t>26061107</t>
        </is>
      </c>
      <c r="D37" s="15">
        <f>IF(C37="","",IF(COUNTIF(lst_Jobs,C37&amp;"")&gt;0,"OK","CHECK"))</f>
        <v/>
      </c>
      <c r="E37" s="15">
        <f>IF(C37="","",IFERROR(INDEX(lst_JobName,MATCH(C37&amp;"",lst_Jobs,0)),""))</f>
        <v/>
      </c>
      <c r="F37" s="15">
        <f>IF(C37="","",IFERROR(INDEX(tbl_Finance[Client],MATCH(C37&amp;"",tbl_Finance[Job Number],0)),""))</f>
        <v/>
      </c>
      <c r="G37" s="52">
        <f>IF(C37="","",COUNTIFS(tbl_Finance[Job Number],C37&amp;"",tbl_Finance[Ex GST],"&lt;&gt;"))</f>
        <v/>
      </c>
      <c r="H37" s="17">
        <f>IF(C37="","",SUMIFS(tbl_Finance[Ex GST],tbl_Finance[Job Number],C37&amp;""))</f>
        <v/>
      </c>
      <c r="I37" s="15">
        <f>IF(C37="","",IFERROR(INDEX(tbl_Finance[Cost Centre],MATCH(C37&amp;"",tbl_Finance[Job Number],0)),"not invoiced yet"))</f>
        <v/>
      </c>
      <c r="J37" s="12" t="n">
        <v>46254</v>
      </c>
      <c r="K37" s="14" t="inlineStr">
        <is>
          <t>6092</t>
        </is>
      </c>
      <c r="L37" s="15">
        <f>IF(OR(K37="",set_RMSBase=""),"",HYPERLINK(set_RMSBase&amp;K37,"Open "&amp;K37))</f>
        <v/>
      </c>
      <c r="M37" s="15">
        <f>IF(C37="","",C37)</f>
        <v/>
      </c>
      <c r="N37" s="14" t="inlineStr">
        <is>
          <t>Y</t>
        </is>
      </c>
      <c r="O37" s="16" t="n">
        <v>885.75</v>
      </c>
      <c r="P37" s="17">
        <f>IF(C37="","",H37+N(O37))</f>
        <v/>
      </c>
      <c r="Q37" s="54">
        <f>IFERROR(O37/P37,"")</f>
        <v/>
      </c>
      <c r="R37" s="16" t="n">
        <v>1221.04</v>
      </c>
      <c r="S37" s="16" t="n"/>
      <c r="T37" s="17">
        <f>IF(C37="","",N(R37)+N(S37))</f>
        <v/>
      </c>
      <c r="U37" s="17">
        <f>IF(C37="","",H37-T37)</f>
        <v/>
      </c>
      <c r="V37" s="54">
        <f>IFERROR(U37/H37,"")</f>
        <v/>
      </c>
      <c r="W37" s="53" t="n"/>
      <c r="X37" s="53" t="n"/>
      <c r="Y37" s="53" t="n">
        <v>3</v>
      </c>
      <c r="Z37" s="53" t="n"/>
      <c r="AA37" s="53" t="n">
        <v>18</v>
      </c>
      <c r="AB37" s="14" t="n"/>
    </row>
    <row r="38" ht="15" customHeight="1">
      <c r="A38" s="51">
        <f>IF(C38="","",IFERROR(IF(SUMPRODUCT(MAX((tbl_Finance[Job Number]=C38&amp;"")*tbl_Finance[Date]))=0,"",SUMPRODUCT(MAX((tbl_Finance[Job Number]=C38&amp;"")*tbl_Finance[Date]))),""))</f>
        <v/>
      </c>
      <c r="B38" s="15">
        <f>IF(A38="","",IFERROR(LOOKUP(2,1/((tbl_Finance[Job Number]=C38&amp;"")*(tbl_Finance[Date]=A38)),tbl_Finance[Xero Invoice No]),""))</f>
        <v/>
      </c>
      <c r="C38" s="14" t="inlineStr">
        <is>
          <t>26073110</t>
        </is>
      </c>
      <c r="D38" s="15">
        <f>IF(C38="","",IF(COUNTIF(lst_Jobs,C38&amp;"")&gt;0,"OK","CHECK"))</f>
        <v/>
      </c>
      <c r="E38" s="15">
        <f>IF(C38="","",IFERROR(INDEX(lst_JobName,MATCH(C38&amp;"",lst_Jobs,0)),""))</f>
        <v/>
      </c>
      <c r="F38" s="15">
        <f>IF(C38="","",IFERROR(INDEX(tbl_Finance[Client],MATCH(C38&amp;"",tbl_Finance[Job Number],0)),""))</f>
        <v/>
      </c>
      <c r="G38" s="52">
        <f>IF(C38="","",COUNTIFS(tbl_Finance[Job Number],C38&amp;"",tbl_Finance[Ex GST],"&lt;&gt;"))</f>
        <v/>
      </c>
      <c r="H38" s="17">
        <f>IF(C38="","",SUMIFS(tbl_Finance[Ex GST],tbl_Finance[Job Number],C38&amp;""))</f>
        <v/>
      </c>
      <c r="I38" s="15">
        <f>IF(C38="","",IFERROR(INDEX(tbl_Finance[Cost Centre],MATCH(C38&amp;"",tbl_Finance[Job Number],0)),"not invoiced yet"))</f>
        <v/>
      </c>
      <c r="J38" s="12" t="n">
        <v>46254</v>
      </c>
      <c r="K38" s="14" t="inlineStr">
        <is>
          <t>6117</t>
        </is>
      </c>
      <c r="L38" s="15">
        <f>IF(OR(K38="",set_RMSBase=""),"",HYPERLINK(set_RMSBase&amp;K38,"Open "&amp;K38))</f>
        <v/>
      </c>
      <c r="M38" s="15">
        <f>IF(C38="","",C38)</f>
        <v/>
      </c>
      <c r="N38" s="14" t="inlineStr">
        <is>
          <t>Y</t>
        </is>
      </c>
      <c r="O38" s="16" t="n"/>
      <c r="P38" s="17">
        <f>IF(C38="","",H38+N(O38))</f>
        <v/>
      </c>
      <c r="Q38" s="54">
        <f>IFERROR(O38/P38,"")</f>
        <v/>
      </c>
      <c r="R38" s="16" t="n"/>
      <c r="S38" s="16" t="n"/>
      <c r="T38" s="17">
        <f>IF(C38="","",N(R38)+N(S38))</f>
        <v/>
      </c>
      <c r="U38" s="17">
        <f>IF(C38="","",H38-T38)</f>
        <v/>
      </c>
      <c r="V38" s="54">
        <f>IFERROR(U38/H38,"")</f>
        <v/>
      </c>
      <c r="W38" s="53" t="n"/>
      <c r="X38" s="53" t="n"/>
      <c r="Y38" s="53" t="n">
        <v>1</v>
      </c>
      <c r="Z38" s="53" t="n"/>
      <c r="AA38" s="53" t="n">
        <v>8</v>
      </c>
      <c r="AB38" s="14" t="n"/>
    </row>
    <row r="39" ht="15" customHeight="1">
      <c r="A39" s="51">
        <f>IF(C39="","",IFERROR(IF(SUMPRODUCT(MAX((tbl_Finance[Job Number]=C39&amp;"")*tbl_Finance[Date]))=0,"",SUMPRODUCT(MAX((tbl_Finance[Job Number]=C39&amp;"")*tbl_Finance[Date]))),""))</f>
        <v/>
      </c>
      <c r="B39" s="15">
        <f>IF(A39="","",IFERROR(LOOKUP(2,1/((tbl_Finance[Job Number]=C39&amp;"")*(tbl_Finance[Date]=A39)),tbl_Finance[Xero Invoice No]),""))</f>
        <v/>
      </c>
      <c r="C39" s="14" t="inlineStr">
        <is>
          <t>25121208</t>
        </is>
      </c>
      <c r="D39" s="15">
        <f>IF(C39="","",IF(COUNTIF(lst_Jobs,C39&amp;"")&gt;0,"OK","CHECK"))</f>
        <v/>
      </c>
      <c r="E39" s="15">
        <f>IF(C39="","",IFERROR(INDEX(lst_JobName,MATCH(C39&amp;"",lst_Jobs,0)),""))</f>
        <v/>
      </c>
      <c r="F39" s="15">
        <f>IF(C39="","",IFERROR(INDEX(tbl_Finance[Client],MATCH(C39&amp;"",tbl_Finance[Job Number],0)),""))</f>
        <v/>
      </c>
      <c r="G39" s="52">
        <f>IF(C39="","",COUNTIFS(tbl_Finance[Job Number],C39&amp;"",tbl_Finance[Ex GST],"&lt;&gt;"))</f>
        <v/>
      </c>
      <c r="H39" s="17">
        <f>IF(C39="","",SUMIFS(tbl_Finance[Ex GST],tbl_Finance[Job Number],C39&amp;""))</f>
        <v/>
      </c>
      <c r="I39" s="15">
        <f>IF(C39="","",IFERROR(INDEX(tbl_Finance[Cost Centre],MATCH(C39&amp;"",tbl_Finance[Job Number],0)),"not invoiced yet"))</f>
        <v/>
      </c>
      <c r="J39" s="12" t="n">
        <v>46254</v>
      </c>
      <c r="K39" s="14" t="inlineStr">
        <is>
          <t>5821</t>
        </is>
      </c>
      <c r="L39" s="15">
        <f>IF(OR(K39="",set_RMSBase=""),"",HYPERLINK(set_RMSBase&amp;K39,"Open "&amp;K39))</f>
        <v/>
      </c>
      <c r="M39" s="15">
        <f>IF(C39="","",C39)</f>
        <v/>
      </c>
      <c r="N39" s="14" t="inlineStr">
        <is>
          <t>Y</t>
        </is>
      </c>
      <c r="O39" s="16" t="n">
        <v>3652.5</v>
      </c>
      <c r="P39" s="17">
        <f>IF(C39="","",H39+N(O39))</f>
        <v/>
      </c>
      <c r="Q39" s="54">
        <f>IFERROR(O39/P39,"")</f>
        <v/>
      </c>
      <c r="R39" s="16" t="n">
        <v>1805.72</v>
      </c>
      <c r="S39" s="16" t="n"/>
      <c r="T39" s="17">
        <f>IF(C39="","",N(R39)+N(S39))</f>
        <v/>
      </c>
      <c r="U39" s="17">
        <f>IF(C39="","",H39-T39)</f>
        <v/>
      </c>
      <c r="V39" s="54">
        <f>IFERROR(U39/H39,"")</f>
        <v/>
      </c>
      <c r="W39" s="53" t="n"/>
      <c r="X39" s="53" t="n"/>
      <c r="Y39" s="53" t="n">
        <v>2</v>
      </c>
      <c r="Z39" s="53" t="n"/>
      <c r="AA39" s="53" t="n">
        <v>20</v>
      </c>
      <c r="AB39" s="14" t="n"/>
    </row>
    <row r="40" ht="15" customHeight="1">
      <c r="A40" s="51">
        <f>IF(C40="","",IFERROR(IF(SUMPRODUCT(MAX((tbl_Finance[Job Number]=C40&amp;"")*tbl_Finance[Date]))=0,"",SUMPRODUCT(MAX((tbl_Finance[Job Number]=C40&amp;"")*tbl_Finance[Date]))),""))</f>
        <v/>
      </c>
      <c r="B40" s="15">
        <f>IF(A40="","",IFERROR(LOOKUP(2,1/((tbl_Finance[Job Number]=C40&amp;"")*(tbl_Finance[Date]=A40)),tbl_Finance[Xero Invoice No]),""))</f>
        <v/>
      </c>
      <c r="C40" s="14" t="inlineStr">
        <is>
          <t>26061108</t>
        </is>
      </c>
      <c r="D40" s="15">
        <f>IF(C40="","",IF(COUNTIF(lst_Jobs,C40&amp;"")&gt;0,"OK","CHECK"))</f>
        <v/>
      </c>
      <c r="E40" s="15">
        <f>IF(C40="","",IFERROR(INDEX(lst_JobName,MATCH(C40&amp;"",lst_Jobs,0)),""))</f>
        <v/>
      </c>
      <c r="F40" s="15">
        <f>IF(C40="","",IFERROR(INDEX(tbl_Finance[Client],MATCH(C40&amp;"",tbl_Finance[Job Number],0)),""))</f>
        <v/>
      </c>
      <c r="G40" s="52">
        <f>IF(C40="","",COUNTIFS(tbl_Finance[Job Number],C40&amp;"",tbl_Finance[Ex GST],"&lt;&gt;"))</f>
        <v/>
      </c>
      <c r="H40" s="17">
        <f>IF(C40="","",SUMIFS(tbl_Finance[Ex GST],tbl_Finance[Job Number],C40&amp;""))</f>
        <v/>
      </c>
      <c r="I40" s="15">
        <f>IF(C40="","",IFERROR(INDEX(tbl_Finance[Cost Centre],MATCH(C40&amp;"",tbl_Finance[Job Number],0)),"not invoiced yet"))</f>
        <v/>
      </c>
      <c r="J40" s="12" t="n">
        <v>46254</v>
      </c>
      <c r="K40" s="14" t="inlineStr">
        <is>
          <t>6073</t>
        </is>
      </c>
      <c r="L40" s="15">
        <f>IF(OR(K40="",set_RMSBase=""),"",HYPERLINK(set_RMSBase&amp;K40,"Open "&amp;K40))</f>
        <v/>
      </c>
      <c r="M40" s="15">
        <f>IF(C40="","",C40)</f>
        <v/>
      </c>
      <c r="N40" s="14" t="inlineStr">
        <is>
          <t>Y</t>
        </is>
      </c>
      <c r="O40" s="16" t="n">
        <v>1651.4</v>
      </c>
      <c r="P40" s="17">
        <f>IF(C40="","",H40+N(O40))</f>
        <v/>
      </c>
      <c r="Q40" s="54">
        <f>IFERROR(O40/P40,"")</f>
        <v/>
      </c>
      <c r="R40" s="16" t="n"/>
      <c r="S40" s="16" t="n"/>
      <c r="T40" s="17">
        <f>IF(C40="","",N(R40)+N(S40))</f>
        <v/>
      </c>
      <c r="U40" s="17">
        <f>IF(C40="","",H40-T40)</f>
        <v/>
      </c>
      <c r="V40" s="54">
        <f>IFERROR(U40/H40,"")</f>
        <v/>
      </c>
      <c r="W40" s="53" t="n">
        <v>5</v>
      </c>
      <c r="X40" s="53" t="n"/>
      <c r="Y40" s="53" t="n">
        <v>6</v>
      </c>
      <c r="Z40" s="53" t="n"/>
      <c r="AA40" s="53" t="n">
        <v>45</v>
      </c>
      <c r="AB40" s="14" t="n"/>
    </row>
    <row r="41" ht="15" customHeight="1">
      <c r="A41" s="51">
        <f>IF(C41="","",IFERROR(IF(SUMPRODUCT(MAX((tbl_Finance[Job Number]=C41&amp;"")*tbl_Finance[Date]))=0,"",SUMPRODUCT(MAX((tbl_Finance[Job Number]=C41&amp;"")*tbl_Finance[Date]))),""))</f>
        <v/>
      </c>
      <c r="B41" s="15">
        <f>IF(A41="","",IFERROR(LOOKUP(2,1/((tbl_Finance[Job Number]=C41&amp;"")*(tbl_Finance[Date]=A41)),tbl_Finance[Xero Invoice No]),""))</f>
        <v/>
      </c>
      <c r="C41" s="14" t="inlineStr">
        <is>
          <t>26061109</t>
        </is>
      </c>
      <c r="D41" s="15">
        <f>IF(C41="","",IF(COUNTIF(lst_Jobs,C41&amp;"")&gt;0,"OK","CHECK"))</f>
        <v/>
      </c>
      <c r="E41" s="15">
        <f>IF(C41="","",IFERROR(INDEX(lst_JobName,MATCH(C41&amp;"",lst_Jobs,0)),""))</f>
        <v/>
      </c>
      <c r="F41" s="15">
        <f>IF(C41="","",IFERROR(INDEX(tbl_Finance[Client],MATCH(C41&amp;"",tbl_Finance[Job Number],0)),""))</f>
        <v/>
      </c>
      <c r="G41" s="52">
        <f>IF(C41="","",COUNTIFS(tbl_Finance[Job Number],C41&amp;"",tbl_Finance[Ex GST],"&lt;&gt;"))</f>
        <v/>
      </c>
      <c r="H41" s="17">
        <f>IF(C41="","",SUMIFS(tbl_Finance[Ex GST],tbl_Finance[Job Number],C41&amp;""))</f>
        <v/>
      </c>
      <c r="I41" s="15">
        <f>IF(C41="","",IFERROR(INDEX(tbl_Finance[Cost Centre],MATCH(C41&amp;"",tbl_Finance[Job Number],0)),"not invoiced yet"))</f>
        <v/>
      </c>
      <c r="J41" s="12" t="n">
        <v>46258</v>
      </c>
      <c r="K41" s="14" t="inlineStr">
        <is>
          <t>6095</t>
        </is>
      </c>
      <c r="L41" s="15">
        <f>IF(OR(K41="",set_RMSBase=""),"",HYPERLINK(set_RMSBase&amp;K41,"Open "&amp;K41))</f>
        <v/>
      </c>
      <c r="M41" s="15">
        <f>IF(C41="","",C41)</f>
        <v/>
      </c>
      <c r="N41" s="14" t="inlineStr">
        <is>
          <t>Y</t>
        </is>
      </c>
      <c r="O41" s="16" t="n">
        <v>524.5</v>
      </c>
      <c r="P41" s="17">
        <f>IF(C41="","",H41+N(O41))</f>
        <v/>
      </c>
      <c r="Q41" s="54">
        <f>IFERROR(O41/P41,"")</f>
        <v/>
      </c>
      <c r="R41" s="16" t="n">
        <v>1350</v>
      </c>
      <c r="S41" s="16" t="n"/>
      <c r="T41" s="17">
        <f>IF(C41="","",N(R41)+N(S41))</f>
        <v/>
      </c>
      <c r="U41" s="17">
        <f>IF(C41="","",H41-T41)</f>
        <v/>
      </c>
      <c r="V41" s="54">
        <f>IFERROR(U41/H41,"")</f>
        <v/>
      </c>
      <c r="W41" s="53" t="n">
        <v>4</v>
      </c>
      <c r="X41" s="53" t="n"/>
      <c r="Y41" s="53" t="n"/>
      <c r="Z41" s="53" t="n"/>
      <c r="AA41" s="53" t="n">
        <v>41</v>
      </c>
      <c r="AB41" s="14" t="n"/>
    </row>
    <row r="42" ht="15" customHeight="1">
      <c r="A42" s="51">
        <f>IF(C42="","",IFERROR(IF(SUMPRODUCT(MAX((tbl_Finance[Job Number]=C42&amp;"")*tbl_Finance[Date]))=0,"",SUMPRODUCT(MAX((tbl_Finance[Job Number]=C42&amp;"")*tbl_Finance[Date]))),""))</f>
        <v/>
      </c>
      <c r="B42" s="15">
        <f>IF(A42="","",IFERROR(LOOKUP(2,1/((tbl_Finance[Job Number]=C42&amp;"")*(tbl_Finance[Date]=A42)),tbl_Finance[Xero Invoice No]),""))</f>
        <v/>
      </c>
      <c r="C42" s="14" t="inlineStr">
        <is>
          <t>26071501</t>
        </is>
      </c>
      <c r="D42" s="15">
        <f>IF(C42="","",IF(COUNTIF(lst_Jobs,C42&amp;"")&gt;0,"OK","CHECK"))</f>
        <v/>
      </c>
      <c r="E42" s="15">
        <f>IF(C42="","",IFERROR(INDEX(lst_JobName,MATCH(C42&amp;"",lst_Jobs,0)),""))</f>
        <v/>
      </c>
      <c r="F42" s="15">
        <f>IF(C42="","",IFERROR(INDEX(tbl_Finance[Client],MATCH(C42&amp;"",tbl_Finance[Job Number],0)),""))</f>
        <v/>
      </c>
      <c r="G42" s="52">
        <f>IF(C42="","",COUNTIFS(tbl_Finance[Job Number],C42&amp;"",tbl_Finance[Ex GST],"&lt;&gt;"))</f>
        <v/>
      </c>
      <c r="H42" s="17">
        <f>IF(C42="","",SUMIFS(tbl_Finance[Ex GST],tbl_Finance[Job Number],C42&amp;""))</f>
        <v/>
      </c>
      <c r="I42" s="15">
        <f>IF(C42="","",IFERROR(INDEX(tbl_Finance[Cost Centre],MATCH(C42&amp;"",tbl_Finance[Job Number],0)),"not invoiced yet"))</f>
        <v/>
      </c>
      <c r="J42" s="12" t="n">
        <v>46258</v>
      </c>
      <c r="K42" s="14" t="inlineStr">
        <is>
          <t>6094</t>
        </is>
      </c>
      <c r="L42" s="15">
        <f>IF(OR(K42="",set_RMSBase=""),"",HYPERLINK(set_RMSBase&amp;K42,"Open "&amp;K42))</f>
        <v/>
      </c>
      <c r="M42" s="15">
        <f>IF(C42="","",C42)</f>
        <v/>
      </c>
      <c r="N42" s="14" t="inlineStr">
        <is>
          <t>Y</t>
        </is>
      </c>
      <c r="O42" s="16" t="n">
        <v>495</v>
      </c>
      <c r="P42" s="17">
        <f>IF(C42="","",H42+N(O42))</f>
        <v/>
      </c>
      <c r="Q42" s="54">
        <f>IFERROR(O42/P42,"")</f>
        <v/>
      </c>
      <c r="R42" s="16" t="n">
        <v>2303.09</v>
      </c>
      <c r="S42" s="16" t="n"/>
      <c r="T42" s="17">
        <f>IF(C42="","",N(R42)+N(S42))</f>
        <v/>
      </c>
      <c r="U42" s="17">
        <f>IF(C42="","",H42-T42)</f>
        <v/>
      </c>
      <c r="V42" s="54">
        <f>IFERROR(U42/H42,"")</f>
        <v/>
      </c>
      <c r="W42" s="53" t="n"/>
      <c r="X42" s="53" t="n"/>
      <c r="Y42" s="53" t="n"/>
      <c r="Z42" s="53" t="n"/>
      <c r="AA42" s="53" t="n">
        <v>11</v>
      </c>
      <c r="AB42" s="14" t="n"/>
    </row>
    <row r="43" ht="15" customHeight="1">
      <c r="A43" s="51">
        <f>IF(C43="","",IFERROR(IF(SUMPRODUCT(MAX((tbl_Finance[Job Number]=C43&amp;"")*tbl_Finance[Date]))=0,"",SUMPRODUCT(MAX((tbl_Finance[Job Number]=C43&amp;"")*tbl_Finance[Date]))),""))</f>
        <v/>
      </c>
      <c r="B43" s="15">
        <f>IF(A43="","",IFERROR(LOOKUP(2,1/((tbl_Finance[Job Number]=C43&amp;"")*(tbl_Finance[Date]=A43)),tbl_Finance[Xero Invoice No]),""))</f>
        <v/>
      </c>
      <c r="C43" s="14" t="inlineStr">
        <is>
          <t>26073111</t>
        </is>
      </c>
      <c r="D43" s="15">
        <f>IF(C43="","",IF(COUNTIF(lst_Jobs,C43&amp;"")&gt;0,"OK","CHECK"))</f>
        <v/>
      </c>
      <c r="E43" s="15">
        <f>IF(C43="","",IFERROR(INDEX(lst_JobName,MATCH(C43&amp;"",lst_Jobs,0)),""))</f>
        <v/>
      </c>
      <c r="F43" s="15">
        <f>IF(C43="","",IFERROR(INDEX(tbl_Finance[Client],MATCH(C43&amp;"",tbl_Finance[Job Number],0)),""))</f>
        <v/>
      </c>
      <c r="G43" s="52">
        <f>IF(C43="","",COUNTIFS(tbl_Finance[Job Number],C43&amp;"",tbl_Finance[Ex GST],"&lt;&gt;"))</f>
        <v/>
      </c>
      <c r="H43" s="17">
        <f>IF(C43="","",SUMIFS(tbl_Finance[Ex GST],tbl_Finance[Job Number],C43&amp;""))</f>
        <v/>
      </c>
      <c r="I43" s="15">
        <f>IF(C43="","",IFERROR(INDEX(tbl_Finance[Cost Centre],MATCH(C43&amp;"",tbl_Finance[Job Number],0)),"not invoiced yet"))</f>
        <v/>
      </c>
      <c r="J43" s="12" t="n">
        <v>46259</v>
      </c>
      <c r="K43" s="14" t="inlineStr">
        <is>
          <t>6144</t>
        </is>
      </c>
      <c r="L43" s="15">
        <f>IF(OR(K43="",set_RMSBase=""),"",HYPERLINK(set_RMSBase&amp;K43,"Open "&amp;K43))</f>
        <v/>
      </c>
      <c r="M43" s="15">
        <f>IF(C43="","",C43)</f>
        <v/>
      </c>
      <c r="N43" s="14" t="inlineStr">
        <is>
          <t>Y</t>
        </is>
      </c>
      <c r="O43" s="16" t="n">
        <v>2281.25</v>
      </c>
      <c r="P43" s="17">
        <f>IF(C43="","",H43+N(O43))</f>
        <v/>
      </c>
      <c r="Q43" s="54">
        <f>IFERROR(O43/P43,"")</f>
        <v/>
      </c>
      <c r="R43" s="16" t="n">
        <v>14754.3</v>
      </c>
      <c r="S43" s="16" t="n"/>
      <c r="T43" s="17">
        <f>IF(C43="","",N(R43)+N(S43))</f>
        <v/>
      </c>
      <c r="U43" s="17">
        <f>IF(C43="","",H43-T43)</f>
        <v/>
      </c>
      <c r="V43" s="54">
        <f>IFERROR(U43/H43,"")</f>
        <v/>
      </c>
      <c r="W43" s="53" t="n">
        <v>5</v>
      </c>
      <c r="X43" s="53" t="n"/>
      <c r="Y43" s="53" t="n">
        <v>3</v>
      </c>
      <c r="Z43" s="53" t="n"/>
      <c r="AA43" s="53" t="n">
        <v>37</v>
      </c>
      <c r="AB43" s="14" t="n"/>
    </row>
    <row r="44" ht="15" customHeight="1">
      <c r="A44" s="51">
        <f>IF(C44="","",IFERROR(IF(SUMPRODUCT(MAX((tbl_Finance[Job Number]=C44&amp;"")*tbl_Finance[Date]))=0,"",SUMPRODUCT(MAX((tbl_Finance[Job Number]=C44&amp;"")*tbl_Finance[Date]))),""))</f>
        <v/>
      </c>
      <c r="B44" s="15">
        <f>IF(A44="","",IFERROR(LOOKUP(2,1/((tbl_Finance[Job Number]=C44&amp;"")*(tbl_Finance[Date]=A44)),tbl_Finance[Xero Invoice No]),""))</f>
        <v/>
      </c>
      <c r="C44" s="14" t="inlineStr">
        <is>
          <t>2606904</t>
        </is>
      </c>
      <c r="D44" s="15">
        <f>IF(C44="","",IF(COUNTIF(lst_Jobs,C44&amp;"")&gt;0,"OK","CHECK"))</f>
        <v/>
      </c>
      <c r="E44" s="15">
        <f>IF(C44="","",IFERROR(INDEX(lst_JobName,MATCH(C44&amp;"",lst_Jobs,0)),""))</f>
        <v/>
      </c>
      <c r="F44" s="15">
        <f>IF(C44="","",IFERROR(INDEX(tbl_Finance[Client],MATCH(C44&amp;"",tbl_Finance[Job Number],0)),""))</f>
        <v/>
      </c>
      <c r="G44" s="52">
        <f>IF(C44="","",COUNTIFS(tbl_Finance[Job Number],C44&amp;"",tbl_Finance[Ex GST],"&lt;&gt;"))</f>
        <v/>
      </c>
      <c r="H44" s="17">
        <f>IF(C44="","",SUMIFS(tbl_Finance[Ex GST],tbl_Finance[Job Number],C44&amp;""))</f>
        <v/>
      </c>
      <c r="I44" s="15">
        <f>IF(C44="","",IFERROR(INDEX(tbl_Finance[Cost Centre],MATCH(C44&amp;"",tbl_Finance[Job Number],0)),"not invoiced yet"))</f>
        <v/>
      </c>
      <c r="J44" s="12" t="n">
        <v>46259</v>
      </c>
      <c r="K44" s="14" t="inlineStr">
        <is>
          <t>6044</t>
        </is>
      </c>
      <c r="L44" s="15">
        <f>IF(OR(K44="",set_RMSBase=""),"",HYPERLINK(set_RMSBase&amp;K44,"Open "&amp;K44))</f>
        <v/>
      </c>
      <c r="M44" s="15">
        <f>IF(C44="","",C44)</f>
        <v/>
      </c>
      <c r="N44" s="14" t="inlineStr">
        <is>
          <t>Y</t>
        </is>
      </c>
      <c r="O44" s="16" t="n">
        <v>3563</v>
      </c>
      <c r="P44" s="17">
        <f>IF(C44="","",H44+N(O44))</f>
        <v/>
      </c>
      <c r="Q44" s="54">
        <f>IFERROR(O44/P44,"")</f>
        <v/>
      </c>
      <c r="R44" s="16" t="n">
        <v>1874</v>
      </c>
      <c r="S44" s="16" t="n"/>
      <c r="T44" s="17">
        <f>IF(C44="","",N(R44)+N(S44))</f>
        <v/>
      </c>
      <c r="U44" s="17">
        <f>IF(C44="","",H44-T44)</f>
        <v/>
      </c>
      <c r="V44" s="54">
        <f>IFERROR(U44/H44,"")</f>
        <v/>
      </c>
      <c r="W44" s="53" t="n"/>
      <c r="X44" s="53" t="n"/>
      <c r="Y44" s="53" t="n">
        <v>2</v>
      </c>
      <c r="Z44" s="53" t="n"/>
      <c r="AA44" s="53" t="n">
        <v>22</v>
      </c>
      <c r="AB44" s="14" t="n"/>
    </row>
    <row r="45" ht="15" customHeight="1">
      <c r="A45" s="51">
        <f>IF(C45="","",IFERROR(IF(SUMPRODUCT(MAX((tbl_Finance[Job Number]=C45&amp;"")*tbl_Finance[Date]))=0,"",SUMPRODUCT(MAX((tbl_Finance[Job Number]=C45&amp;"")*tbl_Finance[Date]))),""))</f>
        <v/>
      </c>
      <c r="B45" s="15">
        <f>IF(A45="","",IFERROR(LOOKUP(2,1/((tbl_Finance[Job Number]=C45&amp;"")*(tbl_Finance[Date]=A45)),tbl_Finance[Xero Invoice No]),""))</f>
        <v/>
      </c>
      <c r="C45" s="14" t="inlineStr">
        <is>
          <t>26061001</t>
        </is>
      </c>
      <c r="D45" s="15">
        <f>IF(C45="","",IF(COUNTIF(lst_Jobs,C45&amp;"")&gt;0,"OK","CHECK"))</f>
        <v/>
      </c>
      <c r="E45" s="15">
        <f>IF(C45="","",IFERROR(INDEX(lst_JobName,MATCH(C45&amp;"",lst_Jobs,0)),""))</f>
        <v/>
      </c>
      <c r="F45" s="15">
        <f>IF(C45="","",IFERROR(INDEX(tbl_Finance[Client],MATCH(C45&amp;"",tbl_Finance[Job Number],0)),""))</f>
        <v/>
      </c>
      <c r="G45" s="52">
        <f>IF(C45="","",COUNTIFS(tbl_Finance[Job Number],C45&amp;"",tbl_Finance[Ex GST],"&lt;&gt;"))</f>
        <v/>
      </c>
      <c r="H45" s="17">
        <f>IF(C45="","",SUMIFS(tbl_Finance[Ex GST],tbl_Finance[Job Number],C45&amp;""))</f>
        <v/>
      </c>
      <c r="I45" s="15">
        <f>IF(C45="","",IFERROR(INDEX(tbl_Finance[Cost Centre],MATCH(C45&amp;"",tbl_Finance[Job Number],0)),"not invoiced yet"))</f>
        <v/>
      </c>
      <c r="J45" s="12" t="n">
        <v>46259</v>
      </c>
      <c r="K45" s="14" t="inlineStr">
        <is>
          <t>6055</t>
        </is>
      </c>
      <c r="L45" s="15">
        <f>IF(OR(K45="",set_RMSBase=""),"",HYPERLINK(set_RMSBase&amp;K45,"Open "&amp;K45))</f>
        <v/>
      </c>
      <c r="M45" s="15">
        <f>IF(C45="","",C45)</f>
        <v/>
      </c>
      <c r="N45" s="14" t="inlineStr">
        <is>
          <t>Y</t>
        </is>
      </c>
      <c r="O45" s="16" t="n">
        <v>90</v>
      </c>
      <c r="P45" s="17">
        <f>IF(C45="","",H45+N(O45))</f>
        <v/>
      </c>
      <c r="Q45" s="54">
        <f>IFERROR(O45/P45,"")</f>
        <v/>
      </c>
      <c r="R45" s="16" t="n"/>
      <c r="S45" s="16" t="n"/>
      <c r="T45" s="17">
        <f>IF(C45="","",N(R45)+N(S45))</f>
        <v/>
      </c>
      <c r="U45" s="17">
        <f>IF(C45="","",H45-T45)</f>
        <v/>
      </c>
      <c r="V45" s="54">
        <f>IFERROR(U45/H45,"")</f>
        <v/>
      </c>
      <c r="W45" s="53" t="n"/>
      <c r="X45" s="53" t="n"/>
      <c r="Y45" s="53" t="n">
        <v>1</v>
      </c>
      <c r="Z45" s="53" t="n"/>
      <c r="AA45" s="53" t="n">
        <v>4</v>
      </c>
      <c r="AB45" s="14" t="n"/>
    </row>
    <row r="46" ht="15" customHeight="1">
      <c r="A46" s="51">
        <f>IF(C46="","",IFERROR(IF(SUMPRODUCT(MAX((tbl_Finance[Job Number]=C46&amp;"")*tbl_Finance[Date]))=0,"",SUMPRODUCT(MAX((tbl_Finance[Job Number]=C46&amp;"")*tbl_Finance[Date]))),""))</f>
        <v/>
      </c>
      <c r="B46" s="15">
        <f>IF(A46="","",IFERROR(LOOKUP(2,1/((tbl_Finance[Job Number]=C46&amp;"")*(tbl_Finance[Date]=A46)),tbl_Finance[Xero Invoice No]),""))</f>
        <v/>
      </c>
      <c r="C46" s="14" t="inlineStr">
        <is>
          <t>26073105</t>
        </is>
      </c>
      <c r="D46" s="15">
        <f>IF(C46="","",IF(COUNTIF(lst_Jobs,C46&amp;"")&gt;0,"OK","CHECK"))</f>
        <v/>
      </c>
      <c r="E46" s="15">
        <f>IF(C46="","",IFERROR(INDEX(lst_JobName,MATCH(C46&amp;"",lst_Jobs,0)),""))</f>
        <v/>
      </c>
      <c r="F46" s="15">
        <f>IF(C46="","",IFERROR(INDEX(tbl_Finance[Client],MATCH(C46&amp;"",tbl_Finance[Job Number],0)),""))</f>
        <v/>
      </c>
      <c r="G46" s="52">
        <f>IF(C46="","",COUNTIFS(tbl_Finance[Job Number],C46&amp;"",tbl_Finance[Ex GST],"&lt;&gt;"))</f>
        <v/>
      </c>
      <c r="H46" s="17">
        <f>IF(C46="","",SUMIFS(tbl_Finance[Ex GST],tbl_Finance[Job Number],C46&amp;""))</f>
        <v/>
      </c>
      <c r="I46" s="15">
        <f>IF(C46="","",IFERROR(INDEX(tbl_Finance[Cost Centre],MATCH(C46&amp;"",tbl_Finance[Job Number],0)),"not invoiced yet"))</f>
        <v/>
      </c>
      <c r="J46" s="12" t="n">
        <v>46259</v>
      </c>
      <c r="K46" s="14" t="inlineStr">
        <is>
          <t>6129</t>
        </is>
      </c>
      <c r="L46" s="15">
        <f>IF(OR(K46="",set_RMSBase=""),"",HYPERLINK(set_RMSBase&amp;K46,"Open "&amp;K46))</f>
        <v/>
      </c>
      <c r="M46" s="15">
        <f>IF(C46="","",C46)</f>
        <v/>
      </c>
      <c r="N46" s="14" t="inlineStr">
        <is>
          <t>Y</t>
        </is>
      </c>
      <c r="O46" s="16" t="n"/>
      <c r="P46" s="17">
        <f>IF(C46="","",H46+N(O46))</f>
        <v/>
      </c>
      <c r="Q46" s="54">
        <f>IFERROR(O46/P46,"")</f>
        <v/>
      </c>
      <c r="R46" s="16" t="n"/>
      <c r="S46" s="16" t="n"/>
      <c r="T46" s="17">
        <f>IF(C46="","",N(R46)+N(S46))</f>
        <v/>
      </c>
      <c r="U46" s="17">
        <f>IF(C46="","",H46-T46)</f>
        <v/>
      </c>
      <c r="V46" s="54">
        <f>IFERROR(U46/H46,"")</f>
        <v/>
      </c>
      <c r="W46" s="53" t="n"/>
      <c r="X46" s="53" t="n"/>
      <c r="Y46" s="53" t="n"/>
      <c r="Z46" s="53" t="n"/>
      <c r="AA46" s="53" t="n">
        <v>4</v>
      </c>
      <c r="AB46" s="14" t="n"/>
    </row>
    <row r="47" ht="15" customHeight="1">
      <c r="A47" s="51">
        <f>IF(C47="","",IFERROR(IF(SUMPRODUCT(MAX((tbl_Finance[Job Number]=C47&amp;"")*tbl_Finance[Date]))=0,"",SUMPRODUCT(MAX((tbl_Finance[Job Number]=C47&amp;"")*tbl_Finance[Date]))),""))</f>
        <v/>
      </c>
      <c r="B47" s="15">
        <f>IF(A47="","",IFERROR(LOOKUP(2,1/((tbl_Finance[Job Number]=C47&amp;"")*(tbl_Finance[Date]=A47)),tbl_Finance[Xero Invoice No]),""))</f>
        <v/>
      </c>
      <c r="C47" s="14" t="inlineStr">
        <is>
          <t>2608702</t>
        </is>
      </c>
      <c r="D47" s="15">
        <f>IF(C47="","",IF(COUNTIF(lst_Jobs,C47&amp;"")&gt;0,"OK","CHECK"))</f>
        <v/>
      </c>
      <c r="E47" s="15">
        <f>IF(C47="","",IFERROR(INDEX(lst_JobName,MATCH(C47&amp;"",lst_Jobs,0)),""))</f>
        <v/>
      </c>
      <c r="F47" s="15">
        <f>IF(C47="","",IFERROR(INDEX(tbl_Finance[Client],MATCH(C47&amp;"",tbl_Finance[Job Number],0)),""))</f>
        <v/>
      </c>
      <c r="G47" s="52">
        <f>IF(C47="","",COUNTIFS(tbl_Finance[Job Number],C47&amp;"",tbl_Finance[Ex GST],"&lt;&gt;"))</f>
        <v/>
      </c>
      <c r="H47" s="17">
        <f>IF(C47="","",SUMIFS(tbl_Finance[Ex GST],tbl_Finance[Job Number],C47&amp;""))</f>
        <v/>
      </c>
      <c r="I47" s="15">
        <f>IF(C47="","",IFERROR(INDEX(tbl_Finance[Cost Centre],MATCH(C47&amp;"",tbl_Finance[Job Number],0)),"not invoiced yet"))</f>
        <v/>
      </c>
      <c r="J47" s="12" t="n">
        <v>46260</v>
      </c>
      <c r="K47" s="14" t="inlineStr">
        <is>
          <t>6149</t>
        </is>
      </c>
      <c r="L47" s="15">
        <f>IF(OR(K47="",set_RMSBase=""),"",HYPERLINK(set_RMSBase&amp;K47,"Open "&amp;K47))</f>
        <v/>
      </c>
      <c r="M47" s="15">
        <f>IF(C47="","",C47)</f>
        <v/>
      </c>
      <c r="N47" s="14" t="inlineStr">
        <is>
          <t>Y</t>
        </is>
      </c>
      <c r="O47" s="16" t="n"/>
      <c r="P47" s="17">
        <f>IF(C47="","",H47+N(O47))</f>
        <v/>
      </c>
      <c r="Q47" s="54">
        <f>IFERROR(O47/P47,"")</f>
        <v/>
      </c>
      <c r="R47" s="16" t="n">
        <v>784.5</v>
      </c>
      <c r="S47" s="16" t="n"/>
      <c r="T47" s="17">
        <f>IF(C47="","",N(R47)+N(S47))</f>
        <v/>
      </c>
      <c r="U47" s="17">
        <f>IF(C47="","",H47-T47)</f>
        <v/>
      </c>
      <c r="V47" s="54">
        <f>IFERROR(U47/H47,"")</f>
        <v/>
      </c>
      <c r="W47" s="53" t="n"/>
      <c r="X47" s="53" t="n"/>
      <c r="Y47" s="53" t="n"/>
      <c r="Z47" s="53" t="n"/>
      <c r="AA47" s="53" t="n"/>
      <c r="AB47" s="14" t="n"/>
    </row>
    <row r="48" ht="15" customHeight="1">
      <c r="A48" s="51">
        <f>IF(C48="","",IFERROR(IF(SUMPRODUCT(MAX((tbl_Finance[Job Number]=C48&amp;"")*tbl_Finance[Date]))=0,"",SUMPRODUCT(MAX((tbl_Finance[Job Number]=C48&amp;"")*tbl_Finance[Date]))),""))</f>
        <v/>
      </c>
      <c r="B48" s="15">
        <f>IF(A48="","",IFERROR(LOOKUP(2,1/((tbl_Finance[Job Number]=C48&amp;"")*(tbl_Finance[Date]=A48)),tbl_Finance[Xero Invoice No]),""))</f>
        <v/>
      </c>
      <c r="C48" s="14" t="inlineStr">
        <is>
          <t>2606903</t>
        </is>
      </c>
      <c r="D48" s="15">
        <f>IF(C48="","",IF(COUNTIF(lst_Jobs,C48&amp;"")&gt;0,"OK","CHECK"))</f>
        <v/>
      </c>
      <c r="E48" s="15">
        <f>IF(C48="","",IFERROR(INDEX(lst_JobName,MATCH(C48&amp;"",lst_Jobs,0)),""))</f>
        <v/>
      </c>
      <c r="F48" s="15">
        <f>IF(C48="","",IFERROR(INDEX(tbl_Finance[Client],MATCH(C48&amp;"",tbl_Finance[Job Number],0)),""))</f>
        <v/>
      </c>
      <c r="G48" s="52">
        <f>IF(C48="","",COUNTIFS(tbl_Finance[Job Number],C48&amp;"",tbl_Finance[Ex GST],"&lt;&gt;"))</f>
        <v/>
      </c>
      <c r="H48" s="17">
        <f>IF(C48="","",SUMIFS(tbl_Finance[Ex GST],tbl_Finance[Job Number],C48&amp;""))</f>
        <v/>
      </c>
      <c r="I48" s="15">
        <f>IF(C48="","",IFERROR(INDEX(tbl_Finance[Cost Centre],MATCH(C48&amp;"",tbl_Finance[Job Number],0)),"not invoiced yet"))</f>
        <v/>
      </c>
      <c r="J48" s="12" t="n">
        <v>46262</v>
      </c>
      <c r="K48" s="14" t="inlineStr">
        <is>
          <t>6024</t>
        </is>
      </c>
      <c r="L48" s="15">
        <f>IF(OR(K48="",set_RMSBase=""),"",HYPERLINK(set_RMSBase&amp;K48,"Open "&amp;K48))</f>
        <v/>
      </c>
      <c r="M48" s="15">
        <f>IF(C48="","",C48)</f>
        <v/>
      </c>
      <c r="N48" s="14" t="inlineStr">
        <is>
          <t>Y</t>
        </is>
      </c>
      <c r="O48" s="16" t="n">
        <v>3530.5</v>
      </c>
      <c r="P48" s="17">
        <f>IF(C48="","",H48+N(O48))</f>
        <v/>
      </c>
      <c r="Q48" s="54">
        <f>IFERROR(O48/P48,"")</f>
        <v/>
      </c>
      <c r="R48" s="16" t="n">
        <v>4749.88</v>
      </c>
      <c r="S48" s="16" t="n"/>
      <c r="T48" s="17">
        <f>IF(C48="","",N(R48)+N(S48))</f>
        <v/>
      </c>
      <c r="U48" s="17">
        <f>IF(C48="","",H48-T48)</f>
        <v/>
      </c>
      <c r="V48" s="54">
        <f>IFERROR(U48/H48,"")</f>
        <v/>
      </c>
      <c r="W48" s="53" t="n"/>
      <c r="X48" s="53" t="n"/>
      <c r="Y48" s="53" t="n">
        <v>4</v>
      </c>
      <c r="Z48" s="53" t="n"/>
      <c r="AA48" s="53" t="n">
        <v>23</v>
      </c>
      <c r="AB48" s="14" t="n"/>
    </row>
    <row r="49" ht="15" customHeight="1">
      <c r="A49" s="51">
        <f>IF(C49="","",IFERROR(IF(SUMPRODUCT(MAX((tbl_Finance[Job Number]=C49&amp;"")*tbl_Finance[Date]))=0,"",SUMPRODUCT(MAX((tbl_Finance[Job Number]=C49&amp;"")*tbl_Finance[Date]))),""))</f>
        <v/>
      </c>
      <c r="B49" s="15">
        <f>IF(A49="","",IFERROR(LOOKUP(2,1/((tbl_Finance[Job Number]=C49&amp;"")*(tbl_Finance[Date]=A49)),tbl_Finance[Xero Invoice No]),""))</f>
        <v/>
      </c>
      <c r="C49" s="14" t="inlineStr">
        <is>
          <t>26072003</t>
        </is>
      </c>
      <c r="D49" s="15">
        <f>IF(C49="","",IF(COUNTIF(lst_Jobs,C49&amp;"")&gt;0,"OK","CHECK"))</f>
        <v/>
      </c>
      <c r="E49" s="15">
        <f>IF(C49="","",IFERROR(INDEX(lst_JobName,MATCH(C49&amp;"",lst_Jobs,0)),""))</f>
        <v/>
      </c>
      <c r="F49" s="15">
        <f>IF(C49="","",IFERROR(INDEX(tbl_Finance[Client],MATCH(C49&amp;"",tbl_Finance[Job Number],0)),""))</f>
        <v/>
      </c>
      <c r="G49" s="52">
        <f>IF(C49="","",COUNTIFS(tbl_Finance[Job Number],C49&amp;"",tbl_Finance[Ex GST],"&lt;&gt;"))</f>
        <v/>
      </c>
      <c r="H49" s="17">
        <f>IF(C49="","",SUMIFS(tbl_Finance[Ex GST],tbl_Finance[Job Number],C49&amp;""))</f>
        <v/>
      </c>
      <c r="I49" s="15">
        <f>IF(C49="","",IFERROR(INDEX(tbl_Finance[Cost Centre],MATCH(C49&amp;"",tbl_Finance[Job Number],0)),"not invoiced yet"))</f>
        <v/>
      </c>
      <c r="J49" s="12" t="n">
        <v>46265</v>
      </c>
      <c r="K49" s="14" t="inlineStr">
        <is>
          <t>6169</t>
        </is>
      </c>
      <c r="L49" s="15">
        <f>IF(OR(K49="",set_RMSBase=""),"",HYPERLINK(set_RMSBase&amp;K49,"Open "&amp;K49))</f>
        <v/>
      </c>
      <c r="M49" s="15">
        <f>IF(C49="","",C49)</f>
        <v/>
      </c>
      <c r="N49" s="14" t="inlineStr">
        <is>
          <t>Y</t>
        </is>
      </c>
      <c r="O49" s="16" t="n"/>
      <c r="P49" s="17">
        <f>IF(C49="","",H49+N(O49))</f>
        <v/>
      </c>
      <c r="Q49" s="54">
        <f>IFERROR(O49/P49,"")</f>
        <v/>
      </c>
      <c r="R49" s="16" t="n"/>
      <c r="S49" s="16" t="n"/>
      <c r="T49" s="17">
        <f>IF(C49="","",N(R49)+N(S49))</f>
        <v/>
      </c>
      <c r="U49" s="17">
        <f>IF(C49="","",H49-T49)</f>
        <v/>
      </c>
      <c r="V49" s="54">
        <f>IFERROR(U49/H49,"")</f>
        <v/>
      </c>
      <c r="W49" s="53" t="n"/>
      <c r="X49" s="53" t="n"/>
      <c r="Y49" s="53" t="n"/>
      <c r="Z49" s="53" t="n"/>
      <c r="AA49" s="53" t="n">
        <v>56</v>
      </c>
      <c r="AB49" s="14" t="n"/>
    </row>
    <row r="50" ht="15" customHeight="1">
      <c r="A50" s="51">
        <f>IF(C50="","",IFERROR(IF(SUMPRODUCT(MAX((tbl_Finance[Job Number]=C50&amp;"")*tbl_Finance[Date]))=0,"",SUMPRODUCT(MAX((tbl_Finance[Job Number]=C50&amp;"")*tbl_Finance[Date]))),""))</f>
        <v/>
      </c>
      <c r="B50" s="15">
        <f>IF(A50="","",IFERROR(LOOKUP(2,1/((tbl_Finance[Job Number]=C50&amp;"")*(tbl_Finance[Date]=A50)),tbl_Finance[Xero Invoice No]),""))</f>
        <v/>
      </c>
      <c r="C50" s="14" t="inlineStr">
        <is>
          <t>26061609/26061608/26061607/26061108</t>
        </is>
      </c>
      <c r="D50" s="15">
        <f>IF(C50="","",IF(COUNTIF(lst_Jobs,C50&amp;"")&gt;0,"OK","CHECK"))</f>
        <v/>
      </c>
      <c r="E50" s="15">
        <f>IF(C50="","",IFERROR(INDEX(lst_JobName,MATCH(C50&amp;"",lst_Jobs,0)),""))</f>
        <v/>
      </c>
      <c r="F50" s="15">
        <f>IF(C50="","",IFERROR(INDEX(tbl_Finance[Client],MATCH(C50&amp;"",tbl_Finance[Job Number],0)),""))</f>
        <v/>
      </c>
      <c r="G50" s="52">
        <f>IF(C50="","",COUNTIFS(tbl_Finance[Job Number],C50&amp;"",tbl_Finance[Ex GST],"&lt;&gt;"))</f>
        <v/>
      </c>
      <c r="H50" s="17">
        <f>IF(C50="","",SUMIFS(tbl_Finance[Ex GST],tbl_Finance[Job Number],C50&amp;""))</f>
        <v/>
      </c>
      <c r="I50" s="15">
        <f>IF(C50="","",IFERROR(INDEX(tbl_Finance[Cost Centre],MATCH(C50&amp;"",tbl_Finance[Job Number],0)),"not invoiced yet"))</f>
        <v/>
      </c>
      <c r="J50" s="12" t="inlineStr">
        <is>
          <t>N/A</t>
        </is>
      </c>
      <c r="K50" s="14" t="inlineStr">
        <is>
          <t>Proj: 0017</t>
        </is>
      </c>
      <c r="L50" s="15">
        <f>IF(OR(K50="",set_RMSBase=""),"",HYPERLINK(set_RMSBase&amp;K50,"Open "&amp;K50))</f>
        <v/>
      </c>
      <c r="M50" s="15">
        <f>IF(C50="","",C50)</f>
        <v/>
      </c>
      <c r="N50" s="14" t="inlineStr">
        <is>
          <t>Y</t>
        </is>
      </c>
      <c r="O50" s="16" t="n"/>
      <c r="P50" s="17">
        <f>IF(C50="","",H50+N(O50))</f>
        <v/>
      </c>
      <c r="Q50" s="54">
        <f>IFERROR(O50/P50,"")</f>
        <v/>
      </c>
      <c r="R50" s="16" t="n"/>
      <c r="S50" s="16" t="n"/>
      <c r="T50" s="17">
        <f>IF(C50="","",N(R50)+N(S50))</f>
        <v/>
      </c>
      <c r="U50" s="17">
        <f>IF(C50="","",H50-T50)</f>
        <v/>
      </c>
      <c r="V50" s="54">
        <f>IFERROR(U50/H50,"")</f>
        <v/>
      </c>
      <c r="W50" s="53" t="n"/>
      <c r="X50" s="53" t="n"/>
      <c r="Y50" s="53" t="n"/>
      <c r="Z50" s="53" t="n"/>
      <c r="AA50" s="53" t="n"/>
      <c r="AB50" s="14" t="n"/>
    </row>
    <row r="51" ht="15" customHeight="1">
      <c r="A51" s="51">
        <f>IF(C51="","",IFERROR(IF(SUMPRODUCT(MAX((tbl_Finance[Job Number]=C51&amp;"")*tbl_Finance[Date]))=0,"",SUMPRODUCT(MAX((tbl_Finance[Job Number]=C51&amp;"")*tbl_Finance[Date]))),""))</f>
        <v/>
      </c>
      <c r="B51" s="15">
        <f>IF(A51="","",IFERROR(LOOKUP(2,1/((tbl_Finance[Job Number]=C51&amp;"")*(tbl_Finance[Date]=A51)),tbl_Finance[Xero Invoice No]),""))</f>
        <v/>
      </c>
      <c r="C51" s="14" t="inlineStr">
        <is>
          <t>9100</t>
        </is>
      </c>
      <c r="D51" s="15">
        <f>IF(C51="","",IF(COUNTIF(lst_Jobs,C51&amp;"")&gt;0,"OK","CHECK"))</f>
        <v/>
      </c>
      <c r="E51" s="15">
        <f>IF(C51="","",IFERROR(INDEX(lst_JobName,MATCH(C51&amp;"",lst_Jobs,0)),""))</f>
        <v/>
      </c>
      <c r="F51" s="15">
        <f>IF(C51="","",IFERROR(INDEX(tbl_Finance[Client],MATCH(C51&amp;"",tbl_Finance[Job Number],0)),""))</f>
        <v/>
      </c>
      <c r="G51" s="52">
        <f>IF(C51="","",COUNTIFS(tbl_Finance[Job Number],C51&amp;"",tbl_Finance[Ex GST],"&lt;&gt;"))</f>
        <v/>
      </c>
      <c r="H51" s="17">
        <f>IF(C51="","",SUMIFS(tbl_Finance[Ex GST],tbl_Finance[Job Number],C51&amp;""))</f>
        <v/>
      </c>
      <c r="I51" s="15">
        <f>IF(C51="","",IFERROR(INDEX(tbl_Finance[Cost Centre],MATCH(C51&amp;"",tbl_Finance[Job Number],0)),"not invoiced yet"))</f>
        <v/>
      </c>
      <c r="J51" s="12" t="inlineStr">
        <is>
          <t>N/A</t>
        </is>
      </c>
      <c r="K51" s="14" t="n"/>
      <c r="L51" s="15">
        <f>IF(OR(K51="",set_RMSBase=""),"",HYPERLINK(set_RMSBase&amp;K51,"Open "&amp;K51))</f>
        <v/>
      </c>
      <c r="M51" s="15">
        <f>IF(C51="","",C51)</f>
        <v/>
      </c>
      <c r="N51" s="14" t="inlineStr">
        <is>
          <t>Y</t>
        </is>
      </c>
      <c r="O51" s="16" t="n"/>
      <c r="P51" s="17">
        <f>IF(C51="","",H51+N(O51))</f>
        <v/>
      </c>
      <c r="Q51" s="54">
        <f>IFERROR(O51/P51,"")</f>
        <v/>
      </c>
      <c r="R51" s="16" t="n"/>
      <c r="S51" s="16" t="n"/>
      <c r="T51" s="17">
        <f>IF(C51="","",N(R51)+N(S51))</f>
        <v/>
      </c>
      <c r="U51" s="17">
        <f>IF(C51="","",H51-T51)</f>
        <v/>
      </c>
      <c r="V51" s="54">
        <f>IFERROR(U51/H51,"")</f>
        <v/>
      </c>
      <c r="W51" s="53" t="n"/>
      <c r="X51" s="53" t="n"/>
      <c r="Y51" s="53" t="n"/>
      <c r="Z51" s="53" t="n"/>
      <c r="AA51" s="53" t="n"/>
      <c r="AB51" s="14" t="n"/>
    </row>
    <row r="52" ht="15" customHeight="1">
      <c r="A52" s="51">
        <f>IF(C52="","",IFERROR(IF(SUMPRODUCT(MAX((tbl_Finance[Job Number]=C52&amp;"")*tbl_Finance[Date]))=0,"",SUMPRODUCT(MAX((tbl_Finance[Job Number]=C52&amp;"")*tbl_Finance[Date]))),""))</f>
        <v/>
      </c>
      <c r="B52" s="15">
        <f>IF(A52="","",IFERROR(LOOKUP(2,1/((tbl_Finance[Job Number]=C52&amp;"")*(tbl_Finance[Date]=A52)),tbl_Finance[Xero Invoice No]),""))</f>
        <v/>
      </c>
      <c r="C52" s="14" t="inlineStr">
        <is>
          <t>26061602</t>
        </is>
      </c>
      <c r="D52" s="15">
        <f>IF(C52="","",IF(COUNTIF(lst_Jobs,C52&amp;"")&gt;0,"OK","CHECK"))</f>
        <v/>
      </c>
      <c r="E52" s="15">
        <f>IF(C52="","",IFERROR(INDEX(lst_JobName,MATCH(C52&amp;"",lst_Jobs,0)),""))</f>
        <v/>
      </c>
      <c r="F52" s="15">
        <f>IF(C52="","",IFERROR(INDEX(tbl_Finance[Client],MATCH(C52&amp;"",tbl_Finance[Job Number],0)),""))</f>
        <v/>
      </c>
      <c r="G52" s="52">
        <f>IF(C52="","",COUNTIFS(tbl_Finance[Job Number],C52&amp;"",tbl_Finance[Ex GST],"&lt;&gt;"))</f>
        <v/>
      </c>
      <c r="H52" s="17">
        <f>IF(C52="","",SUMIFS(tbl_Finance[Ex GST],tbl_Finance[Job Number],C52&amp;""))</f>
        <v/>
      </c>
      <c r="I52" s="15">
        <f>IF(C52="","",IFERROR(INDEX(tbl_Finance[Cost Centre],MATCH(C52&amp;"",tbl_Finance[Job Number],0)),"not invoiced yet"))</f>
        <v/>
      </c>
      <c r="J52" s="12" t="n">
        <v>46266</v>
      </c>
      <c r="K52" s="14" t="inlineStr">
        <is>
          <t>5849</t>
        </is>
      </c>
      <c r="L52" s="15">
        <f>IF(OR(K52="",set_RMSBase=""),"",HYPERLINK(set_RMSBase&amp;K52,"Open "&amp;K52))</f>
        <v/>
      </c>
      <c r="M52" s="15">
        <f>IF(C52="","",C52)</f>
        <v/>
      </c>
      <c r="N52" s="14" t="inlineStr">
        <is>
          <t>Y</t>
        </is>
      </c>
      <c r="O52" s="16" t="n">
        <v>261</v>
      </c>
      <c r="P52" s="17">
        <f>IF(C52="","",H52+N(O52))</f>
        <v/>
      </c>
      <c r="Q52" s="54">
        <f>IFERROR(O52/P52,"")</f>
        <v/>
      </c>
      <c r="R52" s="16" t="n"/>
      <c r="S52" s="16" t="n"/>
      <c r="T52" s="17">
        <f>IF(C52="","",N(R52)+N(S52))</f>
        <v/>
      </c>
      <c r="U52" s="17">
        <f>IF(C52="","",H52-T52)</f>
        <v/>
      </c>
      <c r="V52" s="54">
        <f>IFERROR(U52/H52,"")</f>
        <v/>
      </c>
      <c r="W52" s="53" t="n"/>
      <c r="X52" s="53" t="n">
        <v>9</v>
      </c>
      <c r="Y52" s="53" t="n"/>
      <c r="Z52" s="53" t="n"/>
      <c r="AA52" s="53" t="n">
        <v>16</v>
      </c>
      <c r="AB52" s="14" t="n"/>
    </row>
    <row r="53" ht="15" customHeight="1">
      <c r="A53" s="51">
        <f>IF(C53="","",IFERROR(IF(SUMPRODUCT(MAX((tbl_Finance[Job Number]=C53&amp;"")*tbl_Finance[Date]))=0,"",SUMPRODUCT(MAX((tbl_Finance[Job Number]=C53&amp;"")*tbl_Finance[Date]))),""))</f>
        <v/>
      </c>
      <c r="B53" s="15">
        <f>IF(A53="","",IFERROR(LOOKUP(2,1/((tbl_Finance[Job Number]=C53&amp;"")*(tbl_Finance[Date]=A53)),tbl_Finance[Xero Invoice No]),""))</f>
        <v/>
      </c>
      <c r="C53" s="14" t="inlineStr">
        <is>
          <t>26071701</t>
        </is>
      </c>
      <c r="D53" s="15">
        <f>IF(C53="","",IF(COUNTIF(lst_Jobs,C53&amp;"")&gt;0,"OK","CHECK"))</f>
        <v/>
      </c>
      <c r="E53" s="15">
        <f>IF(C53="","",IFERROR(INDEX(lst_JobName,MATCH(C53&amp;"",lst_Jobs,0)),""))</f>
        <v/>
      </c>
      <c r="F53" s="15">
        <f>IF(C53="","",IFERROR(INDEX(tbl_Finance[Client],MATCH(C53&amp;"",tbl_Finance[Job Number],0)),""))</f>
        <v/>
      </c>
      <c r="G53" s="52">
        <f>IF(C53="","",COUNTIFS(tbl_Finance[Job Number],C53&amp;"",tbl_Finance[Ex GST],"&lt;&gt;"))</f>
        <v/>
      </c>
      <c r="H53" s="17">
        <f>IF(C53="","",SUMIFS(tbl_Finance[Ex GST],tbl_Finance[Job Number],C53&amp;""))</f>
        <v/>
      </c>
      <c r="I53" s="15">
        <f>IF(C53="","",IFERROR(INDEX(tbl_Finance[Cost Centre],MATCH(C53&amp;"",tbl_Finance[Job Number],0)),"not invoiced yet"))</f>
        <v/>
      </c>
      <c r="J53" s="12" t="n">
        <v>46266</v>
      </c>
      <c r="K53" s="14" t="inlineStr">
        <is>
          <t>6143</t>
        </is>
      </c>
      <c r="L53" s="15">
        <f>IF(OR(K53="",set_RMSBase=""),"",HYPERLINK(set_RMSBase&amp;K53,"Open "&amp;K53))</f>
        <v/>
      </c>
      <c r="M53" s="15">
        <f>IF(C53="","",C53)</f>
        <v/>
      </c>
      <c r="N53" s="14" t="inlineStr">
        <is>
          <t>Y</t>
        </is>
      </c>
      <c r="O53" s="16" t="n">
        <v>180</v>
      </c>
      <c r="P53" s="17">
        <f>IF(C53="","",H53+N(O53))</f>
        <v/>
      </c>
      <c r="Q53" s="54">
        <f>IFERROR(O53/P53,"")</f>
        <v/>
      </c>
      <c r="R53" s="16" t="n"/>
      <c r="S53" s="16" t="n"/>
      <c r="T53" s="17">
        <f>IF(C53="","",N(R53)+N(S53))</f>
        <v/>
      </c>
      <c r="U53" s="17">
        <f>IF(C53="","",H53-T53)</f>
        <v/>
      </c>
      <c r="V53" s="54">
        <f>IFERROR(U53/H53,"")</f>
        <v/>
      </c>
      <c r="W53" s="53" t="n">
        <v>4</v>
      </c>
      <c r="X53" s="53" t="n"/>
      <c r="Y53" s="53" t="n"/>
      <c r="Z53" s="53" t="n"/>
      <c r="AA53" s="53" t="n">
        <v>31</v>
      </c>
      <c r="AB53" s="14" t="n"/>
    </row>
    <row r="54" ht="15" customHeight="1">
      <c r="A54" s="51">
        <f>IF(C54="","",IFERROR(IF(SUMPRODUCT(MAX((tbl_Finance[Job Number]=C54&amp;"")*tbl_Finance[Date]))=0,"",SUMPRODUCT(MAX((tbl_Finance[Job Number]=C54&amp;"")*tbl_Finance[Date]))),""))</f>
        <v/>
      </c>
      <c r="B54" s="15">
        <f>IF(A54="","",IFERROR(LOOKUP(2,1/((tbl_Finance[Job Number]=C54&amp;"")*(tbl_Finance[Date]=A54)),tbl_Finance[Xero Invoice No]),""))</f>
        <v/>
      </c>
      <c r="C54" s="14" t="inlineStr">
        <is>
          <t>2608404</t>
        </is>
      </c>
      <c r="D54" s="15">
        <f>IF(C54="","",IF(COUNTIF(lst_Jobs,C54&amp;"")&gt;0,"OK","CHECK"))</f>
        <v/>
      </c>
      <c r="E54" s="15">
        <f>IF(C54="","",IFERROR(INDEX(lst_JobName,MATCH(C54&amp;"",lst_Jobs,0)),""))</f>
        <v/>
      </c>
      <c r="F54" s="15">
        <f>IF(C54="","",IFERROR(INDEX(tbl_Finance[Client],MATCH(C54&amp;"",tbl_Finance[Job Number],0)),""))</f>
        <v/>
      </c>
      <c r="G54" s="52">
        <f>IF(C54="","",COUNTIFS(tbl_Finance[Job Number],C54&amp;"",tbl_Finance[Ex GST],"&lt;&gt;"))</f>
        <v/>
      </c>
      <c r="H54" s="17">
        <f>IF(C54="","",SUMIFS(tbl_Finance[Ex GST],tbl_Finance[Job Number],C54&amp;""))</f>
        <v/>
      </c>
      <c r="I54" s="15">
        <f>IF(C54="","",IFERROR(INDEX(tbl_Finance[Cost Centre],MATCH(C54&amp;"",tbl_Finance[Job Number],0)),"not invoiced yet"))</f>
        <v/>
      </c>
      <c r="J54" s="12" t="n">
        <v>46267</v>
      </c>
      <c r="K54" s="14" t="inlineStr">
        <is>
          <t>6115</t>
        </is>
      </c>
      <c r="L54" s="15">
        <f>IF(OR(K54="",set_RMSBase=""),"",HYPERLINK(set_RMSBase&amp;K54,"Open "&amp;K54))</f>
        <v/>
      </c>
      <c r="M54" s="15">
        <f>IF(C54="","",C54)</f>
        <v/>
      </c>
      <c r="N54" s="14" t="inlineStr">
        <is>
          <t>Y</t>
        </is>
      </c>
      <c r="O54" s="16" t="n"/>
      <c r="P54" s="17">
        <f>IF(C54="","",H54+N(O54))</f>
        <v/>
      </c>
      <c r="Q54" s="54">
        <f>IFERROR(O54/P54,"")</f>
        <v/>
      </c>
      <c r="R54" s="16" t="n"/>
      <c r="S54" s="16" t="n"/>
      <c r="T54" s="17">
        <f>IF(C54="","",N(R54)+N(S54))</f>
        <v/>
      </c>
      <c r="U54" s="17">
        <f>IF(C54="","",H54-T54)</f>
        <v/>
      </c>
      <c r="V54" s="54">
        <f>IFERROR(U54/H54,"")</f>
        <v/>
      </c>
      <c r="W54" s="53" t="n"/>
      <c r="X54" s="53" t="n">
        <v>1</v>
      </c>
      <c r="Y54" s="53" t="n">
        <v>1</v>
      </c>
      <c r="Z54" s="53" t="n"/>
      <c r="AA54" s="53" t="n">
        <v>4</v>
      </c>
      <c r="AB54" s="14" t="n"/>
    </row>
    <row r="55" ht="15" customHeight="1">
      <c r="A55" s="51">
        <f>IF(C55="","",IFERROR(IF(SUMPRODUCT(MAX((tbl_Finance[Job Number]=C55&amp;"")*tbl_Finance[Date]))=0,"",SUMPRODUCT(MAX((tbl_Finance[Job Number]=C55&amp;"")*tbl_Finance[Date]))),""))</f>
        <v/>
      </c>
      <c r="B55" s="15">
        <f>IF(A55="","",IFERROR(LOOKUP(2,1/((tbl_Finance[Job Number]=C55&amp;"")*(tbl_Finance[Date]=A55)),tbl_Finance[Xero Invoice No]),""))</f>
        <v/>
      </c>
      <c r="C55" s="14" t="inlineStr">
        <is>
          <t>26081904</t>
        </is>
      </c>
      <c r="D55" s="15">
        <f>IF(C55="","",IF(COUNTIF(lst_Jobs,C55&amp;"")&gt;0,"OK","CHECK"))</f>
        <v/>
      </c>
      <c r="E55" s="15">
        <f>IF(C55="","",IFERROR(INDEX(lst_JobName,MATCH(C55&amp;"",lst_Jobs,0)),""))</f>
        <v/>
      </c>
      <c r="F55" s="15">
        <f>IF(C55="","",IFERROR(INDEX(tbl_Finance[Client],MATCH(C55&amp;"",tbl_Finance[Job Number],0)),""))</f>
        <v/>
      </c>
      <c r="G55" s="52">
        <f>IF(C55="","",COUNTIFS(tbl_Finance[Job Number],C55&amp;"",tbl_Finance[Ex GST],"&lt;&gt;"))</f>
        <v/>
      </c>
      <c r="H55" s="17">
        <f>IF(C55="","",SUMIFS(tbl_Finance[Ex GST],tbl_Finance[Job Number],C55&amp;""))</f>
        <v/>
      </c>
      <c r="I55" s="15">
        <f>IF(C55="","",IFERROR(INDEX(tbl_Finance[Cost Centre],MATCH(C55&amp;"",tbl_Finance[Job Number],0)),"not invoiced yet"))</f>
        <v/>
      </c>
      <c r="J55" s="12" t="n">
        <v>46267</v>
      </c>
      <c r="K55" s="14" t="inlineStr">
        <is>
          <t>6160</t>
        </is>
      </c>
      <c r="L55" s="15">
        <f>IF(OR(K55="",set_RMSBase=""),"",HYPERLINK(set_RMSBase&amp;K55,"Open "&amp;K55))</f>
        <v/>
      </c>
      <c r="M55" s="15">
        <f>IF(C55="","",C55)</f>
        <v/>
      </c>
      <c r="N55" s="14" t="inlineStr">
        <is>
          <t>Y</t>
        </is>
      </c>
      <c r="O55" s="16" t="n">
        <v>90</v>
      </c>
      <c r="P55" s="17">
        <f>IF(C55="","",H55+N(O55))</f>
        <v/>
      </c>
      <c r="Q55" s="54">
        <f>IFERROR(O55/P55,"")</f>
        <v/>
      </c>
      <c r="R55" s="16" t="n"/>
      <c r="S55" s="16" t="n"/>
      <c r="T55" s="17">
        <f>IF(C55="","",N(R55)+N(S55))</f>
        <v/>
      </c>
      <c r="U55" s="17">
        <f>IF(C55="","",H55-T55)</f>
        <v/>
      </c>
      <c r="V55" s="54">
        <f>IFERROR(U55/H55,"")</f>
        <v/>
      </c>
      <c r="W55" s="53" t="n"/>
      <c r="X55" s="53" t="n">
        <v>1</v>
      </c>
      <c r="Y55" s="53" t="n">
        <v>1</v>
      </c>
      <c r="Z55" s="53" t="n"/>
      <c r="AA55" s="53" t="n">
        <v>5</v>
      </c>
      <c r="AB55" s="14" t="n"/>
    </row>
    <row r="56" ht="15" customHeight="1">
      <c r="A56" s="51">
        <f>IF(C56="","",IFERROR(IF(SUMPRODUCT(MAX((tbl_Finance[Job Number]=C56&amp;"")*tbl_Finance[Date]))=0,"",SUMPRODUCT(MAX((tbl_Finance[Job Number]=C56&amp;"")*tbl_Finance[Date]))),""))</f>
        <v/>
      </c>
      <c r="B56" s="15">
        <f>IF(A56="","",IFERROR(LOOKUP(2,1/((tbl_Finance[Job Number]=C56&amp;"")*(tbl_Finance[Date]=A56)),tbl_Finance[Xero Invoice No]),""))</f>
        <v/>
      </c>
      <c r="C56" s="14" t="inlineStr">
        <is>
          <t>26032302</t>
        </is>
      </c>
      <c r="D56" s="15">
        <f>IF(C56="","",IF(COUNTIF(lst_Jobs,C56&amp;"")&gt;0,"OK","CHECK"))</f>
        <v/>
      </c>
      <c r="E56" s="15">
        <f>IF(C56="","",IFERROR(INDEX(lst_JobName,MATCH(C56&amp;"",lst_Jobs,0)),""))</f>
        <v/>
      </c>
      <c r="F56" s="15">
        <f>IF(C56="","",IFERROR(INDEX(tbl_Finance[Client],MATCH(C56&amp;"",tbl_Finance[Job Number],0)),""))</f>
        <v/>
      </c>
      <c r="G56" s="52">
        <f>IF(C56="","",COUNTIFS(tbl_Finance[Job Number],C56&amp;"",tbl_Finance[Ex GST],"&lt;&gt;"))</f>
        <v/>
      </c>
      <c r="H56" s="17">
        <f>IF(C56="","",SUMIFS(tbl_Finance[Ex GST],tbl_Finance[Job Number],C56&amp;""))</f>
        <v/>
      </c>
      <c r="I56" s="15">
        <f>IF(C56="","",IFERROR(INDEX(tbl_Finance[Cost Centre],MATCH(C56&amp;"",tbl_Finance[Job Number],0)),"not invoiced yet"))</f>
        <v/>
      </c>
      <c r="J56" s="12" t="n">
        <v>46267</v>
      </c>
      <c r="K56" s="14" t="inlineStr">
        <is>
          <t>5925</t>
        </is>
      </c>
      <c r="L56" s="15">
        <f>IF(OR(K56="",set_RMSBase=""),"",HYPERLINK(set_RMSBase&amp;K56,"Open "&amp;K56))</f>
        <v/>
      </c>
      <c r="M56" s="15">
        <f>IF(C56="","",C56)</f>
        <v/>
      </c>
      <c r="N56" s="14" t="inlineStr">
        <is>
          <t>Y</t>
        </is>
      </c>
      <c r="O56" s="16" t="n">
        <v>334</v>
      </c>
      <c r="P56" s="17">
        <f>IF(C56="","",H56+N(O56))</f>
        <v/>
      </c>
      <c r="Q56" s="54">
        <f>IFERROR(O56/P56,"")</f>
        <v/>
      </c>
      <c r="R56" s="16" t="n"/>
      <c r="S56" s="16" t="n"/>
      <c r="T56" s="17">
        <f>IF(C56="","",N(R56)+N(S56))</f>
        <v/>
      </c>
      <c r="U56" s="17">
        <f>IF(C56="","",H56-T56)</f>
        <v/>
      </c>
      <c r="V56" s="54">
        <f>IFERROR(U56/H56,"")</f>
        <v/>
      </c>
      <c r="W56" s="53" t="n">
        <v>4</v>
      </c>
      <c r="X56" s="53" t="n"/>
      <c r="Y56" s="53" t="n"/>
      <c r="Z56" s="53" t="n"/>
      <c r="AA56" s="53" t="n">
        <v>12</v>
      </c>
      <c r="AB56" s="14" t="n"/>
    </row>
    <row r="57" ht="15" customHeight="1">
      <c r="A57" s="51">
        <f>IF(C57="","",IFERROR(IF(SUMPRODUCT(MAX((tbl_Finance[Job Number]=C57&amp;"")*tbl_Finance[Date]))=0,"",SUMPRODUCT(MAX((tbl_Finance[Job Number]=C57&amp;"")*tbl_Finance[Date]))),""))</f>
        <v/>
      </c>
      <c r="B57" s="15">
        <f>IF(A57="","",IFERROR(LOOKUP(2,1/((tbl_Finance[Job Number]=C57&amp;"")*(tbl_Finance[Date]=A57)),tbl_Finance[Xero Invoice No]),""))</f>
        <v/>
      </c>
      <c r="C57" s="14" t="inlineStr">
        <is>
          <t>26072102</t>
        </is>
      </c>
      <c r="D57" s="15">
        <f>IF(C57="","",IF(COUNTIF(lst_Jobs,C57&amp;"")&gt;0,"OK","CHECK"))</f>
        <v/>
      </c>
      <c r="E57" s="15">
        <f>IF(C57="","",IFERROR(INDEX(lst_JobName,MATCH(C57&amp;"",lst_Jobs,0)),""))</f>
        <v/>
      </c>
      <c r="F57" s="15">
        <f>IF(C57="","",IFERROR(INDEX(tbl_Finance[Client],MATCH(C57&amp;"",tbl_Finance[Job Number],0)),""))</f>
        <v/>
      </c>
      <c r="G57" s="52">
        <f>IF(C57="","",COUNTIFS(tbl_Finance[Job Number],C57&amp;"",tbl_Finance[Ex GST],"&lt;&gt;"))</f>
        <v/>
      </c>
      <c r="H57" s="17">
        <f>IF(C57="","",SUMIFS(tbl_Finance[Ex GST],tbl_Finance[Job Number],C57&amp;""))</f>
        <v/>
      </c>
      <c r="I57" s="15">
        <f>IF(C57="","",IFERROR(INDEX(tbl_Finance[Cost Centre],MATCH(C57&amp;"",tbl_Finance[Job Number],0)),"not invoiced yet"))</f>
        <v/>
      </c>
      <c r="J57" s="12" t="n">
        <v>46275</v>
      </c>
      <c r="K57" s="14" t="inlineStr">
        <is>
          <t>6122</t>
        </is>
      </c>
      <c r="L57" s="15">
        <f>IF(OR(K57="",set_RMSBase=""),"",HYPERLINK(set_RMSBase&amp;K57,"Open "&amp;K57))</f>
        <v/>
      </c>
      <c r="M57" s="15">
        <f>IF(C57="","",C57)</f>
        <v/>
      </c>
      <c r="N57" s="14" t="inlineStr">
        <is>
          <t>Y</t>
        </is>
      </c>
      <c r="O57" s="16" t="n">
        <v>2005.65</v>
      </c>
      <c r="P57" s="17">
        <f>IF(C57="","",H57+N(O57))</f>
        <v/>
      </c>
      <c r="Q57" s="54">
        <f>IFERROR(O57/P57,"")</f>
        <v/>
      </c>
      <c r="R57" s="16" t="n"/>
      <c r="S57" s="16" t="n"/>
      <c r="T57" s="17">
        <f>IF(C57="","",N(R57)+N(S57))</f>
        <v/>
      </c>
      <c r="U57" s="17">
        <f>IF(C57="","",H57-T57)</f>
        <v/>
      </c>
      <c r="V57" s="54">
        <f>IFERROR(U57/H57,"")</f>
        <v/>
      </c>
      <c r="W57" s="53" t="n">
        <v>4</v>
      </c>
      <c r="X57" s="53" t="n"/>
      <c r="Y57" s="53" t="n"/>
      <c r="Z57" s="53" t="n"/>
      <c r="AA57" s="53" t="n">
        <v>28</v>
      </c>
      <c r="AB57" s="14" t="n"/>
    </row>
    <row r="58" ht="15" customHeight="1">
      <c r="A58" s="51">
        <f>IF(C58="","",IFERROR(IF(SUMPRODUCT(MAX((tbl_Finance[Job Number]=C58&amp;"")*tbl_Finance[Date]))=0,"",SUMPRODUCT(MAX((tbl_Finance[Job Number]=C58&amp;"")*tbl_Finance[Date]))),""))</f>
        <v/>
      </c>
      <c r="B58" s="15">
        <f>IF(A58="","",IFERROR(LOOKUP(2,1/((tbl_Finance[Job Number]=C58&amp;"")*(tbl_Finance[Date]=A58)),tbl_Finance[Xero Invoice No]),""))</f>
        <v/>
      </c>
      <c r="C58" s="14" t="inlineStr">
        <is>
          <t>26082703</t>
        </is>
      </c>
      <c r="D58" s="15">
        <f>IF(C58="","",IF(COUNTIF(lst_Jobs,C58&amp;"")&gt;0,"OK","CHECK"))</f>
        <v/>
      </c>
      <c r="E58" s="15">
        <f>IF(C58="","",IFERROR(INDEX(lst_JobName,MATCH(C58&amp;"",lst_Jobs,0)),""))</f>
        <v/>
      </c>
      <c r="F58" s="15">
        <f>IF(C58="","",IFERROR(INDEX(tbl_Finance[Client],MATCH(C58&amp;"",tbl_Finance[Job Number],0)),""))</f>
        <v/>
      </c>
      <c r="G58" s="52">
        <f>IF(C58="","",COUNTIFS(tbl_Finance[Job Number],C58&amp;"",tbl_Finance[Ex GST],"&lt;&gt;"))</f>
        <v/>
      </c>
      <c r="H58" s="17">
        <f>IF(C58="","",SUMIFS(tbl_Finance[Ex GST],tbl_Finance[Job Number],C58&amp;""))</f>
        <v/>
      </c>
      <c r="I58" s="15">
        <f>IF(C58="","",IFERROR(INDEX(tbl_Finance[Cost Centre],MATCH(C58&amp;"",tbl_Finance[Job Number],0)),"not invoiced yet"))</f>
        <v/>
      </c>
      <c r="J58" s="12" t="n">
        <v>46275</v>
      </c>
      <c r="K58" s="14" t="inlineStr">
        <is>
          <t>6168</t>
        </is>
      </c>
      <c r="L58" s="15">
        <f>IF(OR(K58="",set_RMSBase=""),"",HYPERLINK(set_RMSBase&amp;K58,"Open "&amp;K58))</f>
        <v/>
      </c>
      <c r="M58" s="15">
        <f>IF(C58="","",C58)</f>
        <v/>
      </c>
      <c r="N58" s="14" t="inlineStr">
        <is>
          <t>Y</t>
        </is>
      </c>
      <c r="O58" s="16" t="n"/>
      <c r="P58" s="17">
        <f>IF(C58="","",H58+N(O58))</f>
        <v/>
      </c>
      <c r="Q58" s="54">
        <f>IFERROR(O58/P58,"")</f>
        <v/>
      </c>
      <c r="R58" s="16" t="n"/>
      <c r="S58" s="16" t="n"/>
      <c r="T58" s="17">
        <f>IF(C58="","",N(R58)+N(S58))</f>
        <v/>
      </c>
      <c r="U58" s="17">
        <f>IF(C58="","",H58-T58)</f>
        <v/>
      </c>
      <c r="V58" s="54">
        <f>IFERROR(U58/H58,"")</f>
        <v/>
      </c>
      <c r="W58" s="53" t="n"/>
      <c r="X58" s="53" t="n"/>
      <c r="Y58" s="53" t="n"/>
      <c r="Z58" s="53" t="n"/>
      <c r="AA58" s="53" t="n">
        <v>6</v>
      </c>
      <c r="AB58" s="14" t="n"/>
    </row>
    <row r="59" ht="15" customHeight="1">
      <c r="A59" s="51">
        <f>IF(C59="","",IFERROR(IF(SUMPRODUCT(MAX((tbl_Finance[Job Number]=C59&amp;"")*tbl_Finance[Date]))=0,"",SUMPRODUCT(MAX((tbl_Finance[Job Number]=C59&amp;"")*tbl_Finance[Date]))),""))</f>
        <v/>
      </c>
      <c r="B59" s="15">
        <f>IF(A59="","",IFERROR(LOOKUP(2,1/((tbl_Finance[Job Number]=C59&amp;"")*(tbl_Finance[Date]=A59)),tbl_Finance[Xero Invoice No]),""))</f>
        <v/>
      </c>
      <c r="C59" s="14" t="inlineStr">
        <is>
          <t>2608701</t>
        </is>
      </c>
      <c r="D59" s="15">
        <f>IF(C59="","",IF(COUNTIF(lst_Jobs,C59&amp;"")&gt;0,"OK","CHECK"))</f>
        <v/>
      </c>
      <c r="E59" s="15">
        <f>IF(C59="","",IFERROR(INDEX(lst_JobName,MATCH(C59&amp;"",lst_Jobs,0)),""))</f>
        <v/>
      </c>
      <c r="F59" s="15">
        <f>IF(C59="","",IFERROR(INDEX(tbl_Finance[Client],MATCH(C59&amp;"",tbl_Finance[Job Number],0)),""))</f>
        <v/>
      </c>
      <c r="G59" s="52">
        <f>IF(C59="","",COUNTIFS(tbl_Finance[Job Number],C59&amp;"",tbl_Finance[Ex GST],"&lt;&gt;"))</f>
        <v/>
      </c>
      <c r="H59" s="17">
        <f>IF(C59="","",SUMIFS(tbl_Finance[Ex GST],tbl_Finance[Job Number],C59&amp;""))</f>
        <v/>
      </c>
      <c r="I59" s="15">
        <f>IF(C59="","",IFERROR(INDEX(tbl_Finance[Cost Centre],MATCH(C59&amp;"",tbl_Finance[Job Number],0)),"not invoiced yet"))</f>
        <v/>
      </c>
      <c r="J59" s="12" t="n">
        <v>46275</v>
      </c>
      <c r="K59" s="14" t="inlineStr">
        <is>
          <t>6148</t>
        </is>
      </c>
      <c r="L59" s="15">
        <f>IF(OR(K59="",set_RMSBase=""),"",HYPERLINK(set_RMSBase&amp;K59,"Open "&amp;K59))</f>
        <v/>
      </c>
      <c r="M59" s="15">
        <f>IF(C59="","",C59)</f>
        <v/>
      </c>
      <c r="N59" s="14" t="inlineStr">
        <is>
          <t>Y</t>
        </is>
      </c>
      <c r="O59" s="16" t="n"/>
      <c r="P59" s="17">
        <f>IF(C59="","",H59+N(O59))</f>
        <v/>
      </c>
      <c r="Q59" s="54">
        <f>IFERROR(O59/P59,"")</f>
        <v/>
      </c>
      <c r="R59" s="16" t="n"/>
      <c r="S59" s="16" t="n"/>
      <c r="T59" s="17">
        <f>IF(C59="","",N(R59)+N(S59))</f>
        <v/>
      </c>
      <c r="U59" s="17">
        <f>IF(C59="","",H59-T59)</f>
        <v/>
      </c>
      <c r="V59" s="54">
        <f>IFERROR(U59/H59,"")</f>
        <v/>
      </c>
      <c r="W59" s="53" t="n"/>
      <c r="X59" s="53" t="n"/>
      <c r="Y59" s="53" t="n"/>
      <c r="Z59" s="53" t="n"/>
      <c r="AA59" s="53" t="n">
        <v>4</v>
      </c>
      <c r="AB59" s="14" t="n"/>
    </row>
    <row r="60" ht="15" customHeight="1">
      <c r="A60" s="51">
        <f>IF(C60="","",IFERROR(IF(SUMPRODUCT(MAX((tbl_Finance[Job Number]=C60&amp;"")*tbl_Finance[Date]))=0,"",SUMPRODUCT(MAX((tbl_Finance[Job Number]=C60&amp;"")*tbl_Finance[Date]))),""))</f>
        <v/>
      </c>
      <c r="B60" s="15">
        <f>IF(A60="","",IFERROR(LOOKUP(2,1/((tbl_Finance[Job Number]=C60&amp;"")*(tbl_Finance[Date]=A60)),tbl_Finance[Xero Invoice No]),""))</f>
        <v/>
      </c>
      <c r="C60" s="14" t="inlineStr">
        <is>
          <t>2609801</t>
        </is>
      </c>
      <c r="D60" s="15">
        <f>IF(C60="","",IF(COUNTIF(lst_Jobs,C60&amp;"")&gt;0,"OK","CHECK"))</f>
        <v/>
      </c>
      <c r="E60" s="15">
        <f>IF(C60="","",IFERROR(INDEX(lst_JobName,MATCH(C60&amp;"",lst_Jobs,0)),""))</f>
        <v/>
      </c>
      <c r="F60" s="15">
        <f>IF(C60="","",IFERROR(INDEX(tbl_Finance[Client],MATCH(C60&amp;"",tbl_Finance[Job Number],0)),""))</f>
        <v/>
      </c>
      <c r="G60" s="52">
        <f>IF(C60="","",COUNTIFS(tbl_Finance[Job Number],C60&amp;"",tbl_Finance[Ex GST],"&lt;&gt;"))</f>
        <v/>
      </c>
      <c r="H60" s="17">
        <f>IF(C60="","",SUMIFS(tbl_Finance[Ex GST],tbl_Finance[Job Number],C60&amp;""))</f>
        <v/>
      </c>
      <c r="I60" s="15">
        <f>IF(C60="","",IFERROR(INDEX(tbl_Finance[Cost Centre],MATCH(C60&amp;"",tbl_Finance[Job Number],0)),"not invoiced yet"))</f>
        <v/>
      </c>
      <c r="J60" s="12" t="n">
        <v>46281</v>
      </c>
      <c r="K60" s="14" t="inlineStr">
        <is>
          <t>6175</t>
        </is>
      </c>
      <c r="L60" s="15">
        <f>IF(OR(K60="",set_RMSBase=""),"",HYPERLINK(set_RMSBase&amp;K60,"Open "&amp;K60))</f>
        <v/>
      </c>
      <c r="M60" s="15">
        <f>IF(C60="","",C60)</f>
        <v/>
      </c>
      <c r="N60" s="14" t="inlineStr">
        <is>
          <t>Y</t>
        </is>
      </c>
      <c r="O60" s="16" t="n"/>
      <c r="P60" s="17">
        <f>IF(C60="","",H60+N(O60))</f>
        <v/>
      </c>
      <c r="Q60" s="54">
        <f>IFERROR(O60/P60,"")</f>
        <v/>
      </c>
      <c r="R60" s="16" t="n"/>
      <c r="S60" s="16" t="n"/>
      <c r="T60" s="17">
        <f>IF(C60="","",N(R60)+N(S60))</f>
        <v/>
      </c>
      <c r="U60" s="17">
        <f>IF(C60="","",H60-T60)</f>
        <v/>
      </c>
      <c r="V60" s="54">
        <f>IFERROR(U60/H60,"")</f>
        <v/>
      </c>
      <c r="W60" s="53" t="n"/>
      <c r="X60" s="53" t="n"/>
      <c r="Y60" s="53" t="n"/>
      <c r="Z60" s="53" t="n"/>
      <c r="AA60" s="53" t="n">
        <v>4</v>
      </c>
      <c r="AB60" s="14" t="n"/>
    </row>
    <row r="61" ht="15" customHeight="1">
      <c r="A61" s="51">
        <f>IF(C61="","",IFERROR(IF(SUMPRODUCT(MAX((tbl_Finance[Job Number]=C61&amp;"")*tbl_Finance[Date]))=0,"",SUMPRODUCT(MAX((tbl_Finance[Job Number]=C61&amp;"")*tbl_Finance[Date]))),""))</f>
        <v/>
      </c>
      <c r="B61" s="15">
        <f>IF(A61="","",IFERROR(LOOKUP(2,1/((tbl_Finance[Job Number]=C61&amp;"")*(tbl_Finance[Date]=A61)),tbl_Finance[Xero Invoice No]),""))</f>
        <v/>
      </c>
      <c r="C61" s="14" t="inlineStr">
        <is>
          <t>26082502</t>
        </is>
      </c>
      <c r="D61" s="15">
        <f>IF(C61="","",IF(COUNTIF(lst_Jobs,C61&amp;"")&gt;0,"OK","CHECK"))</f>
        <v/>
      </c>
      <c r="E61" s="15">
        <f>IF(C61="","",IFERROR(INDEX(lst_JobName,MATCH(C61&amp;"",lst_Jobs,0)),""))</f>
        <v/>
      </c>
      <c r="F61" s="15">
        <f>IF(C61="","",IFERROR(INDEX(tbl_Finance[Client],MATCH(C61&amp;"",tbl_Finance[Job Number],0)),""))</f>
        <v/>
      </c>
      <c r="G61" s="52">
        <f>IF(C61="","",COUNTIFS(tbl_Finance[Job Number],C61&amp;"",tbl_Finance[Ex GST],"&lt;&gt;"))</f>
        <v/>
      </c>
      <c r="H61" s="17">
        <f>IF(C61="","",SUMIFS(tbl_Finance[Ex GST],tbl_Finance[Job Number],C61&amp;""))</f>
        <v/>
      </c>
      <c r="I61" s="15">
        <f>IF(C61="","",IFERROR(INDEX(tbl_Finance[Cost Centre],MATCH(C61&amp;"",tbl_Finance[Job Number],0)),"not invoiced yet"))</f>
        <v/>
      </c>
      <c r="J61" s="12" t="n">
        <v>46271</v>
      </c>
      <c r="K61" s="14" t="inlineStr">
        <is>
          <t>6186</t>
        </is>
      </c>
      <c r="L61" s="15">
        <f>IF(OR(K61="",set_RMSBase=""),"",HYPERLINK(set_RMSBase&amp;K61,"Open "&amp;K61))</f>
        <v/>
      </c>
      <c r="M61" s="15">
        <f>IF(C61="","",C61)</f>
        <v/>
      </c>
      <c r="N61" s="14" t="inlineStr">
        <is>
          <t>Y</t>
        </is>
      </c>
      <c r="O61" s="16" t="n"/>
      <c r="P61" s="17">
        <f>IF(C61="","",H61+N(O61))</f>
        <v/>
      </c>
      <c r="Q61" s="54">
        <f>IFERROR(O61/P61,"")</f>
        <v/>
      </c>
      <c r="R61" s="16" t="n"/>
      <c r="S61" s="16" t="n"/>
      <c r="T61" s="17">
        <f>IF(C61="","",N(R61)+N(S61))</f>
        <v/>
      </c>
      <c r="U61" s="17">
        <f>IF(C61="","",H61-T61)</f>
        <v/>
      </c>
      <c r="V61" s="54">
        <f>IFERROR(U61/H61,"")</f>
        <v/>
      </c>
      <c r="W61" s="53" t="n"/>
      <c r="X61" s="53" t="n"/>
      <c r="Y61" s="53" t="n"/>
      <c r="Z61" s="53" t="n"/>
      <c r="AA61" s="53" t="n">
        <v>55</v>
      </c>
      <c r="AB61" s="14" t="n"/>
    </row>
    <row r="62" ht="15" customHeight="1">
      <c r="A62" s="51">
        <f>IF(C62="","",IFERROR(IF(SUMPRODUCT(MAX((tbl_Finance[Job Number]=C62&amp;"")*tbl_Finance[Date]))=0,"",SUMPRODUCT(MAX((tbl_Finance[Job Number]=C62&amp;"")*tbl_Finance[Date]))),""))</f>
        <v/>
      </c>
      <c r="B62" s="15">
        <f>IF(A62="","",IFERROR(LOOKUP(2,1/((tbl_Finance[Job Number]=C62&amp;"")*(tbl_Finance[Date]=A62)),tbl_Finance[Xero Invoice No]),""))</f>
        <v/>
      </c>
      <c r="C62" s="14" t="inlineStr">
        <is>
          <t>26082503</t>
        </is>
      </c>
      <c r="D62" s="15">
        <f>IF(C62="","",IF(COUNTIF(lst_Jobs,C62&amp;"")&gt;0,"OK","CHECK"))</f>
        <v/>
      </c>
      <c r="E62" s="15">
        <f>IF(C62="","",IFERROR(INDEX(lst_JobName,MATCH(C62&amp;"",lst_Jobs,0)),""))</f>
        <v/>
      </c>
      <c r="F62" s="15">
        <f>IF(C62="","",IFERROR(INDEX(tbl_Finance[Client],MATCH(C62&amp;"",tbl_Finance[Job Number],0)),""))</f>
        <v/>
      </c>
      <c r="G62" s="52">
        <f>IF(C62="","",COUNTIFS(tbl_Finance[Job Number],C62&amp;"",tbl_Finance[Ex GST],"&lt;&gt;"))</f>
        <v/>
      </c>
      <c r="H62" s="17">
        <f>IF(C62="","",SUMIFS(tbl_Finance[Ex GST],tbl_Finance[Job Number],C62&amp;""))</f>
        <v/>
      </c>
      <c r="I62" s="15">
        <f>IF(C62="","",IFERROR(INDEX(tbl_Finance[Cost Centre],MATCH(C62&amp;"",tbl_Finance[Job Number],0)),"not invoiced yet"))</f>
        <v/>
      </c>
      <c r="J62" s="12" t="n">
        <v>46279</v>
      </c>
      <c r="K62" s="14" t="inlineStr">
        <is>
          <t>6187</t>
        </is>
      </c>
      <c r="L62" s="15">
        <f>IF(OR(K62="",set_RMSBase=""),"",HYPERLINK(set_RMSBase&amp;K62,"Open "&amp;K62))</f>
        <v/>
      </c>
      <c r="M62" s="15">
        <f>IF(C62="","",C62)</f>
        <v/>
      </c>
      <c r="N62" s="14" t="inlineStr">
        <is>
          <t>Y</t>
        </is>
      </c>
      <c r="O62" s="16" t="n"/>
      <c r="P62" s="17">
        <f>IF(C62="","",H62+N(O62))</f>
        <v/>
      </c>
      <c r="Q62" s="54">
        <f>IFERROR(O62/P62,"")</f>
        <v/>
      </c>
      <c r="R62" s="16" t="n"/>
      <c r="S62" s="16" t="n"/>
      <c r="T62" s="17">
        <f>IF(C62="","",N(R62)+N(S62))</f>
        <v/>
      </c>
      <c r="U62" s="17">
        <f>IF(C62="","",H62-T62)</f>
        <v/>
      </c>
      <c r="V62" s="54">
        <f>IFERROR(U62/H62,"")</f>
        <v/>
      </c>
      <c r="W62" s="53" t="n"/>
      <c r="X62" s="53" t="n"/>
      <c r="Y62" s="53" t="n"/>
      <c r="Z62" s="53" t="n"/>
      <c r="AA62" s="53" t="n">
        <v>10.5</v>
      </c>
      <c r="AB62" s="14" t="n"/>
    </row>
    <row r="63" ht="15" customHeight="1">
      <c r="A63" s="51">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52">
        <f>IF(C63="","",COUNTIFS(tbl_Finance[Job Number],C63&amp;"",tbl_Finance[Ex GST],"&lt;&gt;"))</f>
        <v/>
      </c>
      <c r="H63" s="17">
        <f>IF(C63="","",SUMIFS(tbl_Finance[Ex GST],tbl_Finance[Job Number],C63&amp;""))</f>
        <v/>
      </c>
      <c r="I63" s="15">
        <f>IF(C63="","",IFERROR(INDEX(tbl_Finance[Cost Centre],MATCH(C63&amp;"",tbl_Finance[Job Number],0)),"not invoiced yet"))</f>
        <v/>
      </c>
      <c r="J63" s="12" t="n"/>
      <c r="K63" s="14" t="n"/>
      <c r="L63" s="15">
        <f>IF(OR(K63="",set_RMSBase=""),"",HYPERLINK(set_RMSBase&amp;K63,"Open "&amp;K63))</f>
        <v/>
      </c>
      <c r="M63" s="15">
        <f>IF(C63="","",C63)</f>
        <v/>
      </c>
      <c r="N63" s="14" t="n"/>
      <c r="O63" s="16" t="n"/>
      <c r="P63" s="17">
        <f>IF(C63="","",H63+N(O63))</f>
        <v/>
      </c>
      <c r="Q63" s="54">
        <f>IFERROR(O63/P63,"")</f>
        <v/>
      </c>
      <c r="R63" s="16" t="n"/>
      <c r="S63" s="16" t="n"/>
      <c r="T63" s="17">
        <f>IF(C63="","",N(R63)+N(S63))</f>
        <v/>
      </c>
      <c r="U63" s="17">
        <f>IF(C63="","",H63-T63)</f>
        <v/>
      </c>
      <c r="V63" s="54">
        <f>IFERROR(U63/H63,"")</f>
        <v/>
      </c>
      <c r="W63" s="53" t="n"/>
      <c r="X63" s="53" t="n"/>
      <c r="Y63" s="53" t="n"/>
      <c r="Z63" s="53" t="n"/>
      <c r="AA63" s="53" t="n"/>
      <c r="AB63" s="14" t="n"/>
    </row>
    <row r="64" ht="15" customHeight="1">
      <c r="A64" s="51">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52">
        <f>IF(C64="","",COUNTIFS(tbl_Finance[Job Number],C64&amp;"",tbl_Finance[Ex GST],"&lt;&gt;"))</f>
        <v/>
      </c>
      <c r="H64" s="17">
        <f>IF(C64="","",SUMIFS(tbl_Finance[Ex GST],tbl_Finance[Job Number],C64&amp;""))</f>
        <v/>
      </c>
      <c r="I64" s="15">
        <f>IF(C64="","",IFERROR(INDEX(tbl_Finance[Cost Centre],MATCH(C64&amp;"",tbl_Finance[Job Number],0)),"not invoiced yet"))</f>
        <v/>
      </c>
      <c r="J64" s="12" t="n"/>
      <c r="K64" s="14" t="n"/>
      <c r="L64" s="15">
        <f>IF(OR(K64="",set_RMSBase=""),"",HYPERLINK(set_RMSBase&amp;K64,"Open "&amp;K64))</f>
        <v/>
      </c>
      <c r="M64" s="15">
        <f>IF(C64="","",C64)</f>
        <v/>
      </c>
      <c r="N64" s="14" t="n"/>
      <c r="O64" s="16" t="n"/>
      <c r="P64" s="17">
        <f>IF(C64="","",H64+N(O64))</f>
        <v/>
      </c>
      <c r="Q64" s="54">
        <f>IFERROR(O64/P64,"")</f>
        <v/>
      </c>
      <c r="R64" s="16" t="n"/>
      <c r="S64" s="16" t="n"/>
      <c r="T64" s="17">
        <f>IF(C64="","",N(R64)+N(S64))</f>
        <v/>
      </c>
      <c r="U64" s="17">
        <f>IF(C64="","",H64-T64)</f>
        <v/>
      </c>
      <c r="V64" s="54">
        <f>IFERROR(U64/H64,"")</f>
        <v/>
      </c>
      <c r="W64" s="53" t="n"/>
      <c r="X64" s="53" t="n"/>
      <c r="Y64" s="53" t="n"/>
      <c r="Z64" s="53" t="n"/>
      <c r="AA64" s="53" t="n"/>
      <c r="AB64" s="14" t="n"/>
    </row>
    <row r="65" ht="15" customHeight="1">
      <c r="A65" s="51">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52">
        <f>IF(C65="","",COUNTIFS(tbl_Finance[Job Number],C65&amp;"",tbl_Finance[Ex GST],"&lt;&gt;"))</f>
        <v/>
      </c>
      <c r="H65" s="17">
        <f>IF(C65="","",SUMIFS(tbl_Finance[Ex GST],tbl_Finance[Job Number],C65&amp;""))</f>
        <v/>
      </c>
      <c r="I65" s="15">
        <f>IF(C65="","",IFERROR(INDEX(tbl_Finance[Cost Centre],MATCH(C65&amp;"",tbl_Finance[Job Number],0)),"not invoiced yet"))</f>
        <v/>
      </c>
      <c r="J65" s="12" t="n"/>
      <c r="K65" s="14" t="n"/>
      <c r="L65" s="15">
        <f>IF(OR(K65="",set_RMSBase=""),"",HYPERLINK(set_RMSBase&amp;K65,"Open "&amp;K65))</f>
        <v/>
      </c>
      <c r="M65" s="15">
        <f>IF(C65="","",C65)</f>
        <v/>
      </c>
      <c r="N65" s="14" t="n"/>
      <c r="O65" s="16" t="n"/>
      <c r="P65" s="17">
        <f>IF(C65="","",H65+N(O65))</f>
        <v/>
      </c>
      <c r="Q65" s="54">
        <f>IFERROR(O65/P65,"")</f>
        <v/>
      </c>
      <c r="R65" s="16" t="n"/>
      <c r="S65" s="16" t="n"/>
      <c r="T65" s="17">
        <f>IF(C65="","",N(R65)+N(S65))</f>
        <v/>
      </c>
      <c r="U65" s="17">
        <f>IF(C65="","",H65-T65)</f>
        <v/>
      </c>
      <c r="V65" s="54">
        <f>IFERROR(U65/H65,"")</f>
        <v/>
      </c>
      <c r="W65" s="53" t="n"/>
      <c r="X65" s="53" t="n"/>
      <c r="Y65" s="53" t="n"/>
      <c r="Z65" s="53" t="n"/>
      <c r="AA65" s="53" t="n"/>
      <c r="AB65" s="14" t="n"/>
    </row>
    <row r="66" ht="15" customHeight="1">
      <c r="A66" s="51">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52">
        <f>IF(C66="","",COUNTIFS(tbl_Finance[Job Number],C66&amp;"",tbl_Finance[Ex GST],"&lt;&gt;"))</f>
        <v/>
      </c>
      <c r="H66" s="17">
        <f>IF(C66="","",SUMIFS(tbl_Finance[Ex GST],tbl_Finance[Job Number],C66&amp;""))</f>
        <v/>
      </c>
      <c r="I66" s="15">
        <f>IF(C66="","",IFERROR(INDEX(tbl_Finance[Cost Centre],MATCH(C66&amp;"",tbl_Finance[Job Number],0)),"not invoiced yet"))</f>
        <v/>
      </c>
      <c r="J66" s="12" t="n"/>
      <c r="K66" s="14" t="n"/>
      <c r="L66" s="15">
        <f>IF(OR(K66="",set_RMSBase=""),"",HYPERLINK(set_RMSBase&amp;K66,"Open "&amp;K66))</f>
        <v/>
      </c>
      <c r="M66" s="15">
        <f>IF(C66="","",C66)</f>
        <v/>
      </c>
      <c r="N66" s="14" t="n"/>
      <c r="O66" s="16" t="n"/>
      <c r="P66" s="17">
        <f>IF(C66="","",H66+N(O66))</f>
        <v/>
      </c>
      <c r="Q66" s="54">
        <f>IFERROR(O66/P66,"")</f>
        <v/>
      </c>
      <c r="R66" s="16" t="n"/>
      <c r="S66" s="16" t="n"/>
      <c r="T66" s="17">
        <f>IF(C66="","",N(R66)+N(S66))</f>
        <v/>
      </c>
      <c r="U66" s="17">
        <f>IF(C66="","",H66-T66)</f>
        <v/>
      </c>
      <c r="V66" s="54">
        <f>IFERROR(U66/H66,"")</f>
        <v/>
      </c>
      <c r="W66" s="53" t="n"/>
      <c r="X66" s="53" t="n"/>
      <c r="Y66" s="53" t="n"/>
      <c r="Z66" s="53" t="n"/>
      <c r="AA66" s="53" t="n"/>
      <c r="AB66" s="14" t="n"/>
    </row>
    <row r="67" ht="15" customHeight="1">
      <c r="A67" s="51">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52">
        <f>IF(C67="","",COUNTIFS(tbl_Finance[Job Number],C67&amp;"",tbl_Finance[Ex GST],"&lt;&gt;"))</f>
        <v/>
      </c>
      <c r="H67" s="17">
        <f>IF(C67="","",SUMIFS(tbl_Finance[Ex GST],tbl_Finance[Job Number],C67&amp;""))</f>
        <v/>
      </c>
      <c r="I67" s="15">
        <f>IF(C67="","",IFERROR(INDEX(tbl_Finance[Cost Centre],MATCH(C67&amp;"",tbl_Finance[Job Number],0)),"not invoiced yet"))</f>
        <v/>
      </c>
      <c r="J67" s="12" t="n"/>
      <c r="K67" s="14" t="n"/>
      <c r="L67" s="15">
        <f>IF(OR(K67="",set_RMSBase=""),"",HYPERLINK(set_RMSBase&amp;K67,"Open "&amp;K67))</f>
        <v/>
      </c>
      <c r="M67" s="15">
        <f>IF(C67="","",C67)</f>
        <v/>
      </c>
      <c r="N67" s="14" t="n"/>
      <c r="O67" s="16" t="n"/>
      <c r="P67" s="17">
        <f>IF(C67="","",H67+N(O67))</f>
        <v/>
      </c>
      <c r="Q67" s="54">
        <f>IFERROR(O67/P67,"")</f>
        <v/>
      </c>
      <c r="R67" s="16" t="n"/>
      <c r="S67" s="16" t="n"/>
      <c r="T67" s="17">
        <f>IF(C67="","",N(R67)+N(S67))</f>
        <v/>
      </c>
      <c r="U67" s="17">
        <f>IF(C67="","",H67-T67)</f>
        <v/>
      </c>
      <c r="V67" s="54">
        <f>IFERROR(U67/H67,"")</f>
        <v/>
      </c>
      <c r="W67" s="53" t="n"/>
      <c r="X67" s="53" t="n"/>
      <c r="Y67" s="53" t="n"/>
      <c r="Z67" s="53" t="n"/>
      <c r="AA67" s="53" t="n"/>
      <c r="AB67" s="14" t="n"/>
    </row>
    <row r="68" ht="15" customHeight="1">
      <c r="A68" s="51">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52">
        <f>IF(C68="","",COUNTIFS(tbl_Finance[Job Number],C68&amp;"",tbl_Finance[Ex GST],"&lt;&gt;"))</f>
        <v/>
      </c>
      <c r="H68" s="17">
        <f>IF(C68="","",SUMIFS(tbl_Finance[Ex GST],tbl_Finance[Job Number],C68&amp;""))</f>
        <v/>
      </c>
      <c r="I68" s="15">
        <f>IF(C68="","",IFERROR(INDEX(tbl_Finance[Cost Centre],MATCH(C68&amp;"",tbl_Finance[Job Number],0)),"not invoiced yet"))</f>
        <v/>
      </c>
      <c r="J68" s="12" t="n"/>
      <c r="K68" s="14" t="n"/>
      <c r="L68" s="15">
        <f>IF(OR(K68="",set_RMSBase=""),"",HYPERLINK(set_RMSBase&amp;K68,"Open "&amp;K68))</f>
        <v/>
      </c>
      <c r="M68" s="15">
        <f>IF(C68="","",C68)</f>
        <v/>
      </c>
      <c r="N68" s="14" t="n"/>
      <c r="O68" s="16" t="n"/>
      <c r="P68" s="17">
        <f>IF(C68="","",H68+N(O68))</f>
        <v/>
      </c>
      <c r="Q68" s="54">
        <f>IFERROR(O68/P68,"")</f>
        <v/>
      </c>
      <c r="R68" s="16" t="n"/>
      <c r="S68" s="16" t="n"/>
      <c r="T68" s="17">
        <f>IF(C68="","",N(R68)+N(S68))</f>
        <v/>
      </c>
      <c r="U68" s="17">
        <f>IF(C68="","",H68-T68)</f>
        <v/>
      </c>
      <c r="V68" s="54">
        <f>IFERROR(U68/H68,"")</f>
        <v/>
      </c>
      <c r="W68" s="53" t="n"/>
      <c r="X68" s="53" t="n"/>
      <c r="Y68" s="53" t="n"/>
      <c r="Z68" s="53" t="n"/>
      <c r="AA68" s="53" t="n"/>
      <c r="AB68" s="14" t="n"/>
    </row>
    <row r="69" ht="15" customHeight="1">
      <c r="A69" s="51">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52">
        <f>IF(C69="","",COUNTIFS(tbl_Finance[Job Number],C69&amp;"",tbl_Finance[Ex GST],"&lt;&gt;"))</f>
        <v/>
      </c>
      <c r="H69" s="17">
        <f>IF(C69="","",SUMIFS(tbl_Finance[Ex GST],tbl_Finance[Job Number],C69&amp;""))</f>
        <v/>
      </c>
      <c r="I69" s="15">
        <f>IF(C69="","",IFERROR(INDEX(tbl_Finance[Cost Centre],MATCH(C69&amp;"",tbl_Finance[Job Number],0)),"not invoiced yet"))</f>
        <v/>
      </c>
      <c r="J69" s="12" t="n"/>
      <c r="K69" s="14" t="n"/>
      <c r="L69" s="15">
        <f>IF(OR(K69="",set_RMSBase=""),"",HYPERLINK(set_RMSBase&amp;K69,"Open "&amp;K69))</f>
        <v/>
      </c>
      <c r="M69" s="15">
        <f>IF(C69="","",C69)</f>
        <v/>
      </c>
      <c r="N69" s="14" t="n"/>
      <c r="O69" s="16" t="n"/>
      <c r="P69" s="17">
        <f>IF(C69="","",H69+N(O69))</f>
        <v/>
      </c>
      <c r="Q69" s="54">
        <f>IFERROR(O69/P69,"")</f>
        <v/>
      </c>
      <c r="R69" s="16" t="n"/>
      <c r="S69" s="16" t="n"/>
      <c r="T69" s="17">
        <f>IF(C69="","",N(R69)+N(S69))</f>
        <v/>
      </c>
      <c r="U69" s="17">
        <f>IF(C69="","",H69-T69)</f>
        <v/>
      </c>
      <c r="V69" s="54">
        <f>IFERROR(U69/H69,"")</f>
        <v/>
      </c>
      <c r="W69" s="53" t="n"/>
      <c r="X69" s="53" t="n"/>
      <c r="Y69" s="53" t="n"/>
      <c r="Z69" s="53" t="n"/>
      <c r="AA69" s="53" t="n"/>
      <c r="AB69" s="14" t="n"/>
    </row>
    <row r="70" ht="15" customHeight="1">
      <c r="A70" s="51">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52">
        <f>IF(C70="","",COUNTIFS(tbl_Finance[Job Number],C70&amp;"",tbl_Finance[Ex GST],"&lt;&gt;"))</f>
        <v/>
      </c>
      <c r="H70" s="17">
        <f>IF(C70="","",SUMIFS(tbl_Finance[Ex GST],tbl_Finance[Job Number],C70&amp;""))</f>
        <v/>
      </c>
      <c r="I70" s="15">
        <f>IF(C70="","",IFERROR(INDEX(tbl_Finance[Cost Centre],MATCH(C70&amp;"",tbl_Finance[Job Number],0)),"not invoiced yet"))</f>
        <v/>
      </c>
      <c r="J70" s="12" t="n"/>
      <c r="K70" s="14" t="n"/>
      <c r="L70" s="15">
        <f>IF(OR(K70="",set_RMSBase=""),"",HYPERLINK(set_RMSBase&amp;K70,"Open "&amp;K70))</f>
        <v/>
      </c>
      <c r="M70" s="15">
        <f>IF(C70="","",C70)</f>
        <v/>
      </c>
      <c r="N70" s="14" t="n"/>
      <c r="O70" s="16" t="n"/>
      <c r="P70" s="17">
        <f>IF(C70="","",H70+N(O70))</f>
        <v/>
      </c>
      <c r="Q70" s="54">
        <f>IFERROR(O70/P70,"")</f>
        <v/>
      </c>
      <c r="R70" s="16" t="n"/>
      <c r="S70" s="16" t="n"/>
      <c r="T70" s="17">
        <f>IF(C70="","",N(R70)+N(S70))</f>
        <v/>
      </c>
      <c r="U70" s="17">
        <f>IF(C70="","",H70-T70)</f>
        <v/>
      </c>
      <c r="V70" s="54">
        <f>IFERROR(U70/H70,"")</f>
        <v/>
      </c>
      <c r="W70" s="53" t="n"/>
      <c r="X70" s="53" t="n"/>
      <c r="Y70" s="53" t="n"/>
      <c r="Z70" s="53" t="n"/>
      <c r="AA70" s="53" t="n"/>
      <c r="AB70" s="14" t="n"/>
    </row>
    <row r="71" ht="15" customHeight="1">
      <c r="A71" s="51">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52">
        <f>IF(C71="","",COUNTIFS(tbl_Finance[Job Number],C71&amp;"",tbl_Finance[Ex GST],"&lt;&gt;"))</f>
        <v/>
      </c>
      <c r="H71" s="17">
        <f>IF(C71="","",SUMIFS(tbl_Finance[Ex GST],tbl_Finance[Job Number],C71&amp;""))</f>
        <v/>
      </c>
      <c r="I71" s="15">
        <f>IF(C71="","",IFERROR(INDEX(tbl_Finance[Cost Centre],MATCH(C71&amp;"",tbl_Finance[Job Number],0)),"not invoiced yet"))</f>
        <v/>
      </c>
      <c r="J71" s="12" t="n"/>
      <c r="K71" s="14" t="n"/>
      <c r="L71" s="15">
        <f>IF(OR(K71="",set_RMSBase=""),"",HYPERLINK(set_RMSBase&amp;K71,"Open "&amp;K71))</f>
        <v/>
      </c>
      <c r="M71" s="15">
        <f>IF(C71="","",C71)</f>
        <v/>
      </c>
      <c r="N71" s="14" t="n"/>
      <c r="O71" s="16" t="n"/>
      <c r="P71" s="17">
        <f>IF(C71="","",H71+N(O71))</f>
        <v/>
      </c>
      <c r="Q71" s="54">
        <f>IFERROR(O71/P71,"")</f>
        <v/>
      </c>
      <c r="R71" s="16" t="n"/>
      <c r="S71" s="16" t="n"/>
      <c r="T71" s="17">
        <f>IF(C71="","",N(R71)+N(S71))</f>
        <v/>
      </c>
      <c r="U71" s="17">
        <f>IF(C71="","",H71-T71)</f>
        <v/>
      </c>
      <c r="V71" s="54">
        <f>IFERROR(U71/H71,"")</f>
        <v/>
      </c>
      <c r="W71" s="53" t="n"/>
      <c r="X71" s="53" t="n"/>
      <c r="Y71" s="53" t="n"/>
      <c r="Z71" s="53" t="n"/>
      <c r="AA71" s="53" t="n"/>
      <c r="AB71" s="14" t="n"/>
    </row>
    <row r="72" ht="15" customHeight="1">
      <c r="A72" s="51">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52">
        <f>IF(C72="","",COUNTIFS(tbl_Finance[Job Number],C72&amp;"",tbl_Finance[Ex GST],"&lt;&gt;"))</f>
        <v/>
      </c>
      <c r="H72" s="17">
        <f>IF(C72="","",SUMIFS(tbl_Finance[Ex GST],tbl_Finance[Job Number],C72&amp;""))</f>
        <v/>
      </c>
      <c r="I72" s="15">
        <f>IF(C72="","",IFERROR(INDEX(tbl_Finance[Cost Centre],MATCH(C72&amp;"",tbl_Finance[Job Number],0)),"not invoiced yet"))</f>
        <v/>
      </c>
      <c r="J72" s="12" t="n"/>
      <c r="K72" s="14" t="n"/>
      <c r="L72" s="15">
        <f>IF(OR(K72="",set_RMSBase=""),"",HYPERLINK(set_RMSBase&amp;K72,"Open "&amp;K72))</f>
        <v/>
      </c>
      <c r="M72" s="15">
        <f>IF(C72="","",C72)</f>
        <v/>
      </c>
      <c r="N72" s="14" t="n"/>
      <c r="O72" s="16" t="n"/>
      <c r="P72" s="17">
        <f>IF(C72="","",H72+N(O72))</f>
        <v/>
      </c>
      <c r="Q72" s="54">
        <f>IFERROR(O72/P72,"")</f>
        <v/>
      </c>
      <c r="R72" s="16" t="n"/>
      <c r="S72" s="16" t="n"/>
      <c r="T72" s="17">
        <f>IF(C72="","",N(R72)+N(S72))</f>
        <v/>
      </c>
      <c r="U72" s="17">
        <f>IF(C72="","",H72-T72)</f>
        <v/>
      </c>
      <c r="V72" s="54">
        <f>IFERROR(U72/H72,"")</f>
        <v/>
      </c>
      <c r="W72" s="53" t="n"/>
      <c r="X72" s="53" t="n"/>
      <c r="Y72" s="53" t="n"/>
      <c r="Z72" s="53" t="n"/>
      <c r="AA72" s="53" t="n"/>
      <c r="AB72" s="14" t="n"/>
    </row>
    <row r="73" ht="15" customHeight="1">
      <c r="A73" s="51">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52">
        <f>IF(C73="","",COUNTIFS(tbl_Finance[Job Number],C73&amp;"",tbl_Finance[Ex GST],"&lt;&gt;"))</f>
        <v/>
      </c>
      <c r="H73" s="17">
        <f>IF(C73="","",SUMIFS(tbl_Finance[Ex GST],tbl_Finance[Job Number],C73&amp;""))</f>
        <v/>
      </c>
      <c r="I73" s="15">
        <f>IF(C73="","",IFERROR(INDEX(tbl_Finance[Cost Centre],MATCH(C73&amp;"",tbl_Finance[Job Number],0)),"not invoiced yet"))</f>
        <v/>
      </c>
      <c r="J73" s="12" t="n"/>
      <c r="K73" s="14" t="n"/>
      <c r="L73" s="15">
        <f>IF(OR(K73="",set_RMSBase=""),"",HYPERLINK(set_RMSBase&amp;K73,"Open "&amp;K73))</f>
        <v/>
      </c>
      <c r="M73" s="15">
        <f>IF(C73="","",C73)</f>
        <v/>
      </c>
      <c r="N73" s="14" t="n"/>
      <c r="O73" s="16" t="n"/>
      <c r="P73" s="17">
        <f>IF(C73="","",H73+N(O73))</f>
        <v/>
      </c>
      <c r="Q73" s="54">
        <f>IFERROR(O73/P73,"")</f>
        <v/>
      </c>
      <c r="R73" s="16" t="n"/>
      <c r="S73" s="16" t="n"/>
      <c r="T73" s="17">
        <f>IF(C73="","",N(R73)+N(S73))</f>
        <v/>
      </c>
      <c r="U73" s="17">
        <f>IF(C73="","",H73-T73)</f>
        <v/>
      </c>
      <c r="V73" s="54">
        <f>IFERROR(U73/H73,"")</f>
        <v/>
      </c>
      <c r="W73" s="53" t="n"/>
      <c r="X73" s="53" t="n"/>
      <c r="Y73" s="53" t="n"/>
      <c r="Z73" s="53" t="n"/>
      <c r="AA73" s="53" t="n"/>
      <c r="AB73" s="14" t="n"/>
    </row>
    <row r="74" ht="15" customHeight="1">
      <c r="A74" s="51">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52">
        <f>IF(C74="","",COUNTIFS(tbl_Finance[Job Number],C74&amp;"",tbl_Finance[Ex GST],"&lt;&gt;"))</f>
        <v/>
      </c>
      <c r="H74" s="17">
        <f>IF(C74="","",SUMIFS(tbl_Finance[Ex GST],tbl_Finance[Job Number],C74&amp;""))</f>
        <v/>
      </c>
      <c r="I74" s="15">
        <f>IF(C74="","",IFERROR(INDEX(tbl_Finance[Cost Centre],MATCH(C74&amp;"",tbl_Finance[Job Number],0)),"not invoiced yet"))</f>
        <v/>
      </c>
      <c r="J74" s="12" t="n"/>
      <c r="K74" s="14" t="n"/>
      <c r="L74" s="15">
        <f>IF(OR(K74="",set_RMSBase=""),"",HYPERLINK(set_RMSBase&amp;K74,"Open "&amp;K74))</f>
        <v/>
      </c>
      <c r="M74" s="15">
        <f>IF(C74="","",C74)</f>
        <v/>
      </c>
      <c r="N74" s="14" t="n"/>
      <c r="O74" s="16" t="n"/>
      <c r="P74" s="17">
        <f>IF(C74="","",H74+N(O74))</f>
        <v/>
      </c>
      <c r="Q74" s="54">
        <f>IFERROR(O74/P74,"")</f>
        <v/>
      </c>
      <c r="R74" s="16" t="n"/>
      <c r="S74" s="16" t="n"/>
      <c r="T74" s="17">
        <f>IF(C74="","",N(R74)+N(S74))</f>
        <v/>
      </c>
      <c r="U74" s="17">
        <f>IF(C74="","",H74-T74)</f>
        <v/>
      </c>
      <c r="V74" s="54">
        <f>IFERROR(U74/H74,"")</f>
        <v/>
      </c>
      <c r="W74" s="53" t="n"/>
      <c r="X74" s="53" t="n"/>
      <c r="Y74" s="53" t="n"/>
      <c r="Z74" s="53" t="n"/>
      <c r="AA74" s="53" t="n"/>
      <c r="AB74" s="14" t="n"/>
    </row>
    <row r="75" ht="15" customHeight="1">
      <c r="A75" s="51">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52">
        <f>IF(C75="","",COUNTIFS(tbl_Finance[Job Number],C75&amp;"",tbl_Finance[Ex GST],"&lt;&gt;"))</f>
        <v/>
      </c>
      <c r="H75" s="17">
        <f>IF(C75="","",SUMIFS(tbl_Finance[Ex GST],tbl_Finance[Job Number],C75&amp;""))</f>
        <v/>
      </c>
      <c r="I75" s="15">
        <f>IF(C75="","",IFERROR(INDEX(tbl_Finance[Cost Centre],MATCH(C75&amp;"",tbl_Finance[Job Number],0)),"not invoiced yet"))</f>
        <v/>
      </c>
      <c r="J75" s="12" t="n"/>
      <c r="K75" s="14" t="n"/>
      <c r="L75" s="15">
        <f>IF(OR(K75="",set_RMSBase=""),"",HYPERLINK(set_RMSBase&amp;K75,"Open "&amp;K75))</f>
        <v/>
      </c>
      <c r="M75" s="15">
        <f>IF(C75="","",C75)</f>
        <v/>
      </c>
      <c r="N75" s="14" t="n"/>
      <c r="O75" s="16" t="n"/>
      <c r="P75" s="17">
        <f>IF(C75="","",H75+N(O75))</f>
        <v/>
      </c>
      <c r="Q75" s="54">
        <f>IFERROR(O75/P75,"")</f>
        <v/>
      </c>
      <c r="R75" s="16" t="n"/>
      <c r="S75" s="16" t="n"/>
      <c r="T75" s="17">
        <f>IF(C75="","",N(R75)+N(S75))</f>
        <v/>
      </c>
      <c r="U75" s="17">
        <f>IF(C75="","",H75-T75)</f>
        <v/>
      </c>
      <c r="V75" s="54">
        <f>IFERROR(U75/H75,"")</f>
        <v/>
      </c>
      <c r="W75" s="53" t="n"/>
      <c r="X75" s="53" t="n"/>
      <c r="Y75" s="53" t="n"/>
      <c r="Z75" s="53" t="n"/>
      <c r="AA75" s="53" t="n"/>
      <c r="AB75" s="14" t="n"/>
    </row>
    <row r="76" ht="15" customHeight="1">
      <c r="A76" s="51">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52">
        <f>IF(C76="","",COUNTIFS(tbl_Finance[Job Number],C76&amp;"",tbl_Finance[Ex GST],"&lt;&gt;"))</f>
        <v/>
      </c>
      <c r="H76" s="17">
        <f>IF(C76="","",SUMIFS(tbl_Finance[Ex GST],tbl_Finance[Job Number],C76&amp;""))</f>
        <v/>
      </c>
      <c r="I76" s="15">
        <f>IF(C76="","",IFERROR(INDEX(tbl_Finance[Cost Centre],MATCH(C76&amp;"",tbl_Finance[Job Number],0)),"not invoiced yet"))</f>
        <v/>
      </c>
      <c r="J76" s="12" t="n"/>
      <c r="K76" s="14" t="n"/>
      <c r="L76" s="15">
        <f>IF(OR(K76="",set_RMSBase=""),"",HYPERLINK(set_RMSBase&amp;K76,"Open "&amp;K76))</f>
        <v/>
      </c>
      <c r="M76" s="15">
        <f>IF(C76="","",C76)</f>
        <v/>
      </c>
      <c r="N76" s="14" t="n"/>
      <c r="O76" s="16" t="n"/>
      <c r="P76" s="17">
        <f>IF(C76="","",H76+N(O76))</f>
        <v/>
      </c>
      <c r="Q76" s="54">
        <f>IFERROR(O76/P76,"")</f>
        <v/>
      </c>
      <c r="R76" s="16" t="n"/>
      <c r="S76" s="16" t="n"/>
      <c r="T76" s="17">
        <f>IF(C76="","",N(R76)+N(S76))</f>
        <v/>
      </c>
      <c r="U76" s="17">
        <f>IF(C76="","",H76-T76)</f>
        <v/>
      </c>
      <c r="V76" s="54">
        <f>IFERROR(U76/H76,"")</f>
        <v/>
      </c>
      <c r="W76" s="53" t="n"/>
      <c r="X76" s="53" t="n"/>
      <c r="Y76" s="53" t="n"/>
      <c r="Z76" s="53" t="n"/>
      <c r="AA76" s="53" t="n"/>
      <c r="AB76" s="14" t="n"/>
    </row>
    <row r="77" ht="15" customHeight="1">
      <c r="A77" s="51">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52">
        <f>IF(C77="","",COUNTIFS(tbl_Finance[Job Number],C77&amp;"",tbl_Finance[Ex GST],"&lt;&gt;"))</f>
        <v/>
      </c>
      <c r="H77" s="17">
        <f>IF(C77="","",SUMIFS(tbl_Finance[Ex GST],tbl_Finance[Job Number],C77&amp;""))</f>
        <v/>
      </c>
      <c r="I77" s="15">
        <f>IF(C77="","",IFERROR(INDEX(tbl_Finance[Cost Centre],MATCH(C77&amp;"",tbl_Finance[Job Number],0)),"not invoiced yet"))</f>
        <v/>
      </c>
      <c r="J77" s="12" t="n"/>
      <c r="K77" s="14" t="n"/>
      <c r="L77" s="15">
        <f>IF(OR(K77="",set_RMSBase=""),"",HYPERLINK(set_RMSBase&amp;K77,"Open "&amp;K77))</f>
        <v/>
      </c>
      <c r="M77" s="15">
        <f>IF(C77="","",C77)</f>
        <v/>
      </c>
      <c r="N77" s="14" t="n"/>
      <c r="O77" s="16" t="n"/>
      <c r="P77" s="17">
        <f>IF(C77="","",H77+N(O77))</f>
        <v/>
      </c>
      <c r="Q77" s="54">
        <f>IFERROR(O77/P77,"")</f>
        <v/>
      </c>
      <c r="R77" s="16" t="n"/>
      <c r="S77" s="16" t="n"/>
      <c r="T77" s="17">
        <f>IF(C77="","",N(R77)+N(S77))</f>
        <v/>
      </c>
      <c r="U77" s="17">
        <f>IF(C77="","",H77-T77)</f>
        <v/>
      </c>
      <c r="V77" s="54">
        <f>IFERROR(U77/H77,"")</f>
        <v/>
      </c>
      <c r="W77" s="53" t="n"/>
      <c r="X77" s="53" t="n"/>
      <c r="Y77" s="53" t="n"/>
      <c r="Z77" s="53" t="n"/>
      <c r="AA77" s="53" t="n"/>
      <c r="AB77" s="14" t="n"/>
    </row>
    <row r="78" ht="15" customHeight="1">
      <c r="A78" s="51">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52">
        <f>IF(C78="","",COUNTIFS(tbl_Finance[Job Number],C78&amp;"",tbl_Finance[Ex GST],"&lt;&gt;"))</f>
        <v/>
      </c>
      <c r="H78" s="17">
        <f>IF(C78="","",SUMIFS(tbl_Finance[Ex GST],tbl_Finance[Job Number],C78&amp;""))</f>
        <v/>
      </c>
      <c r="I78" s="15">
        <f>IF(C78="","",IFERROR(INDEX(tbl_Finance[Cost Centre],MATCH(C78&amp;"",tbl_Finance[Job Number],0)),"not invoiced yet"))</f>
        <v/>
      </c>
      <c r="J78" s="12" t="n"/>
      <c r="K78" s="14" t="n"/>
      <c r="L78" s="15">
        <f>IF(OR(K78="",set_RMSBase=""),"",HYPERLINK(set_RMSBase&amp;K78,"Open "&amp;K78))</f>
        <v/>
      </c>
      <c r="M78" s="15">
        <f>IF(C78="","",C78)</f>
        <v/>
      </c>
      <c r="N78" s="14" t="n"/>
      <c r="O78" s="16" t="n"/>
      <c r="P78" s="17">
        <f>IF(C78="","",H78+N(O78))</f>
        <v/>
      </c>
      <c r="Q78" s="54">
        <f>IFERROR(O78/P78,"")</f>
        <v/>
      </c>
      <c r="R78" s="16" t="n"/>
      <c r="S78" s="16" t="n"/>
      <c r="T78" s="17">
        <f>IF(C78="","",N(R78)+N(S78))</f>
        <v/>
      </c>
      <c r="U78" s="17">
        <f>IF(C78="","",H78-T78)</f>
        <v/>
      </c>
      <c r="V78" s="54">
        <f>IFERROR(U78/H78,"")</f>
        <v/>
      </c>
      <c r="W78" s="53" t="n"/>
      <c r="X78" s="53" t="n"/>
      <c r="Y78" s="53" t="n"/>
      <c r="Z78" s="53" t="n"/>
      <c r="AA78" s="53" t="n"/>
      <c r="AB78" s="14" t="n"/>
    </row>
    <row r="79" ht="15" customHeight="1">
      <c r="A79" s="51">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52">
        <f>IF(C79="","",COUNTIFS(tbl_Finance[Job Number],C79&amp;"",tbl_Finance[Ex GST],"&lt;&gt;"))</f>
        <v/>
      </c>
      <c r="H79" s="17">
        <f>IF(C79="","",SUMIFS(tbl_Finance[Ex GST],tbl_Finance[Job Number],C79&amp;""))</f>
        <v/>
      </c>
      <c r="I79" s="15">
        <f>IF(C79="","",IFERROR(INDEX(tbl_Finance[Cost Centre],MATCH(C79&amp;"",tbl_Finance[Job Number],0)),"not invoiced yet"))</f>
        <v/>
      </c>
      <c r="J79" s="12" t="n"/>
      <c r="K79" s="14" t="n"/>
      <c r="L79" s="15">
        <f>IF(OR(K79="",set_RMSBase=""),"",HYPERLINK(set_RMSBase&amp;K79,"Open "&amp;K79))</f>
        <v/>
      </c>
      <c r="M79" s="15">
        <f>IF(C79="","",C79)</f>
        <v/>
      </c>
      <c r="N79" s="14" t="n"/>
      <c r="O79" s="16" t="n"/>
      <c r="P79" s="17">
        <f>IF(C79="","",H79+N(O79))</f>
        <v/>
      </c>
      <c r="Q79" s="54">
        <f>IFERROR(O79/P79,"")</f>
        <v/>
      </c>
      <c r="R79" s="16" t="n"/>
      <c r="S79" s="16" t="n"/>
      <c r="T79" s="17">
        <f>IF(C79="","",N(R79)+N(S79))</f>
        <v/>
      </c>
      <c r="U79" s="17">
        <f>IF(C79="","",H79-T79)</f>
        <v/>
      </c>
      <c r="V79" s="54">
        <f>IFERROR(U79/H79,"")</f>
        <v/>
      </c>
      <c r="W79" s="53" t="n"/>
      <c r="X79" s="53" t="n"/>
      <c r="Y79" s="53" t="n"/>
      <c r="Z79" s="53" t="n"/>
      <c r="AA79" s="53" t="n"/>
      <c r="AB79" s="14" t="n"/>
    </row>
    <row r="80" ht="15" customHeight="1">
      <c r="A80" s="51">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52">
        <f>IF(C80="","",COUNTIFS(tbl_Finance[Job Number],C80&amp;"",tbl_Finance[Ex GST],"&lt;&gt;"))</f>
        <v/>
      </c>
      <c r="H80" s="17">
        <f>IF(C80="","",SUMIFS(tbl_Finance[Ex GST],tbl_Finance[Job Number],C80&amp;""))</f>
        <v/>
      </c>
      <c r="I80" s="15">
        <f>IF(C80="","",IFERROR(INDEX(tbl_Finance[Cost Centre],MATCH(C80&amp;"",tbl_Finance[Job Number],0)),"not invoiced yet"))</f>
        <v/>
      </c>
      <c r="J80" s="12" t="n"/>
      <c r="K80" s="14" t="n"/>
      <c r="L80" s="15">
        <f>IF(OR(K80="",set_RMSBase=""),"",HYPERLINK(set_RMSBase&amp;K80,"Open "&amp;K80))</f>
        <v/>
      </c>
      <c r="M80" s="15">
        <f>IF(C80="","",C80)</f>
        <v/>
      </c>
      <c r="N80" s="14" t="n"/>
      <c r="O80" s="16" t="n"/>
      <c r="P80" s="17">
        <f>IF(C80="","",H80+N(O80))</f>
        <v/>
      </c>
      <c r="Q80" s="54">
        <f>IFERROR(O80/P80,"")</f>
        <v/>
      </c>
      <c r="R80" s="16" t="n"/>
      <c r="S80" s="16" t="n"/>
      <c r="T80" s="17">
        <f>IF(C80="","",N(R80)+N(S80))</f>
        <v/>
      </c>
      <c r="U80" s="17">
        <f>IF(C80="","",H80-T80)</f>
        <v/>
      </c>
      <c r="V80" s="54">
        <f>IFERROR(U80/H80,"")</f>
        <v/>
      </c>
      <c r="W80" s="53" t="n"/>
      <c r="X80" s="53" t="n"/>
      <c r="Y80" s="53" t="n"/>
      <c r="Z80" s="53" t="n"/>
      <c r="AA80" s="53" t="n"/>
      <c r="AB80" s="14" t="n"/>
    </row>
    <row r="81" ht="15" customHeight="1">
      <c r="A81" s="51">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52">
        <f>IF(C81="","",COUNTIFS(tbl_Finance[Job Number],C81&amp;"",tbl_Finance[Ex GST],"&lt;&gt;"))</f>
        <v/>
      </c>
      <c r="H81" s="17">
        <f>IF(C81="","",SUMIFS(tbl_Finance[Ex GST],tbl_Finance[Job Number],C81&amp;""))</f>
        <v/>
      </c>
      <c r="I81" s="15">
        <f>IF(C81="","",IFERROR(INDEX(tbl_Finance[Cost Centre],MATCH(C81&amp;"",tbl_Finance[Job Number],0)),"not invoiced yet"))</f>
        <v/>
      </c>
      <c r="J81" s="12" t="n"/>
      <c r="K81" s="14" t="n"/>
      <c r="L81" s="15">
        <f>IF(OR(K81="",set_RMSBase=""),"",HYPERLINK(set_RMSBase&amp;K81,"Open "&amp;K81))</f>
        <v/>
      </c>
      <c r="M81" s="15">
        <f>IF(C81="","",C81)</f>
        <v/>
      </c>
      <c r="N81" s="14" t="n"/>
      <c r="O81" s="16" t="n"/>
      <c r="P81" s="17">
        <f>IF(C81="","",H81+N(O81))</f>
        <v/>
      </c>
      <c r="Q81" s="54">
        <f>IFERROR(O81/P81,"")</f>
        <v/>
      </c>
      <c r="R81" s="16" t="n"/>
      <c r="S81" s="16" t="n"/>
      <c r="T81" s="17">
        <f>IF(C81="","",N(R81)+N(S81))</f>
        <v/>
      </c>
      <c r="U81" s="17">
        <f>IF(C81="","",H81-T81)</f>
        <v/>
      </c>
      <c r="V81" s="54">
        <f>IFERROR(U81/H81,"")</f>
        <v/>
      </c>
      <c r="W81" s="53" t="n"/>
      <c r="X81" s="53" t="n"/>
      <c r="Y81" s="53" t="n"/>
      <c r="Z81" s="53" t="n"/>
      <c r="AA81" s="53" t="n"/>
      <c r="AB81" s="14" t="n"/>
    </row>
    <row r="82" ht="15" customHeight="1">
      <c r="A82" s="51">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52">
        <f>IF(C82="","",COUNTIFS(tbl_Finance[Job Number],C82&amp;"",tbl_Finance[Ex GST],"&lt;&gt;"))</f>
        <v/>
      </c>
      <c r="H82" s="17">
        <f>IF(C82="","",SUMIFS(tbl_Finance[Ex GST],tbl_Finance[Job Number],C82&amp;""))</f>
        <v/>
      </c>
      <c r="I82" s="15">
        <f>IF(C82="","",IFERROR(INDEX(tbl_Finance[Cost Centre],MATCH(C82&amp;"",tbl_Finance[Job Number],0)),"not invoiced yet"))</f>
        <v/>
      </c>
      <c r="J82" s="12" t="n"/>
      <c r="K82" s="14" t="n"/>
      <c r="L82" s="15">
        <f>IF(OR(K82="",set_RMSBase=""),"",HYPERLINK(set_RMSBase&amp;K82,"Open "&amp;K82))</f>
        <v/>
      </c>
      <c r="M82" s="15">
        <f>IF(C82="","",C82)</f>
        <v/>
      </c>
      <c r="N82" s="14" t="n"/>
      <c r="O82" s="16" t="n"/>
      <c r="P82" s="17">
        <f>IF(C82="","",H82+N(O82))</f>
        <v/>
      </c>
      <c r="Q82" s="54">
        <f>IFERROR(O82/P82,"")</f>
        <v/>
      </c>
      <c r="R82" s="16" t="n"/>
      <c r="S82" s="16" t="n"/>
      <c r="T82" s="17">
        <f>IF(C82="","",N(R82)+N(S82))</f>
        <v/>
      </c>
      <c r="U82" s="17">
        <f>IF(C82="","",H82-T82)</f>
        <v/>
      </c>
      <c r="V82" s="54">
        <f>IFERROR(U82/H82,"")</f>
        <v/>
      </c>
      <c r="W82" s="53" t="n"/>
      <c r="X82" s="53" t="n"/>
      <c r="Y82" s="53" t="n"/>
      <c r="Z82" s="53" t="n"/>
      <c r="AA82" s="53" t="n"/>
      <c r="AB82" s="14" t="n"/>
    </row>
    <row r="83" ht="15" customHeight="1">
      <c r="A83" s="51">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52">
        <f>IF(C83="","",COUNTIFS(tbl_Finance[Job Number],C83&amp;"",tbl_Finance[Ex GST],"&lt;&gt;"))</f>
        <v/>
      </c>
      <c r="H83" s="17">
        <f>IF(C83="","",SUMIFS(tbl_Finance[Ex GST],tbl_Finance[Job Number],C83&amp;""))</f>
        <v/>
      </c>
      <c r="I83" s="15">
        <f>IF(C83="","",IFERROR(INDEX(tbl_Finance[Cost Centre],MATCH(C83&amp;"",tbl_Finance[Job Number],0)),"not invoiced yet"))</f>
        <v/>
      </c>
      <c r="J83" s="12" t="n"/>
      <c r="K83" s="14" t="n"/>
      <c r="L83" s="15">
        <f>IF(OR(K83="",set_RMSBase=""),"",HYPERLINK(set_RMSBase&amp;K83,"Open "&amp;K83))</f>
        <v/>
      </c>
      <c r="M83" s="15">
        <f>IF(C83="","",C83)</f>
        <v/>
      </c>
      <c r="N83" s="14" t="n"/>
      <c r="O83" s="16" t="n"/>
      <c r="P83" s="17">
        <f>IF(C83="","",H83+N(O83))</f>
        <v/>
      </c>
      <c r="Q83" s="54">
        <f>IFERROR(O83/P83,"")</f>
        <v/>
      </c>
      <c r="R83" s="16" t="n"/>
      <c r="S83" s="16" t="n"/>
      <c r="T83" s="17">
        <f>IF(C83="","",N(R83)+N(S83))</f>
        <v/>
      </c>
      <c r="U83" s="17">
        <f>IF(C83="","",H83-T83)</f>
        <v/>
      </c>
      <c r="V83" s="54">
        <f>IFERROR(U83/H83,"")</f>
        <v/>
      </c>
      <c r="W83" s="53" t="n"/>
      <c r="X83" s="53" t="n"/>
      <c r="Y83" s="53" t="n"/>
      <c r="Z83" s="53" t="n"/>
      <c r="AA83" s="53" t="n"/>
      <c r="AB83" s="14" t="n"/>
    </row>
    <row r="84" ht="15" customHeight="1">
      <c r="A84" s="51">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52">
        <f>IF(C84="","",COUNTIFS(tbl_Finance[Job Number],C84&amp;"",tbl_Finance[Ex GST],"&lt;&gt;"))</f>
        <v/>
      </c>
      <c r="H84" s="17">
        <f>IF(C84="","",SUMIFS(tbl_Finance[Ex GST],tbl_Finance[Job Number],C84&amp;""))</f>
        <v/>
      </c>
      <c r="I84" s="15">
        <f>IF(C84="","",IFERROR(INDEX(tbl_Finance[Cost Centre],MATCH(C84&amp;"",tbl_Finance[Job Number],0)),"not invoiced yet"))</f>
        <v/>
      </c>
      <c r="J84" s="12" t="n"/>
      <c r="K84" s="14" t="n"/>
      <c r="L84" s="15">
        <f>IF(OR(K84="",set_RMSBase=""),"",HYPERLINK(set_RMSBase&amp;K84,"Open "&amp;K84))</f>
        <v/>
      </c>
      <c r="M84" s="15">
        <f>IF(C84="","",C84)</f>
        <v/>
      </c>
      <c r="N84" s="14" t="n"/>
      <c r="O84" s="16" t="n"/>
      <c r="P84" s="17">
        <f>IF(C84="","",H84+N(O84))</f>
        <v/>
      </c>
      <c r="Q84" s="54">
        <f>IFERROR(O84/P84,"")</f>
        <v/>
      </c>
      <c r="R84" s="16" t="n"/>
      <c r="S84" s="16" t="n"/>
      <c r="T84" s="17">
        <f>IF(C84="","",N(R84)+N(S84))</f>
        <v/>
      </c>
      <c r="U84" s="17">
        <f>IF(C84="","",H84-T84)</f>
        <v/>
      </c>
      <c r="V84" s="54">
        <f>IFERROR(U84/H84,"")</f>
        <v/>
      </c>
      <c r="W84" s="53" t="n"/>
      <c r="X84" s="53" t="n"/>
      <c r="Y84" s="53" t="n"/>
      <c r="Z84" s="53" t="n"/>
      <c r="AA84" s="53" t="n"/>
      <c r="AB84" s="14" t="n"/>
    </row>
    <row r="85" ht="15" customHeight="1">
      <c r="A85" s="51">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52">
        <f>IF(C85="","",COUNTIFS(tbl_Finance[Job Number],C85&amp;"",tbl_Finance[Ex GST],"&lt;&gt;"))</f>
        <v/>
      </c>
      <c r="H85" s="17">
        <f>IF(C85="","",SUMIFS(tbl_Finance[Ex GST],tbl_Finance[Job Number],C85&amp;""))</f>
        <v/>
      </c>
      <c r="I85" s="15">
        <f>IF(C85="","",IFERROR(INDEX(tbl_Finance[Cost Centre],MATCH(C85&amp;"",tbl_Finance[Job Number],0)),"not invoiced yet"))</f>
        <v/>
      </c>
      <c r="J85" s="12" t="n"/>
      <c r="K85" s="14" t="n"/>
      <c r="L85" s="15">
        <f>IF(OR(K85="",set_RMSBase=""),"",HYPERLINK(set_RMSBase&amp;K85,"Open "&amp;K85))</f>
        <v/>
      </c>
      <c r="M85" s="15">
        <f>IF(C85="","",C85)</f>
        <v/>
      </c>
      <c r="N85" s="14" t="n"/>
      <c r="O85" s="16" t="n"/>
      <c r="P85" s="17">
        <f>IF(C85="","",H85+N(O85))</f>
        <v/>
      </c>
      <c r="Q85" s="54">
        <f>IFERROR(O85/P85,"")</f>
        <v/>
      </c>
      <c r="R85" s="16" t="n"/>
      <c r="S85" s="16" t="n"/>
      <c r="T85" s="17">
        <f>IF(C85="","",N(R85)+N(S85))</f>
        <v/>
      </c>
      <c r="U85" s="17">
        <f>IF(C85="","",H85-T85)</f>
        <v/>
      </c>
      <c r="V85" s="54">
        <f>IFERROR(U85/H85,"")</f>
        <v/>
      </c>
      <c r="W85" s="53" t="n"/>
      <c r="X85" s="53" t="n"/>
      <c r="Y85" s="53" t="n"/>
      <c r="Z85" s="53" t="n"/>
      <c r="AA85" s="53" t="n"/>
      <c r="AB85" s="14" t="n"/>
    </row>
    <row r="86" ht="15" customHeight="1">
      <c r="A86" s="51">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52">
        <f>IF(C86="","",COUNTIFS(tbl_Finance[Job Number],C86&amp;"",tbl_Finance[Ex GST],"&lt;&gt;"))</f>
        <v/>
      </c>
      <c r="H86" s="17">
        <f>IF(C86="","",SUMIFS(tbl_Finance[Ex GST],tbl_Finance[Job Number],C86&amp;""))</f>
        <v/>
      </c>
      <c r="I86" s="15">
        <f>IF(C86="","",IFERROR(INDEX(tbl_Finance[Cost Centre],MATCH(C86&amp;"",tbl_Finance[Job Number],0)),"not invoiced yet"))</f>
        <v/>
      </c>
      <c r="J86" s="12" t="n"/>
      <c r="K86" s="14" t="n"/>
      <c r="L86" s="15">
        <f>IF(OR(K86="",set_RMSBase=""),"",HYPERLINK(set_RMSBase&amp;K86,"Open "&amp;K86))</f>
        <v/>
      </c>
      <c r="M86" s="15">
        <f>IF(C86="","",C86)</f>
        <v/>
      </c>
      <c r="N86" s="14" t="n"/>
      <c r="O86" s="16" t="n"/>
      <c r="P86" s="17">
        <f>IF(C86="","",H86+N(O86))</f>
        <v/>
      </c>
      <c r="Q86" s="54">
        <f>IFERROR(O86/P86,"")</f>
        <v/>
      </c>
      <c r="R86" s="16" t="n"/>
      <c r="S86" s="16" t="n"/>
      <c r="T86" s="17">
        <f>IF(C86="","",N(R86)+N(S86))</f>
        <v/>
      </c>
      <c r="U86" s="17">
        <f>IF(C86="","",H86-T86)</f>
        <v/>
      </c>
      <c r="V86" s="54">
        <f>IFERROR(U86/H86,"")</f>
        <v/>
      </c>
      <c r="W86" s="53" t="n"/>
      <c r="X86" s="53" t="n"/>
      <c r="Y86" s="53" t="n"/>
      <c r="Z86" s="53" t="n"/>
      <c r="AA86" s="53" t="n"/>
      <c r="AB86" s="14" t="n"/>
    </row>
    <row r="87" ht="15" customHeight="1">
      <c r="A87" s="51">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52">
        <f>IF(C87="","",COUNTIFS(tbl_Finance[Job Number],C87&amp;"",tbl_Finance[Ex GST],"&lt;&gt;"))</f>
        <v/>
      </c>
      <c r="H87" s="17">
        <f>IF(C87="","",SUMIFS(tbl_Finance[Ex GST],tbl_Finance[Job Number],C87&amp;""))</f>
        <v/>
      </c>
      <c r="I87" s="15">
        <f>IF(C87="","",IFERROR(INDEX(tbl_Finance[Cost Centre],MATCH(C87&amp;"",tbl_Finance[Job Number],0)),"not invoiced yet"))</f>
        <v/>
      </c>
      <c r="J87" s="12" t="n"/>
      <c r="K87" s="14" t="n"/>
      <c r="L87" s="15">
        <f>IF(OR(K87="",set_RMSBase=""),"",HYPERLINK(set_RMSBase&amp;K87,"Open "&amp;K87))</f>
        <v/>
      </c>
      <c r="M87" s="15">
        <f>IF(C87="","",C87)</f>
        <v/>
      </c>
      <c r="N87" s="14" t="n"/>
      <c r="O87" s="16" t="n"/>
      <c r="P87" s="17">
        <f>IF(C87="","",H87+N(O87))</f>
        <v/>
      </c>
      <c r="Q87" s="54">
        <f>IFERROR(O87/P87,"")</f>
        <v/>
      </c>
      <c r="R87" s="16" t="n"/>
      <c r="S87" s="16" t="n"/>
      <c r="T87" s="17">
        <f>IF(C87="","",N(R87)+N(S87))</f>
        <v/>
      </c>
      <c r="U87" s="17">
        <f>IF(C87="","",H87-T87)</f>
        <v/>
      </c>
      <c r="V87" s="54">
        <f>IFERROR(U87/H87,"")</f>
        <v/>
      </c>
      <c r="W87" s="53" t="n"/>
      <c r="X87" s="53" t="n"/>
      <c r="Y87" s="53" t="n"/>
      <c r="Z87" s="53" t="n"/>
      <c r="AA87" s="53" t="n"/>
      <c r="AB87" s="14" t="n"/>
    </row>
    <row r="88" ht="15" customHeight="1">
      <c r="A88" s="51">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52">
        <f>IF(C88="","",COUNTIFS(tbl_Finance[Job Number],C88&amp;"",tbl_Finance[Ex GST],"&lt;&gt;"))</f>
        <v/>
      </c>
      <c r="H88" s="17">
        <f>IF(C88="","",SUMIFS(tbl_Finance[Ex GST],tbl_Finance[Job Number],C88&amp;""))</f>
        <v/>
      </c>
      <c r="I88" s="15">
        <f>IF(C88="","",IFERROR(INDEX(tbl_Finance[Cost Centre],MATCH(C88&amp;"",tbl_Finance[Job Number],0)),"not invoiced yet"))</f>
        <v/>
      </c>
      <c r="J88" s="12" t="n"/>
      <c r="K88" s="14" t="n"/>
      <c r="L88" s="15">
        <f>IF(OR(K88="",set_RMSBase=""),"",HYPERLINK(set_RMSBase&amp;K88,"Open "&amp;K88))</f>
        <v/>
      </c>
      <c r="M88" s="15">
        <f>IF(C88="","",C88)</f>
        <v/>
      </c>
      <c r="N88" s="14" t="n"/>
      <c r="O88" s="16" t="n"/>
      <c r="P88" s="17">
        <f>IF(C88="","",H88+N(O88))</f>
        <v/>
      </c>
      <c r="Q88" s="54">
        <f>IFERROR(O88/P88,"")</f>
        <v/>
      </c>
      <c r="R88" s="16" t="n"/>
      <c r="S88" s="16" t="n"/>
      <c r="T88" s="17">
        <f>IF(C88="","",N(R88)+N(S88))</f>
        <v/>
      </c>
      <c r="U88" s="17">
        <f>IF(C88="","",H88-T88)</f>
        <v/>
      </c>
      <c r="V88" s="54">
        <f>IFERROR(U88/H88,"")</f>
        <v/>
      </c>
      <c r="W88" s="53" t="n"/>
      <c r="X88" s="53" t="n"/>
      <c r="Y88" s="53" t="n"/>
      <c r="Z88" s="53" t="n"/>
      <c r="AA88" s="53" t="n"/>
      <c r="AB88" s="14" t="n"/>
    </row>
    <row r="89" ht="15" customHeight="1">
      <c r="A89" s="51">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52">
        <f>IF(C89="","",COUNTIFS(tbl_Finance[Job Number],C89&amp;"",tbl_Finance[Ex GST],"&lt;&gt;"))</f>
        <v/>
      </c>
      <c r="H89" s="17">
        <f>IF(C89="","",SUMIFS(tbl_Finance[Ex GST],tbl_Finance[Job Number],C89&amp;""))</f>
        <v/>
      </c>
      <c r="I89" s="15">
        <f>IF(C89="","",IFERROR(INDEX(tbl_Finance[Cost Centre],MATCH(C89&amp;"",tbl_Finance[Job Number],0)),"not invoiced yet"))</f>
        <v/>
      </c>
      <c r="J89" s="12" t="n"/>
      <c r="K89" s="14" t="n"/>
      <c r="L89" s="15">
        <f>IF(OR(K89="",set_RMSBase=""),"",HYPERLINK(set_RMSBase&amp;K89,"Open "&amp;K89))</f>
        <v/>
      </c>
      <c r="M89" s="15">
        <f>IF(C89="","",C89)</f>
        <v/>
      </c>
      <c r="N89" s="14" t="n"/>
      <c r="O89" s="16" t="n"/>
      <c r="P89" s="17">
        <f>IF(C89="","",H89+N(O89))</f>
        <v/>
      </c>
      <c r="Q89" s="54">
        <f>IFERROR(O89/P89,"")</f>
        <v/>
      </c>
      <c r="R89" s="16" t="n"/>
      <c r="S89" s="16" t="n"/>
      <c r="T89" s="17">
        <f>IF(C89="","",N(R89)+N(S89))</f>
        <v/>
      </c>
      <c r="U89" s="17">
        <f>IF(C89="","",H89-T89)</f>
        <v/>
      </c>
      <c r="V89" s="54">
        <f>IFERROR(U89/H89,"")</f>
        <v/>
      </c>
      <c r="W89" s="53" t="n"/>
      <c r="X89" s="53" t="n"/>
      <c r="Y89" s="53" t="n"/>
      <c r="Z89" s="53" t="n"/>
      <c r="AA89" s="53" t="n"/>
      <c r="AB89" s="14" t="n"/>
    </row>
    <row r="90" ht="15" customHeight="1">
      <c r="A90" s="51">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52">
        <f>IF(C90="","",COUNTIFS(tbl_Finance[Job Number],C90&amp;"",tbl_Finance[Ex GST],"&lt;&gt;"))</f>
        <v/>
      </c>
      <c r="H90" s="17">
        <f>IF(C90="","",SUMIFS(tbl_Finance[Ex GST],tbl_Finance[Job Number],C90&amp;""))</f>
        <v/>
      </c>
      <c r="I90" s="15">
        <f>IF(C90="","",IFERROR(INDEX(tbl_Finance[Cost Centre],MATCH(C90&amp;"",tbl_Finance[Job Number],0)),"not invoiced yet"))</f>
        <v/>
      </c>
      <c r="J90" s="12" t="n"/>
      <c r="K90" s="14" t="n"/>
      <c r="L90" s="15">
        <f>IF(OR(K90="",set_RMSBase=""),"",HYPERLINK(set_RMSBase&amp;K90,"Open "&amp;K90))</f>
        <v/>
      </c>
      <c r="M90" s="15">
        <f>IF(C90="","",C90)</f>
        <v/>
      </c>
      <c r="N90" s="14" t="n"/>
      <c r="O90" s="16" t="n"/>
      <c r="P90" s="17">
        <f>IF(C90="","",H90+N(O90))</f>
        <v/>
      </c>
      <c r="Q90" s="54">
        <f>IFERROR(O90/P90,"")</f>
        <v/>
      </c>
      <c r="R90" s="16" t="n"/>
      <c r="S90" s="16" t="n"/>
      <c r="T90" s="17">
        <f>IF(C90="","",N(R90)+N(S90))</f>
        <v/>
      </c>
      <c r="U90" s="17">
        <f>IF(C90="","",H90-T90)</f>
        <v/>
      </c>
      <c r="V90" s="54">
        <f>IFERROR(U90/H90,"")</f>
        <v/>
      </c>
      <c r="W90" s="53" t="n"/>
      <c r="X90" s="53" t="n"/>
      <c r="Y90" s="53" t="n"/>
      <c r="Z90" s="53" t="n"/>
      <c r="AA90" s="53" t="n"/>
      <c r="AB90" s="14" t="n"/>
    </row>
    <row r="91" ht="15" customHeight="1">
      <c r="A91" s="51">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52">
        <f>IF(C91="","",COUNTIFS(tbl_Finance[Job Number],C91&amp;"",tbl_Finance[Ex GST],"&lt;&gt;"))</f>
        <v/>
      </c>
      <c r="H91" s="17">
        <f>IF(C91="","",SUMIFS(tbl_Finance[Ex GST],tbl_Finance[Job Number],C91&amp;""))</f>
        <v/>
      </c>
      <c r="I91" s="15">
        <f>IF(C91="","",IFERROR(INDEX(tbl_Finance[Cost Centre],MATCH(C91&amp;"",tbl_Finance[Job Number],0)),"not invoiced yet"))</f>
        <v/>
      </c>
      <c r="J91" s="12" t="n"/>
      <c r="K91" s="14" t="n"/>
      <c r="L91" s="15">
        <f>IF(OR(K91="",set_RMSBase=""),"",HYPERLINK(set_RMSBase&amp;K91,"Open "&amp;K91))</f>
        <v/>
      </c>
      <c r="M91" s="15">
        <f>IF(C91="","",C91)</f>
        <v/>
      </c>
      <c r="N91" s="14" t="n"/>
      <c r="O91" s="16" t="n"/>
      <c r="P91" s="17">
        <f>IF(C91="","",H91+N(O91))</f>
        <v/>
      </c>
      <c r="Q91" s="54">
        <f>IFERROR(O91/P91,"")</f>
        <v/>
      </c>
      <c r="R91" s="16" t="n"/>
      <c r="S91" s="16" t="n"/>
      <c r="T91" s="17">
        <f>IF(C91="","",N(R91)+N(S91))</f>
        <v/>
      </c>
      <c r="U91" s="17">
        <f>IF(C91="","",H91-T91)</f>
        <v/>
      </c>
      <c r="V91" s="54">
        <f>IFERROR(U91/H91,"")</f>
        <v/>
      </c>
      <c r="W91" s="53" t="n"/>
      <c r="X91" s="53" t="n"/>
      <c r="Y91" s="53" t="n"/>
      <c r="Z91" s="53" t="n"/>
      <c r="AA91" s="53" t="n"/>
      <c r="AB91" s="14" t="n"/>
    </row>
    <row r="92" ht="15" customHeight="1">
      <c r="A92" s="51">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52">
        <f>IF(C92="","",COUNTIFS(tbl_Finance[Job Number],C92&amp;"",tbl_Finance[Ex GST],"&lt;&gt;"))</f>
        <v/>
      </c>
      <c r="H92" s="17">
        <f>IF(C92="","",SUMIFS(tbl_Finance[Ex GST],tbl_Finance[Job Number],C92&amp;""))</f>
        <v/>
      </c>
      <c r="I92" s="15">
        <f>IF(C92="","",IFERROR(INDEX(tbl_Finance[Cost Centre],MATCH(C92&amp;"",tbl_Finance[Job Number],0)),"not invoiced yet"))</f>
        <v/>
      </c>
      <c r="J92" s="12" t="n"/>
      <c r="K92" s="14" t="n"/>
      <c r="L92" s="15">
        <f>IF(OR(K92="",set_RMSBase=""),"",HYPERLINK(set_RMSBase&amp;K92,"Open "&amp;K92))</f>
        <v/>
      </c>
      <c r="M92" s="15">
        <f>IF(C92="","",C92)</f>
        <v/>
      </c>
      <c r="N92" s="14" t="n"/>
      <c r="O92" s="16" t="n"/>
      <c r="P92" s="17">
        <f>IF(C92="","",H92+N(O92))</f>
        <v/>
      </c>
      <c r="Q92" s="54">
        <f>IFERROR(O92/P92,"")</f>
        <v/>
      </c>
      <c r="R92" s="16" t="n"/>
      <c r="S92" s="16" t="n"/>
      <c r="T92" s="17">
        <f>IF(C92="","",N(R92)+N(S92))</f>
        <v/>
      </c>
      <c r="U92" s="17">
        <f>IF(C92="","",H92-T92)</f>
        <v/>
      </c>
      <c r="V92" s="54">
        <f>IFERROR(U92/H92,"")</f>
        <v/>
      </c>
      <c r="W92" s="53" t="n"/>
      <c r="X92" s="53" t="n"/>
      <c r="Y92" s="53" t="n"/>
      <c r="Z92" s="53" t="n"/>
      <c r="AA92" s="53" t="n"/>
      <c r="AB92" s="14" t="n"/>
    </row>
    <row r="93" ht="15" customHeight="1">
      <c r="A93" s="51">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52">
        <f>IF(C93="","",COUNTIFS(tbl_Finance[Job Number],C93&amp;"",tbl_Finance[Ex GST],"&lt;&gt;"))</f>
        <v/>
      </c>
      <c r="H93" s="17">
        <f>IF(C93="","",SUMIFS(tbl_Finance[Ex GST],tbl_Finance[Job Number],C93&amp;""))</f>
        <v/>
      </c>
      <c r="I93" s="15">
        <f>IF(C93="","",IFERROR(INDEX(tbl_Finance[Cost Centre],MATCH(C93&amp;"",tbl_Finance[Job Number],0)),"not invoiced yet"))</f>
        <v/>
      </c>
      <c r="J93" s="12" t="n"/>
      <c r="K93" s="14" t="n"/>
      <c r="L93" s="15">
        <f>IF(OR(K93="",set_RMSBase=""),"",HYPERLINK(set_RMSBase&amp;K93,"Open "&amp;K93))</f>
        <v/>
      </c>
      <c r="M93" s="15">
        <f>IF(C93="","",C93)</f>
        <v/>
      </c>
      <c r="N93" s="14" t="n"/>
      <c r="O93" s="16" t="n"/>
      <c r="P93" s="17">
        <f>IF(C93="","",H93+N(O93))</f>
        <v/>
      </c>
      <c r="Q93" s="54">
        <f>IFERROR(O93/P93,"")</f>
        <v/>
      </c>
      <c r="R93" s="16" t="n"/>
      <c r="S93" s="16" t="n"/>
      <c r="T93" s="17">
        <f>IF(C93="","",N(R93)+N(S93))</f>
        <v/>
      </c>
      <c r="U93" s="17">
        <f>IF(C93="","",H93-T93)</f>
        <v/>
      </c>
      <c r="V93" s="54">
        <f>IFERROR(U93/H93,"")</f>
        <v/>
      </c>
      <c r="W93" s="53" t="n"/>
      <c r="X93" s="53" t="n"/>
      <c r="Y93" s="53" t="n"/>
      <c r="Z93" s="53" t="n"/>
      <c r="AA93" s="53" t="n"/>
      <c r="AB93" s="14" t="n"/>
    </row>
    <row r="94" ht="15" customHeight="1">
      <c r="A94" s="51">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52">
        <f>IF(C94="","",COUNTIFS(tbl_Finance[Job Number],C94&amp;"",tbl_Finance[Ex GST],"&lt;&gt;"))</f>
        <v/>
      </c>
      <c r="H94" s="17">
        <f>IF(C94="","",SUMIFS(tbl_Finance[Ex GST],tbl_Finance[Job Number],C94&amp;""))</f>
        <v/>
      </c>
      <c r="I94" s="15">
        <f>IF(C94="","",IFERROR(INDEX(tbl_Finance[Cost Centre],MATCH(C94&amp;"",tbl_Finance[Job Number],0)),"not invoiced yet"))</f>
        <v/>
      </c>
      <c r="J94" s="12" t="n"/>
      <c r="K94" s="14" t="n"/>
      <c r="L94" s="15">
        <f>IF(OR(K94="",set_RMSBase=""),"",HYPERLINK(set_RMSBase&amp;K94,"Open "&amp;K94))</f>
        <v/>
      </c>
      <c r="M94" s="15">
        <f>IF(C94="","",C94)</f>
        <v/>
      </c>
      <c r="N94" s="14" t="n"/>
      <c r="O94" s="16" t="n"/>
      <c r="P94" s="17">
        <f>IF(C94="","",H94+N(O94))</f>
        <v/>
      </c>
      <c r="Q94" s="54">
        <f>IFERROR(O94/P94,"")</f>
        <v/>
      </c>
      <c r="R94" s="16" t="n"/>
      <c r="S94" s="16" t="n"/>
      <c r="T94" s="17">
        <f>IF(C94="","",N(R94)+N(S94))</f>
        <v/>
      </c>
      <c r="U94" s="17">
        <f>IF(C94="","",H94-T94)</f>
        <v/>
      </c>
      <c r="V94" s="54">
        <f>IFERROR(U94/H94,"")</f>
        <v/>
      </c>
      <c r="W94" s="53" t="n"/>
      <c r="X94" s="53" t="n"/>
      <c r="Y94" s="53" t="n"/>
      <c r="Z94" s="53" t="n"/>
      <c r="AA94" s="53" t="n"/>
      <c r="AB94" s="14" t="n"/>
    </row>
    <row r="95" ht="15" customHeight="1">
      <c r="A95" s="51">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52">
        <f>IF(C95="","",COUNTIFS(tbl_Finance[Job Number],C95&amp;"",tbl_Finance[Ex GST],"&lt;&gt;"))</f>
        <v/>
      </c>
      <c r="H95" s="17">
        <f>IF(C95="","",SUMIFS(tbl_Finance[Ex GST],tbl_Finance[Job Number],C95&amp;""))</f>
        <v/>
      </c>
      <c r="I95" s="15">
        <f>IF(C95="","",IFERROR(INDEX(tbl_Finance[Cost Centre],MATCH(C95&amp;"",tbl_Finance[Job Number],0)),"not invoiced yet"))</f>
        <v/>
      </c>
      <c r="J95" s="12" t="n"/>
      <c r="K95" s="14" t="n"/>
      <c r="L95" s="15">
        <f>IF(OR(K95="",set_RMSBase=""),"",HYPERLINK(set_RMSBase&amp;K95,"Open "&amp;K95))</f>
        <v/>
      </c>
      <c r="M95" s="15">
        <f>IF(C95="","",C95)</f>
        <v/>
      </c>
      <c r="N95" s="14" t="n"/>
      <c r="O95" s="16" t="n"/>
      <c r="P95" s="17">
        <f>IF(C95="","",H95+N(O95))</f>
        <v/>
      </c>
      <c r="Q95" s="54">
        <f>IFERROR(O95/P95,"")</f>
        <v/>
      </c>
      <c r="R95" s="16" t="n"/>
      <c r="S95" s="16" t="n"/>
      <c r="T95" s="17">
        <f>IF(C95="","",N(R95)+N(S95))</f>
        <v/>
      </c>
      <c r="U95" s="17">
        <f>IF(C95="","",H95-T95)</f>
        <v/>
      </c>
      <c r="V95" s="54">
        <f>IFERROR(U95/H95,"")</f>
        <v/>
      </c>
      <c r="W95" s="53" t="n"/>
      <c r="X95" s="53" t="n"/>
      <c r="Y95" s="53" t="n"/>
      <c r="Z95" s="53" t="n"/>
      <c r="AA95" s="53" t="n"/>
      <c r="AB95" s="14" t="n"/>
    </row>
    <row r="96" ht="15" customHeight="1">
      <c r="A96" s="51">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52">
        <f>IF(C96="","",COUNTIFS(tbl_Finance[Job Number],C96&amp;"",tbl_Finance[Ex GST],"&lt;&gt;"))</f>
        <v/>
      </c>
      <c r="H96" s="17">
        <f>IF(C96="","",SUMIFS(tbl_Finance[Ex GST],tbl_Finance[Job Number],C96&amp;""))</f>
        <v/>
      </c>
      <c r="I96" s="15">
        <f>IF(C96="","",IFERROR(INDEX(tbl_Finance[Cost Centre],MATCH(C96&amp;"",tbl_Finance[Job Number],0)),"not invoiced yet"))</f>
        <v/>
      </c>
      <c r="J96" s="12" t="n"/>
      <c r="K96" s="14" t="n"/>
      <c r="L96" s="15">
        <f>IF(OR(K96="",set_RMSBase=""),"",HYPERLINK(set_RMSBase&amp;K96,"Open "&amp;K96))</f>
        <v/>
      </c>
      <c r="M96" s="15">
        <f>IF(C96="","",C96)</f>
        <v/>
      </c>
      <c r="N96" s="14" t="n"/>
      <c r="O96" s="16" t="n"/>
      <c r="P96" s="17">
        <f>IF(C96="","",H96+N(O96))</f>
        <v/>
      </c>
      <c r="Q96" s="54">
        <f>IFERROR(O96/P96,"")</f>
        <v/>
      </c>
      <c r="R96" s="16" t="n"/>
      <c r="S96" s="16" t="n"/>
      <c r="T96" s="17">
        <f>IF(C96="","",N(R96)+N(S96))</f>
        <v/>
      </c>
      <c r="U96" s="17">
        <f>IF(C96="","",H96-T96)</f>
        <v/>
      </c>
      <c r="V96" s="54">
        <f>IFERROR(U96/H96,"")</f>
        <v/>
      </c>
      <c r="W96" s="53" t="n"/>
      <c r="X96" s="53" t="n"/>
      <c r="Y96" s="53" t="n"/>
      <c r="Z96" s="53" t="n"/>
      <c r="AA96" s="53" t="n"/>
      <c r="AB96" s="14" t="n"/>
    </row>
    <row r="97" ht="15" customHeight="1">
      <c r="A97" s="51">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52">
        <f>IF(C97="","",COUNTIFS(tbl_Finance[Job Number],C97&amp;"",tbl_Finance[Ex GST],"&lt;&gt;"))</f>
        <v/>
      </c>
      <c r="H97" s="17">
        <f>IF(C97="","",SUMIFS(tbl_Finance[Ex GST],tbl_Finance[Job Number],C97&amp;""))</f>
        <v/>
      </c>
      <c r="I97" s="15">
        <f>IF(C97="","",IFERROR(INDEX(tbl_Finance[Cost Centre],MATCH(C97&amp;"",tbl_Finance[Job Number],0)),"not invoiced yet"))</f>
        <v/>
      </c>
      <c r="J97" s="12" t="n"/>
      <c r="K97" s="14" t="n"/>
      <c r="L97" s="15">
        <f>IF(OR(K97="",set_RMSBase=""),"",HYPERLINK(set_RMSBase&amp;K97,"Open "&amp;K97))</f>
        <v/>
      </c>
      <c r="M97" s="15">
        <f>IF(C97="","",C97)</f>
        <v/>
      </c>
      <c r="N97" s="14" t="n"/>
      <c r="O97" s="16" t="n"/>
      <c r="P97" s="17">
        <f>IF(C97="","",H97+N(O97))</f>
        <v/>
      </c>
      <c r="Q97" s="54">
        <f>IFERROR(O97/P97,"")</f>
        <v/>
      </c>
      <c r="R97" s="16" t="n"/>
      <c r="S97" s="16" t="n"/>
      <c r="T97" s="17">
        <f>IF(C97="","",N(R97)+N(S97))</f>
        <v/>
      </c>
      <c r="U97" s="17">
        <f>IF(C97="","",H97-T97)</f>
        <v/>
      </c>
      <c r="V97" s="54">
        <f>IFERROR(U97/H97,"")</f>
        <v/>
      </c>
      <c r="W97" s="53" t="n"/>
      <c r="X97" s="53" t="n"/>
      <c r="Y97" s="53" t="n"/>
      <c r="Z97" s="53" t="n"/>
      <c r="AA97" s="53" t="n"/>
      <c r="AB97" s="14" t="n"/>
    </row>
    <row r="98" ht="15" customHeight="1">
      <c r="A98" s="51">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52">
        <f>IF(C98="","",COUNTIFS(tbl_Finance[Job Number],C98&amp;"",tbl_Finance[Ex GST],"&lt;&gt;"))</f>
        <v/>
      </c>
      <c r="H98" s="17">
        <f>IF(C98="","",SUMIFS(tbl_Finance[Ex GST],tbl_Finance[Job Number],C98&amp;""))</f>
        <v/>
      </c>
      <c r="I98" s="15">
        <f>IF(C98="","",IFERROR(INDEX(tbl_Finance[Cost Centre],MATCH(C98&amp;"",tbl_Finance[Job Number],0)),"not invoiced yet"))</f>
        <v/>
      </c>
      <c r="J98" s="12" t="n"/>
      <c r="K98" s="14" t="n"/>
      <c r="L98" s="15">
        <f>IF(OR(K98="",set_RMSBase=""),"",HYPERLINK(set_RMSBase&amp;K98,"Open "&amp;K98))</f>
        <v/>
      </c>
      <c r="M98" s="15">
        <f>IF(C98="","",C98)</f>
        <v/>
      </c>
      <c r="N98" s="14" t="n"/>
      <c r="O98" s="16" t="n"/>
      <c r="P98" s="17">
        <f>IF(C98="","",H98+N(O98))</f>
        <v/>
      </c>
      <c r="Q98" s="54">
        <f>IFERROR(O98/P98,"")</f>
        <v/>
      </c>
      <c r="R98" s="16" t="n"/>
      <c r="S98" s="16" t="n"/>
      <c r="T98" s="17">
        <f>IF(C98="","",N(R98)+N(S98))</f>
        <v/>
      </c>
      <c r="U98" s="17">
        <f>IF(C98="","",H98-T98)</f>
        <v/>
      </c>
      <c r="V98" s="54">
        <f>IFERROR(U98/H98,"")</f>
        <v/>
      </c>
      <c r="W98" s="53" t="n"/>
      <c r="X98" s="53" t="n"/>
      <c r="Y98" s="53" t="n"/>
      <c r="Z98" s="53" t="n"/>
      <c r="AA98" s="53" t="n"/>
      <c r="AB98" s="14" t="n"/>
    </row>
    <row r="99" ht="15" customHeight="1">
      <c r="A99" s="51">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52">
        <f>IF(C99="","",COUNTIFS(tbl_Finance[Job Number],C99&amp;"",tbl_Finance[Ex GST],"&lt;&gt;"))</f>
        <v/>
      </c>
      <c r="H99" s="17">
        <f>IF(C99="","",SUMIFS(tbl_Finance[Ex GST],tbl_Finance[Job Number],C99&amp;""))</f>
        <v/>
      </c>
      <c r="I99" s="15">
        <f>IF(C99="","",IFERROR(INDEX(tbl_Finance[Cost Centre],MATCH(C99&amp;"",tbl_Finance[Job Number],0)),"not invoiced yet"))</f>
        <v/>
      </c>
      <c r="J99" s="12" t="n"/>
      <c r="K99" s="14" t="n"/>
      <c r="L99" s="15">
        <f>IF(OR(K99="",set_RMSBase=""),"",HYPERLINK(set_RMSBase&amp;K99,"Open "&amp;K99))</f>
        <v/>
      </c>
      <c r="M99" s="15">
        <f>IF(C99="","",C99)</f>
        <v/>
      </c>
      <c r="N99" s="14" t="n"/>
      <c r="O99" s="16" t="n"/>
      <c r="P99" s="17">
        <f>IF(C99="","",H99+N(O99))</f>
        <v/>
      </c>
      <c r="Q99" s="54">
        <f>IFERROR(O99/P99,"")</f>
        <v/>
      </c>
      <c r="R99" s="16" t="n"/>
      <c r="S99" s="16" t="n"/>
      <c r="T99" s="17">
        <f>IF(C99="","",N(R99)+N(S99))</f>
        <v/>
      </c>
      <c r="U99" s="17">
        <f>IF(C99="","",H99-T99)</f>
        <v/>
      </c>
      <c r="V99" s="54">
        <f>IFERROR(U99/H99,"")</f>
        <v/>
      </c>
      <c r="W99" s="53" t="n"/>
      <c r="X99" s="53" t="n"/>
      <c r="Y99" s="53" t="n"/>
      <c r="Z99" s="53" t="n"/>
      <c r="AA99" s="53" t="n"/>
      <c r="AB99" s="14" t="n"/>
    </row>
    <row r="100" ht="15" customHeight="1">
      <c r="A100" s="51">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52">
        <f>IF(C100="","",COUNTIFS(tbl_Finance[Job Number],C100&amp;"",tbl_Finance[Ex GST],"&lt;&gt;"))</f>
        <v/>
      </c>
      <c r="H100" s="17">
        <f>IF(C100="","",SUMIFS(tbl_Finance[Ex GST],tbl_Finance[Job Number],C100&amp;""))</f>
        <v/>
      </c>
      <c r="I100" s="15">
        <f>IF(C100="","",IFERROR(INDEX(tbl_Finance[Cost Centre],MATCH(C100&amp;"",tbl_Finance[Job Number],0)),"not invoiced yet"))</f>
        <v/>
      </c>
      <c r="J100" s="12" t="n"/>
      <c r="K100" s="14" t="n"/>
      <c r="L100" s="15">
        <f>IF(OR(K100="",set_RMSBase=""),"",HYPERLINK(set_RMSBase&amp;K100,"Open "&amp;K100))</f>
        <v/>
      </c>
      <c r="M100" s="15">
        <f>IF(C100="","",C100)</f>
        <v/>
      </c>
      <c r="N100" s="14" t="n"/>
      <c r="O100" s="16" t="n"/>
      <c r="P100" s="17">
        <f>IF(C100="","",H100+N(O100))</f>
        <v/>
      </c>
      <c r="Q100" s="54">
        <f>IFERROR(O100/P100,"")</f>
        <v/>
      </c>
      <c r="R100" s="16" t="n"/>
      <c r="S100" s="16" t="n"/>
      <c r="T100" s="17">
        <f>IF(C100="","",N(R100)+N(S100))</f>
        <v/>
      </c>
      <c r="U100" s="17">
        <f>IF(C100="","",H100-T100)</f>
        <v/>
      </c>
      <c r="V100" s="54">
        <f>IFERROR(U100/H100,"")</f>
        <v/>
      </c>
      <c r="W100" s="53" t="n"/>
      <c r="X100" s="53" t="n"/>
      <c r="Y100" s="53" t="n"/>
      <c r="Z100" s="53" t="n"/>
      <c r="AA100" s="53" t="n"/>
      <c r="AB100" s="14" t="n"/>
    </row>
    <row r="101" ht="15" customHeight="1">
      <c r="A101" s="51">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52">
        <f>IF(C101="","",COUNTIFS(tbl_Finance[Job Number],C101&amp;"",tbl_Finance[Ex GST],"&lt;&gt;"))</f>
        <v/>
      </c>
      <c r="H101" s="17">
        <f>IF(C101="","",SUMIFS(tbl_Finance[Ex GST],tbl_Finance[Job Number],C101&amp;""))</f>
        <v/>
      </c>
      <c r="I101" s="15">
        <f>IF(C101="","",IFERROR(INDEX(tbl_Finance[Cost Centre],MATCH(C101&amp;"",tbl_Finance[Job Number],0)),"not invoiced yet"))</f>
        <v/>
      </c>
      <c r="J101" s="12" t="n"/>
      <c r="K101" s="14" t="n"/>
      <c r="L101" s="15">
        <f>IF(OR(K101="",set_RMSBase=""),"",HYPERLINK(set_RMSBase&amp;K101,"Open "&amp;K101))</f>
        <v/>
      </c>
      <c r="M101" s="15">
        <f>IF(C101="","",C101)</f>
        <v/>
      </c>
      <c r="N101" s="14" t="n"/>
      <c r="O101" s="16" t="n"/>
      <c r="P101" s="17">
        <f>IF(C101="","",H101+N(O101))</f>
        <v/>
      </c>
      <c r="Q101" s="54">
        <f>IFERROR(O101/P101,"")</f>
        <v/>
      </c>
      <c r="R101" s="16" t="n"/>
      <c r="S101" s="16" t="n"/>
      <c r="T101" s="17">
        <f>IF(C101="","",N(R101)+N(S101))</f>
        <v/>
      </c>
      <c r="U101" s="17">
        <f>IF(C101="","",H101-T101)</f>
        <v/>
      </c>
      <c r="V101" s="54">
        <f>IFERROR(U101/H101,"")</f>
        <v/>
      </c>
      <c r="W101" s="53" t="n"/>
      <c r="X101" s="53" t="n"/>
      <c r="Y101" s="53" t="n"/>
      <c r="Z101" s="53" t="n"/>
      <c r="AA101" s="53" t="n"/>
      <c r="AB101" s="14" t="n"/>
    </row>
    <row r="102" ht="15" customHeight="1">
      <c r="A102" s="51">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52">
        <f>IF(C102="","",COUNTIFS(tbl_Finance[Job Number],C102&amp;"",tbl_Finance[Ex GST],"&lt;&gt;"))</f>
        <v/>
      </c>
      <c r="H102" s="17">
        <f>IF(C102="","",SUMIFS(tbl_Finance[Ex GST],tbl_Finance[Job Number],C102&amp;""))</f>
        <v/>
      </c>
      <c r="I102" s="15">
        <f>IF(C102="","",IFERROR(INDEX(tbl_Finance[Cost Centre],MATCH(C102&amp;"",tbl_Finance[Job Number],0)),"not invoiced yet"))</f>
        <v/>
      </c>
      <c r="J102" s="12" t="n"/>
      <c r="K102" s="14" t="n"/>
      <c r="L102" s="15">
        <f>IF(OR(K102="",set_RMSBase=""),"",HYPERLINK(set_RMSBase&amp;K102,"Open "&amp;K102))</f>
        <v/>
      </c>
      <c r="M102" s="15">
        <f>IF(C102="","",C102)</f>
        <v/>
      </c>
      <c r="N102" s="14" t="n"/>
      <c r="O102" s="16" t="n"/>
      <c r="P102" s="17">
        <f>IF(C102="","",H102+N(O102))</f>
        <v/>
      </c>
      <c r="Q102" s="54">
        <f>IFERROR(O102/P102,"")</f>
        <v/>
      </c>
      <c r="R102" s="16" t="n"/>
      <c r="S102" s="16" t="n"/>
      <c r="T102" s="17">
        <f>IF(C102="","",N(R102)+N(S102))</f>
        <v/>
      </c>
      <c r="U102" s="17">
        <f>IF(C102="","",H102-T102)</f>
        <v/>
      </c>
      <c r="V102" s="54">
        <f>IFERROR(U102/H102,"")</f>
        <v/>
      </c>
      <c r="W102" s="53" t="n"/>
      <c r="X102" s="53" t="n"/>
      <c r="Y102" s="53" t="n"/>
      <c r="Z102" s="53" t="n"/>
      <c r="AA102" s="53" t="n"/>
      <c r="AB102" s="14" t="n"/>
    </row>
    <row r="103" ht="15" customHeight="1">
      <c r="A103" s="51">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52">
        <f>IF(C103="","",COUNTIFS(tbl_Finance[Job Number],C103&amp;"",tbl_Finance[Ex GST],"&lt;&gt;"))</f>
        <v/>
      </c>
      <c r="H103" s="17">
        <f>IF(C103="","",SUMIFS(tbl_Finance[Ex GST],tbl_Finance[Job Number],C103&amp;""))</f>
        <v/>
      </c>
      <c r="I103" s="15">
        <f>IF(C103="","",IFERROR(INDEX(tbl_Finance[Cost Centre],MATCH(C103&amp;"",tbl_Finance[Job Number],0)),"not invoiced yet"))</f>
        <v/>
      </c>
      <c r="J103" s="12" t="n"/>
      <c r="K103" s="14" t="n"/>
      <c r="L103" s="15">
        <f>IF(OR(K103="",set_RMSBase=""),"",HYPERLINK(set_RMSBase&amp;K103,"Open "&amp;K103))</f>
        <v/>
      </c>
      <c r="M103" s="15">
        <f>IF(C103="","",C103)</f>
        <v/>
      </c>
      <c r="N103" s="14" t="n"/>
      <c r="O103" s="16" t="n"/>
      <c r="P103" s="17">
        <f>IF(C103="","",H103+N(O103))</f>
        <v/>
      </c>
      <c r="Q103" s="54">
        <f>IFERROR(O103/P103,"")</f>
        <v/>
      </c>
      <c r="R103" s="16" t="n"/>
      <c r="S103" s="16" t="n"/>
      <c r="T103" s="17">
        <f>IF(C103="","",N(R103)+N(S103))</f>
        <v/>
      </c>
      <c r="U103" s="17">
        <f>IF(C103="","",H103-T103)</f>
        <v/>
      </c>
      <c r="V103" s="54">
        <f>IFERROR(U103/H103,"")</f>
        <v/>
      </c>
      <c r="W103" s="53" t="n"/>
      <c r="X103" s="53" t="n"/>
      <c r="Y103" s="53" t="n"/>
      <c r="Z103" s="53" t="n"/>
      <c r="AA103" s="53" t="n"/>
      <c r="AB103" s="14" t="n"/>
    </row>
    <row r="104" ht="15" customHeight="1">
      <c r="A104" s="51">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52">
        <f>IF(C104="","",COUNTIFS(tbl_Finance[Job Number],C104&amp;"",tbl_Finance[Ex GST],"&lt;&gt;"))</f>
        <v/>
      </c>
      <c r="H104" s="17">
        <f>IF(C104="","",SUMIFS(tbl_Finance[Ex GST],tbl_Finance[Job Number],C104&amp;""))</f>
        <v/>
      </c>
      <c r="I104" s="15">
        <f>IF(C104="","",IFERROR(INDEX(tbl_Finance[Cost Centre],MATCH(C104&amp;"",tbl_Finance[Job Number],0)),"not invoiced yet"))</f>
        <v/>
      </c>
      <c r="J104" s="12" t="n"/>
      <c r="K104" s="14" t="n"/>
      <c r="L104" s="15">
        <f>IF(OR(K104="",set_RMSBase=""),"",HYPERLINK(set_RMSBase&amp;K104,"Open "&amp;K104))</f>
        <v/>
      </c>
      <c r="M104" s="15">
        <f>IF(C104="","",C104)</f>
        <v/>
      </c>
      <c r="N104" s="14" t="n"/>
      <c r="O104" s="16" t="n"/>
      <c r="P104" s="17">
        <f>IF(C104="","",H104+N(O104))</f>
        <v/>
      </c>
      <c r="Q104" s="54">
        <f>IFERROR(O104/P104,"")</f>
        <v/>
      </c>
      <c r="R104" s="16" t="n"/>
      <c r="S104" s="16" t="n"/>
      <c r="T104" s="17">
        <f>IF(C104="","",N(R104)+N(S104))</f>
        <v/>
      </c>
      <c r="U104" s="17">
        <f>IF(C104="","",H104-T104)</f>
        <v/>
      </c>
      <c r="V104" s="54">
        <f>IFERROR(U104/H104,"")</f>
        <v/>
      </c>
      <c r="W104" s="53" t="n"/>
      <c r="X104" s="53" t="n"/>
      <c r="Y104" s="53" t="n"/>
      <c r="Z104" s="53" t="n"/>
      <c r="AA104" s="53" t="n"/>
      <c r="AB104" s="14" t="n"/>
    </row>
    <row r="105" ht="15" customHeight="1">
      <c r="A105" s="51">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52">
        <f>IF(C105="","",COUNTIFS(tbl_Finance[Job Number],C105&amp;"",tbl_Finance[Ex GST],"&lt;&gt;"))</f>
        <v/>
      </c>
      <c r="H105" s="17">
        <f>IF(C105="","",SUMIFS(tbl_Finance[Ex GST],tbl_Finance[Job Number],C105&amp;""))</f>
        <v/>
      </c>
      <c r="I105" s="15">
        <f>IF(C105="","",IFERROR(INDEX(tbl_Finance[Cost Centre],MATCH(C105&amp;"",tbl_Finance[Job Number],0)),"not invoiced yet"))</f>
        <v/>
      </c>
      <c r="J105" s="12" t="n"/>
      <c r="K105" s="14" t="n"/>
      <c r="L105" s="15">
        <f>IF(OR(K105="",set_RMSBase=""),"",HYPERLINK(set_RMSBase&amp;K105,"Open "&amp;K105))</f>
        <v/>
      </c>
      <c r="M105" s="15">
        <f>IF(C105="","",C105)</f>
        <v/>
      </c>
      <c r="N105" s="14" t="n"/>
      <c r="O105" s="16" t="n"/>
      <c r="P105" s="17">
        <f>IF(C105="","",H105+N(O105))</f>
        <v/>
      </c>
      <c r="Q105" s="54">
        <f>IFERROR(O105/P105,"")</f>
        <v/>
      </c>
      <c r="R105" s="16" t="n"/>
      <c r="S105" s="16" t="n"/>
      <c r="T105" s="17">
        <f>IF(C105="","",N(R105)+N(S105))</f>
        <v/>
      </c>
      <c r="U105" s="17">
        <f>IF(C105="","",H105-T105)</f>
        <v/>
      </c>
      <c r="V105" s="54">
        <f>IFERROR(U105/H105,"")</f>
        <v/>
      </c>
      <c r="W105" s="53" t="n"/>
      <c r="X105" s="53" t="n"/>
      <c r="Y105" s="53" t="n"/>
      <c r="Z105" s="53" t="n"/>
      <c r="AA105" s="53" t="n"/>
      <c r="AB105" s="14" t="n"/>
    </row>
    <row r="106" ht="15" customHeight="1">
      <c r="A106" s="51">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52">
        <f>IF(C106="","",COUNTIFS(tbl_Finance[Job Number],C106&amp;"",tbl_Finance[Ex GST],"&lt;&gt;"))</f>
        <v/>
      </c>
      <c r="H106" s="17">
        <f>IF(C106="","",SUMIFS(tbl_Finance[Ex GST],tbl_Finance[Job Number],C106&amp;""))</f>
        <v/>
      </c>
      <c r="I106" s="15">
        <f>IF(C106="","",IFERROR(INDEX(tbl_Finance[Cost Centre],MATCH(C106&amp;"",tbl_Finance[Job Number],0)),"not invoiced yet"))</f>
        <v/>
      </c>
      <c r="J106" s="12" t="n"/>
      <c r="K106" s="14" t="n"/>
      <c r="L106" s="15">
        <f>IF(OR(K106="",set_RMSBase=""),"",HYPERLINK(set_RMSBase&amp;K106,"Open "&amp;K106))</f>
        <v/>
      </c>
      <c r="M106" s="15">
        <f>IF(C106="","",C106)</f>
        <v/>
      </c>
      <c r="N106" s="14" t="n"/>
      <c r="O106" s="16" t="n"/>
      <c r="P106" s="17">
        <f>IF(C106="","",H106+N(O106))</f>
        <v/>
      </c>
      <c r="Q106" s="54">
        <f>IFERROR(O106/P106,"")</f>
        <v/>
      </c>
      <c r="R106" s="16" t="n"/>
      <c r="S106" s="16" t="n"/>
      <c r="T106" s="17">
        <f>IF(C106="","",N(R106)+N(S106))</f>
        <v/>
      </c>
      <c r="U106" s="17">
        <f>IF(C106="","",H106-T106)</f>
        <v/>
      </c>
      <c r="V106" s="54">
        <f>IFERROR(U106/H106,"")</f>
        <v/>
      </c>
      <c r="W106" s="53" t="n"/>
      <c r="X106" s="53" t="n"/>
      <c r="Y106" s="53" t="n"/>
      <c r="Z106" s="53" t="n"/>
      <c r="AA106" s="53" t="n"/>
      <c r="AB106" s="14" t="n"/>
    </row>
    <row r="107" ht="15" customHeight="1">
      <c r="A107" s="51">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52">
        <f>IF(C107="","",COUNTIFS(tbl_Finance[Job Number],C107&amp;"",tbl_Finance[Ex GST],"&lt;&gt;"))</f>
        <v/>
      </c>
      <c r="H107" s="17">
        <f>IF(C107="","",SUMIFS(tbl_Finance[Ex GST],tbl_Finance[Job Number],C107&amp;""))</f>
        <v/>
      </c>
      <c r="I107" s="15">
        <f>IF(C107="","",IFERROR(INDEX(tbl_Finance[Cost Centre],MATCH(C107&amp;"",tbl_Finance[Job Number],0)),"not invoiced yet"))</f>
        <v/>
      </c>
      <c r="J107" s="12" t="n"/>
      <c r="K107" s="14" t="n"/>
      <c r="L107" s="15">
        <f>IF(OR(K107="",set_RMSBase=""),"",HYPERLINK(set_RMSBase&amp;K107,"Open "&amp;K107))</f>
        <v/>
      </c>
      <c r="M107" s="15">
        <f>IF(C107="","",C107)</f>
        <v/>
      </c>
      <c r="N107" s="14" t="n"/>
      <c r="O107" s="16" t="n"/>
      <c r="P107" s="17">
        <f>IF(C107="","",H107+N(O107))</f>
        <v/>
      </c>
      <c r="Q107" s="54">
        <f>IFERROR(O107/P107,"")</f>
        <v/>
      </c>
      <c r="R107" s="16" t="n"/>
      <c r="S107" s="16" t="n"/>
      <c r="T107" s="17">
        <f>IF(C107="","",N(R107)+N(S107))</f>
        <v/>
      </c>
      <c r="U107" s="17">
        <f>IF(C107="","",H107-T107)</f>
        <v/>
      </c>
      <c r="V107" s="54">
        <f>IFERROR(U107/H107,"")</f>
        <v/>
      </c>
      <c r="W107" s="53" t="n"/>
      <c r="X107" s="53" t="n"/>
      <c r="Y107" s="53" t="n"/>
      <c r="Z107" s="53" t="n"/>
      <c r="AA107" s="53" t="n"/>
      <c r="AB107" s="14" t="n"/>
    </row>
    <row r="108" ht="15" customHeight="1">
      <c r="A108" s="51">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52">
        <f>IF(C108="","",COUNTIFS(tbl_Finance[Job Number],C108&amp;"",tbl_Finance[Ex GST],"&lt;&gt;"))</f>
        <v/>
      </c>
      <c r="H108" s="17">
        <f>IF(C108="","",SUMIFS(tbl_Finance[Ex GST],tbl_Finance[Job Number],C108&amp;""))</f>
        <v/>
      </c>
      <c r="I108" s="15">
        <f>IF(C108="","",IFERROR(INDEX(tbl_Finance[Cost Centre],MATCH(C108&amp;"",tbl_Finance[Job Number],0)),"not invoiced yet"))</f>
        <v/>
      </c>
      <c r="J108" s="12" t="n"/>
      <c r="K108" s="14" t="n"/>
      <c r="L108" s="15">
        <f>IF(OR(K108="",set_RMSBase=""),"",HYPERLINK(set_RMSBase&amp;K108,"Open "&amp;K108))</f>
        <v/>
      </c>
      <c r="M108" s="15">
        <f>IF(C108="","",C108)</f>
        <v/>
      </c>
      <c r="N108" s="14" t="n"/>
      <c r="O108" s="16" t="n"/>
      <c r="P108" s="17">
        <f>IF(C108="","",H108+N(O108))</f>
        <v/>
      </c>
      <c r="Q108" s="54">
        <f>IFERROR(O108/P108,"")</f>
        <v/>
      </c>
      <c r="R108" s="16" t="n"/>
      <c r="S108" s="16" t="n"/>
      <c r="T108" s="17">
        <f>IF(C108="","",N(R108)+N(S108))</f>
        <v/>
      </c>
      <c r="U108" s="17">
        <f>IF(C108="","",H108-T108)</f>
        <v/>
      </c>
      <c r="V108" s="54">
        <f>IFERROR(U108/H108,"")</f>
        <v/>
      </c>
      <c r="W108" s="53" t="n"/>
      <c r="X108" s="53" t="n"/>
      <c r="Y108" s="53" t="n"/>
      <c r="Z108" s="53" t="n"/>
      <c r="AA108" s="53" t="n"/>
      <c r="AB108" s="14" t="n"/>
    </row>
    <row r="109" ht="15" customHeight="1">
      <c r="A109" s="51">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52">
        <f>IF(C109="","",COUNTIFS(tbl_Finance[Job Number],C109&amp;"",tbl_Finance[Ex GST],"&lt;&gt;"))</f>
        <v/>
      </c>
      <c r="H109" s="17">
        <f>IF(C109="","",SUMIFS(tbl_Finance[Ex GST],tbl_Finance[Job Number],C109&amp;""))</f>
        <v/>
      </c>
      <c r="I109" s="15">
        <f>IF(C109="","",IFERROR(INDEX(tbl_Finance[Cost Centre],MATCH(C109&amp;"",tbl_Finance[Job Number],0)),"not invoiced yet"))</f>
        <v/>
      </c>
      <c r="J109" s="12" t="n"/>
      <c r="K109" s="14" t="n"/>
      <c r="L109" s="15">
        <f>IF(OR(K109="",set_RMSBase=""),"",HYPERLINK(set_RMSBase&amp;K109,"Open "&amp;K109))</f>
        <v/>
      </c>
      <c r="M109" s="15">
        <f>IF(C109="","",C109)</f>
        <v/>
      </c>
      <c r="N109" s="14" t="n"/>
      <c r="O109" s="16" t="n"/>
      <c r="P109" s="17">
        <f>IF(C109="","",H109+N(O109))</f>
        <v/>
      </c>
      <c r="Q109" s="54">
        <f>IFERROR(O109/P109,"")</f>
        <v/>
      </c>
      <c r="R109" s="16" t="n"/>
      <c r="S109" s="16" t="n"/>
      <c r="T109" s="17">
        <f>IF(C109="","",N(R109)+N(S109))</f>
        <v/>
      </c>
      <c r="U109" s="17">
        <f>IF(C109="","",H109-T109)</f>
        <v/>
      </c>
      <c r="V109" s="54">
        <f>IFERROR(U109/H109,"")</f>
        <v/>
      </c>
      <c r="W109" s="53" t="n"/>
      <c r="X109" s="53" t="n"/>
      <c r="Y109" s="53" t="n"/>
      <c r="Z109" s="53" t="n"/>
      <c r="AA109" s="53" t="n"/>
      <c r="AB109" s="14" t="n"/>
    </row>
    <row r="110" ht="15" customHeight="1">
      <c r="A110" s="51">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52">
        <f>IF(C110="","",COUNTIFS(tbl_Finance[Job Number],C110&amp;"",tbl_Finance[Ex GST],"&lt;&gt;"))</f>
        <v/>
      </c>
      <c r="H110" s="17">
        <f>IF(C110="","",SUMIFS(tbl_Finance[Ex GST],tbl_Finance[Job Number],C110&amp;""))</f>
        <v/>
      </c>
      <c r="I110" s="15">
        <f>IF(C110="","",IFERROR(INDEX(tbl_Finance[Cost Centre],MATCH(C110&amp;"",tbl_Finance[Job Number],0)),"not invoiced yet"))</f>
        <v/>
      </c>
      <c r="J110" s="12" t="n"/>
      <c r="K110" s="14" t="n"/>
      <c r="L110" s="15">
        <f>IF(OR(K110="",set_RMSBase=""),"",HYPERLINK(set_RMSBase&amp;K110,"Open "&amp;K110))</f>
        <v/>
      </c>
      <c r="M110" s="15">
        <f>IF(C110="","",C110)</f>
        <v/>
      </c>
      <c r="N110" s="14" t="n"/>
      <c r="O110" s="16" t="n"/>
      <c r="P110" s="17">
        <f>IF(C110="","",H110+N(O110))</f>
        <v/>
      </c>
      <c r="Q110" s="54">
        <f>IFERROR(O110/P110,"")</f>
        <v/>
      </c>
      <c r="R110" s="16" t="n"/>
      <c r="S110" s="16" t="n"/>
      <c r="T110" s="17">
        <f>IF(C110="","",N(R110)+N(S110))</f>
        <v/>
      </c>
      <c r="U110" s="17">
        <f>IF(C110="","",H110-T110)</f>
        <v/>
      </c>
      <c r="V110" s="54">
        <f>IFERROR(U110/H110,"")</f>
        <v/>
      </c>
      <c r="W110" s="53" t="n"/>
      <c r="X110" s="53" t="n"/>
      <c r="Y110" s="53" t="n"/>
      <c r="Z110" s="53" t="n"/>
      <c r="AA110" s="53" t="n"/>
      <c r="AB110" s="14" t="n"/>
    </row>
    <row r="111" ht="15" customHeight="1">
      <c r="A111" s="51">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52">
        <f>IF(C111="","",COUNTIFS(tbl_Finance[Job Number],C111&amp;"",tbl_Finance[Ex GST],"&lt;&gt;"))</f>
        <v/>
      </c>
      <c r="H111" s="17">
        <f>IF(C111="","",SUMIFS(tbl_Finance[Ex GST],tbl_Finance[Job Number],C111&amp;""))</f>
        <v/>
      </c>
      <c r="I111" s="15">
        <f>IF(C111="","",IFERROR(INDEX(tbl_Finance[Cost Centre],MATCH(C111&amp;"",tbl_Finance[Job Number],0)),"not invoiced yet"))</f>
        <v/>
      </c>
      <c r="J111" s="12" t="n"/>
      <c r="K111" s="14" t="n"/>
      <c r="L111" s="15">
        <f>IF(OR(K111="",set_RMSBase=""),"",HYPERLINK(set_RMSBase&amp;K111,"Open "&amp;K111))</f>
        <v/>
      </c>
      <c r="M111" s="15">
        <f>IF(C111="","",C111)</f>
        <v/>
      </c>
      <c r="N111" s="14" t="n"/>
      <c r="O111" s="16" t="n"/>
      <c r="P111" s="17">
        <f>IF(C111="","",H111+N(O111))</f>
        <v/>
      </c>
      <c r="Q111" s="54">
        <f>IFERROR(O111/P111,"")</f>
        <v/>
      </c>
      <c r="R111" s="16" t="n"/>
      <c r="S111" s="16" t="n"/>
      <c r="T111" s="17">
        <f>IF(C111="","",N(R111)+N(S111))</f>
        <v/>
      </c>
      <c r="U111" s="17">
        <f>IF(C111="","",H111-T111)</f>
        <v/>
      </c>
      <c r="V111" s="54">
        <f>IFERROR(U111/H111,"")</f>
        <v/>
      </c>
      <c r="W111" s="53" t="n"/>
      <c r="X111" s="53" t="n"/>
      <c r="Y111" s="53" t="n"/>
      <c r="Z111" s="53" t="n"/>
      <c r="AA111" s="53" t="n"/>
      <c r="AB111" s="14" t="n"/>
    </row>
    <row r="112" ht="15" customHeight="1">
      <c r="A112" s="51">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52">
        <f>IF(C112="","",COUNTIFS(tbl_Finance[Job Number],C112&amp;"",tbl_Finance[Ex GST],"&lt;&gt;"))</f>
        <v/>
      </c>
      <c r="H112" s="17">
        <f>IF(C112="","",SUMIFS(tbl_Finance[Ex GST],tbl_Finance[Job Number],C112&amp;""))</f>
        <v/>
      </c>
      <c r="I112" s="15">
        <f>IF(C112="","",IFERROR(INDEX(tbl_Finance[Cost Centre],MATCH(C112&amp;"",tbl_Finance[Job Number],0)),"not invoiced yet"))</f>
        <v/>
      </c>
      <c r="J112" s="12" t="n"/>
      <c r="K112" s="14" t="n"/>
      <c r="L112" s="15">
        <f>IF(OR(K112="",set_RMSBase=""),"",HYPERLINK(set_RMSBase&amp;K112,"Open "&amp;K112))</f>
        <v/>
      </c>
      <c r="M112" s="15">
        <f>IF(C112="","",C112)</f>
        <v/>
      </c>
      <c r="N112" s="14" t="n"/>
      <c r="O112" s="16" t="n"/>
      <c r="P112" s="17">
        <f>IF(C112="","",H112+N(O112))</f>
        <v/>
      </c>
      <c r="Q112" s="54">
        <f>IFERROR(O112/P112,"")</f>
        <v/>
      </c>
      <c r="R112" s="16" t="n"/>
      <c r="S112" s="16" t="n"/>
      <c r="T112" s="17">
        <f>IF(C112="","",N(R112)+N(S112))</f>
        <v/>
      </c>
      <c r="U112" s="17">
        <f>IF(C112="","",H112-T112)</f>
        <v/>
      </c>
      <c r="V112" s="54">
        <f>IFERROR(U112/H112,"")</f>
        <v/>
      </c>
      <c r="W112" s="53" t="n"/>
      <c r="X112" s="53" t="n"/>
      <c r="Y112" s="53" t="n"/>
      <c r="Z112" s="53" t="n"/>
      <c r="AA112" s="53" t="n"/>
      <c r="AB112" s="14" t="n"/>
    </row>
    <row r="113" ht="15" customHeight="1">
      <c r="A113" s="51">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52">
        <f>IF(C113="","",COUNTIFS(tbl_Finance[Job Number],C113&amp;"",tbl_Finance[Ex GST],"&lt;&gt;"))</f>
        <v/>
      </c>
      <c r="H113" s="17">
        <f>IF(C113="","",SUMIFS(tbl_Finance[Ex GST],tbl_Finance[Job Number],C113&amp;""))</f>
        <v/>
      </c>
      <c r="I113" s="15">
        <f>IF(C113="","",IFERROR(INDEX(tbl_Finance[Cost Centre],MATCH(C113&amp;"",tbl_Finance[Job Number],0)),"not invoiced yet"))</f>
        <v/>
      </c>
      <c r="J113" s="12" t="n"/>
      <c r="K113" s="14" t="n"/>
      <c r="L113" s="15">
        <f>IF(OR(K113="",set_RMSBase=""),"",HYPERLINK(set_RMSBase&amp;K113,"Open "&amp;K113))</f>
        <v/>
      </c>
      <c r="M113" s="15">
        <f>IF(C113="","",C113)</f>
        <v/>
      </c>
      <c r="N113" s="14" t="n"/>
      <c r="O113" s="16" t="n"/>
      <c r="P113" s="17">
        <f>IF(C113="","",H113+N(O113))</f>
        <v/>
      </c>
      <c r="Q113" s="54">
        <f>IFERROR(O113/P113,"")</f>
        <v/>
      </c>
      <c r="R113" s="16" t="n"/>
      <c r="S113" s="16" t="n"/>
      <c r="T113" s="17">
        <f>IF(C113="","",N(R113)+N(S113))</f>
        <v/>
      </c>
      <c r="U113" s="17">
        <f>IF(C113="","",H113-T113)</f>
        <v/>
      </c>
      <c r="V113" s="54">
        <f>IFERROR(U113/H113,"")</f>
        <v/>
      </c>
      <c r="W113" s="53" t="n"/>
      <c r="X113" s="53" t="n"/>
      <c r="Y113" s="53" t="n"/>
      <c r="Z113" s="53" t="n"/>
      <c r="AA113" s="53" t="n"/>
      <c r="AB113" s="14" t="n"/>
    </row>
    <row r="114" ht="15" customHeight="1">
      <c r="A114" s="51">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52">
        <f>IF(C114="","",COUNTIFS(tbl_Finance[Job Number],C114&amp;"",tbl_Finance[Ex GST],"&lt;&gt;"))</f>
        <v/>
      </c>
      <c r="H114" s="17">
        <f>IF(C114="","",SUMIFS(tbl_Finance[Ex GST],tbl_Finance[Job Number],C114&amp;""))</f>
        <v/>
      </c>
      <c r="I114" s="15">
        <f>IF(C114="","",IFERROR(INDEX(tbl_Finance[Cost Centre],MATCH(C114&amp;"",tbl_Finance[Job Number],0)),"not invoiced yet"))</f>
        <v/>
      </c>
      <c r="J114" s="12" t="n"/>
      <c r="K114" s="14" t="n"/>
      <c r="L114" s="15">
        <f>IF(OR(K114="",set_RMSBase=""),"",HYPERLINK(set_RMSBase&amp;K114,"Open "&amp;K114))</f>
        <v/>
      </c>
      <c r="M114" s="15">
        <f>IF(C114="","",C114)</f>
        <v/>
      </c>
      <c r="N114" s="14" t="n"/>
      <c r="O114" s="16" t="n"/>
      <c r="P114" s="17">
        <f>IF(C114="","",H114+N(O114))</f>
        <v/>
      </c>
      <c r="Q114" s="54">
        <f>IFERROR(O114/P114,"")</f>
        <v/>
      </c>
      <c r="R114" s="16" t="n"/>
      <c r="S114" s="16" t="n"/>
      <c r="T114" s="17">
        <f>IF(C114="","",N(R114)+N(S114))</f>
        <v/>
      </c>
      <c r="U114" s="17">
        <f>IF(C114="","",H114-T114)</f>
        <v/>
      </c>
      <c r="V114" s="54">
        <f>IFERROR(U114/H114,"")</f>
        <v/>
      </c>
      <c r="W114" s="53" t="n"/>
      <c r="X114" s="53" t="n"/>
      <c r="Y114" s="53" t="n"/>
      <c r="Z114" s="53" t="n"/>
      <c r="AA114" s="53" t="n"/>
      <c r="AB114" s="14" t="n"/>
    </row>
    <row r="115" ht="15" customHeight="1">
      <c r="A115" s="51">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52">
        <f>IF(C115="","",COUNTIFS(tbl_Finance[Job Number],C115&amp;"",tbl_Finance[Ex GST],"&lt;&gt;"))</f>
        <v/>
      </c>
      <c r="H115" s="17">
        <f>IF(C115="","",SUMIFS(tbl_Finance[Ex GST],tbl_Finance[Job Number],C115&amp;""))</f>
        <v/>
      </c>
      <c r="I115" s="15">
        <f>IF(C115="","",IFERROR(INDEX(tbl_Finance[Cost Centre],MATCH(C115&amp;"",tbl_Finance[Job Number],0)),"not invoiced yet"))</f>
        <v/>
      </c>
      <c r="J115" s="12" t="n"/>
      <c r="K115" s="14" t="n"/>
      <c r="L115" s="15">
        <f>IF(OR(K115="",set_RMSBase=""),"",HYPERLINK(set_RMSBase&amp;K115,"Open "&amp;K115))</f>
        <v/>
      </c>
      <c r="M115" s="15">
        <f>IF(C115="","",C115)</f>
        <v/>
      </c>
      <c r="N115" s="14" t="n"/>
      <c r="O115" s="16" t="n"/>
      <c r="P115" s="17">
        <f>IF(C115="","",H115+N(O115))</f>
        <v/>
      </c>
      <c r="Q115" s="54">
        <f>IFERROR(O115/P115,"")</f>
        <v/>
      </c>
      <c r="R115" s="16" t="n"/>
      <c r="S115" s="16" t="n"/>
      <c r="T115" s="17">
        <f>IF(C115="","",N(R115)+N(S115))</f>
        <v/>
      </c>
      <c r="U115" s="17">
        <f>IF(C115="","",H115-T115)</f>
        <v/>
      </c>
      <c r="V115" s="54">
        <f>IFERROR(U115/H115,"")</f>
        <v/>
      </c>
      <c r="W115" s="53" t="n"/>
      <c r="X115" s="53" t="n"/>
      <c r="Y115" s="53" t="n"/>
      <c r="Z115" s="53" t="n"/>
      <c r="AA115" s="53" t="n"/>
      <c r="AB115" s="14" t="n"/>
    </row>
    <row r="116" ht="15" customHeight="1">
      <c r="A116" s="51">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52">
        <f>IF(C116="","",COUNTIFS(tbl_Finance[Job Number],C116&amp;"",tbl_Finance[Ex GST],"&lt;&gt;"))</f>
        <v/>
      </c>
      <c r="H116" s="17">
        <f>IF(C116="","",SUMIFS(tbl_Finance[Ex GST],tbl_Finance[Job Number],C116&amp;""))</f>
        <v/>
      </c>
      <c r="I116" s="15">
        <f>IF(C116="","",IFERROR(INDEX(tbl_Finance[Cost Centre],MATCH(C116&amp;"",tbl_Finance[Job Number],0)),"not invoiced yet"))</f>
        <v/>
      </c>
      <c r="J116" s="12" t="n"/>
      <c r="K116" s="14" t="n"/>
      <c r="L116" s="15">
        <f>IF(OR(K116="",set_RMSBase=""),"",HYPERLINK(set_RMSBase&amp;K116,"Open "&amp;K116))</f>
        <v/>
      </c>
      <c r="M116" s="15">
        <f>IF(C116="","",C116)</f>
        <v/>
      </c>
      <c r="N116" s="14" t="n"/>
      <c r="O116" s="16" t="n"/>
      <c r="P116" s="17">
        <f>IF(C116="","",H116+N(O116))</f>
        <v/>
      </c>
      <c r="Q116" s="54">
        <f>IFERROR(O116/P116,"")</f>
        <v/>
      </c>
      <c r="R116" s="16" t="n"/>
      <c r="S116" s="16" t="n"/>
      <c r="T116" s="17">
        <f>IF(C116="","",N(R116)+N(S116))</f>
        <v/>
      </c>
      <c r="U116" s="17">
        <f>IF(C116="","",H116-T116)</f>
        <v/>
      </c>
      <c r="V116" s="54">
        <f>IFERROR(U116/H116,"")</f>
        <v/>
      </c>
      <c r="W116" s="53" t="n"/>
      <c r="X116" s="53" t="n"/>
      <c r="Y116" s="53" t="n"/>
      <c r="Z116" s="53" t="n"/>
      <c r="AA116" s="53" t="n"/>
      <c r="AB116" s="14" t="n"/>
    </row>
    <row r="117" ht="15" customHeight="1">
      <c r="A117" s="51">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52">
        <f>IF(C117="","",COUNTIFS(tbl_Finance[Job Number],C117&amp;"",tbl_Finance[Ex GST],"&lt;&gt;"))</f>
        <v/>
      </c>
      <c r="H117" s="17">
        <f>IF(C117="","",SUMIFS(tbl_Finance[Ex GST],tbl_Finance[Job Number],C117&amp;""))</f>
        <v/>
      </c>
      <c r="I117" s="15">
        <f>IF(C117="","",IFERROR(INDEX(tbl_Finance[Cost Centre],MATCH(C117&amp;"",tbl_Finance[Job Number],0)),"not invoiced yet"))</f>
        <v/>
      </c>
      <c r="J117" s="12" t="n"/>
      <c r="K117" s="14" t="n"/>
      <c r="L117" s="15">
        <f>IF(OR(K117="",set_RMSBase=""),"",HYPERLINK(set_RMSBase&amp;K117,"Open "&amp;K117))</f>
        <v/>
      </c>
      <c r="M117" s="15">
        <f>IF(C117="","",C117)</f>
        <v/>
      </c>
      <c r="N117" s="14" t="n"/>
      <c r="O117" s="16" t="n"/>
      <c r="P117" s="17">
        <f>IF(C117="","",H117+N(O117))</f>
        <v/>
      </c>
      <c r="Q117" s="54">
        <f>IFERROR(O117/P117,"")</f>
        <v/>
      </c>
      <c r="R117" s="16" t="n"/>
      <c r="S117" s="16" t="n"/>
      <c r="T117" s="17">
        <f>IF(C117="","",N(R117)+N(S117))</f>
        <v/>
      </c>
      <c r="U117" s="17">
        <f>IF(C117="","",H117-T117)</f>
        <v/>
      </c>
      <c r="V117" s="54">
        <f>IFERROR(U117/H117,"")</f>
        <v/>
      </c>
      <c r="W117" s="53" t="n"/>
      <c r="X117" s="53" t="n"/>
      <c r="Y117" s="53" t="n"/>
      <c r="Z117" s="53" t="n"/>
      <c r="AA117" s="53" t="n"/>
      <c r="AB117" s="14" t="n"/>
    </row>
    <row r="118" ht="15" customHeight="1">
      <c r="A118" s="51">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52">
        <f>IF(C118="","",COUNTIFS(tbl_Finance[Job Number],C118&amp;"",tbl_Finance[Ex GST],"&lt;&gt;"))</f>
        <v/>
      </c>
      <c r="H118" s="17">
        <f>IF(C118="","",SUMIFS(tbl_Finance[Ex GST],tbl_Finance[Job Number],C118&amp;""))</f>
        <v/>
      </c>
      <c r="I118" s="15">
        <f>IF(C118="","",IFERROR(INDEX(tbl_Finance[Cost Centre],MATCH(C118&amp;"",tbl_Finance[Job Number],0)),"not invoiced yet"))</f>
        <v/>
      </c>
      <c r="J118" s="12" t="n"/>
      <c r="K118" s="14" t="n"/>
      <c r="L118" s="15">
        <f>IF(OR(K118="",set_RMSBase=""),"",HYPERLINK(set_RMSBase&amp;K118,"Open "&amp;K118))</f>
        <v/>
      </c>
      <c r="M118" s="15">
        <f>IF(C118="","",C118)</f>
        <v/>
      </c>
      <c r="N118" s="14" t="n"/>
      <c r="O118" s="16" t="n"/>
      <c r="P118" s="17">
        <f>IF(C118="","",H118+N(O118))</f>
        <v/>
      </c>
      <c r="Q118" s="54">
        <f>IFERROR(O118/P118,"")</f>
        <v/>
      </c>
      <c r="R118" s="16" t="n"/>
      <c r="S118" s="16" t="n"/>
      <c r="T118" s="17">
        <f>IF(C118="","",N(R118)+N(S118))</f>
        <v/>
      </c>
      <c r="U118" s="17">
        <f>IF(C118="","",H118-T118)</f>
        <v/>
      </c>
      <c r="V118" s="54">
        <f>IFERROR(U118/H118,"")</f>
        <v/>
      </c>
      <c r="W118" s="53" t="n"/>
      <c r="X118" s="53" t="n"/>
      <c r="Y118" s="53" t="n"/>
      <c r="Z118" s="53" t="n"/>
      <c r="AA118" s="53" t="n"/>
      <c r="AB118" s="14" t="n"/>
    </row>
    <row r="119" ht="15" customHeight="1">
      <c r="A119" s="51">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52">
        <f>IF(C119="","",COUNTIFS(tbl_Finance[Job Number],C119&amp;"",tbl_Finance[Ex GST],"&lt;&gt;"))</f>
        <v/>
      </c>
      <c r="H119" s="17">
        <f>IF(C119="","",SUMIFS(tbl_Finance[Ex GST],tbl_Finance[Job Number],C119&amp;""))</f>
        <v/>
      </c>
      <c r="I119" s="15">
        <f>IF(C119="","",IFERROR(INDEX(tbl_Finance[Cost Centre],MATCH(C119&amp;"",tbl_Finance[Job Number],0)),"not invoiced yet"))</f>
        <v/>
      </c>
      <c r="J119" s="12" t="n"/>
      <c r="K119" s="14" t="n"/>
      <c r="L119" s="15">
        <f>IF(OR(K119="",set_RMSBase=""),"",HYPERLINK(set_RMSBase&amp;K119,"Open "&amp;K119))</f>
        <v/>
      </c>
      <c r="M119" s="15">
        <f>IF(C119="","",C119)</f>
        <v/>
      </c>
      <c r="N119" s="14" t="n"/>
      <c r="O119" s="16" t="n"/>
      <c r="P119" s="17">
        <f>IF(C119="","",H119+N(O119))</f>
        <v/>
      </c>
      <c r="Q119" s="54">
        <f>IFERROR(O119/P119,"")</f>
        <v/>
      </c>
      <c r="R119" s="16" t="n"/>
      <c r="S119" s="16" t="n"/>
      <c r="T119" s="17">
        <f>IF(C119="","",N(R119)+N(S119))</f>
        <v/>
      </c>
      <c r="U119" s="17">
        <f>IF(C119="","",H119-T119)</f>
        <v/>
      </c>
      <c r="V119" s="54">
        <f>IFERROR(U119/H119,"")</f>
        <v/>
      </c>
      <c r="W119" s="53" t="n"/>
      <c r="X119" s="53" t="n"/>
      <c r="Y119" s="53" t="n"/>
      <c r="Z119" s="53" t="n"/>
      <c r="AA119" s="53" t="n"/>
      <c r="AB119" s="14" t="n"/>
    </row>
    <row r="120" ht="15" customHeight="1">
      <c r="A120" s="51">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52">
        <f>IF(C120="","",COUNTIFS(tbl_Finance[Job Number],C120&amp;"",tbl_Finance[Ex GST],"&lt;&gt;"))</f>
        <v/>
      </c>
      <c r="H120" s="17">
        <f>IF(C120="","",SUMIFS(tbl_Finance[Ex GST],tbl_Finance[Job Number],C120&amp;""))</f>
        <v/>
      </c>
      <c r="I120" s="15">
        <f>IF(C120="","",IFERROR(INDEX(tbl_Finance[Cost Centre],MATCH(C120&amp;"",tbl_Finance[Job Number],0)),"not invoiced yet"))</f>
        <v/>
      </c>
      <c r="J120" s="12" t="n"/>
      <c r="K120" s="14" t="n"/>
      <c r="L120" s="15">
        <f>IF(OR(K120="",set_RMSBase=""),"",HYPERLINK(set_RMSBase&amp;K120,"Open "&amp;K120))</f>
        <v/>
      </c>
      <c r="M120" s="15">
        <f>IF(C120="","",C120)</f>
        <v/>
      </c>
      <c r="N120" s="14" t="n"/>
      <c r="O120" s="16" t="n"/>
      <c r="P120" s="17">
        <f>IF(C120="","",H120+N(O120))</f>
        <v/>
      </c>
      <c r="Q120" s="54">
        <f>IFERROR(O120/P120,"")</f>
        <v/>
      </c>
      <c r="R120" s="16" t="n"/>
      <c r="S120" s="16" t="n"/>
      <c r="T120" s="17">
        <f>IF(C120="","",N(R120)+N(S120))</f>
        <v/>
      </c>
      <c r="U120" s="17">
        <f>IF(C120="","",H120-T120)</f>
        <v/>
      </c>
      <c r="V120" s="54">
        <f>IFERROR(U120/H120,"")</f>
        <v/>
      </c>
      <c r="W120" s="53" t="n"/>
      <c r="X120" s="53" t="n"/>
      <c r="Y120" s="53" t="n"/>
      <c r="Z120" s="53" t="n"/>
      <c r="AA120" s="53" t="n"/>
      <c r="AB120" s="14" t="n"/>
    </row>
    <row r="121" ht="15" customHeight="1">
      <c r="A121" s="51">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52">
        <f>IF(C121="","",COUNTIFS(tbl_Finance[Job Number],C121&amp;"",tbl_Finance[Ex GST],"&lt;&gt;"))</f>
        <v/>
      </c>
      <c r="H121" s="17">
        <f>IF(C121="","",SUMIFS(tbl_Finance[Ex GST],tbl_Finance[Job Number],C121&amp;""))</f>
        <v/>
      </c>
      <c r="I121" s="15">
        <f>IF(C121="","",IFERROR(INDEX(tbl_Finance[Cost Centre],MATCH(C121&amp;"",tbl_Finance[Job Number],0)),"not invoiced yet"))</f>
        <v/>
      </c>
      <c r="J121" s="12" t="n"/>
      <c r="K121" s="14" t="n"/>
      <c r="L121" s="15">
        <f>IF(OR(K121="",set_RMSBase=""),"",HYPERLINK(set_RMSBase&amp;K121,"Open "&amp;K121))</f>
        <v/>
      </c>
      <c r="M121" s="15">
        <f>IF(C121="","",C121)</f>
        <v/>
      </c>
      <c r="N121" s="14" t="n"/>
      <c r="O121" s="16" t="n"/>
      <c r="P121" s="17">
        <f>IF(C121="","",H121+N(O121))</f>
        <v/>
      </c>
      <c r="Q121" s="54">
        <f>IFERROR(O121/P121,"")</f>
        <v/>
      </c>
      <c r="R121" s="16" t="n"/>
      <c r="S121" s="16" t="n"/>
      <c r="T121" s="17">
        <f>IF(C121="","",N(R121)+N(S121))</f>
        <v/>
      </c>
      <c r="U121" s="17">
        <f>IF(C121="","",H121-T121)</f>
        <v/>
      </c>
      <c r="V121" s="54">
        <f>IFERROR(U121/H121,"")</f>
        <v/>
      </c>
      <c r="W121" s="53" t="n"/>
      <c r="X121" s="53" t="n"/>
      <c r="Y121" s="53" t="n"/>
      <c r="Z121" s="53" t="n"/>
      <c r="AA121" s="53" t="n"/>
      <c r="AB121" s="14" t="n"/>
    </row>
    <row r="122" ht="15" customHeight="1">
      <c r="A122" s="51">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52">
        <f>IF(C122="","",COUNTIFS(tbl_Finance[Job Number],C122&amp;"",tbl_Finance[Ex GST],"&lt;&gt;"))</f>
        <v/>
      </c>
      <c r="H122" s="17">
        <f>IF(C122="","",SUMIFS(tbl_Finance[Ex GST],tbl_Finance[Job Number],C122&amp;""))</f>
        <v/>
      </c>
      <c r="I122" s="15">
        <f>IF(C122="","",IFERROR(INDEX(tbl_Finance[Cost Centre],MATCH(C122&amp;"",tbl_Finance[Job Number],0)),"not invoiced yet"))</f>
        <v/>
      </c>
      <c r="J122" s="12" t="n"/>
      <c r="K122" s="14" t="n"/>
      <c r="L122" s="15">
        <f>IF(OR(K122="",set_RMSBase=""),"",HYPERLINK(set_RMSBase&amp;K122,"Open "&amp;K122))</f>
        <v/>
      </c>
      <c r="M122" s="15">
        <f>IF(C122="","",C122)</f>
        <v/>
      </c>
      <c r="N122" s="14" t="n"/>
      <c r="O122" s="16" t="n"/>
      <c r="P122" s="17">
        <f>IF(C122="","",H122+N(O122))</f>
        <v/>
      </c>
      <c r="Q122" s="54">
        <f>IFERROR(O122/P122,"")</f>
        <v/>
      </c>
      <c r="R122" s="16" t="n"/>
      <c r="S122" s="16" t="n"/>
      <c r="T122" s="17">
        <f>IF(C122="","",N(R122)+N(S122))</f>
        <v/>
      </c>
      <c r="U122" s="17">
        <f>IF(C122="","",H122-T122)</f>
        <v/>
      </c>
      <c r="V122" s="54">
        <f>IFERROR(U122/H122,"")</f>
        <v/>
      </c>
      <c r="W122" s="53" t="n"/>
      <c r="X122" s="53" t="n"/>
      <c r="Y122" s="53" t="n"/>
      <c r="Z122" s="53" t="n"/>
      <c r="AA122" s="53" t="n"/>
      <c r="AB122" s="14" t="n"/>
    </row>
    <row r="123" ht="15" customHeight="1">
      <c r="A123" s="51">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52">
        <f>IF(C123="","",COUNTIFS(tbl_Finance[Job Number],C123&amp;"",tbl_Finance[Ex GST],"&lt;&gt;"))</f>
        <v/>
      </c>
      <c r="H123" s="17">
        <f>IF(C123="","",SUMIFS(tbl_Finance[Ex GST],tbl_Finance[Job Number],C123&amp;""))</f>
        <v/>
      </c>
      <c r="I123" s="15">
        <f>IF(C123="","",IFERROR(INDEX(tbl_Finance[Cost Centre],MATCH(C123&amp;"",tbl_Finance[Job Number],0)),"not invoiced yet"))</f>
        <v/>
      </c>
      <c r="J123" s="12" t="n"/>
      <c r="K123" s="14" t="n"/>
      <c r="L123" s="15">
        <f>IF(OR(K123="",set_RMSBase=""),"",HYPERLINK(set_RMSBase&amp;K123,"Open "&amp;K123))</f>
        <v/>
      </c>
      <c r="M123" s="15">
        <f>IF(C123="","",C123)</f>
        <v/>
      </c>
      <c r="N123" s="14" t="n"/>
      <c r="O123" s="16" t="n"/>
      <c r="P123" s="17">
        <f>IF(C123="","",H123+N(O123))</f>
        <v/>
      </c>
      <c r="Q123" s="54">
        <f>IFERROR(O123/P123,"")</f>
        <v/>
      </c>
      <c r="R123" s="16" t="n"/>
      <c r="S123" s="16" t="n"/>
      <c r="T123" s="17">
        <f>IF(C123="","",N(R123)+N(S123))</f>
        <v/>
      </c>
      <c r="U123" s="17">
        <f>IF(C123="","",H123-T123)</f>
        <v/>
      </c>
      <c r="V123" s="54">
        <f>IFERROR(U123/H123,"")</f>
        <v/>
      </c>
      <c r="W123" s="53" t="n"/>
      <c r="X123" s="53" t="n"/>
      <c r="Y123" s="53" t="n"/>
      <c r="Z123" s="53" t="n"/>
      <c r="AA123" s="53" t="n"/>
      <c r="AB123" s="14" t="n"/>
    </row>
    <row r="124" ht="15" customHeight="1">
      <c r="A124" s="51">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52">
        <f>IF(C124="","",COUNTIFS(tbl_Finance[Job Number],C124&amp;"",tbl_Finance[Ex GST],"&lt;&gt;"))</f>
        <v/>
      </c>
      <c r="H124" s="17">
        <f>IF(C124="","",SUMIFS(tbl_Finance[Ex GST],tbl_Finance[Job Number],C124&amp;""))</f>
        <v/>
      </c>
      <c r="I124" s="15">
        <f>IF(C124="","",IFERROR(INDEX(tbl_Finance[Cost Centre],MATCH(C124&amp;"",tbl_Finance[Job Number],0)),"not invoiced yet"))</f>
        <v/>
      </c>
      <c r="J124" s="12" t="n"/>
      <c r="K124" s="14" t="n"/>
      <c r="L124" s="15">
        <f>IF(OR(K124="",set_RMSBase=""),"",HYPERLINK(set_RMSBase&amp;K124,"Open "&amp;K124))</f>
        <v/>
      </c>
      <c r="M124" s="15">
        <f>IF(C124="","",C124)</f>
        <v/>
      </c>
      <c r="N124" s="14" t="n"/>
      <c r="O124" s="16" t="n"/>
      <c r="P124" s="17">
        <f>IF(C124="","",H124+N(O124))</f>
        <v/>
      </c>
      <c r="Q124" s="54">
        <f>IFERROR(O124/P124,"")</f>
        <v/>
      </c>
      <c r="R124" s="16" t="n"/>
      <c r="S124" s="16" t="n"/>
      <c r="T124" s="17">
        <f>IF(C124="","",N(R124)+N(S124))</f>
        <v/>
      </c>
      <c r="U124" s="17">
        <f>IF(C124="","",H124-T124)</f>
        <v/>
      </c>
      <c r="V124" s="54">
        <f>IFERROR(U124/H124,"")</f>
        <v/>
      </c>
      <c r="W124" s="53" t="n"/>
      <c r="X124" s="53" t="n"/>
      <c r="Y124" s="53" t="n"/>
      <c r="Z124" s="53" t="n"/>
      <c r="AA124" s="53" t="n"/>
      <c r="AB124" s="14" t="n"/>
    </row>
    <row r="125" ht="15" customHeight="1">
      <c r="A125" s="51">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52">
        <f>IF(C125="","",COUNTIFS(tbl_Finance[Job Number],C125&amp;"",tbl_Finance[Ex GST],"&lt;&gt;"))</f>
        <v/>
      </c>
      <c r="H125" s="17">
        <f>IF(C125="","",SUMIFS(tbl_Finance[Ex GST],tbl_Finance[Job Number],C125&amp;""))</f>
        <v/>
      </c>
      <c r="I125" s="15">
        <f>IF(C125="","",IFERROR(INDEX(tbl_Finance[Cost Centre],MATCH(C125&amp;"",tbl_Finance[Job Number],0)),"not invoiced yet"))</f>
        <v/>
      </c>
      <c r="J125" s="12" t="n"/>
      <c r="K125" s="14" t="n"/>
      <c r="L125" s="15">
        <f>IF(OR(K125="",set_RMSBase=""),"",HYPERLINK(set_RMSBase&amp;K125,"Open "&amp;K125))</f>
        <v/>
      </c>
      <c r="M125" s="15">
        <f>IF(C125="","",C125)</f>
        <v/>
      </c>
      <c r="N125" s="14" t="n"/>
      <c r="O125" s="16" t="n"/>
      <c r="P125" s="17">
        <f>IF(C125="","",H125+N(O125))</f>
        <v/>
      </c>
      <c r="Q125" s="54">
        <f>IFERROR(O125/P125,"")</f>
        <v/>
      </c>
      <c r="R125" s="16" t="n"/>
      <c r="S125" s="16" t="n"/>
      <c r="T125" s="17">
        <f>IF(C125="","",N(R125)+N(S125))</f>
        <v/>
      </c>
      <c r="U125" s="17">
        <f>IF(C125="","",H125-T125)</f>
        <v/>
      </c>
      <c r="V125" s="54">
        <f>IFERROR(U125/H125,"")</f>
        <v/>
      </c>
      <c r="W125" s="53" t="n"/>
      <c r="X125" s="53" t="n"/>
      <c r="Y125" s="53" t="n"/>
      <c r="Z125" s="53" t="n"/>
      <c r="AA125" s="53" t="n"/>
      <c r="AB125" s="14" t="n"/>
    </row>
    <row r="126" ht="15" customHeight="1">
      <c r="A126" s="51">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52">
        <f>IF(C126="","",COUNTIFS(tbl_Finance[Job Number],C126&amp;"",tbl_Finance[Ex GST],"&lt;&gt;"))</f>
        <v/>
      </c>
      <c r="H126" s="17">
        <f>IF(C126="","",SUMIFS(tbl_Finance[Ex GST],tbl_Finance[Job Number],C126&amp;""))</f>
        <v/>
      </c>
      <c r="I126" s="15">
        <f>IF(C126="","",IFERROR(INDEX(tbl_Finance[Cost Centre],MATCH(C126&amp;"",tbl_Finance[Job Number],0)),"not invoiced yet"))</f>
        <v/>
      </c>
      <c r="J126" s="12" t="n"/>
      <c r="K126" s="14" t="n"/>
      <c r="L126" s="15">
        <f>IF(OR(K126="",set_RMSBase=""),"",HYPERLINK(set_RMSBase&amp;K126,"Open "&amp;K126))</f>
        <v/>
      </c>
      <c r="M126" s="15">
        <f>IF(C126="","",C126)</f>
        <v/>
      </c>
      <c r="N126" s="14" t="n"/>
      <c r="O126" s="16" t="n"/>
      <c r="P126" s="17">
        <f>IF(C126="","",H126+N(O126))</f>
        <v/>
      </c>
      <c r="Q126" s="54">
        <f>IFERROR(O126/P126,"")</f>
        <v/>
      </c>
      <c r="R126" s="16" t="n"/>
      <c r="S126" s="16" t="n"/>
      <c r="T126" s="17">
        <f>IF(C126="","",N(R126)+N(S126))</f>
        <v/>
      </c>
      <c r="U126" s="17">
        <f>IF(C126="","",H126-T126)</f>
        <v/>
      </c>
      <c r="V126" s="54">
        <f>IFERROR(U126/H126,"")</f>
        <v/>
      </c>
      <c r="W126" s="53" t="n"/>
      <c r="X126" s="53" t="n"/>
      <c r="Y126" s="53" t="n"/>
      <c r="Z126" s="53" t="n"/>
      <c r="AA126" s="53" t="n"/>
      <c r="AB126" s="14" t="n"/>
    </row>
    <row r="127" ht="15" customHeight="1">
      <c r="A127" s="51">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52">
        <f>IF(C127="","",COUNTIFS(tbl_Finance[Job Number],C127&amp;"",tbl_Finance[Ex GST],"&lt;&gt;"))</f>
        <v/>
      </c>
      <c r="H127" s="17">
        <f>IF(C127="","",SUMIFS(tbl_Finance[Ex GST],tbl_Finance[Job Number],C127&amp;""))</f>
        <v/>
      </c>
      <c r="I127" s="15">
        <f>IF(C127="","",IFERROR(INDEX(tbl_Finance[Cost Centre],MATCH(C127&amp;"",tbl_Finance[Job Number],0)),"not invoiced yet"))</f>
        <v/>
      </c>
      <c r="J127" s="12" t="n"/>
      <c r="K127" s="14" t="n"/>
      <c r="L127" s="15">
        <f>IF(OR(K127="",set_RMSBase=""),"",HYPERLINK(set_RMSBase&amp;K127,"Open "&amp;K127))</f>
        <v/>
      </c>
      <c r="M127" s="15">
        <f>IF(C127="","",C127)</f>
        <v/>
      </c>
      <c r="N127" s="14" t="n"/>
      <c r="O127" s="16" t="n"/>
      <c r="P127" s="17">
        <f>IF(C127="","",H127+N(O127))</f>
        <v/>
      </c>
      <c r="Q127" s="54">
        <f>IFERROR(O127/P127,"")</f>
        <v/>
      </c>
      <c r="R127" s="16" t="n"/>
      <c r="S127" s="16" t="n"/>
      <c r="T127" s="17">
        <f>IF(C127="","",N(R127)+N(S127))</f>
        <v/>
      </c>
      <c r="U127" s="17">
        <f>IF(C127="","",H127-T127)</f>
        <v/>
      </c>
      <c r="V127" s="54">
        <f>IFERROR(U127/H127,"")</f>
        <v/>
      </c>
      <c r="W127" s="53" t="n"/>
      <c r="X127" s="53" t="n"/>
      <c r="Y127" s="53" t="n"/>
      <c r="Z127" s="53" t="n"/>
      <c r="AA127" s="53" t="n"/>
      <c r="AB127" s="14" t="n"/>
    </row>
    <row r="128" ht="15" customHeight="1">
      <c r="A128" s="51">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52">
        <f>IF(C128="","",COUNTIFS(tbl_Finance[Job Number],C128&amp;"",tbl_Finance[Ex GST],"&lt;&gt;"))</f>
        <v/>
      </c>
      <c r="H128" s="17">
        <f>IF(C128="","",SUMIFS(tbl_Finance[Ex GST],tbl_Finance[Job Number],C128&amp;""))</f>
        <v/>
      </c>
      <c r="I128" s="15">
        <f>IF(C128="","",IFERROR(INDEX(tbl_Finance[Cost Centre],MATCH(C128&amp;"",tbl_Finance[Job Number],0)),"not invoiced yet"))</f>
        <v/>
      </c>
      <c r="J128" s="12" t="n"/>
      <c r="K128" s="14" t="n"/>
      <c r="L128" s="15">
        <f>IF(OR(K128="",set_RMSBase=""),"",HYPERLINK(set_RMSBase&amp;K128,"Open "&amp;K128))</f>
        <v/>
      </c>
      <c r="M128" s="15">
        <f>IF(C128="","",C128)</f>
        <v/>
      </c>
      <c r="N128" s="14" t="n"/>
      <c r="O128" s="16" t="n"/>
      <c r="P128" s="17">
        <f>IF(C128="","",H128+N(O128))</f>
        <v/>
      </c>
      <c r="Q128" s="54">
        <f>IFERROR(O128/P128,"")</f>
        <v/>
      </c>
      <c r="R128" s="16" t="n"/>
      <c r="S128" s="16" t="n"/>
      <c r="T128" s="17">
        <f>IF(C128="","",N(R128)+N(S128))</f>
        <v/>
      </c>
      <c r="U128" s="17">
        <f>IF(C128="","",H128-T128)</f>
        <v/>
      </c>
      <c r="V128" s="54">
        <f>IFERROR(U128/H128,"")</f>
        <v/>
      </c>
      <c r="W128" s="53" t="n"/>
      <c r="X128" s="53" t="n"/>
      <c r="Y128" s="53" t="n"/>
      <c r="Z128" s="53" t="n"/>
      <c r="AA128" s="53" t="n"/>
      <c r="AB128" s="14" t="n"/>
    </row>
    <row r="129" ht="15" customHeight="1">
      <c r="A129" s="51">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52">
        <f>IF(C129="","",COUNTIFS(tbl_Finance[Job Number],C129&amp;"",tbl_Finance[Ex GST],"&lt;&gt;"))</f>
        <v/>
      </c>
      <c r="H129" s="17">
        <f>IF(C129="","",SUMIFS(tbl_Finance[Ex GST],tbl_Finance[Job Number],C129&amp;""))</f>
        <v/>
      </c>
      <c r="I129" s="15">
        <f>IF(C129="","",IFERROR(INDEX(tbl_Finance[Cost Centre],MATCH(C129&amp;"",tbl_Finance[Job Number],0)),"not invoiced yet"))</f>
        <v/>
      </c>
      <c r="J129" s="12" t="n"/>
      <c r="K129" s="14" t="n"/>
      <c r="L129" s="15">
        <f>IF(OR(K129="",set_RMSBase=""),"",HYPERLINK(set_RMSBase&amp;K129,"Open "&amp;K129))</f>
        <v/>
      </c>
      <c r="M129" s="15">
        <f>IF(C129="","",C129)</f>
        <v/>
      </c>
      <c r="N129" s="14" t="n"/>
      <c r="O129" s="16" t="n"/>
      <c r="P129" s="17">
        <f>IF(C129="","",H129+N(O129))</f>
        <v/>
      </c>
      <c r="Q129" s="54">
        <f>IFERROR(O129/P129,"")</f>
        <v/>
      </c>
      <c r="R129" s="16" t="n"/>
      <c r="S129" s="16" t="n"/>
      <c r="T129" s="17">
        <f>IF(C129="","",N(R129)+N(S129))</f>
        <v/>
      </c>
      <c r="U129" s="17">
        <f>IF(C129="","",H129-T129)</f>
        <v/>
      </c>
      <c r="V129" s="54">
        <f>IFERROR(U129/H129,"")</f>
        <v/>
      </c>
      <c r="W129" s="53" t="n"/>
      <c r="X129" s="53" t="n"/>
      <c r="Y129" s="53" t="n"/>
      <c r="Z129" s="53" t="n"/>
      <c r="AA129" s="53" t="n"/>
      <c r="AB129" s="14" t="n"/>
    </row>
    <row r="130" ht="15" customHeight="1">
      <c r="A130" s="51">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52">
        <f>IF(C130="","",COUNTIFS(tbl_Finance[Job Number],C130&amp;"",tbl_Finance[Ex GST],"&lt;&gt;"))</f>
        <v/>
      </c>
      <c r="H130" s="17">
        <f>IF(C130="","",SUMIFS(tbl_Finance[Ex GST],tbl_Finance[Job Number],C130&amp;""))</f>
        <v/>
      </c>
      <c r="I130" s="15">
        <f>IF(C130="","",IFERROR(INDEX(tbl_Finance[Cost Centre],MATCH(C130&amp;"",tbl_Finance[Job Number],0)),"not invoiced yet"))</f>
        <v/>
      </c>
      <c r="J130" s="12" t="n"/>
      <c r="K130" s="14" t="n"/>
      <c r="L130" s="15">
        <f>IF(OR(K130="",set_RMSBase=""),"",HYPERLINK(set_RMSBase&amp;K130,"Open "&amp;K130))</f>
        <v/>
      </c>
      <c r="M130" s="15">
        <f>IF(C130="","",C130)</f>
        <v/>
      </c>
      <c r="N130" s="14" t="n"/>
      <c r="O130" s="16" t="n"/>
      <c r="P130" s="17">
        <f>IF(C130="","",H130+N(O130))</f>
        <v/>
      </c>
      <c r="Q130" s="54">
        <f>IFERROR(O130/P130,"")</f>
        <v/>
      </c>
      <c r="R130" s="16" t="n"/>
      <c r="S130" s="16" t="n"/>
      <c r="T130" s="17">
        <f>IF(C130="","",N(R130)+N(S130))</f>
        <v/>
      </c>
      <c r="U130" s="17">
        <f>IF(C130="","",H130-T130)</f>
        <v/>
      </c>
      <c r="V130" s="54">
        <f>IFERROR(U130/H130,"")</f>
        <v/>
      </c>
      <c r="W130" s="53" t="n"/>
      <c r="X130" s="53" t="n"/>
      <c r="Y130" s="53" t="n"/>
      <c r="Z130" s="53" t="n"/>
      <c r="AA130" s="53" t="n"/>
      <c r="AB130" s="14" t="n"/>
    </row>
    <row r="131" ht="15" customHeight="1">
      <c r="A131" s="51">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52">
        <f>IF(C131="","",COUNTIFS(tbl_Finance[Job Number],C131&amp;"",tbl_Finance[Ex GST],"&lt;&gt;"))</f>
        <v/>
      </c>
      <c r="H131" s="17">
        <f>IF(C131="","",SUMIFS(tbl_Finance[Ex GST],tbl_Finance[Job Number],C131&amp;""))</f>
        <v/>
      </c>
      <c r="I131" s="15">
        <f>IF(C131="","",IFERROR(INDEX(tbl_Finance[Cost Centre],MATCH(C131&amp;"",tbl_Finance[Job Number],0)),"not invoiced yet"))</f>
        <v/>
      </c>
      <c r="J131" s="12" t="n"/>
      <c r="K131" s="14" t="n"/>
      <c r="L131" s="15">
        <f>IF(OR(K131="",set_RMSBase=""),"",HYPERLINK(set_RMSBase&amp;K131,"Open "&amp;K131))</f>
        <v/>
      </c>
      <c r="M131" s="15">
        <f>IF(C131="","",C131)</f>
        <v/>
      </c>
      <c r="N131" s="14" t="n"/>
      <c r="O131" s="16" t="n"/>
      <c r="P131" s="17">
        <f>IF(C131="","",H131+N(O131))</f>
        <v/>
      </c>
      <c r="Q131" s="54">
        <f>IFERROR(O131/P131,"")</f>
        <v/>
      </c>
      <c r="R131" s="16" t="n"/>
      <c r="S131" s="16" t="n"/>
      <c r="T131" s="17">
        <f>IF(C131="","",N(R131)+N(S131))</f>
        <v/>
      </c>
      <c r="U131" s="17">
        <f>IF(C131="","",H131-T131)</f>
        <v/>
      </c>
      <c r="V131" s="54">
        <f>IFERROR(U131/H131,"")</f>
        <v/>
      </c>
      <c r="W131" s="53" t="n"/>
      <c r="X131" s="53" t="n"/>
      <c r="Y131" s="53" t="n"/>
      <c r="Z131" s="53" t="n"/>
      <c r="AA131" s="53" t="n"/>
      <c r="AB131" s="14" t="n"/>
    </row>
    <row r="132" ht="15" customHeight="1">
      <c r="A132" s="51">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52">
        <f>IF(C132="","",COUNTIFS(tbl_Finance[Job Number],C132&amp;"",tbl_Finance[Ex GST],"&lt;&gt;"))</f>
        <v/>
      </c>
      <c r="H132" s="17">
        <f>IF(C132="","",SUMIFS(tbl_Finance[Ex GST],tbl_Finance[Job Number],C132&amp;""))</f>
        <v/>
      </c>
      <c r="I132" s="15">
        <f>IF(C132="","",IFERROR(INDEX(tbl_Finance[Cost Centre],MATCH(C132&amp;"",tbl_Finance[Job Number],0)),"not invoiced yet"))</f>
        <v/>
      </c>
      <c r="J132" s="12" t="n"/>
      <c r="K132" s="14" t="n"/>
      <c r="L132" s="15">
        <f>IF(OR(K132="",set_RMSBase=""),"",HYPERLINK(set_RMSBase&amp;K132,"Open "&amp;K132))</f>
        <v/>
      </c>
      <c r="M132" s="15">
        <f>IF(C132="","",C132)</f>
        <v/>
      </c>
      <c r="N132" s="14" t="n"/>
      <c r="O132" s="16" t="n"/>
      <c r="P132" s="17">
        <f>IF(C132="","",H132+N(O132))</f>
        <v/>
      </c>
      <c r="Q132" s="54">
        <f>IFERROR(O132/P132,"")</f>
        <v/>
      </c>
      <c r="R132" s="16" t="n"/>
      <c r="S132" s="16" t="n"/>
      <c r="T132" s="17">
        <f>IF(C132="","",N(R132)+N(S132))</f>
        <v/>
      </c>
      <c r="U132" s="17">
        <f>IF(C132="","",H132-T132)</f>
        <v/>
      </c>
      <c r="V132" s="54">
        <f>IFERROR(U132/H132,"")</f>
        <v/>
      </c>
      <c r="W132" s="53" t="n"/>
      <c r="X132" s="53" t="n"/>
      <c r="Y132" s="53" t="n"/>
      <c r="Z132" s="53" t="n"/>
      <c r="AA132" s="53" t="n"/>
      <c r="AB132" s="14" t="n"/>
    </row>
    <row r="133" ht="15" customHeight="1">
      <c r="A133" s="51">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52">
        <f>IF(C133="","",COUNTIFS(tbl_Finance[Job Number],C133&amp;"",tbl_Finance[Ex GST],"&lt;&gt;"))</f>
        <v/>
      </c>
      <c r="H133" s="17">
        <f>IF(C133="","",SUMIFS(tbl_Finance[Ex GST],tbl_Finance[Job Number],C133&amp;""))</f>
        <v/>
      </c>
      <c r="I133" s="15">
        <f>IF(C133="","",IFERROR(INDEX(tbl_Finance[Cost Centre],MATCH(C133&amp;"",tbl_Finance[Job Number],0)),"not invoiced yet"))</f>
        <v/>
      </c>
      <c r="J133" s="12" t="n"/>
      <c r="K133" s="14" t="n"/>
      <c r="L133" s="15">
        <f>IF(OR(K133="",set_RMSBase=""),"",HYPERLINK(set_RMSBase&amp;K133,"Open "&amp;K133))</f>
        <v/>
      </c>
      <c r="M133" s="15">
        <f>IF(C133="","",C133)</f>
        <v/>
      </c>
      <c r="N133" s="14" t="n"/>
      <c r="O133" s="16" t="n"/>
      <c r="P133" s="17">
        <f>IF(C133="","",H133+N(O133))</f>
        <v/>
      </c>
      <c r="Q133" s="54">
        <f>IFERROR(O133/P133,"")</f>
        <v/>
      </c>
      <c r="R133" s="16" t="n"/>
      <c r="S133" s="16" t="n"/>
      <c r="T133" s="17">
        <f>IF(C133="","",N(R133)+N(S133))</f>
        <v/>
      </c>
      <c r="U133" s="17">
        <f>IF(C133="","",H133-T133)</f>
        <v/>
      </c>
      <c r="V133" s="54">
        <f>IFERROR(U133/H133,"")</f>
        <v/>
      </c>
      <c r="W133" s="53" t="n"/>
      <c r="X133" s="53" t="n"/>
      <c r="Y133" s="53" t="n"/>
      <c r="Z133" s="53" t="n"/>
      <c r="AA133" s="53" t="n"/>
      <c r="AB133" s="14" t="n"/>
    </row>
    <row r="134" ht="15" customHeight="1">
      <c r="A134" s="51">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52">
        <f>IF(C134="","",COUNTIFS(tbl_Finance[Job Number],C134&amp;"",tbl_Finance[Ex GST],"&lt;&gt;"))</f>
        <v/>
      </c>
      <c r="H134" s="17">
        <f>IF(C134="","",SUMIFS(tbl_Finance[Ex GST],tbl_Finance[Job Number],C134&amp;""))</f>
        <v/>
      </c>
      <c r="I134" s="15">
        <f>IF(C134="","",IFERROR(INDEX(tbl_Finance[Cost Centre],MATCH(C134&amp;"",tbl_Finance[Job Number],0)),"not invoiced yet"))</f>
        <v/>
      </c>
      <c r="J134" s="12" t="n"/>
      <c r="K134" s="14" t="n"/>
      <c r="L134" s="15">
        <f>IF(OR(K134="",set_RMSBase=""),"",HYPERLINK(set_RMSBase&amp;K134,"Open "&amp;K134))</f>
        <v/>
      </c>
      <c r="M134" s="15">
        <f>IF(C134="","",C134)</f>
        <v/>
      </c>
      <c r="N134" s="14" t="n"/>
      <c r="O134" s="16" t="n"/>
      <c r="P134" s="17">
        <f>IF(C134="","",H134+N(O134))</f>
        <v/>
      </c>
      <c r="Q134" s="54">
        <f>IFERROR(O134/P134,"")</f>
        <v/>
      </c>
      <c r="R134" s="16" t="n"/>
      <c r="S134" s="16" t="n"/>
      <c r="T134" s="17">
        <f>IF(C134="","",N(R134)+N(S134))</f>
        <v/>
      </c>
      <c r="U134" s="17">
        <f>IF(C134="","",H134-T134)</f>
        <v/>
      </c>
      <c r="V134" s="54">
        <f>IFERROR(U134/H134,"")</f>
        <v/>
      </c>
      <c r="W134" s="53" t="n"/>
      <c r="X134" s="53" t="n"/>
      <c r="Y134" s="53" t="n"/>
      <c r="Z134" s="53" t="n"/>
      <c r="AA134" s="53" t="n"/>
      <c r="AB134" s="14" t="n"/>
    </row>
    <row r="135" ht="15" customHeight="1">
      <c r="A135" s="51">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52">
        <f>IF(C135="","",COUNTIFS(tbl_Finance[Job Number],C135&amp;"",tbl_Finance[Ex GST],"&lt;&gt;"))</f>
        <v/>
      </c>
      <c r="H135" s="17">
        <f>IF(C135="","",SUMIFS(tbl_Finance[Ex GST],tbl_Finance[Job Number],C135&amp;""))</f>
        <v/>
      </c>
      <c r="I135" s="15">
        <f>IF(C135="","",IFERROR(INDEX(tbl_Finance[Cost Centre],MATCH(C135&amp;"",tbl_Finance[Job Number],0)),"not invoiced yet"))</f>
        <v/>
      </c>
      <c r="J135" s="12" t="n"/>
      <c r="K135" s="14" t="n"/>
      <c r="L135" s="15">
        <f>IF(OR(K135="",set_RMSBase=""),"",HYPERLINK(set_RMSBase&amp;K135,"Open "&amp;K135))</f>
        <v/>
      </c>
      <c r="M135" s="15">
        <f>IF(C135="","",C135)</f>
        <v/>
      </c>
      <c r="N135" s="14" t="n"/>
      <c r="O135" s="16" t="n"/>
      <c r="P135" s="17">
        <f>IF(C135="","",H135+N(O135))</f>
        <v/>
      </c>
      <c r="Q135" s="54">
        <f>IFERROR(O135/P135,"")</f>
        <v/>
      </c>
      <c r="R135" s="16" t="n"/>
      <c r="S135" s="16" t="n"/>
      <c r="T135" s="17">
        <f>IF(C135="","",N(R135)+N(S135))</f>
        <v/>
      </c>
      <c r="U135" s="17">
        <f>IF(C135="","",H135-T135)</f>
        <v/>
      </c>
      <c r="V135" s="54">
        <f>IFERROR(U135/H135,"")</f>
        <v/>
      </c>
      <c r="W135" s="53" t="n"/>
      <c r="X135" s="53" t="n"/>
      <c r="Y135" s="53" t="n"/>
      <c r="Z135" s="53" t="n"/>
      <c r="AA135" s="53" t="n"/>
      <c r="AB135" s="14" t="n"/>
    </row>
    <row r="136" ht="15" customHeight="1">
      <c r="A136" s="51">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52">
        <f>IF(C136="","",COUNTIFS(tbl_Finance[Job Number],C136&amp;"",tbl_Finance[Ex GST],"&lt;&gt;"))</f>
        <v/>
      </c>
      <c r="H136" s="17">
        <f>IF(C136="","",SUMIFS(tbl_Finance[Ex GST],tbl_Finance[Job Number],C136&amp;""))</f>
        <v/>
      </c>
      <c r="I136" s="15">
        <f>IF(C136="","",IFERROR(INDEX(tbl_Finance[Cost Centre],MATCH(C136&amp;"",tbl_Finance[Job Number],0)),"not invoiced yet"))</f>
        <v/>
      </c>
      <c r="J136" s="12" t="n"/>
      <c r="K136" s="14" t="n"/>
      <c r="L136" s="15">
        <f>IF(OR(K136="",set_RMSBase=""),"",HYPERLINK(set_RMSBase&amp;K136,"Open "&amp;K136))</f>
        <v/>
      </c>
      <c r="M136" s="15">
        <f>IF(C136="","",C136)</f>
        <v/>
      </c>
      <c r="N136" s="14" t="n"/>
      <c r="O136" s="16" t="n"/>
      <c r="P136" s="17">
        <f>IF(C136="","",H136+N(O136))</f>
        <v/>
      </c>
      <c r="Q136" s="54">
        <f>IFERROR(O136/P136,"")</f>
        <v/>
      </c>
      <c r="R136" s="16" t="n"/>
      <c r="S136" s="16" t="n"/>
      <c r="T136" s="17">
        <f>IF(C136="","",N(R136)+N(S136))</f>
        <v/>
      </c>
      <c r="U136" s="17">
        <f>IF(C136="","",H136-T136)</f>
        <v/>
      </c>
      <c r="V136" s="54">
        <f>IFERROR(U136/H136,"")</f>
        <v/>
      </c>
      <c r="W136" s="53" t="n"/>
      <c r="X136" s="53" t="n"/>
      <c r="Y136" s="53" t="n"/>
      <c r="Z136" s="53" t="n"/>
      <c r="AA136" s="53" t="n"/>
      <c r="AB136" s="14" t="n"/>
    </row>
    <row r="137" ht="15" customHeight="1">
      <c r="A137" s="51">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52">
        <f>IF(C137="","",COUNTIFS(tbl_Finance[Job Number],C137&amp;"",tbl_Finance[Ex GST],"&lt;&gt;"))</f>
        <v/>
      </c>
      <c r="H137" s="17">
        <f>IF(C137="","",SUMIFS(tbl_Finance[Ex GST],tbl_Finance[Job Number],C137&amp;""))</f>
        <v/>
      </c>
      <c r="I137" s="15">
        <f>IF(C137="","",IFERROR(INDEX(tbl_Finance[Cost Centre],MATCH(C137&amp;"",tbl_Finance[Job Number],0)),"not invoiced yet"))</f>
        <v/>
      </c>
      <c r="J137" s="12" t="n"/>
      <c r="K137" s="14" t="n"/>
      <c r="L137" s="15">
        <f>IF(OR(K137="",set_RMSBase=""),"",HYPERLINK(set_RMSBase&amp;K137,"Open "&amp;K137))</f>
        <v/>
      </c>
      <c r="M137" s="15">
        <f>IF(C137="","",C137)</f>
        <v/>
      </c>
      <c r="N137" s="14" t="n"/>
      <c r="O137" s="16" t="n"/>
      <c r="P137" s="17">
        <f>IF(C137="","",H137+N(O137))</f>
        <v/>
      </c>
      <c r="Q137" s="54">
        <f>IFERROR(O137/P137,"")</f>
        <v/>
      </c>
      <c r="R137" s="16" t="n"/>
      <c r="S137" s="16" t="n"/>
      <c r="T137" s="17">
        <f>IF(C137="","",N(R137)+N(S137))</f>
        <v/>
      </c>
      <c r="U137" s="17">
        <f>IF(C137="","",H137-T137)</f>
        <v/>
      </c>
      <c r="V137" s="54">
        <f>IFERROR(U137/H137,"")</f>
        <v/>
      </c>
      <c r="W137" s="53" t="n"/>
      <c r="X137" s="53" t="n"/>
      <c r="Y137" s="53" t="n"/>
      <c r="Z137" s="53" t="n"/>
      <c r="AA137" s="53" t="n"/>
      <c r="AB137" s="14" t="n"/>
    </row>
    <row r="138" ht="15" customHeight="1">
      <c r="A138" s="51">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52">
        <f>IF(C138="","",COUNTIFS(tbl_Finance[Job Number],C138&amp;"",tbl_Finance[Ex GST],"&lt;&gt;"))</f>
        <v/>
      </c>
      <c r="H138" s="17">
        <f>IF(C138="","",SUMIFS(tbl_Finance[Ex GST],tbl_Finance[Job Number],C138&amp;""))</f>
        <v/>
      </c>
      <c r="I138" s="15">
        <f>IF(C138="","",IFERROR(INDEX(tbl_Finance[Cost Centre],MATCH(C138&amp;"",tbl_Finance[Job Number],0)),"not invoiced yet"))</f>
        <v/>
      </c>
      <c r="J138" s="12" t="n"/>
      <c r="K138" s="14" t="n"/>
      <c r="L138" s="15">
        <f>IF(OR(K138="",set_RMSBase=""),"",HYPERLINK(set_RMSBase&amp;K138,"Open "&amp;K138))</f>
        <v/>
      </c>
      <c r="M138" s="15">
        <f>IF(C138="","",C138)</f>
        <v/>
      </c>
      <c r="N138" s="14" t="n"/>
      <c r="O138" s="16" t="n"/>
      <c r="P138" s="17">
        <f>IF(C138="","",H138+N(O138))</f>
        <v/>
      </c>
      <c r="Q138" s="54">
        <f>IFERROR(O138/P138,"")</f>
        <v/>
      </c>
      <c r="R138" s="16" t="n"/>
      <c r="S138" s="16" t="n"/>
      <c r="T138" s="17">
        <f>IF(C138="","",N(R138)+N(S138))</f>
        <v/>
      </c>
      <c r="U138" s="17">
        <f>IF(C138="","",H138-T138)</f>
        <v/>
      </c>
      <c r="V138" s="54">
        <f>IFERROR(U138/H138,"")</f>
        <v/>
      </c>
      <c r="W138" s="53" t="n"/>
      <c r="X138" s="53" t="n"/>
      <c r="Y138" s="53" t="n"/>
      <c r="Z138" s="53" t="n"/>
      <c r="AA138" s="53" t="n"/>
      <c r="AB138" s="14" t="n"/>
    </row>
    <row r="139" ht="15" customHeight="1">
      <c r="A139" s="51">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52">
        <f>IF(C139="","",COUNTIFS(tbl_Finance[Job Number],C139&amp;"",tbl_Finance[Ex GST],"&lt;&gt;"))</f>
        <v/>
      </c>
      <c r="H139" s="17">
        <f>IF(C139="","",SUMIFS(tbl_Finance[Ex GST],tbl_Finance[Job Number],C139&amp;""))</f>
        <v/>
      </c>
      <c r="I139" s="15">
        <f>IF(C139="","",IFERROR(INDEX(tbl_Finance[Cost Centre],MATCH(C139&amp;"",tbl_Finance[Job Number],0)),"not invoiced yet"))</f>
        <v/>
      </c>
      <c r="J139" s="12" t="n"/>
      <c r="K139" s="14" t="n"/>
      <c r="L139" s="15">
        <f>IF(OR(K139="",set_RMSBase=""),"",HYPERLINK(set_RMSBase&amp;K139,"Open "&amp;K139))</f>
        <v/>
      </c>
      <c r="M139" s="15">
        <f>IF(C139="","",C139)</f>
        <v/>
      </c>
      <c r="N139" s="14" t="n"/>
      <c r="O139" s="16" t="n"/>
      <c r="P139" s="17">
        <f>IF(C139="","",H139+N(O139))</f>
        <v/>
      </c>
      <c r="Q139" s="54">
        <f>IFERROR(O139/P139,"")</f>
        <v/>
      </c>
      <c r="R139" s="16" t="n"/>
      <c r="S139" s="16" t="n"/>
      <c r="T139" s="17">
        <f>IF(C139="","",N(R139)+N(S139))</f>
        <v/>
      </c>
      <c r="U139" s="17">
        <f>IF(C139="","",H139-T139)</f>
        <v/>
      </c>
      <c r="V139" s="54">
        <f>IFERROR(U139/H139,"")</f>
        <v/>
      </c>
      <c r="W139" s="53" t="n"/>
      <c r="X139" s="53" t="n"/>
      <c r="Y139" s="53" t="n"/>
      <c r="Z139" s="53" t="n"/>
      <c r="AA139" s="53" t="n"/>
      <c r="AB139" s="14" t="n"/>
    </row>
    <row r="140" ht="15" customHeight="1">
      <c r="A140" s="51">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52">
        <f>IF(C140="","",COUNTIFS(tbl_Finance[Job Number],C140&amp;"",tbl_Finance[Ex GST],"&lt;&gt;"))</f>
        <v/>
      </c>
      <c r="H140" s="17">
        <f>IF(C140="","",SUMIFS(tbl_Finance[Ex GST],tbl_Finance[Job Number],C140&amp;""))</f>
        <v/>
      </c>
      <c r="I140" s="15">
        <f>IF(C140="","",IFERROR(INDEX(tbl_Finance[Cost Centre],MATCH(C140&amp;"",tbl_Finance[Job Number],0)),"not invoiced yet"))</f>
        <v/>
      </c>
      <c r="J140" s="12" t="n"/>
      <c r="K140" s="14" t="n"/>
      <c r="L140" s="15">
        <f>IF(OR(K140="",set_RMSBase=""),"",HYPERLINK(set_RMSBase&amp;K140,"Open "&amp;K140))</f>
        <v/>
      </c>
      <c r="M140" s="15">
        <f>IF(C140="","",C140)</f>
        <v/>
      </c>
      <c r="N140" s="14" t="n"/>
      <c r="O140" s="16" t="n"/>
      <c r="P140" s="17">
        <f>IF(C140="","",H140+N(O140))</f>
        <v/>
      </c>
      <c r="Q140" s="54">
        <f>IFERROR(O140/P140,"")</f>
        <v/>
      </c>
      <c r="R140" s="16" t="n"/>
      <c r="S140" s="16" t="n"/>
      <c r="T140" s="17">
        <f>IF(C140="","",N(R140)+N(S140))</f>
        <v/>
      </c>
      <c r="U140" s="17">
        <f>IF(C140="","",H140-T140)</f>
        <v/>
      </c>
      <c r="V140" s="54">
        <f>IFERROR(U140/H140,"")</f>
        <v/>
      </c>
      <c r="W140" s="53" t="n"/>
      <c r="X140" s="53" t="n"/>
      <c r="Y140" s="53" t="n"/>
      <c r="Z140" s="53" t="n"/>
      <c r="AA140" s="53" t="n"/>
      <c r="AB140" s="14" t="n"/>
    </row>
    <row r="141" ht="15" customHeight="1">
      <c r="A141" s="51">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52">
        <f>IF(C141="","",COUNTIFS(tbl_Finance[Job Number],C141&amp;"",tbl_Finance[Ex GST],"&lt;&gt;"))</f>
        <v/>
      </c>
      <c r="H141" s="17">
        <f>IF(C141="","",SUMIFS(tbl_Finance[Ex GST],tbl_Finance[Job Number],C141&amp;""))</f>
        <v/>
      </c>
      <c r="I141" s="15">
        <f>IF(C141="","",IFERROR(INDEX(tbl_Finance[Cost Centre],MATCH(C141&amp;"",tbl_Finance[Job Number],0)),"not invoiced yet"))</f>
        <v/>
      </c>
      <c r="J141" s="12" t="n"/>
      <c r="K141" s="14" t="n"/>
      <c r="L141" s="15">
        <f>IF(OR(K141="",set_RMSBase=""),"",HYPERLINK(set_RMSBase&amp;K141,"Open "&amp;K141))</f>
        <v/>
      </c>
      <c r="M141" s="15">
        <f>IF(C141="","",C141)</f>
        <v/>
      </c>
      <c r="N141" s="14" t="n"/>
      <c r="O141" s="16" t="n"/>
      <c r="P141" s="17">
        <f>IF(C141="","",H141+N(O141))</f>
        <v/>
      </c>
      <c r="Q141" s="54">
        <f>IFERROR(O141/P141,"")</f>
        <v/>
      </c>
      <c r="R141" s="16" t="n"/>
      <c r="S141" s="16" t="n"/>
      <c r="T141" s="17">
        <f>IF(C141="","",N(R141)+N(S141))</f>
        <v/>
      </c>
      <c r="U141" s="17">
        <f>IF(C141="","",H141-T141)</f>
        <v/>
      </c>
      <c r="V141" s="54">
        <f>IFERROR(U141/H141,"")</f>
        <v/>
      </c>
      <c r="W141" s="53" t="n"/>
      <c r="X141" s="53" t="n"/>
      <c r="Y141" s="53" t="n"/>
      <c r="Z141" s="53" t="n"/>
      <c r="AA141" s="53" t="n"/>
      <c r="AB141" s="14" t="n"/>
    </row>
    <row r="142" ht="15" customHeight="1">
      <c r="A142" s="51">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52">
        <f>IF(C142="","",COUNTIFS(tbl_Finance[Job Number],C142&amp;"",tbl_Finance[Ex GST],"&lt;&gt;"))</f>
        <v/>
      </c>
      <c r="H142" s="17">
        <f>IF(C142="","",SUMIFS(tbl_Finance[Ex GST],tbl_Finance[Job Number],C142&amp;""))</f>
        <v/>
      </c>
      <c r="I142" s="15">
        <f>IF(C142="","",IFERROR(INDEX(tbl_Finance[Cost Centre],MATCH(C142&amp;"",tbl_Finance[Job Number],0)),"not invoiced yet"))</f>
        <v/>
      </c>
      <c r="J142" s="12" t="n"/>
      <c r="K142" s="14" t="n"/>
      <c r="L142" s="15">
        <f>IF(OR(K142="",set_RMSBase=""),"",HYPERLINK(set_RMSBase&amp;K142,"Open "&amp;K142))</f>
        <v/>
      </c>
      <c r="M142" s="15">
        <f>IF(C142="","",C142)</f>
        <v/>
      </c>
      <c r="N142" s="14" t="n"/>
      <c r="O142" s="16" t="n"/>
      <c r="P142" s="17">
        <f>IF(C142="","",H142+N(O142))</f>
        <v/>
      </c>
      <c r="Q142" s="54">
        <f>IFERROR(O142/P142,"")</f>
        <v/>
      </c>
      <c r="R142" s="16" t="n"/>
      <c r="S142" s="16" t="n"/>
      <c r="T142" s="17">
        <f>IF(C142="","",N(R142)+N(S142))</f>
        <v/>
      </c>
      <c r="U142" s="17">
        <f>IF(C142="","",H142-T142)</f>
        <v/>
      </c>
      <c r="V142" s="54">
        <f>IFERROR(U142/H142,"")</f>
        <v/>
      </c>
      <c r="W142" s="53" t="n"/>
      <c r="X142" s="53" t="n"/>
      <c r="Y142" s="53" t="n"/>
      <c r="Z142" s="53" t="n"/>
      <c r="AA142" s="53" t="n"/>
      <c r="AB142" s="14" t="n"/>
    </row>
    <row r="143" ht="15" customHeight="1">
      <c r="A143" s="51">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52">
        <f>IF(C143="","",COUNTIFS(tbl_Finance[Job Number],C143&amp;"",tbl_Finance[Ex GST],"&lt;&gt;"))</f>
        <v/>
      </c>
      <c r="H143" s="17">
        <f>IF(C143="","",SUMIFS(tbl_Finance[Ex GST],tbl_Finance[Job Number],C143&amp;""))</f>
        <v/>
      </c>
      <c r="I143" s="15">
        <f>IF(C143="","",IFERROR(INDEX(tbl_Finance[Cost Centre],MATCH(C143&amp;"",tbl_Finance[Job Number],0)),"not invoiced yet"))</f>
        <v/>
      </c>
      <c r="J143" s="12" t="n"/>
      <c r="K143" s="14" t="n"/>
      <c r="L143" s="15">
        <f>IF(OR(K143="",set_RMSBase=""),"",HYPERLINK(set_RMSBase&amp;K143,"Open "&amp;K143))</f>
        <v/>
      </c>
      <c r="M143" s="15">
        <f>IF(C143="","",C143)</f>
        <v/>
      </c>
      <c r="N143" s="14" t="n"/>
      <c r="O143" s="16" t="n"/>
      <c r="P143" s="17">
        <f>IF(C143="","",H143+N(O143))</f>
        <v/>
      </c>
      <c r="Q143" s="54">
        <f>IFERROR(O143/P143,"")</f>
        <v/>
      </c>
      <c r="R143" s="16" t="n"/>
      <c r="S143" s="16" t="n"/>
      <c r="T143" s="17">
        <f>IF(C143="","",N(R143)+N(S143))</f>
        <v/>
      </c>
      <c r="U143" s="17">
        <f>IF(C143="","",H143-T143)</f>
        <v/>
      </c>
      <c r="V143" s="54">
        <f>IFERROR(U143/H143,"")</f>
        <v/>
      </c>
      <c r="W143" s="53" t="n"/>
      <c r="X143" s="53" t="n"/>
      <c r="Y143" s="53" t="n"/>
      <c r="Z143" s="53" t="n"/>
      <c r="AA143" s="53" t="n"/>
      <c r="AB143" s="14" t="n"/>
    </row>
    <row r="144" ht="15" customHeight="1">
      <c r="A144" s="51">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52">
        <f>IF(C144="","",COUNTIFS(tbl_Finance[Job Number],C144&amp;"",tbl_Finance[Ex GST],"&lt;&gt;"))</f>
        <v/>
      </c>
      <c r="H144" s="17">
        <f>IF(C144="","",SUMIFS(tbl_Finance[Ex GST],tbl_Finance[Job Number],C144&amp;""))</f>
        <v/>
      </c>
      <c r="I144" s="15">
        <f>IF(C144="","",IFERROR(INDEX(tbl_Finance[Cost Centre],MATCH(C144&amp;"",tbl_Finance[Job Number],0)),"not invoiced yet"))</f>
        <v/>
      </c>
      <c r="J144" s="12" t="n"/>
      <c r="K144" s="14" t="n"/>
      <c r="L144" s="15">
        <f>IF(OR(K144="",set_RMSBase=""),"",HYPERLINK(set_RMSBase&amp;K144,"Open "&amp;K144))</f>
        <v/>
      </c>
      <c r="M144" s="15">
        <f>IF(C144="","",C144)</f>
        <v/>
      </c>
      <c r="N144" s="14" t="n"/>
      <c r="O144" s="16" t="n"/>
      <c r="P144" s="17">
        <f>IF(C144="","",H144+N(O144))</f>
        <v/>
      </c>
      <c r="Q144" s="54">
        <f>IFERROR(O144/P144,"")</f>
        <v/>
      </c>
      <c r="R144" s="16" t="n"/>
      <c r="S144" s="16" t="n"/>
      <c r="T144" s="17">
        <f>IF(C144="","",N(R144)+N(S144))</f>
        <v/>
      </c>
      <c r="U144" s="17">
        <f>IF(C144="","",H144-T144)</f>
        <v/>
      </c>
      <c r="V144" s="54">
        <f>IFERROR(U144/H144,"")</f>
        <v/>
      </c>
      <c r="W144" s="53" t="n"/>
      <c r="X144" s="53" t="n"/>
      <c r="Y144" s="53" t="n"/>
      <c r="Z144" s="53" t="n"/>
      <c r="AA144" s="53" t="n"/>
      <c r="AB144" s="14" t="n"/>
    </row>
    <row r="145" ht="15" customHeight="1">
      <c r="A145" s="51">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52">
        <f>IF(C145="","",COUNTIFS(tbl_Finance[Job Number],C145&amp;"",tbl_Finance[Ex GST],"&lt;&gt;"))</f>
        <v/>
      </c>
      <c r="H145" s="17">
        <f>IF(C145="","",SUMIFS(tbl_Finance[Ex GST],tbl_Finance[Job Number],C145&amp;""))</f>
        <v/>
      </c>
      <c r="I145" s="15">
        <f>IF(C145="","",IFERROR(INDEX(tbl_Finance[Cost Centre],MATCH(C145&amp;"",tbl_Finance[Job Number],0)),"not invoiced yet"))</f>
        <v/>
      </c>
      <c r="J145" s="12" t="n"/>
      <c r="K145" s="14" t="n"/>
      <c r="L145" s="15">
        <f>IF(OR(K145="",set_RMSBase=""),"",HYPERLINK(set_RMSBase&amp;K145,"Open "&amp;K145))</f>
        <v/>
      </c>
      <c r="M145" s="15">
        <f>IF(C145="","",C145)</f>
        <v/>
      </c>
      <c r="N145" s="14" t="n"/>
      <c r="O145" s="16" t="n"/>
      <c r="P145" s="17">
        <f>IF(C145="","",H145+N(O145))</f>
        <v/>
      </c>
      <c r="Q145" s="54">
        <f>IFERROR(O145/P145,"")</f>
        <v/>
      </c>
      <c r="R145" s="16" t="n"/>
      <c r="S145" s="16" t="n"/>
      <c r="T145" s="17">
        <f>IF(C145="","",N(R145)+N(S145))</f>
        <v/>
      </c>
      <c r="U145" s="17">
        <f>IF(C145="","",H145-T145)</f>
        <v/>
      </c>
      <c r="V145" s="54">
        <f>IFERROR(U145/H145,"")</f>
        <v/>
      </c>
      <c r="W145" s="53" t="n"/>
      <c r="X145" s="53" t="n"/>
      <c r="Y145" s="53" t="n"/>
      <c r="Z145" s="53" t="n"/>
      <c r="AA145" s="53" t="n"/>
      <c r="AB145" s="14" t="n"/>
    </row>
    <row r="146" ht="15" customHeight="1">
      <c r="A146" s="51">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52">
        <f>IF(C146="","",COUNTIFS(tbl_Finance[Job Number],C146&amp;"",tbl_Finance[Ex GST],"&lt;&gt;"))</f>
        <v/>
      </c>
      <c r="H146" s="17">
        <f>IF(C146="","",SUMIFS(tbl_Finance[Ex GST],tbl_Finance[Job Number],C146&amp;""))</f>
        <v/>
      </c>
      <c r="I146" s="15">
        <f>IF(C146="","",IFERROR(INDEX(tbl_Finance[Cost Centre],MATCH(C146&amp;"",tbl_Finance[Job Number],0)),"not invoiced yet"))</f>
        <v/>
      </c>
      <c r="J146" s="12" t="n"/>
      <c r="K146" s="14" t="n"/>
      <c r="L146" s="15">
        <f>IF(OR(K146="",set_RMSBase=""),"",HYPERLINK(set_RMSBase&amp;K146,"Open "&amp;K146))</f>
        <v/>
      </c>
      <c r="M146" s="15">
        <f>IF(C146="","",C146)</f>
        <v/>
      </c>
      <c r="N146" s="14" t="n"/>
      <c r="O146" s="16" t="n"/>
      <c r="P146" s="17">
        <f>IF(C146="","",H146+N(O146))</f>
        <v/>
      </c>
      <c r="Q146" s="54">
        <f>IFERROR(O146/P146,"")</f>
        <v/>
      </c>
      <c r="R146" s="16" t="n"/>
      <c r="S146" s="16" t="n"/>
      <c r="T146" s="17">
        <f>IF(C146="","",N(R146)+N(S146))</f>
        <v/>
      </c>
      <c r="U146" s="17">
        <f>IF(C146="","",H146-T146)</f>
        <v/>
      </c>
      <c r="V146" s="54">
        <f>IFERROR(U146/H146,"")</f>
        <v/>
      </c>
      <c r="W146" s="53" t="n"/>
      <c r="X146" s="53" t="n"/>
      <c r="Y146" s="53" t="n"/>
      <c r="Z146" s="53" t="n"/>
      <c r="AA146" s="53" t="n"/>
      <c r="AB146" s="14" t="n"/>
    </row>
    <row r="147" ht="15" customHeight="1">
      <c r="A147" s="51">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52">
        <f>IF(C147="","",COUNTIFS(tbl_Finance[Job Number],C147&amp;"",tbl_Finance[Ex GST],"&lt;&gt;"))</f>
        <v/>
      </c>
      <c r="H147" s="17">
        <f>IF(C147="","",SUMIFS(tbl_Finance[Ex GST],tbl_Finance[Job Number],C147&amp;""))</f>
        <v/>
      </c>
      <c r="I147" s="15">
        <f>IF(C147="","",IFERROR(INDEX(tbl_Finance[Cost Centre],MATCH(C147&amp;"",tbl_Finance[Job Number],0)),"not invoiced yet"))</f>
        <v/>
      </c>
      <c r="J147" s="12" t="n"/>
      <c r="K147" s="14" t="n"/>
      <c r="L147" s="15">
        <f>IF(OR(K147="",set_RMSBase=""),"",HYPERLINK(set_RMSBase&amp;K147,"Open "&amp;K147))</f>
        <v/>
      </c>
      <c r="M147" s="15">
        <f>IF(C147="","",C147)</f>
        <v/>
      </c>
      <c r="N147" s="14" t="n"/>
      <c r="O147" s="16" t="n"/>
      <c r="P147" s="17">
        <f>IF(C147="","",H147+N(O147))</f>
        <v/>
      </c>
      <c r="Q147" s="54">
        <f>IFERROR(O147/P147,"")</f>
        <v/>
      </c>
      <c r="R147" s="16" t="n"/>
      <c r="S147" s="16" t="n"/>
      <c r="T147" s="17">
        <f>IF(C147="","",N(R147)+N(S147))</f>
        <v/>
      </c>
      <c r="U147" s="17">
        <f>IF(C147="","",H147-T147)</f>
        <v/>
      </c>
      <c r="V147" s="54">
        <f>IFERROR(U147/H147,"")</f>
        <v/>
      </c>
      <c r="W147" s="53" t="n"/>
      <c r="X147" s="53" t="n"/>
      <c r="Y147" s="53" t="n"/>
      <c r="Z147" s="53" t="n"/>
      <c r="AA147" s="53" t="n"/>
      <c r="AB147" s="14" t="n"/>
    </row>
    <row r="148" ht="15" customHeight="1">
      <c r="A148" s="51">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52">
        <f>IF(C148="","",COUNTIFS(tbl_Finance[Job Number],C148&amp;"",tbl_Finance[Ex GST],"&lt;&gt;"))</f>
        <v/>
      </c>
      <c r="H148" s="17">
        <f>IF(C148="","",SUMIFS(tbl_Finance[Ex GST],tbl_Finance[Job Number],C148&amp;""))</f>
        <v/>
      </c>
      <c r="I148" s="15">
        <f>IF(C148="","",IFERROR(INDEX(tbl_Finance[Cost Centre],MATCH(C148&amp;"",tbl_Finance[Job Number],0)),"not invoiced yet"))</f>
        <v/>
      </c>
      <c r="J148" s="12" t="n"/>
      <c r="K148" s="14" t="n"/>
      <c r="L148" s="15">
        <f>IF(OR(K148="",set_RMSBase=""),"",HYPERLINK(set_RMSBase&amp;K148,"Open "&amp;K148))</f>
        <v/>
      </c>
      <c r="M148" s="15">
        <f>IF(C148="","",C148)</f>
        <v/>
      </c>
      <c r="N148" s="14" t="n"/>
      <c r="O148" s="16" t="n"/>
      <c r="P148" s="17">
        <f>IF(C148="","",H148+N(O148))</f>
        <v/>
      </c>
      <c r="Q148" s="54">
        <f>IFERROR(O148/P148,"")</f>
        <v/>
      </c>
      <c r="R148" s="16" t="n"/>
      <c r="S148" s="16" t="n"/>
      <c r="T148" s="17">
        <f>IF(C148="","",N(R148)+N(S148))</f>
        <v/>
      </c>
      <c r="U148" s="17">
        <f>IF(C148="","",H148-T148)</f>
        <v/>
      </c>
      <c r="V148" s="54">
        <f>IFERROR(U148/H148,"")</f>
        <v/>
      </c>
      <c r="W148" s="53" t="n"/>
      <c r="X148" s="53" t="n"/>
      <c r="Y148" s="53" t="n"/>
      <c r="Z148" s="53" t="n"/>
      <c r="AA148" s="53" t="n"/>
      <c r="AB148" s="14" t="n"/>
    </row>
    <row r="149" ht="15" customHeight="1">
      <c r="A149" s="51">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52">
        <f>IF(C149="","",COUNTIFS(tbl_Finance[Job Number],C149&amp;"",tbl_Finance[Ex GST],"&lt;&gt;"))</f>
        <v/>
      </c>
      <c r="H149" s="17">
        <f>IF(C149="","",SUMIFS(tbl_Finance[Ex GST],tbl_Finance[Job Number],C149&amp;""))</f>
        <v/>
      </c>
      <c r="I149" s="15">
        <f>IF(C149="","",IFERROR(INDEX(tbl_Finance[Cost Centre],MATCH(C149&amp;"",tbl_Finance[Job Number],0)),"not invoiced yet"))</f>
        <v/>
      </c>
      <c r="J149" s="12" t="n"/>
      <c r="K149" s="14" t="n"/>
      <c r="L149" s="15">
        <f>IF(OR(K149="",set_RMSBase=""),"",HYPERLINK(set_RMSBase&amp;K149,"Open "&amp;K149))</f>
        <v/>
      </c>
      <c r="M149" s="15">
        <f>IF(C149="","",C149)</f>
        <v/>
      </c>
      <c r="N149" s="14" t="n"/>
      <c r="O149" s="16" t="n"/>
      <c r="P149" s="17">
        <f>IF(C149="","",H149+N(O149))</f>
        <v/>
      </c>
      <c r="Q149" s="54">
        <f>IFERROR(O149/P149,"")</f>
        <v/>
      </c>
      <c r="R149" s="16" t="n"/>
      <c r="S149" s="16" t="n"/>
      <c r="T149" s="17">
        <f>IF(C149="","",N(R149)+N(S149))</f>
        <v/>
      </c>
      <c r="U149" s="17">
        <f>IF(C149="","",H149-T149)</f>
        <v/>
      </c>
      <c r="V149" s="54">
        <f>IFERROR(U149/H149,"")</f>
        <v/>
      </c>
      <c r="W149" s="53" t="n"/>
      <c r="X149" s="53" t="n"/>
      <c r="Y149" s="53" t="n"/>
      <c r="Z149" s="53" t="n"/>
      <c r="AA149" s="53" t="n"/>
      <c r="AB149" s="14" t="n"/>
    </row>
    <row r="150" ht="15" customHeight="1">
      <c r="A150" s="51">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52">
        <f>IF(C150="","",COUNTIFS(tbl_Finance[Job Number],C150&amp;"",tbl_Finance[Ex GST],"&lt;&gt;"))</f>
        <v/>
      </c>
      <c r="H150" s="17">
        <f>IF(C150="","",SUMIFS(tbl_Finance[Ex GST],tbl_Finance[Job Number],C150&amp;""))</f>
        <v/>
      </c>
      <c r="I150" s="15">
        <f>IF(C150="","",IFERROR(INDEX(tbl_Finance[Cost Centre],MATCH(C150&amp;"",tbl_Finance[Job Number],0)),"not invoiced yet"))</f>
        <v/>
      </c>
      <c r="J150" s="12" t="n"/>
      <c r="K150" s="14" t="n"/>
      <c r="L150" s="15">
        <f>IF(OR(K150="",set_RMSBase=""),"",HYPERLINK(set_RMSBase&amp;K150,"Open "&amp;K150))</f>
        <v/>
      </c>
      <c r="M150" s="15">
        <f>IF(C150="","",C150)</f>
        <v/>
      </c>
      <c r="N150" s="14" t="n"/>
      <c r="O150" s="16" t="n"/>
      <c r="P150" s="17">
        <f>IF(C150="","",H150+N(O150))</f>
        <v/>
      </c>
      <c r="Q150" s="54">
        <f>IFERROR(O150/P150,"")</f>
        <v/>
      </c>
      <c r="R150" s="16" t="n"/>
      <c r="S150" s="16" t="n"/>
      <c r="T150" s="17">
        <f>IF(C150="","",N(R150)+N(S150))</f>
        <v/>
      </c>
      <c r="U150" s="17">
        <f>IF(C150="","",H150-T150)</f>
        <v/>
      </c>
      <c r="V150" s="54">
        <f>IFERROR(U150/H150,"")</f>
        <v/>
      </c>
      <c r="W150" s="53" t="n"/>
      <c r="X150" s="53" t="n"/>
      <c r="Y150" s="53" t="n"/>
      <c r="Z150" s="53" t="n"/>
      <c r="AA150" s="53" t="n"/>
      <c r="AB150" s="14" t="n"/>
    </row>
    <row r="151" ht="15" customHeight="1">
      <c r="A151" s="51">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52">
        <f>IF(C151="","",COUNTIFS(tbl_Finance[Job Number],C151&amp;"",tbl_Finance[Ex GST],"&lt;&gt;"))</f>
        <v/>
      </c>
      <c r="H151" s="17">
        <f>IF(C151="","",SUMIFS(tbl_Finance[Ex GST],tbl_Finance[Job Number],C151&amp;""))</f>
        <v/>
      </c>
      <c r="I151" s="15">
        <f>IF(C151="","",IFERROR(INDEX(tbl_Finance[Cost Centre],MATCH(C151&amp;"",tbl_Finance[Job Number],0)),"not invoiced yet"))</f>
        <v/>
      </c>
      <c r="J151" s="12" t="n"/>
      <c r="K151" s="14" t="n"/>
      <c r="L151" s="15">
        <f>IF(OR(K151="",set_RMSBase=""),"",HYPERLINK(set_RMSBase&amp;K151,"Open "&amp;K151))</f>
        <v/>
      </c>
      <c r="M151" s="15">
        <f>IF(C151="","",C151)</f>
        <v/>
      </c>
      <c r="N151" s="14" t="n"/>
      <c r="O151" s="16" t="n"/>
      <c r="P151" s="17">
        <f>IF(C151="","",H151+N(O151))</f>
        <v/>
      </c>
      <c r="Q151" s="54">
        <f>IFERROR(O151/P151,"")</f>
        <v/>
      </c>
      <c r="R151" s="16" t="n"/>
      <c r="S151" s="16" t="n"/>
      <c r="T151" s="17">
        <f>IF(C151="","",N(R151)+N(S151))</f>
        <v/>
      </c>
      <c r="U151" s="17">
        <f>IF(C151="","",H151-T151)</f>
        <v/>
      </c>
      <c r="V151" s="54">
        <f>IFERROR(U151/H151,"")</f>
        <v/>
      </c>
      <c r="W151" s="53" t="n"/>
      <c r="X151" s="53" t="n"/>
      <c r="Y151" s="53" t="n"/>
      <c r="Z151" s="53" t="n"/>
      <c r="AA151" s="53" t="n"/>
      <c r="AB151" s="14" t="n"/>
    </row>
    <row r="152" ht="15" customHeight="1">
      <c r="A152" s="51">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52">
        <f>IF(C152="","",COUNTIFS(tbl_Finance[Job Number],C152&amp;"",tbl_Finance[Ex GST],"&lt;&gt;"))</f>
        <v/>
      </c>
      <c r="H152" s="17">
        <f>IF(C152="","",SUMIFS(tbl_Finance[Ex GST],tbl_Finance[Job Number],C152&amp;""))</f>
        <v/>
      </c>
      <c r="I152" s="15">
        <f>IF(C152="","",IFERROR(INDEX(tbl_Finance[Cost Centre],MATCH(C152&amp;"",tbl_Finance[Job Number],0)),"not invoiced yet"))</f>
        <v/>
      </c>
      <c r="J152" s="12" t="n"/>
      <c r="K152" s="14" t="n"/>
      <c r="L152" s="15">
        <f>IF(OR(K152="",set_RMSBase=""),"",HYPERLINK(set_RMSBase&amp;K152,"Open "&amp;K152))</f>
        <v/>
      </c>
      <c r="M152" s="15">
        <f>IF(C152="","",C152)</f>
        <v/>
      </c>
      <c r="N152" s="14" t="n"/>
      <c r="O152" s="16" t="n"/>
      <c r="P152" s="17">
        <f>IF(C152="","",H152+N(O152))</f>
        <v/>
      </c>
      <c r="Q152" s="54">
        <f>IFERROR(O152/P152,"")</f>
        <v/>
      </c>
      <c r="R152" s="16" t="n"/>
      <c r="S152" s="16" t="n"/>
      <c r="T152" s="17">
        <f>IF(C152="","",N(R152)+N(S152))</f>
        <v/>
      </c>
      <c r="U152" s="17">
        <f>IF(C152="","",H152-T152)</f>
        <v/>
      </c>
      <c r="V152" s="54">
        <f>IFERROR(U152/H152,"")</f>
        <v/>
      </c>
      <c r="W152" s="53" t="n"/>
      <c r="X152" s="53" t="n"/>
      <c r="Y152" s="53" t="n"/>
      <c r="Z152" s="53" t="n"/>
      <c r="AA152" s="53" t="n"/>
      <c r="AB152" s="14" t="n"/>
    </row>
    <row r="153" ht="15" customHeight="1">
      <c r="A153" s="51">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52">
        <f>IF(C153="","",COUNTIFS(tbl_Finance[Job Number],C153&amp;"",tbl_Finance[Ex GST],"&lt;&gt;"))</f>
        <v/>
      </c>
      <c r="H153" s="17">
        <f>IF(C153="","",SUMIFS(tbl_Finance[Ex GST],tbl_Finance[Job Number],C153&amp;""))</f>
        <v/>
      </c>
      <c r="I153" s="15">
        <f>IF(C153="","",IFERROR(INDEX(tbl_Finance[Cost Centre],MATCH(C153&amp;"",tbl_Finance[Job Number],0)),"not invoiced yet"))</f>
        <v/>
      </c>
      <c r="J153" s="12" t="n"/>
      <c r="K153" s="14" t="n"/>
      <c r="L153" s="15">
        <f>IF(OR(K153="",set_RMSBase=""),"",HYPERLINK(set_RMSBase&amp;K153,"Open "&amp;K153))</f>
        <v/>
      </c>
      <c r="M153" s="15">
        <f>IF(C153="","",C153)</f>
        <v/>
      </c>
      <c r="N153" s="14" t="n"/>
      <c r="O153" s="16" t="n"/>
      <c r="P153" s="17">
        <f>IF(C153="","",H153+N(O153))</f>
        <v/>
      </c>
      <c r="Q153" s="54">
        <f>IFERROR(O153/P153,"")</f>
        <v/>
      </c>
      <c r="R153" s="16" t="n"/>
      <c r="S153" s="16" t="n"/>
      <c r="T153" s="17">
        <f>IF(C153="","",N(R153)+N(S153))</f>
        <v/>
      </c>
      <c r="U153" s="17">
        <f>IF(C153="","",H153-T153)</f>
        <v/>
      </c>
      <c r="V153" s="54">
        <f>IFERROR(U153/H153,"")</f>
        <v/>
      </c>
      <c r="W153" s="53" t="n"/>
      <c r="X153" s="53" t="n"/>
      <c r="Y153" s="53" t="n"/>
      <c r="Z153" s="53" t="n"/>
      <c r="AA153" s="53" t="n"/>
      <c r="AB153" s="14" t="n"/>
    </row>
    <row r="154" ht="15" customHeight="1">
      <c r="A154" s="51">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52">
        <f>IF(C154="","",COUNTIFS(tbl_Finance[Job Number],C154&amp;"",tbl_Finance[Ex GST],"&lt;&gt;"))</f>
        <v/>
      </c>
      <c r="H154" s="17">
        <f>IF(C154="","",SUMIFS(tbl_Finance[Ex GST],tbl_Finance[Job Number],C154&amp;""))</f>
        <v/>
      </c>
      <c r="I154" s="15">
        <f>IF(C154="","",IFERROR(INDEX(tbl_Finance[Cost Centre],MATCH(C154&amp;"",tbl_Finance[Job Number],0)),"not invoiced yet"))</f>
        <v/>
      </c>
      <c r="J154" s="12" t="n"/>
      <c r="K154" s="14" t="n"/>
      <c r="L154" s="15">
        <f>IF(OR(K154="",set_RMSBase=""),"",HYPERLINK(set_RMSBase&amp;K154,"Open "&amp;K154))</f>
        <v/>
      </c>
      <c r="M154" s="15">
        <f>IF(C154="","",C154)</f>
        <v/>
      </c>
      <c r="N154" s="14" t="n"/>
      <c r="O154" s="16" t="n"/>
      <c r="P154" s="17">
        <f>IF(C154="","",H154+N(O154))</f>
        <v/>
      </c>
      <c r="Q154" s="54">
        <f>IFERROR(O154/P154,"")</f>
        <v/>
      </c>
      <c r="R154" s="16" t="n"/>
      <c r="S154" s="16" t="n"/>
      <c r="T154" s="17">
        <f>IF(C154="","",N(R154)+N(S154))</f>
        <v/>
      </c>
      <c r="U154" s="17">
        <f>IF(C154="","",H154-T154)</f>
        <v/>
      </c>
      <c r="V154" s="54">
        <f>IFERROR(U154/H154,"")</f>
        <v/>
      </c>
      <c r="W154" s="53" t="n"/>
      <c r="X154" s="53" t="n"/>
      <c r="Y154" s="53" t="n"/>
      <c r="Z154" s="53" t="n"/>
      <c r="AA154" s="53" t="n"/>
      <c r="AB154" s="14" t="n"/>
    </row>
    <row r="155" ht="15" customHeight="1">
      <c r="A155" s="51">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52">
        <f>IF(C155="","",COUNTIFS(tbl_Finance[Job Number],C155&amp;"",tbl_Finance[Ex GST],"&lt;&gt;"))</f>
        <v/>
      </c>
      <c r="H155" s="17">
        <f>IF(C155="","",SUMIFS(tbl_Finance[Ex GST],tbl_Finance[Job Number],C155&amp;""))</f>
        <v/>
      </c>
      <c r="I155" s="15">
        <f>IF(C155="","",IFERROR(INDEX(tbl_Finance[Cost Centre],MATCH(C155&amp;"",tbl_Finance[Job Number],0)),"not invoiced yet"))</f>
        <v/>
      </c>
      <c r="J155" s="12" t="n"/>
      <c r="K155" s="14" t="n"/>
      <c r="L155" s="15">
        <f>IF(OR(K155="",set_RMSBase=""),"",HYPERLINK(set_RMSBase&amp;K155,"Open "&amp;K155))</f>
        <v/>
      </c>
      <c r="M155" s="15">
        <f>IF(C155="","",C155)</f>
        <v/>
      </c>
      <c r="N155" s="14" t="n"/>
      <c r="O155" s="16" t="n"/>
      <c r="P155" s="17">
        <f>IF(C155="","",H155+N(O155))</f>
        <v/>
      </c>
      <c r="Q155" s="54">
        <f>IFERROR(O155/P155,"")</f>
        <v/>
      </c>
      <c r="R155" s="16" t="n"/>
      <c r="S155" s="16" t="n"/>
      <c r="T155" s="17">
        <f>IF(C155="","",N(R155)+N(S155))</f>
        <v/>
      </c>
      <c r="U155" s="17">
        <f>IF(C155="","",H155-T155)</f>
        <v/>
      </c>
      <c r="V155" s="54">
        <f>IFERROR(U155/H155,"")</f>
        <v/>
      </c>
      <c r="W155" s="53" t="n"/>
      <c r="X155" s="53" t="n"/>
      <c r="Y155" s="53" t="n"/>
      <c r="Z155" s="53" t="n"/>
      <c r="AA155" s="53" t="n"/>
      <c r="AB155" s="14" t="n"/>
    </row>
    <row r="156" ht="15" customHeight="1">
      <c r="A156" s="51">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52">
        <f>IF(C156="","",COUNTIFS(tbl_Finance[Job Number],C156&amp;"",tbl_Finance[Ex GST],"&lt;&gt;"))</f>
        <v/>
      </c>
      <c r="H156" s="17">
        <f>IF(C156="","",SUMIFS(tbl_Finance[Ex GST],tbl_Finance[Job Number],C156&amp;""))</f>
        <v/>
      </c>
      <c r="I156" s="15">
        <f>IF(C156="","",IFERROR(INDEX(tbl_Finance[Cost Centre],MATCH(C156&amp;"",tbl_Finance[Job Number],0)),"not invoiced yet"))</f>
        <v/>
      </c>
      <c r="J156" s="12" t="n"/>
      <c r="K156" s="14" t="n"/>
      <c r="L156" s="15">
        <f>IF(OR(K156="",set_RMSBase=""),"",HYPERLINK(set_RMSBase&amp;K156,"Open "&amp;K156))</f>
        <v/>
      </c>
      <c r="M156" s="15">
        <f>IF(C156="","",C156)</f>
        <v/>
      </c>
      <c r="N156" s="14" t="n"/>
      <c r="O156" s="16" t="n"/>
      <c r="P156" s="17">
        <f>IF(C156="","",H156+N(O156))</f>
        <v/>
      </c>
      <c r="Q156" s="54">
        <f>IFERROR(O156/P156,"")</f>
        <v/>
      </c>
      <c r="R156" s="16" t="n"/>
      <c r="S156" s="16" t="n"/>
      <c r="T156" s="17">
        <f>IF(C156="","",N(R156)+N(S156))</f>
        <v/>
      </c>
      <c r="U156" s="17">
        <f>IF(C156="","",H156-T156)</f>
        <v/>
      </c>
      <c r="V156" s="54">
        <f>IFERROR(U156/H156,"")</f>
        <v/>
      </c>
      <c r="W156" s="53" t="n"/>
      <c r="X156" s="53" t="n"/>
      <c r="Y156" s="53" t="n"/>
      <c r="Z156" s="53" t="n"/>
      <c r="AA156" s="53" t="n"/>
      <c r="AB156" s="14" t="n"/>
    </row>
    <row r="157" ht="15" customHeight="1">
      <c r="A157" s="51">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52">
        <f>IF(C157="","",COUNTIFS(tbl_Finance[Job Number],C157&amp;"",tbl_Finance[Ex GST],"&lt;&gt;"))</f>
        <v/>
      </c>
      <c r="H157" s="17">
        <f>IF(C157="","",SUMIFS(tbl_Finance[Ex GST],tbl_Finance[Job Number],C157&amp;""))</f>
        <v/>
      </c>
      <c r="I157" s="15">
        <f>IF(C157="","",IFERROR(INDEX(tbl_Finance[Cost Centre],MATCH(C157&amp;"",tbl_Finance[Job Number],0)),"not invoiced yet"))</f>
        <v/>
      </c>
      <c r="J157" s="12" t="n"/>
      <c r="K157" s="14" t="n"/>
      <c r="L157" s="15">
        <f>IF(OR(K157="",set_RMSBase=""),"",HYPERLINK(set_RMSBase&amp;K157,"Open "&amp;K157))</f>
        <v/>
      </c>
      <c r="M157" s="15">
        <f>IF(C157="","",C157)</f>
        <v/>
      </c>
      <c r="N157" s="14" t="n"/>
      <c r="O157" s="16" t="n"/>
      <c r="P157" s="17">
        <f>IF(C157="","",H157+N(O157))</f>
        <v/>
      </c>
      <c r="Q157" s="54">
        <f>IFERROR(O157/P157,"")</f>
        <v/>
      </c>
      <c r="R157" s="16" t="n"/>
      <c r="S157" s="16" t="n"/>
      <c r="T157" s="17">
        <f>IF(C157="","",N(R157)+N(S157))</f>
        <v/>
      </c>
      <c r="U157" s="17">
        <f>IF(C157="","",H157-T157)</f>
        <v/>
      </c>
      <c r="V157" s="54">
        <f>IFERROR(U157/H157,"")</f>
        <v/>
      </c>
      <c r="W157" s="53" t="n"/>
      <c r="X157" s="53" t="n"/>
      <c r="Y157" s="53" t="n"/>
      <c r="Z157" s="53" t="n"/>
      <c r="AA157" s="53" t="n"/>
      <c r="AB157" s="14" t="n"/>
    </row>
    <row r="158" ht="15" customHeight="1">
      <c r="A158" s="51">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52">
        <f>IF(C158="","",COUNTIFS(tbl_Finance[Job Number],C158&amp;"",tbl_Finance[Ex GST],"&lt;&gt;"))</f>
        <v/>
      </c>
      <c r="H158" s="17">
        <f>IF(C158="","",SUMIFS(tbl_Finance[Ex GST],tbl_Finance[Job Number],C158&amp;""))</f>
        <v/>
      </c>
      <c r="I158" s="15">
        <f>IF(C158="","",IFERROR(INDEX(tbl_Finance[Cost Centre],MATCH(C158&amp;"",tbl_Finance[Job Number],0)),"not invoiced yet"))</f>
        <v/>
      </c>
      <c r="J158" s="12" t="n"/>
      <c r="K158" s="14" t="n"/>
      <c r="L158" s="15">
        <f>IF(OR(K158="",set_RMSBase=""),"",HYPERLINK(set_RMSBase&amp;K158,"Open "&amp;K158))</f>
        <v/>
      </c>
      <c r="M158" s="15">
        <f>IF(C158="","",C158)</f>
        <v/>
      </c>
      <c r="N158" s="14" t="n"/>
      <c r="O158" s="16" t="n"/>
      <c r="P158" s="17">
        <f>IF(C158="","",H158+N(O158))</f>
        <v/>
      </c>
      <c r="Q158" s="54">
        <f>IFERROR(O158/P158,"")</f>
        <v/>
      </c>
      <c r="R158" s="16" t="n"/>
      <c r="S158" s="16" t="n"/>
      <c r="T158" s="17">
        <f>IF(C158="","",N(R158)+N(S158))</f>
        <v/>
      </c>
      <c r="U158" s="17">
        <f>IF(C158="","",H158-T158)</f>
        <v/>
      </c>
      <c r="V158" s="54">
        <f>IFERROR(U158/H158,"")</f>
        <v/>
      </c>
      <c r="W158" s="53" t="n"/>
      <c r="X158" s="53" t="n"/>
      <c r="Y158" s="53" t="n"/>
      <c r="Z158" s="53" t="n"/>
      <c r="AA158" s="53" t="n"/>
      <c r="AB158" s="14" t="n"/>
    </row>
    <row r="159" ht="15" customHeight="1">
      <c r="A159" s="51">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52">
        <f>IF(C159="","",COUNTIFS(tbl_Finance[Job Number],C159&amp;"",tbl_Finance[Ex GST],"&lt;&gt;"))</f>
        <v/>
      </c>
      <c r="H159" s="17">
        <f>IF(C159="","",SUMIFS(tbl_Finance[Ex GST],tbl_Finance[Job Number],C159&amp;""))</f>
        <v/>
      </c>
      <c r="I159" s="15">
        <f>IF(C159="","",IFERROR(INDEX(tbl_Finance[Cost Centre],MATCH(C159&amp;"",tbl_Finance[Job Number],0)),"not invoiced yet"))</f>
        <v/>
      </c>
      <c r="J159" s="12" t="n"/>
      <c r="K159" s="14" t="n"/>
      <c r="L159" s="15">
        <f>IF(OR(K159="",set_RMSBase=""),"",HYPERLINK(set_RMSBase&amp;K159,"Open "&amp;K159))</f>
        <v/>
      </c>
      <c r="M159" s="15">
        <f>IF(C159="","",C159)</f>
        <v/>
      </c>
      <c r="N159" s="14" t="n"/>
      <c r="O159" s="16" t="n"/>
      <c r="P159" s="17">
        <f>IF(C159="","",H159+N(O159))</f>
        <v/>
      </c>
      <c r="Q159" s="54">
        <f>IFERROR(O159/P159,"")</f>
        <v/>
      </c>
      <c r="R159" s="16" t="n"/>
      <c r="S159" s="16" t="n"/>
      <c r="T159" s="17">
        <f>IF(C159="","",N(R159)+N(S159))</f>
        <v/>
      </c>
      <c r="U159" s="17">
        <f>IF(C159="","",H159-T159)</f>
        <v/>
      </c>
      <c r="V159" s="54">
        <f>IFERROR(U159/H159,"")</f>
        <v/>
      </c>
      <c r="W159" s="53" t="n"/>
      <c r="X159" s="53" t="n"/>
      <c r="Y159" s="53" t="n"/>
      <c r="Z159" s="53" t="n"/>
      <c r="AA159" s="53" t="n"/>
      <c r="AB159" s="14" t="n"/>
    </row>
    <row r="160" ht="15" customHeight="1">
      <c r="A160" s="51">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52">
        <f>IF(C160="","",COUNTIFS(tbl_Finance[Job Number],C160&amp;"",tbl_Finance[Ex GST],"&lt;&gt;"))</f>
        <v/>
      </c>
      <c r="H160" s="17">
        <f>IF(C160="","",SUMIFS(tbl_Finance[Ex GST],tbl_Finance[Job Number],C160&amp;""))</f>
        <v/>
      </c>
      <c r="I160" s="15">
        <f>IF(C160="","",IFERROR(INDEX(tbl_Finance[Cost Centre],MATCH(C160&amp;"",tbl_Finance[Job Number],0)),"not invoiced yet"))</f>
        <v/>
      </c>
      <c r="J160" s="12" t="n"/>
      <c r="K160" s="14" t="n"/>
      <c r="L160" s="15">
        <f>IF(OR(K160="",set_RMSBase=""),"",HYPERLINK(set_RMSBase&amp;K160,"Open "&amp;K160))</f>
        <v/>
      </c>
      <c r="M160" s="15">
        <f>IF(C160="","",C160)</f>
        <v/>
      </c>
      <c r="N160" s="14" t="n"/>
      <c r="O160" s="16" t="n"/>
      <c r="P160" s="17">
        <f>IF(C160="","",H160+N(O160))</f>
        <v/>
      </c>
      <c r="Q160" s="54">
        <f>IFERROR(O160/P160,"")</f>
        <v/>
      </c>
      <c r="R160" s="16" t="n"/>
      <c r="S160" s="16" t="n"/>
      <c r="T160" s="17">
        <f>IF(C160="","",N(R160)+N(S160))</f>
        <v/>
      </c>
      <c r="U160" s="17">
        <f>IF(C160="","",H160-T160)</f>
        <v/>
      </c>
      <c r="V160" s="54">
        <f>IFERROR(U160/H160,"")</f>
        <v/>
      </c>
      <c r="W160" s="53" t="n"/>
      <c r="X160" s="53" t="n"/>
      <c r="Y160" s="53" t="n"/>
      <c r="Z160" s="53" t="n"/>
      <c r="AA160" s="53" t="n"/>
      <c r="AB160" s="14" t="n"/>
    </row>
    <row r="161" ht="15" customHeight="1">
      <c r="A161" s="51">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52">
        <f>IF(C161="","",COUNTIFS(tbl_Finance[Job Number],C161&amp;"",tbl_Finance[Ex GST],"&lt;&gt;"))</f>
        <v/>
      </c>
      <c r="H161" s="17">
        <f>IF(C161="","",SUMIFS(tbl_Finance[Ex GST],tbl_Finance[Job Number],C161&amp;""))</f>
        <v/>
      </c>
      <c r="I161" s="15">
        <f>IF(C161="","",IFERROR(INDEX(tbl_Finance[Cost Centre],MATCH(C161&amp;"",tbl_Finance[Job Number],0)),"not invoiced yet"))</f>
        <v/>
      </c>
      <c r="J161" s="12" t="n"/>
      <c r="K161" s="14" t="n"/>
      <c r="L161" s="15">
        <f>IF(OR(K161="",set_RMSBase=""),"",HYPERLINK(set_RMSBase&amp;K161,"Open "&amp;K161))</f>
        <v/>
      </c>
      <c r="M161" s="15">
        <f>IF(C161="","",C161)</f>
        <v/>
      </c>
      <c r="N161" s="14" t="n"/>
      <c r="O161" s="16" t="n"/>
      <c r="P161" s="17">
        <f>IF(C161="","",H161+N(O161))</f>
        <v/>
      </c>
      <c r="Q161" s="54">
        <f>IFERROR(O161/P161,"")</f>
        <v/>
      </c>
      <c r="R161" s="16" t="n"/>
      <c r="S161" s="16" t="n"/>
      <c r="T161" s="17">
        <f>IF(C161="","",N(R161)+N(S161))</f>
        <v/>
      </c>
      <c r="U161" s="17">
        <f>IF(C161="","",H161-T161)</f>
        <v/>
      </c>
      <c r="V161" s="54">
        <f>IFERROR(U161/H161,"")</f>
        <v/>
      </c>
      <c r="W161" s="53" t="n"/>
      <c r="X161" s="53" t="n"/>
      <c r="Y161" s="53" t="n"/>
      <c r="Z161" s="53" t="n"/>
      <c r="AA161" s="53" t="n"/>
      <c r="AB161" s="14" t="n"/>
    </row>
    <row r="162" ht="15" customHeight="1">
      <c r="A162" s="51">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52">
        <f>IF(C162="","",COUNTIFS(tbl_Finance[Job Number],C162&amp;"",tbl_Finance[Ex GST],"&lt;&gt;"))</f>
        <v/>
      </c>
      <c r="H162" s="17">
        <f>IF(C162="","",SUMIFS(tbl_Finance[Ex GST],tbl_Finance[Job Number],C162&amp;""))</f>
        <v/>
      </c>
      <c r="I162" s="15">
        <f>IF(C162="","",IFERROR(INDEX(tbl_Finance[Cost Centre],MATCH(C162&amp;"",tbl_Finance[Job Number],0)),"not invoiced yet"))</f>
        <v/>
      </c>
      <c r="J162" s="12" t="n"/>
      <c r="K162" s="14" t="n"/>
      <c r="L162" s="15">
        <f>IF(OR(K162="",set_RMSBase=""),"",HYPERLINK(set_RMSBase&amp;K162,"Open "&amp;K162))</f>
        <v/>
      </c>
      <c r="M162" s="15">
        <f>IF(C162="","",C162)</f>
        <v/>
      </c>
      <c r="N162" s="14" t="n"/>
      <c r="O162" s="16" t="n"/>
      <c r="P162" s="17">
        <f>IF(C162="","",H162+N(O162))</f>
        <v/>
      </c>
      <c r="Q162" s="54">
        <f>IFERROR(O162/P162,"")</f>
        <v/>
      </c>
      <c r="R162" s="16" t="n"/>
      <c r="S162" s="16" t="n"/>
      <c r="T162" s="17">
        <f>IF(C162="","",N(R162)+N(S162))</f>
        <v/>
      </c>
      <c r="U162" s="17">
        <f>IF(C162="","",H162-T162)</f>
        <v/>
      </c>
      <c r="V162" s="54">
        <f>IFERROR(U162/H162,"")</f>
        <v/>
      </c>
      <c r="W162" s="53" t="n"/>
      <c r="X162" s="53" t="n"/>
      <c r="Y162" s="53" t="n"/>
      <c r="Z162" s="53" t="n"/>
      <c r="AA162" s="53" t="n"/>
      <c r="AB162" s="14" t="n"/>
    </row>
    <row r="163" ht="15" customHeight="1">
      <c r="A163" s="51">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52">
        <f>IF(C163="","",COUNTIFS(tbl_Finance[Job Number],C163&amp;"",tbl_Finance[Ex GST],"&lt;&gt;"))</f>
        <v/>
      </c>
      <c r="H163" s="17">
        <f>IF(C163="","",SUMIFS(tbl_Finance[Ex GST],tbl_Finance[Job Number],C163&amp;""))</f>
        <v/>
      </c>
      <c r="I163" s="15">
        <f>IF(C163="","",IFERROR(INDEX(tbl_Finance[Cost Centre],MATCH(C163&amp;"",tbl_Finance[Job Number],0)),"not invoiced yet"))</f>
        <v/>
      </c>
      <c r="J163" s="12" t="n"/>
      <c r="K163" s="14" t="n"/>
      <c r="L163" s="15">
        <f>IF(OR(K163="",set_RMSBase=""),"",HYPERLINK(set_RMSBase&amp;K163,"Open "&amp;K163))</f>
        <v/>
      </c>
      <c r="M163" s="15">
        <f>IF(C163="","",C163)</f>
        <v/>
      </c>
      <c r="N163" s="14" t="n"/>
      <c r="O163" s="16" t="n"/>
      <c r="P163" s="17">
        <f>IF(C163="","",H163+N(O163))</f>
        <v/>
      </c>
      <c r="Q163" s="54">
        <f>IFERROR(O163/P163,"")</f>
        <v/>
      </c>
      <c r="R163" s="16" t="n"/>
      <c r="S163" s="16" t="n"/>
      <c r="T163" s="17">
        <f>IF(C163="","",N(R163)+N(S163))</f>
        <v/>
      </c>
      <c r="U163" s="17">
        <f>IF(C163="","",H163-T163)</f>
        <v/>
      </c>
      <c r="V163" s="54">
        <f>IFERROR(U163/H163,"")</f>
        <v/>
      </c>
      <c r="W163" s="53" t="n"/>
      <c r="X163" s="53" t="n"/>
      <c r="Y163" s="53" t="n"/>
      <c r="Z163" s="53" t="n"/>
      <c r="AA163" s="53" t="n"/>
      <c r="AB163" s="14" t="n"/>
    </row>
    <row r="164" ht="15" customHeight="1">
      <c r="A164" s="51">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52">
        <f>IF(C164="","",COUNTIFS(tbl_Finance[Job Number],C164&amp;"",tbl_Finance[Ex GST],"&lt;&gt;"))</f>
        <v/>
      </c>
      <c r="H164" s="17">
        <f>IF(C164="","",SUMIFS(tbl_Finance[Ex GST],tbl_Finance[Job Number],C164&amp;""))</f>
        <v/>
      </c>
      <c r="I164" s="15">
        <f>IF(C164="","",IFERROR(INDEX(tbl_Finance[Cost Centre],MATCH(C164&amp;"",tbl_Finance[Job Number],0)),"not invoiced yet"))</f>
        <v/>
      </c>
      <c r="J164" s="12" t="n"/>
      <c r="K164" s="14" t="n"/>
      <c r="L164" s="15">
        <f>IF(OR(K164="",set_RMSBase=""),"",HYPERLINK(set_RMSBase&amp;K164,"Open "&amp;K164))</f>
        <v/>
      </c>
      <c r="M164" s="15">
        <f>IF(C164="","",C164)</f>
        <v/>
      </c>
      <c r="N164" s="14" t="n"/>
      <c r="O164" s="16" t="n"/>
      <c r="P164" s="17">
        <f>IF(C164="","",H164+N(O164))</f>
        <v/>
      </c>
      <c r="Q164" s="54">
        <f>IFERROR(O164/P164,"")</f>
        <v/>
      </c>
      <c r="R164" s="16" t="n"/>
      <c r="S164" s="16" t="n"/>
      <c r="T164" s="17">
        <f>IF(C164="","",N(R164)+N(S164))</f>
        <v/>
      </c>
      <c r="U164" s="17">
        <f>IF(C164="","",H164-T164)</f>
        <v/>
      </c>
      <c r="V164" s="54">
        <f>IFERROR(U164/H164,"")</f>
        <v/>
      </c>
      <c r="W164" s="53" t="n"/>
      <c r="X164" s="53" t="n"/>
      <c r="Y164" s="53" t="n"/>
      <c r="Z164" s="53" t="n"/>
      <c r="AA164" s="53" t="n"/>
      <c r="AB164" s="14" t="n"/>
    </row>
    <row r="165" ht="15" customHeight="1">
      <c r="A165" s="51">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52">
        <f>IF(C165="","",COUNTIFS(tbl_Finance[Job Number],C165&amp;"",tbl_Finance[Ex GST],"&lt;&gt;"))</f>
        <v/>
      </c>
      <c r="H165" s="17">
        <f>IF(C165="","",SUMIFS(tbl_Finance[Ex GST],tbl_Finance[Job Number],C165&amp;""))</f>
        <v/>
      </c>
      <c r="I165" s="15">
        <f>IF(C165="","",IFERROR(INDEX(tbl_Finance[Cost Centre],MATCH(C165&amp;"",tbl_Finance[Job Number],0)),"not invoiced yet"))</f>
        <v/>
      </c>
      <c r="J165" s="12" t="n"/>
      <c r="K165" s="14" t="n"/>
      <c r="L165" s="15">
        <f>IF(OR(K165="",set_RMSBase=""),"",HYPERLINK(set_RMSBase&amp;K165,"Open "&amp;K165))</f>
        <v/>
      </c>
      <c r="M165" s="15">
        <f>IF(C165="","",C165)</f>
        <v/>
      </c>
      <c r="N165" s="14" t="n"/>
      <c r="O165" s="16" t="n"/>
      <c r="P165" s="17">
        <f>IF(C165="","",H165+N(O165))</f>
        <v/>
      </c>
      <c r="Q165" s="54">
        <f>IFERROR(O165/P165,"")</f>
        <v/>
      </c>
      <c r="R165" s="16" t="n"/>
      <c r="S165" s="16" t="n"/>
      <c r="T165" s="17">
        <f>IF(C165="","",N(R165)+N(S165))</f>
        <v/>
      </c>
      <c r="U165" s="17">
        <f>IF(C165="","",H165-T165)</f>
        <v/>
      </c>
      <c r="V165" s="54">
        <f>IFERROR(U165/H165,"")</f>
        <v/>
      </c>
      <c r="W165" s="53" t="n"/>
      <c r="X165" s="53" t="n"/>
      <c r="Y165" s="53" t="n"/>
      <c r="Z165" s="53" t="n"/>
      <c r="AA165" s="53" t="n"/>
      <c r="AB165" s="14" t="n"/>
    </row>
    <row r="166" ht="15" customHeight="1">
      <c r="A166" s="51">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52">
        <f>IF(C166="","",COUNTIFS(tbl_Finance[Job Number],C166&amp;"",tbl_Finance[Ex GST],"&lt;&gt;"))</f>
        <v/>
      </c>
      <c r="H166" s="17">
        <f>IF(C166="","",SUMIFS(tbl_Finance[Ex GST],tbl_Finance[Job Number],C166&amp;""))</f>
        <v/>
      </c>
      <c r="I166" s="15">
        <f>IF(C166="","",IFERROR(INDEX(tbl_Finance[Cost Centre],MATCH(C166&amp;"",tbl_Finance[Job Number],0)),"not invoiced yet"))</f>
        <v/>
      </c>
      <c r="J166" s="12" t="n"/>
      <c r="K166" s="14" t="n"/>
      <c r="L166" s="15">
        <f>IF(OR(K166="",set_RMSBase=""),"",HYPERLINK(set_RMSBase&amp;K166,"Open "&amp;K166))</f>
        <v/>
      </c>
      <c r="M166" s="15">
        <f>IF(C166="","",C166)</f>
        <v/>
      </c>
      <c r="N166" s="14" t="n"/>
      <c r="O166" s="16" t="n"/>
      <c r="P166" s="17">
        <f>IF(C166="","",H166+N(O166))</f>
        <v/>
      </c>
      <c r="Q166" s="54">
        <f>IFERROR(O166/P166,"")</f>
        <v/>
      </c>
      <c r="R166" s="16" t="n"/>
      <c r="S166" s="16" t="n"/>
      <c r="T166" s="17">
        <f>IF(C166="","",N(R166)+N(S166))</f>
        <v/>
      </c>
      <c r="U166" s="17">
        <f>IF(C166="","",H166-T166)</f>
        <v/>
      </c>
      <c r="V166" s="54">
        <f>IFERROR(U166/H166,"")</f>
        <v/>
      </c>
      <c r="W166" s="53" t="n"/>
      <c r="X166" s="53" t="n"/>
      <c r="Y166" s="53" t="n"/>
      <c r="Z166" s="53" t="n"/>
      <c r="AA166" s="53" t="n"/>
      <c r="AB166" s="14" t="n"/>
    </row>
    <row r="167" ht="15" customHeight="1">
      <c r="A167" s="51">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52">
        <f>IF(C167="","",COUNTIFS(tbl_Finance[Job Number],C167&amp;"",tbl_Finance[Ex GST],"&lt;&gt;"))</f>
        <v/>
      </c>
      <c r="H167" s="17">
        <f>IF(C167="","",SUMIFS(tbl_Finance[Ex GST],tbl_Finance[Job Number],C167&amp;""))</f>
        <v/>
      </c>
      <c r="I167" s="15">
        <f>IF(C167="","",IFERROR(INDEX(tbl_Finance[Cost Centre],MATCH(C167&amp;"",tbl_Finance[Job Number],0)),"not invoiced yet"))</f>
        <v/>
      </c>
      <c r="J167" s="12" t="n"/>
      <c r="K167" s="14" t="n"/>
      <c r="L167" s="15">
        <f>IF(OR(K167="",set_RMSBase=""),"",HYPERLINK(set_RMSBase&amp;K167,"Open "&amp;K167))</f>
        <v/>
      </c>
      <c r="M167" s="15">
        <f>IF(C167="","",C167)</f>
        <v/>
      </c>
      <c r="N167" s="14" t="n"/>
      <c r="O167" s="16" t="n"/>
      <c r="P167" s="17">
        <f>IF(C167="","",H167+N(O167))</f>
        <v/>
      </c>
      <c r="Q167" s="54">
        <f>IFERROR(O167/P167,"")</f>
        <v/>
      </c>
      <c r="R167" s="16" t="n"/>
      <c r="S167" s="16" t="n"/>
      <c r="T167" s="17">
        <f>IF(C167="","",N(R167)+N(S167))</f>
        <v/>
      </c>
      <c r="U167" s="17">
        <f>IF(C167="","",H167-T167)</f>
        <v/>
      </c>
      <c r="V167" s="54">
        <f>IFERROR(U167/H167,"")</f>
        <v/>
      </c>
      <c r="W167" s="53" t="n"/>
      <c r="X167" s="53" t="n"/>
      <c r="Y167" s="53" t="n"/>
      <c r="Z167" s="53" t="n"/>
      <c r="AA167" s="53" t="n"/>
      <c r="AB167" s="14" t="n"/>
    </row>
    <row r="168" ht="15" customHeight="1">
      <c r="A168" s="51">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52">
        <f>IF(C168="","",COUNTIFS(tbl_Finance[Job Number],C168&amp;"",tbl_Finance[Ex GST],"&lt;&gt;"))</f>
        <v/>
      </c>
      <c r="H168" s="17">
        <f>IF(C168="","",SUMIFS(tbl_Finance[Ex GST],tbl_Finance[Job Number],C168&amp;""))</f>
        <v/>
      </c>
      <c r="I168" s="15">
        <f>IF(C168="","",IFERROR(INDEX(tbl_Finance[Cost Centre],MATCH(C168&amp;"",tbl_Finance[Job Number],0)),"not invoiced yet"))</f>
        <v/>
      </c>
      <c r="J168" s="12" t="n"/>
      <c r="K168" s="14" t="n"/>
      <c r="L168" s="15">
        <f>IF(OR(K168="",set_RMSBase=""),"",HYPERLINK(set_RMSBase&amp;K168,"Open "&amp;K168))</f>
        <v/>
      </c>
      <c r="M168" s="15">
        <f>IF(C168="","",C168)</f>
        <v/>
      </c>
      <c r="N168" s="14" t="n"/>
      <c r="O168" s="16" t="n"/>
      <c r="P168" s="17">
        <f>IF(C168="","",H168+N(O168))</f>
        <v/>
      </c>
      <c r="Q168" s="54">
        <f>IFERROR(O168/P168,"")</f>
        <v/>
      </c>
      <c r="R168" s="16" t="n"/>
      <c r="S168" s="16" t="n"/>
      <c r="T168" s="17">
        <f>IF(C168="","",N(R168)+N(S168))</f>
        <v/>
      </c>
      <c r="U168" s="17">
        <f>IF(C168="","",H168-T168)</f>
        <v/>
      </c>
      <c r="V168" s="54">
        <f>IFERROR(U168/H168,"")</f>
        <v/>
      </c>
      <c r="W168" s="53" t="n"/>
      <c r="X168" s="53" t="n"/>
      <c r="Y168" s="53" t="n"/>
      <c r="Z168" s="53" t="n"/>
      <c r="AA168" s="53" t="n"/>
      <c r="AB168" s="14" t="n"/>
    </row>
    <row r="169" ht="15" customHeight="1">
      <c r="A169" s="51">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52">
        <f>IF(C169="","",COUNTIFS(tbl_Finance[Job Number],C169&amp;"",tbl_Finance[Ex GST],"&lt;&gt;"))</f>
        <v/>
      </c>
      <c r="H169" s="17">
        <f>IF(C169="","",SUMIFS(tbl_Finance[Ex GST],tbl_Finance[Job Number],C169&amp;""))</f>
        <v/>
      </c>
      <c r="I169" s="15">
        <f>IF(C169="","",IFERROR(INDEX(tbl_Finance[Cost Centre],MATCH(C169&amp;"",tbl_Finance[Job Number],0)),"not invoiced yet"))</f>
        <v/>
      </c>
      <c r="J169" s="12" t="n"/>
      <c r="K169" s="14" t="n"/>
      <c r="L169" s="15">
        <f>IF(OR(K169="",set_RMSBase=""),"",HYPERLINK(set_RMSBase&amp;K169,"Open "&amp;K169))</f>
        <v/>
      </c>
      <c r="M169" s="15">
        <f>IF(C169="","",C169)</f>
        <v/>
      </c>
      <c r="N169" s="14" t="n"/>
      <c r="O169" s="16" t="n"/>
      <c r="P169" s="17">
        <f>IF(C169="","",H169+N(O169))</f>
        <v/>
      </c>
      <c r="Q169" s="54">
        <f>IFERROR(O169/P169,"")</f>
        <v/>
      </c>
      <c r="R169" s="16" t="n"/>
      <c r="S169" s="16" t="n"/>
      <c r="T169" s="17">
        <f>IF(C169="","",N(R169)+N(S169))</f>
        <v/>
      </c>
      <c r="U169" s="17">
        <f>IF(C169="","",H169-T169)</f>
        <v/>
      </c>
      <c r="V169" s="54">
        <f>IFERROR(U169/H169,"")</f>
        <v/>
      </c>
      <c r="W169" s="53" t="n"/>
      <c r="X169" s="53" t="n"/>
      <c r="Y169" s="53" t="n"/>
      <c r="Z169" s="53" t="n"/>
      <c r="AA169" s="53" t="n"/>
      <c r="AB169" s="14" t="n"/>
    </row>
    <row r="170" ht="15" customHeight="1">
      <c r="A170" s="51">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52">
        <f>IF(C170="","",COUNTIFS(tbl_Finance[Job Number],C170&amp;"",tbl_Finance[Ex GST],"&lt;&gt;"))</f>
        <v/>
      </c>
      <c r="H170" s="17">
        <f>IF(C170="","",SUMIFS(tbl_Finance[Ex GST],tbl_Finance[Job Number],C170&amp;""))</f>
        <v/>
      </c>
      <c r="I170" s="15">
        <f>IF(C170="","",IFERROR(INDEX(tbl_Finance[Cost Centre],MATCH(C170&amp;"",tbl_Finance[Job Number],0)),"not invoiced yet"))</f>
        <v/>
      </c>
      <c r="J170" s="12" t="n"/>
      <c r="K170" s="14" t="n"/>
      <c r="L170" s="15">
        <f>IF(OR(K170="",set_RMSBase=""),"",HYPERLINK(set_RMSBase&amp;K170,"Open "&amp;K170))</f>
        <v/>
      </c>
      <c r="M170" s="15">
        <f>IF(C170="","",C170)</f>
        <v/>
      </c>
      <c r="N170" s="14" t="n"/>
      <c r="O170" s="16" t="n"/>
      <c r="P170" s="17">
        <f>IF(C170="","",H170+N(O170))</f>
        <v/>
      </c>
      <c r="Q170" s="54">
        <f>IFERROR(O170/P170,"")</f>
        <v/>
      </c>
      <c r="R170" s="16" t="n"/>
      <c r="S170" s="16" t="n"/>
      <c r="T170" s="17">
        <f>IF(C170="","",N(R170)+N(S170))</f>
        <v/>
      </c>
      <c r="U170" s="17">
        <f>IF(C170="","",H170-T170)</f>
        <v/>
      </c>
      <c r="V170" s="54">
        <f>IFERROR(U170/H170,"")</f>
        <v/>
      </c>
      <c r="W170" s="53" t="n"/>
      <c r="X170" s="53" t="n"/>
      <c r="Y170" s="53" t="n"/>
      <c r="Z170" s="53" t="n"/>
      <c r="AA170" s="53" t="n"/>
      <c r="AB170" s="14" t="n"/>
    </row>
    <row r="171" ht="15" customHeight="1">
      <c r="A171" s="51">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52">
        <f>IF(C171="","",COUNTIFS(tbl_Finance[Job Number],C171&amp;"",tbl_Finance[Ex GST],"&lt;&gt;"))</f>
        <v/>
      </c>
      <c r="H171" s="17">
        <f>IF(C171="","",SUMIFS(tbl_Finance[Ex GST],tbl_Finance[Job Number],C171&amp;""))</f>
        <v/>
      </c>
      <c r="I171" s="15">
        <f>IF(C171="","",IFERROR(INDEX(tbl_Finance[Cost Centre],MATCH(C171&amp;"",tbl_Finance[Job Number],0)),"not invoiced yet"))</f>
        <v/>
      </c>
      <c r="J171" s="12" t="n"/>
      <c r="K171" s="14" t="n"/>
      <c r="L171" s="15">
        <f>IF(OR(K171="",set_RMSBase=""),"",HYPERLINK(set_RMSBase&amp;K171,"Open "&amp;K171))</f>
        <v/>
      </c>
      <c r="M171" s="15">
        <f>IF(C171="","",C171)</f>
        <v/>
      </c>
      <c r="N171" s="14" t="n"/>
      <c r="O171" s="16" t="n"/>
      <c r="P171" s="17">
        <f>IF(C171="","",H171+N(O171))</f>
        <v/>
      </c>
      <c r="Q171" s="54">
        <f>IFERROR(O171/P171,"")</f>
        <v/>
      </c>
      <c r="R171" s="16" t="n"/>
      <c r="S171" s="16" t="n"/>
      <c r="T171" s="17">
        <f>IF(C171="","",N(R171)+N(S171))</f>
        <v/>
      </c>
      <c r="U171" s="17">
        <f>IF(C171="","",H171-T171)</f>
        <v/>
      </c>
      <c r="V171" s="54">
        <f>IFERROR(U171/H171,"")</f>
        <v/>
      </c>
      <c r="W171" s="53" t="n"/>
      <c r="X171" s="53" t="n"/>
      <c r="Y171" s="53" t="n"/>
      <c r="Z171" s="53" t="n"/>
      <c r="AA171" s="53" t="n"/>
      <c r="AB171" s="14" t="n"/>
    </row>
    <row r="172" ht="15" customHeight="1">
      <c r="A172" s="51">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52">
        <f>IF(C172="","",COUNTIFS(tbl_Finance[Job Number],C172&amp;"",tbl_Finance[Ex GST],"&lt;&gt;"))</f>
        <v/>
      </c>
      <c r="H172" s="17">
        <f>IF(C172="","",SUMIFS(tbl_Finance[Ex GST],tbl_Finance[Job Number],C172&amp;""))</f>
        <v/>
      </c>
      <c r="I172" s="15">
        <f>IF(C172="","",IFERROR(INDEX(tbl_Finance[Cost Centre],MATCH(C172&amp;"",tbl_Finance[Job Number],0)),"not invoiced yet"))</f>
        <v/>
      </c>
      <c r="J172" s="12" t="n"/>
      <c r="K172" s="14" t="n"/>
      <c r="L172" s="15">
        <f>IF(OR(K172="",set_RMSBase=""),"",HYPERLINK(set_RMSBase&amp;K172,"Open "&amp;K172))</f>
        <v/>
      </c>
      <c r="M172" s="15">
        <f>IF(C172="","",C172)</f>
        <v/>
      </c>
      <c r="N172" s="14" t="n"/>
      <c r="O172" s="16" t="n"/>
      <c r="P172" s="17">
        <f>IF(C172="","",H172+N(O172))</f>
        <v/>
      </c>
      <c r="Q172" s="54">
        <f>IFERROR(O172/P172,"")</f>
        <v/>
      </c>
      <c r="R172" s="16" t="n"/>
      <c r="S172" s="16" t="n"/>
      <c r="T172" s="17">
        <f>IF(C172="","",N(R172)+N(S172))</f>
        <v/>
      </c>
      <c r="U172" s="17">
        <f>IF(C172="","",H172-T172)</f>
        <v/>
      </c>
      <c r="V172" s="54">
        <f>IFERROR(U172/H172,"")</f>
        <v/>
      </c>
      <c r="W172" s="53" t="n"/>
      <c r="X172" s="53" t="n"/>
      <c r="Y172" s="53" t="n"/>
      <c r="Z172" s="53" t="n"/>
      <c r="AA172" s="53" t="n"/>
      <c r="AB172" s="14" t="n"/>
    </row>
    <row r="173" ht="15" customHeight="1">
      <c r="A173" s="51">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52">
        <f>IF(C173="","",COUNTIFS(tbl_Finance[Job Number],C173&amp;"",tbl_Finance[Ex GST],"&lt;&gt;"))</f>
        <v/>
      </c>
      <c r="H173" s="17">
        <f>IF(C173="","",SUMIFS(tbl_Finance[Ex GST],tbl_Finance[Job Number],C173&amp;""))</f>
        <v/>
      </c>
      <c r="I173" s="15">
        <f>IF(C173="","",IFERROR(INDEX(tbl_Finance[Cost Centre],MATCH(C173&amp;"",tbl_Finance[Job Number],0)),"not invoiced yet"))</f>
        <v/>
      </c>
      <c r="J173" s="12" t="n"/>
      <c r="K173" s="14" t="n"/>
      <c r="L173" s="15">
        <f>IF(OR(K173="",set_RMSBase=""),"",HYPERLINK(set_RMSBase&amp;K173,"Open "&amp;K173))</f>
        <v/>
      </c>
      <c r="M173" s="15">
        <f>IF(C173="","",C173)</f>
        <v/>
      </c>
      <c r="N173" s="14" t="n"/>
      <c r="O173" s="16" t="n"/>
      <c r="P173" s="17">
        <f>IF(C173="","",H173+N(O173))</f>
        <v/>
      </c>
      <c r="Q173" s="54">
        <f>IFERROR(O173/P173,"")</f>
        <v/>
      </c>
      <c r="R173" s="16" t="n"/>
      <c r="S173" s="16" t="n"/>
      <c r="T173" s="17">
        <f>IF(C173="","",N(R173)+N(S173))</f>
        <v/>
      </c>
      <c r="U173" s="17">
        <f>IF(C173="","",H173-T173)</f>
        <v/>
      </c>
      <c r="V173" s="54">
        <f>IFERROR(U173/H173,"")</f>
        <v/>
      </c>
      <c r="W173" s="53" t="n"/>
      <c r="X173" s="53" t="n"/>
      <c r="Y173" s="53" t="n"/>
      <c r="Z173" s="53" t="n"/>
      <c r="AA173" s="53" t="n"/>
      <c r="AB173" s="14" t="n"/>
    </row>
    <row r="174" ht="15" customHeight="1">
      <c r="A174" s="51">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52">
        <f>IF(C174="","",COUNTIFS(tbl_Finance[Job Number],C174&amp;"",tbl_Finance[Ex GST],"&lt;&gt;"))</f>
        <v/>
      </c>
      <c r="H174" s="17">
        <f>IF(C174="","",SUMIFS(tbl_Finance[Ex GST],tbl_Finance[Job Number],C174&amp;""))</f>
        <v/>
      </c>
      <c r="I174" s="15">
        <f>IF(C174="","",IFERROR(INDEX(tbl_Finance[Cost Centre],MATCH(C174&amp;"",tbl_Finance[Job Number],0)),"not invoiced yet"))</f>
        <v/>
      </c>
      <c r="J174" s="12" t="n"/>
      <c r="K174" s="14" t="n"/>
      <c r="L174" s="15">
        <f>IF(OR(K174="",set_RMSBase=""),"",HYPERLINK(set_RMSBase&amp;K174,"Open "&amp;K174))</f>
        <v/>
      </c>
      <c r="M174" s="15">
        <f>IF(C174="","",C174)</f>
        <v/>
      </c>
      <c r="N174" s="14" t="n"/>
      <c r="O174" s="16" t="n"/>
      <c r="P174" s="17">
        <f>IF(C174="","",H174+N(O174))</f>
        <v/>
      </c>
      <c r="Q174" s="54">
        <f>IFERROR(O174/P174,"")</f>
        <v/>
      </c>
      <c r="R174" s="16" t="n"/>
      <c r="S174" s="16" t="n"/>
      <c r="T174" s="17">
        <f>IF(C174="","",N(R174)+N(S174))</f>
        <v/>
      </c>
      <c r="U174" s="17">
        <f>IF(C174="","",H174-T174)</f>
        <v/>
      </c>
      <c r="V174" s="54">
        <f>IFERROR(U174/H174,"")</f>
        <v/>
      </c>
      <c r="W174" s="53" t="n"/>
      <c r="X174" s="53" t="n"/>
      <c r="Y174" s="53" t="n"/>
      <c r="Z174" s="53" t="n"/>
      <c r="AA174" s="53" t="n"/>
      <c r="AB174" s="14" t="n"/>
    </row>
    <row r="175" ht="15" customHeight="1">
      <c r="A175" s="51">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52">
        <f>IF(C175="","",COUNTIFS(tbl_Finance[Job Number],C175&amp;"",tbl_Finance[Ex GST],"&lt;&gt;"))</f>
        <v/>
      </c>
      <c r="H175" s="17">
        <f>IF(C175="","",SUMIFS(tbl_Finance[Ex GST],tbl_Finance[Job Number],C175&amp;""))</f>
        <v/>
      </c>
      <c r="I175" s="15">
        <f>IF(C175="","",IFERROR(INDEX(tbl_Finance[Cost Centre],MATCH(C175&amp;"",tbl_Finance[Job Number],0)),"not invoiced yet"))</f>
        <v/>
      </c>
      <c r="J175" s="12" t="n"/>
      <c r="K175" s="14" t="n"/>
      <c r="L175" s="15">
        <f>IF(OR(K175="",set_RMSBase=""),"",HYPERLINK(set_RMSBase&amp;K175,"Open "&amp;K175))</f>
        <v/>
      </c>
      <c r="M175" s="15">
        <f>IF(C175="","",C175)</f>
        <v/>
      </c>
      <c r="N175" s="14" t="n"/>
      <c r="O175" s="16" t="n"/>
      <c r="P175" s="17">
        <f>IF(C175="","",H175+N(O175))</f>
        <v/>
      </c>
      <c r="Q175" s="54">
        <f>IFERROR(O175/P175,"")</f>
        <v/>
      </c>
      <c r="R175" s="16" t="n"/>
      <c r="S175" s="16" t="n"/>
      <c r="T175" s="17">
        <f>IF(C175="","",N(R175)+N(S175))</f>
        <v/>
      </c>
      <c r="U175" s="17">
        <f>IF(C175="","",H175-T175)</f>
        <v/>
      </c>
      <c r="V175" s="54">
        <f>IFERROR(U175/H175,"")</f>
        <v/>
      </c>
      <c r="W175" s="53" t="n"/>
      <c r="X175" s="53" t="n"/>
      <c r="Y175" s="53" t="n"/>
      <c r="Z175" s="53" t="n"/>
      <c r="AA175" s="53" t="n"/>
      <c r="AB175" s="14" t="n"/>
    </row>
    <row r="176" ht="15" customHeight="1">
      <c r="A176" s="51">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52">
        <f>IF(C176="","",COUNTIFS(tbl_Finance[Job Number],C176&amp;"",tbl_Finance[Ex GST],"&lt;&gt;"))</f>
        <v/>
      </c>
      <c r="H176" s="17">
        <f>IF(C176="","",SUMIFS(tbl_Finance[Ex GST],tbl_Finance[Job Number],C176&amp;""))</f>
        <v/>
      </c>
      <c r="I176" s="15">
        <f>IF(C176="","",IFERROR(INDEX(tbl_Finance[Cost Centre],MATCH(C176&amp;"",tbl_Finance[Job Number],0)),"not invoiced yet"))</f>
        <v/>
      </c>
      <c r="J176" s="12" t="n"/>
      <c r="K176" s="14" t="n"/>
      <c r="L176" s="15">
        <f>IF(OR(K176="",set_RMSBase=""),"",HYPERLINK(set_RMSBase&amp;K176,"Open "&amp;K176))</f>
        <v/>
      </c>
      <c r="M176" s="15">
        <f>IF(C176="","",C176)</f>
        <v/>
      </c>
      <c r="N176" s="14" t="n"/>
      <c r="O176" s="16" t="n"/>
      <c r="P176" s="17">
        <f>IF(C176="","",H176+N(O176))</f>
        <v/>
      </c>
      <c r="Q176" s="54">
        <f>IFERROR(O176/P176,"")</f>
        <v/>
      </c>
      <c r="R176" s="16" t="n"/>
      <c r="S176" s="16" t="n"/>
      <c r="T176" s="17">
        <f>IF(C176="","",N(R176)+N(S176))</f>
        <v/>
      </c>
      <c r="U176" s="17">
        <f>IF(C176="","",H176-T176)</f>
        <v/>
      </c>
      <c r="V176" s="54">
        <f>IFERROR(U176/H176,"")</f>
        <v/>
      </c>
      <c r="W176" s="53" t="n"/>
      <c r="X176" s="53" t="n"/>
      <c r="Y176" s="53" t="n"/>
      <c r="Z176" s="53" t="n"/>
      <c r="AA176" s="53" t="n"/>
      <c r="AB176" s="14" t="n"/>
    </row>
    <row r="177" ht="15" customHeight="1">
      <c r="A177" s="51">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52">
        <f>IF(C177="","",COUNTIFS(tbl_Finance[Job Number],C177&amp;"",tbl_Finance[Ex GST],"&lt;&gt;"))</f>
        <v/>
      </c>
      <c r="H177" s="17">
        <f>IF(C177="","",SUMIFS(tbl_Finance[Ex GST],tbl_Finance[Job Number],C177&amp;""))</f>
        <v/>
      </c>
      <c r="I177" s="15">
        <f>IF(C177="","",IFERROR(INDEX(tbl_Finance[Cost Centre],MATCH(C177&amp;"",tbl_Finance[Job Number],0)),"not invoiced yet"))</f>
        <v/>
      </c>
      <c r="J177" s="12" t="n"/>
      <c r="K177" s="14" t="n"/>
      <c r="L177" s="15">
        <f>IF(OR(K177="",set_RMSBase=""),"",HYPERLINK(set_RMSBase&amp;K177,"Open "&amp;K177))</f>
        <v/>
      </c>
      <c r="M177" s="15">
        <f>IF(C177="","",C177)</f>
        <v/>
      </c>
      <c r="N177" s="14" t="n"/>
      <c r="O177" s="16" t="n"/>
      <c r="P177" s="17">
        <f>IF(C177="","",H177+N(O177))</f>
        <v/>
      </c>
      <c r="Q177" s="54">
        <f>IFERROR(O177/P177,"")</f>
        <v/>
      </c>
      <c r="R177" s="16" t="n"/>
      <c r="S177" s="16" t="n"/>
      <c r="T177" s="17">
        <f>IF(C177="","",N(R177)+N(S177))</f>
        <v/>
      </c>
      <c r="U177" s="17">
        <f>IF(C177="","",H177-T177)</f>
        <v/>
      </c>
      <c r="V177" s="54">
        <f>IFERROR(U177/H177,"")</f>
        <v/>
      </c>
      <c r="W177" s="53" t="n"/>
      <c r="X177" s="53" t="n"/>
      <c r="Y177" s="53" t="n"/>
      <c r="Z177" s="53" t="n"/>
      <c r="AA177" s="53" t="n"/>
      <c r="AB177" s="14" t="n"/>
    </row>
    <row r="178" ht="15" customHeight="1">
      <c r="A178" s="51">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52">
        <f>IF(C178="","",COUNTIFS(tbl_Finance[Job Number],C178&amp;"",tbl_Finance[Ex GST],"&lt;&gt;"))</f>
        <v/>
      </c>
      <c r="H178" s="17">
        <f>IF(C178="","",SUMIFS(tbl_Finance[Ex GST],tbl_Finance[Job Number],C178&amp;""))</f>
        <v/>
      </c>
      <c r="I178" s="15">
        <f>IF(C178="","",IFERROR(INDEX(tbl_Finance[Cost Centre],MATCH(C178&amp;"",tbl_Finance[Job Number],0)),"not invoiced yet"))</f>
        <v/>
      </c>
      <c r="J178" s="12" t="n"/>
      <c r="K178" s="14" t="n"/>
      <c r="L178" s="15">
        <f>IF(OR(K178="",set_RMSBase=""),"",HYPERLINK(set_RMSBase&amp;K178,"Open "&amp;K178))</f>
        <v/>
      </c>
      <c r="M178" s="15">
        <f>IF(C178="","",C178)</f>
        <v/>
      </c>
      <c r="N178" s="14" t="n"/>
      <c r="O178" s="16" t="n"/>
      <c r="P178" s="17">
        <f>IF(C178="","",H178+N(O178))</f>
        <v/>
      </c>
      <c r="Q178" s="54">
        <f>IFERROR(O178/P178,"")</f>
        <v/>
      </c>
      <c r="R178" s="16" t="n"/>
      <c r="S178" s="16" t="n"/>
      <c r="T178" s="17">
        <f>IF(C178="","",N(R178)+N(S178))</f>
        <v/>
      </c>
      <c r="U178" s="17">
        <f>IF(C178="","",H178-T178)</f>
        <v/>
      </c>
      <c r="V178" s="54">
        <f>IFERROR(U178/H178,"")</f>
        <v/>
      </c>
      <c r="W178" s="53" t="n"/>
      <c r="X178" s="53" t="n"/>
      <c r="Y178" s="53" t="n"/>
      <c r="Z178" s="53" t="n"/>
      <c r="AA178" s="53" t="n"/>
      <c r="AB178" s="14" t="n"/>
    </row>
    <row r="179" ht="15" customHeight="1">
      <c r="A179" s="51">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52">
        <f>IF(C179="","",COUNTIFS(tbl_Finance[Job Number],C179&amp;"",tbl_Finance[Ex GST],"&lt;&gt;"))</f>
        <v/>
      </c>
      <c r="H179" s="17">
        <f>IF(C179="","",SUMIFS(tbl_Finance[Ex GST],tbl_Finance[Job Number],C179&amp;""))</f>
        <v/>
      </c>
      <c r="I179" s="15">
        <f>IF(C179="","",IFERROR(INDEX(tbl_Finance[Cost Centre],MATCH(C179&amp;"",tbl_Finance[Job Number],0)),"not invoiced yet"))</f>
        <v/>
      </c>
      <c r="J179" s="12" t="n"/>
      <c r="K179" s="14" t="n"/>
      <c r="L179" s="15">
        <f>IF(OR(K179="",set_RMSBase=""),"",HYPERLINK(set_RMSBase&amp;K179,"Open "&amp;K179))</f>
        <v/>
      </c>
      <c r="M179" s="15">
        <f>IF(C179="","",C179)</f>
        <v/>
      </c>
      <c r="N179" s="14" t="n"/>
      <c r="O179" s="16" t="n"/>
      <c r="P179" s="17">
        <f>IF(C179="","",H179+N(O179))</f>
        <v/>
      </c>
      <c r="Q179" s="54">
        <f>IFERROR(O179/P179,"")</f>
        <v/>
      </c>
      <c r="R179" s="16" t="n"/>
      <c r="S179" s="16" t="n"/>
      <c r="T179" s="17">
        <f>IF(C179="","",N(R179)+N(S179))</f>
        <v/>
      </c>
      <c r="U179" s="17">
        <f>IF(C179="","",H179-T179)</f>
        <v/>
      </c>
      <c r="V179" s="54">
        <f>IFERROR(U179/H179,"")</f>
        <v/>
      </c>
      <c r="W179" s="53" t="n"/>
      <c r="X179" s="53" t="n"/>
      <c r="Y179" s="53" t="n"/>
      <c r="Z179" s="53" t="n"/>
      <c r="AA179" s="53" t="n"/>
      <c r="AB179" s="14" t="n"/>
    </row>
    <row r="180" ht="15" customHeight="1">
      <c r="A180" s="51">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52">
        <f>IF(C180="","",COUNTIFS(tbl_Finance[Job Number],C180&amp;"",tbl_Finance[Ex GST],"&lt;&gt;"))</f>
        <v/>
      </c>
      <c r="H180" s="17">
        <f>IF(C180="","",SUMIFS(tbl_Finance[Ex GST],tbl_Finance[Job Number],C180&amp;""))</f>
        <v/>
      </c>
      <c r="I180" s="15">
        <f>IF(C180="","",IFERROR(INDEX(tbl_Finance[Cost Centre],MATCH(C180&amp;"",tbl_Finance[Job Number],0)),"not invoiced yet"))</f>
        <v/>
      </c>
      <c r="J180" s="12" t="n"/>
      <c r="K180" s="14" t="n"/>
      <c r="L180" s="15">
        <f>IF(OR(K180="",set_RMSBase=""),"",HYPERLINK(set_RMSBase&amp;K180,"Open "&amp;K180))</f>
        <v/>
      </c>
      <c r="M180" s="15">
        <f>IF(C180="","",C180)</f>
        <v/>
      </c>
      <c r="N180" s="14" t="n"/>
      <c r="O180" s="16" t="n"/>
      <c r="P180" s="17">
        <f>IF(C180="","",H180+N(O180))</f>
        <v/>
      </c>
      <c r="Q180" s="54">
        <f>IFERROR(O180/P180,"")</f>
        <v/>
      </c>
      <c r="R180" s="16" t="n"/>
      <c r="S180" s="16" t="n"/>
      <c r="T180" s="17">
        <f>IF(C180="","",N(R180)+N(S180))</f>
        <v/>
      </c>
      <c r="U180" s="17">
        <f>IF(C180="","",H180-T180)</f>
        <v/>
      </c>
      <c r="V180" s="54">
        <f>IFERROR(U180/H180,"")</f>
        <v/>
      </c>
      <c r="W180" s="53" t="n"/>
      <c r="X180" s="53" t="n"/>
      <c r="Y180" s="53" t="n"/>
      <c r="Z180" s="53" t="n"/>
      <c r="AA180" s="53" t="n"/>
      <c r="AB180" s="14" t="n"/>
    </row>
    <row r="181" ht="15" customHeight="1">
      <c r="A181" s="51">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52">
        <f>IF(C181="","",COUNTIFS(tbl_Finance[Job Number],C181&amp;"",tbl_Finance[Ex GST],"&lt;&gt;"))</f>
        <v/>
      </c>
      <c r="H181" s="17">
        <f>IF(C181="","",SUMIFS(tbl_Finance[Ex GST],tbl_Finance[Job Number],C181&amp;""))</f>
        <v/>
      </c>
      <c r="I181" s="15">
        <f>IF(C181="","",IFERROR(INDEX(tbl_Finance[Cost Centre],MATCH(C181&amp;"",tbl_Finance[Job Number],0)),"not invoiced yet"))</f>
        <v/>
      </c>
      <c r="J181" s="12" t="n"/>
      <c r="K181" s="14" t="n"/>
      <c r="L181" s="15">
        <f>IF(OR(K181="",set_RMSBase=""),"",HYPERLINK(set_RMSBase&amp;K181,"Open "&amp;K181))</f>
        <v/>
      </c>
      <c r="M181" s="15">
        <f>IF(C181="","",C181)</f>
        <v/>
      </c>
      <c r="N181" s="14" t="n"/>
      <c r="O181" s="16" t="n"/>
      <c r="P181" s="17">
        <f>IF(C181="","",H181+N(O181))</f>
        <v/>
      </c>
      <c r="Q181" s="54">
        <f>IFERROR(O181/P181,"")</f>
        <v/>
      </c>
      <c r="R181" s="16" t="n"/>
      <c r="S181" s="16" t="n"/>
      <c r="T181" s="17">
        <f>IF(C181="","",N(R181)+N(S181))</f>
        <v/>
      </c>
      <c r="U181" s="17">
        <f>IF(C181="","",H181-T181)</f>
        <v/>
      </c>
      <c r="V181" s="54">
        <f>IFERROR(U181/H181,"")</f>
        <v/>
      </c>
      <c r="W181" s="53" t="n"/>
      <c r="X181" s="53" t="n"/>
      <c r="Y181" s="53" t="n"/>
      <c r="Z181" s="53" t="n"/>
      <c r="AA181" s="53" t="n"/>
      <c r="AB181" s="14" t="n"/>
    </row>
    <row r="182" ht="15" customHeight="1">
      <c r="A182" s="51">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52">
        <f>IF(C182="","",COUNTIFS(tbl_Finance[Job Number],C182&amp;"",tbl_Finance[Ex GST],"&lt;&gt;"))</f>
        <v/>
      </c>
      <c r="H182" s="17">
        <f>IF(C182="","",SUMIFS(tbl_Finance[Ex GST],tbl_Finance[Job Number],C182&amp;""))</f>
        <v/>
      </c>
      <c r="I182" s="15">
        <f>IF(C182="","",IFERROR(INDEX(tbl_Finance[Cost Centre],MATCH(C182&amp;"",tbl_Finance[Job Number],0)),"not invoiced yet"))</f>
        <v/>
      </c>
      <c r="J182" s="12" t="n"/>
      <c r="K182" s="14" t="n"/>
      <c r="L182" s="15">
        <f>IF(OR(K182="",set_RMSBase=""),"",HYPERLINK(set_RMSBase&amp;K182,"Open "&amp;K182))</f>
        <v/>
      </c>
      <c r="M182" s="15">
        <f>IF(C182="","",C182)</f>
        <v/>
      </c>
      <c r="N182" s="14" t="n"/>
      <c r="O182" s="16" t="n"/>
      <c r="P182" s="17">
        <f>IF(C182="","",H182+N(O182))</f>
        <v/>
      </c>
      <c r="Q182" s="54">
        <f>IFERROR(O182/P182,"")</f>
        <v/>
      </c>
      <c r="R182" s="16" t="n"/>
      <c r="S182" s="16" t="n"/>
      <c r="T182" s="17">
        <f>IF(C182="","",N(R182)+N(S182))</f>
        <v/>
      </c>
      <c r="U182" s="17">
        <f>IF(C182="","",H182-T182)</f>
        <v/>
      </c>
      <c r="V182" s="54">
        <f>IFERROR(U182/H182,"")</f>
        <v/>
      </c>
      <c r="W182" s="53" t="n"/>
      <c r="X182" s="53" t="n"/>
      <c r="Y182" s="53" t="n"/>
      <c r="Z182" s="53" t="n"/>
      <c r="AA182" s="53" t="n"/>
      <c r="AB182" s="14" t="n"/>
    </row>
    <row r="183" ht="15" customHeight="1">
      <c r="A183" s="51">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52">
        <f>IF(C183="","",COUNTIFS(tbl_Finance[Job Number],C183&amp;"",tbl_Finance[Ex GST],"&lt;&gt;"))</f>
        <v/>
      </c>
      <c r="H183" s="17">
        <f>IF(C183="","",SUMIFS(tbl_Finance[Ex GST],tbl_Finance[Job Number],C183&amp;""))</f>
        <v/>
      </c>
      <c r="I183" s="15">
        <f>IF(C183="","",IFERROR(INDEX(tbl_Finance[Cost Centre],MATCH(C183&amp;"",tbl_Finance[Job Number],0)),"not invoiced yet"))</f>
        <v/>
      </c>
      <c r="J183" s="12" t="n"/>
      <c r="K183" s="14" t="n"/>
      <c r="L183" s="15">
        <f>IF(OR(K183="",set_RMSBase=""),"",HYPERLINK(set_RMSBase&amp;K183,"Open "&amp;K183))</f>
        <v/>
      </c>
      <c r="M183" s="15">
        <f>IF(C183="","",C183)</f>
        <v/>
      </c>
      <c r="N183" s="14" t="n"/>
      <c r="O183" s="16" t="n"/>
      <c r="P183" s="17">
        <f>IF(C183="","",H183+N(O183))</f>
        <v/>
      </c>
      <c r="Q183" s="54">
        <f>IFERROR(O183/P183,"")</f>
        <v/>
      </c>
      <c r="R183" s="16" t="n"/>
      <c r="S183" s="16" t="n"/>
      <c r="T183" s="17">
        <f>IF(C183="","",N(R183)+N(S183))</f>
        <v/>
      </c>
      <c r="U183" s="17">
        <f>IF(C183="","",H183-T183)</f>
        <v/>
      </c>
      <c r="V183" s="54">
        <f>IFERROR(U183/H183,"")</f>
        <v/>
      </c>
      <c r="W183" s="53" t="n"/>
      <c r="X183" s="53" t="n"/>
      <c r="Y183" s="53" t="n"/>
      <c r="Z183" s="53" t="n"/>
      <c r="AA183" s="53" t="n"/>
      <c r="AB183" s="14" t="n"/>
    </row>
    <row r="184" ht="15" customHeight="1">
      <c r="A184" s="51">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52">
        <f>IF(C184="","",COUNTIFS(tbl_Finance[Job Number],C184&amp;"",tbl_Finance[Ex GST],"&lt;&gt;"))</f>
        <v/>
      </c>
      <c r="H184" s="17">
        <f>IF(C184="","",SUMIFS(tbl_Finance[Ex GST],tbl_Finance[Job Number],C184&amp;""))</f>
        <v/>
      </c>
      <c r="I184" s="15">
        <f>IF(C184="","",IFERROR(INDEX(tbl_Finance[Cost Centre],MATCH(C184&amp;"",tbl_Finance[Job Number],0)),"not invoiced yet"))</f>
        <v/>
      </c>
      <c r="J184" s="12" t="n"/>
      <c r="K184" s="14" t="n"/>
      <c r="L184" s="15">
        <f>IF(OR(K184="",set_RMSBase=""),"",HYPERLINK(set_RMSBase&amp;K184,"Open "&amp;K184))</f>
        <v/>
      </c>
      <c r="M184" s="15">
        <f>IF(C184="","",C184)</f>
        <v/>
      </c>
      <c r="N184" s="14" t="n"/>
      <c r="O184" s="16" t="n"/>
      <c r="P184" s="17">
        <f>IF(C184="","",H184+N(O184))</f>
        <v/>
      </c>
      <c r="Q184" s="54">
        <f>IFERROR(O184/P184,"")</f>
        <v/>
      </c>
      <c r="R184" s="16" t="n"/>
      <c r="S184" s="16" t="n"/>
      <c r="T184" s="17">
        <f>IF(C184="","",N(R184)+N(S184))</f>
        <v/>
      </c>
      <c r="U184" s="17">
        <f>IF(C184="","",H184-T184)</f>
        <v/>
      </c>
      <c r="V184" s="54">
        <f>IFERROR(U184/H184,"")</f>
        <v/>
      </c>
      <c r="W184" s="53" t="n"/>
      <c r="X184" s="53" t="n"/>
      <c r="Y184" s="53" t="n"/>
      <c r="Z184" s="53" t="n"/>
      <c r="AA184" s="53" t="n"/>
      <c r="AB184" s="14" t="n"/>
    </row>
    <row r="185" ht="15" customHeight="1">
      <c r="A185" s="51">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52">
        <f>IF(C185="","",COUNTIFS(tbl_Finance[Job Number],C185&amp;"",tbl_Finance[Ex GST],"&lt;&gt;"))</f>
        <v/>
      </c>
      <c r="H185" s="17">
        <f>IF(C185="","",SUMIFS(tbl_Finance[Ex GST],tbl_Finance[Job Number],C185&amp;""))</f>
        <v/>
      </c>
      <c r="I185" s="15">
        <f>IF(C185="","",IFERROR(INDEX(tbl_Finance[Cost Centre],MATCH(C185&amp;"",tbl_Finance[Job Number],0)),"not invoiced yet"))</f>
        <v/>
      </c>
      <c r="J185" s="12" t="n"/>
      <c r="K185" s="14" t="n"/>
      <c r="L185" s="15">
        <f>IF(OR(K185="",set_RMSBase=""),"",HYPERLINK(set_RMSBase&amp;K185,"Open "&amp;K185))</f>
        <v/>
      </c>
      <c r="M185" s="15">
        <f>IF(C185="","",C185)</f>
        <v/>
      </c>
      <c r="N185" s="14" t="n"/>
      <c r="O185" s="16" t="n"/>
      <c r="P185" s="17">
        <f>IF(C185="","",H185+N(O185))</f>
        <v/>
      </c>
      <c r="Q185" s="54">
        <f>IFERROR(O185/P185,"")</f>
        <v/>
      </c>
      <c r="R185" s="16" t="n"/>
      <c r="S185" s="16" t="n"/>
      <c r="T185" s="17">
        <f>IF(C185="","",N(R185)+N(S185))</f>
        <v/>
      </c>
      <c r="U185" s="17">
        <f>IF(C185="","",H185-T185)</f>
        <v/>
      </c>
      <c r="V185" s="54">
        <f>IFERROR(U185/H185,"")</f>
        <v/>
      </c>
      <c r="W185" s="53" t="n"/>
      <c r="X185" s="53" t="n"/>
      <c r="Y185" s="53" t="n"/>
      <c r="Z185" s="53" t="n"/>
      <c r="AA185" s="53" t="n"/>
      <c r="AB185" s="14" t="n"/>
    </row>
    <row r="186" ht="15" customHeight="1">
      <c r="A186" s="51">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52">
        <f>IF(C186="","",COUNTIFS(tbl_Finance[Job Number],C186&amp;"",tbl_Finance[Ex GST],"&lt;&gt;"))</f>
        <v/>
      </c>
      <c r="H186" s="17">
        <f>IF(C186="","",SUMIFS(tbl_Finance[Ex GST],tbl_Finance[Job Number],C186&amp;""))</f>
        <v/>
      </c>
      <c r="I186" s="15">
        <f>IF(C186="","",IFERROR(INDEX(tbl_Finance[Cost Centre],MATCH(C186&amp;"",tbl_Finance[Job Number],0)),"not invoiced yet"))</f>
        <v/>
      </c>
      <c r="J186" s="12" t="n"/>
      <c r="K186" s="14" t="n"/>
      <c r="L186" s="15">
        <f>IF(OR(K186="",set_RMSBase=""),"",HYPERLINK(set_RMSBase&amp;K186,"Open "&amp;K186))</f>
        <v/>
      </c>
      <c r="M186" s="15">
        <f>IF(C186="","",C186)</f>
        <v/>
      </c>
      <c r="N186" s="14" t="n"/>
      <c r="O186" s="16" t="n"/>
      <c r="P186" s="17">
        <f>IF(C186="","",H186+N(O186))</f>
        <v/>
      </c>
      <c r="Q186" s="54">
        <f>IFERROR(O186/P186,"")</f>
        <v/>
      </c>
      <c r="R186" s="16" t="n"/>
      <c r="S186" s="16" t="n"/>
      <c r="T186" s="17">
        <f>IF(C186="","",N(R186)+N(S186))</f>
        <v/>
      </c>
      <c r="U186" s="17">
        <f>IF(C186="","",H186-T186)</f>
        <v/>
      </c>
      <c r="V186" s="54">
        <f>IFERROR(U186/H186,"")</f>
        <v/>
      </c>
      <c r="W186" s="53" t="n"/>
      <c r="X186" s="53" t="n"/>
      <c r="Y186" s="53" t="n"/>
      <c r="Z186" s="53" t="n"/>
      <c r="AA186" s="53" t="n"/>
      <c r="AB186" s="14" t="n"/>
    </row>
    <row r="187" ht="15" customHeight="1">
      <c r="A187" s="51">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52">
        <f>IF(C187="","",COUNTIFS(tbl_Finance[Job Number],C187&amp;"",tbl_Finance[Ex GST],"&lt;&gt;"))</f>
        <v/>
      </c>
      <c r="H187" s="17">
        <f>IF(C187="","",SUMIFS(tbl_Finance[Ex GST],tbl_Finance[Job Number],C187&amp;""))</f>
        <v/>
      </c>
      <c r="I187" s="15">
        <f>IF(C187="","",IFERROR(INDEX(tbl_Finance[Cost Centre],MATCH(C187&amp;"",tbl_Finance[Job Number],0)),"not invoiced yet"))</f>
        <v/>
      </c>
      <c r="J187" s="12" t="n"/>
      <c r="K187" s="14" t="n"/>
      <c r="L187" s="15">
        <f>IF(OR(K187="",set_RMSBase=""),"",HYPERLINK(set_RMSBase&amp;K187,"Open "&amp;K187))</f>
        <v/>
      </c>
      <c r="M187" s="15">
        <f>IF(C187="","",C187)</f>
        <v/>
      </c>
      <c r="N187" s="14" t="n"/>
      <c r="O187" s="16" t="n"/>
      <c r="P187" s="17">
        <f>IF(C187="","",H187+N(O187))</f>
        <v/>
      </c>
      <c r="Q187" s="54">
        <f>IFERROR(O187/P187,"")</f>
        <v/>
      </c>
      <c r="R187" s="16" t="n"/>
      <c r="S187" s="16" t="n"/>
      <c r="T187" s="17">
        <f>IF(C187="","",N(R187)+N(S187))</f>
        <v/>
      </c>
      <c r="U187" s="17">
        <f>IF(C187="","",H187-T187)</f>
        <v/>
      </c>
      <c r="V187" s="54">
        <f>IFERROR(U187/H187,"")</f>
        <v/>
      </c>
      <c r="W187" s="53" t="n"/>
      <c r="X187" s="53" t="n"/>
      <c r="Y187" s="53" t="n"/>
      <c r="Z187" s="53" t="n"/>
      <c r="AA187" s="53" t="n"/>
      <c r="AB187" s="14" t="n"/>
    </row>
    <row r="188" ht="15" customHeight="1">
      <c r="A188" s="51">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52">
        <f>IF(C188="","",COUNTIFS(tbl_Finance[Job Number],C188&amp;"",tbl_Finance[Ex GST],"&lt;&gt;"))</f>
        <v/>
      </c>
      <c r="H188" s="17">
        <f>IF(C188="","",SUMIFS(tbl_Finance[Ex GST],tbl_Finance[Job Number],C188&amp;""))</f>
        <v/>
      </c>
      <c r="I188" s="15">
        <f>IF(C188="","",IFERROR(INDEX(tbl_Finance[Cost Centre],MATCH(C188&amp;"",tbl_Finance[Job Number],0)),"not invoiced yet"))</f>
        <v/>
      </c>
      <c r="J188" s="12" t="n"/>
      <c r="K188" s="14" t="n"/>
      <c r="L188" s="15">
        <f>IF(OR(K188="",set_RMSBase=""),"",HYPERLINK(set_RMSBase&amp;K188,"Open "&amp;K188))</f>
        <v/>
      </c>
      <c r="M188" s="15">
        <f>IF(C188="","",C188)</f>
        <v/>
      </c>
      <c r="N188" s="14" t="n"/>
      <c r="O188" s="16" t="n"/>
      <c r="P188" s="17">
        <f>IF(C188="","",H188+N(O188))</f>
        <v/>
      </c>
      <c r="Q188" s="54">
        <f>IFERROR(O188/P188,"")</f>
        <v/>
      </c>
      <c r="R188" s="16" t="n"/>
      <c r="S188" s="16" t="n"/>
      <c r="T188" s="17">
        <f>IF(C188="","",N(R188)+N(S188))</f>
        <v/>
      </c>
      <c r="U188" s="17">
        <f>IF(C188="","",H188-T188)</f>
        <v/>
      </c>
      <c r="V188" s="54">
        <f>IFERROR(U188/H188,"")</f>
        <v/>
      </c>
      <c r="W188" s="53" t="n"/>
      <c r="X188" s="53" t="n"/>
      <c r="Y188" s="53" t="n"/>
      <c r="Z188" s="53" t="n"/>
      <c r="AA188" s="53" t="n"/>
      <c r="AB188" s="14" t="n"/>
    </row>
    <row r="189" ht="15" customHeight="1">
      <c r="A189" s="51">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52">
        <f>IF(C189="","",COUNTIFS(tbl_Finance[Job Number],C189&amp;"",tbl_Finance[Ex GST],"&lt;&gt;"))</f>
        <v/>
      </c>
      <c r="H189" s="17">
        <f>IF(C189="","",SUMIFS(tbl_Finance[Ex GST],tbl_Finance[Job Number],C189&amp;""))</f>
        <v/>
      </c>
      <c r="I189" s="15">
        <f>IF(C189="","",IFERROR(INDEX(tbl_Finance[Cost Centre],MATCH(C189&amp;"",tbl_Finance[Job Number],0)),"not invoiced yet"))</f>
        <v/>
      </c>
      <c r="J189" s="12" t="n"/>
      <c r="K189" s="14" t="n"/>
      <c r="L189" s="15">
        <f>IF(OR(K189="",set_RMSBase=""),"",HYPERLINK(set_RMSBase&amp;K189,"Open "&amp;K189))</f>
        <v/>
      </c>
      <c r="M189" s="15">
        <f>IF(C189="","",C189)</f>
        <v/>
      </c>
      <c r="N189" s="14" t="n"/>
      <c r="O189" s="16" t="n"/>
      <c r="P189" s="17">
        <f>IF(C189="","",H189+N(O189))</f>
        <v/>
      </c>
      <c r="Q189" s="54">
        <f>IFERROR(O189/P189,"")</f>
        <v/>
      </c>
      <c r="R189" s="16" t="n"/>
      <c r="S189" s="16" t="n"/>
      <c r="T189" s="17">
        <f>IF(C189="","",N(R189)+N(S189))</f>
        <v/>
      </c>
      <c r="U189" s="17">
        <f>IF(C189="","",H189-T189)</f>
        <v/>
      </c>
      <c r="V189" s="54">
        <f>IFERROR(U189/H189,"")</f>
        <v/>
      </c>
      <c r="W189" s="53" t="n"/>
      <c r="X189" s="53" t="n"/>
      <c r="Y189" s="53" t="n"/>
      <c r="Z189" s="53" t="n"/>
      <c r="AA189" s="53" t="n"/>
      <c r="AB189" s="14" t="n"/>
    </row>
    <row r="190" ht="15" customHeight="1">
      <c r="A190" s="51">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52">
        <f>IF(C190="","",COUNTIFS(tbl_Finance[Job Number],C190&amp;"",tbl_Finance[Ex GST],"&lt;&gt;"))</f>
        <v/>
      </c>
      <c r="H190" s="17">
        <f>IF(C190="","",SUMIFS(tbl_Finance[Ex GST],tbl_Finance[Job Number],C190&amp;""))</f>
        <v/>
      </c>
      <c r="I190" s="15">
        <f>IF(C190="","",IFERROR(INDEX(tbl_Finance[Cost Centre],MATCH(C190&amp;"",tbl_Finance[Job Number],0)),"not invoiced yet"))</f>
        <v/>
      </c>
      <c r="J190" s="12" t="n"/>
      <c r="K190" s="14" t="n"/>
      <c r="L190" s="15">
        <f>IF(OR(K190="",set_RMSBase=""),"",HYPERLINK(set_RMSBase&amp;K190,"Open "&amp;K190))</f>
        <v/>
      </c>
      <c r="M190" s="15">
        <f>IF(C190="","",C190)</f>
        <v/>
      </c>
      <c r="N190" s="14" t="n"/>
      <c r="O190" s="16" t="n"/>
      <c r="P190" s="17">
        <f>IF(C190="","",H190+N(O190))</f>
        <v/>
      </c>
      <c r="Q190" s="54">
        <f>IFERROR(O190/P190,"")</f>
        <v/>
      </c>
      <c r="R190" s="16" t="n"/>
      <c r="S190" s="16" t="n"/>
      <c r="T190" s="17">
        <f>IF(C190="","",N(R190)+N(S190))</f>
        <v/>
      </c>
      <c r="U190" s="17">
        <f>IF(C190="","",H190-T190)</f>
        <v/>
      </c>
      <c r="V190" s="54">
        <f>IFERROR(U190/H190,"")</f>
        <v/>
      </c>
      <c r="W190" s="53" t="n"/>
      <c r="X190" s="53" t="n"/>
      <c r="Y190" s="53" t="n"/>
      <c r="Z190" s="53" t="n"/>
      <c r="AA190" s="53" t="n"/>
      <c r="AB190" s="14" t="n"/>
    </row>
    <row r="191" ht="15" customHeight="1">
      <c r="A191" s="51">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52">
        <f>IF(C191="","",COUNTIFS(tbl_Finance[Job Number],C191&amp;"",tbl_Finance[Ex GST],"&lt;&gt;"))</f>
        <v/>
      </c>
      <c r="H191" s="17">
        <f>IF(C191="","",SUMIFS(tbl_Finance[Ex GST],tbl_Finance[Job Number],C191&amp;""))</f>
        <v/>
      </c>
      <c r="I191" s="15">
        <f>IF(C191="","",IFERROR(INDEX(tbl_Finance[Cost Centre],MATCH(C191&amp;"",tbl_Finance[Job Number],0)),"not invoiced yet"))</f>
        <v/>
      </c>
      <c r="J191" s="12" t="n"/>
      <c r="K191" s="14" t="n"/>
      <c r="L191" s="15">
        <f>IF(OR(K191="",set_RMSBase=""),"",HYPERLINK(set_RMSBase&amp;K191,"Open "&amp;K191))</f>
        <v/>
      </c>
      <c r="M191" s="15">
        <f>IF(C191="","",C191)</f>
        <v/>
      </c>
      <c r="N191" s="14" t="n"/>
      <c r="O191" s="16" t="n"/>
      <c r="P191" s="17">
        <f>IF(C191="","",H191+N(O191))</f>
        <v/>
      </c>
      <c r="Q191" s="54">
        <f>IFERROR(O191/P191,"")</f>
        <v/>
      </c>
      <c r="R191" s="16" t="n"/>
      <c r="S191" s="16" t="n"/>
      <c r="T191" s="17">
        <f>IF(C191="","",N(R191)+N(S191))</f>
        <v/>
      </c>
      <c r="U191" s="17">
        <f>IF(C191="","",H191-T191)</f>
        <v/>
      </c>
      <c r="V191" s="54">
        <f>IFERROR(U191/H191,"")</f>
        <v/>
      </c>
      <c r="W191" s="53" t="n"/>
      <c r="X191" s="53" t="n"/>
      <c r="Y191" s="53" t="n"/>
      <c r="Z191" s="53" t="n"/>
      <c r="AA191" s="53" t="n"/>
      <c r="AB191" s="14" t="n"/>
    </row>
    <row r="192" ht="15" customHeight="1">
      <c r="A192" s="51">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52">
        <f>IF(C192="","",COUNTIFS(tbl_Finance[Job Number],C192&amp;"",tbl_Finance[Ex GST],"&lt;&gt;"))</f>
        <v/>
      </c>
      <c r="H192" s="17">
        <f>IF(C192="","",SUMIFS(tbl_Finance[Ex GST],tbl_Finance[Job Number],C192&amp;""))</f>
        <v/>
      </c>
      <c r="I192" s="15">
        <f>IF(C192="","",IFERROR(INDEX(tbl_Finance[Cost Centre],MATCH(C192&amp;"",tbl_Finance[Job Number],0)),"not invoiced yet"))</f>
        <v/>
      </c>
      <c r="J192" s="12" t="n"/>
      <c r="K192" s="14" t="n"/>
      <c r="L192" s="15">
        <f>IF(OR(K192="",set_RMSBase=""),"",HYPERLINK(set_RMSBase&amp;K192,"Open "&amp;K192))</f>
        <v/>
      </c>
      <c r="M192" s="15">
        <f>IF(C192="","",C192)</f>
        <v/>
      </c>
      <c r="N192" s="14" t="n"/>
      <c r="O192" s="16" t="n"/>
      <c r="P192" s="17">
        <f>IF(C192="","",H192+N(O192))</f>
        <v/>
      </c>
      <c r="Q192" s="54">
        <f>IFERROR(O192/P192,"")</f>
        <v/>
      </c>
      <c r="R192" s="16" t="n"/>
      <c r="S192" s="16" t="n"/>
      <c r="T192" s="17">
        <f>IF(C192="","",N(R192)+N(S192))</f>
        <v/>
      </c>
      <c r="U192" s="17">
        <f>IF(C192="","",H192-T192)</f>
        <v/>
      </c>
      <c r="V192" s="54">
        <f>IFERROR(U192/H192,"")</f>
        <v/>
      </c>
      <c r="W192" s="53" t="n"/>
      <c r="X192" s="53" t="n"/>
      <c r="Y192" s="53" t="n"/>
      <c r="Z192" s="53" t="n"/>
      <c r="AA192" s="53" t="n"/>
      <c r="AB192" s="14" t="n"/>
    </row>
    <row r="193" ht="15" customHeight="1">
      <c r="A193" s="51">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52">
        <f>IF(C193="","",COUNTIFS(tbl_Finance[Job Number],C193&amp;"",tbl_Finance[Ex GST],"&lt;&gt;"))</f>
        <v/>
      </c>
      <c r="H193" s="17">
        <f>IF(C193="","",SUMIFS(tbl_Finance[Ex GST],tbl_Finance[Job Number],C193&amp;""))</f>
        <v/>
      </c>
      <c r="I193" s="15">
        <f>IF(C193="","",IFERROR(INDEX(tbl_Finance[Cost Centre],MATCH(C193&amp;"",tbl_Finance[Job Number],0)),"not invoiced yet"))</f>
        <v/>
      </c>
      <c r="J193" s="12" t="n"/>
      <c r="K193" s="14" t="n"/>
      <c r="L193" s="15">
        <f>IF(OR(K193="",set_RMSBase=""),"",HYPERLINK(set_RMSBase&amp;K193,"Open "&amp;K193))</f>
        <v/>
      </c>
      <c r="M193" s="15">
        <f>IF(C193="","",C193)</f>
        <v/>
      </c>
      <c r="N193" s="14" t="n"/>
      <c r="O193" s="16" t="n"/>
      <c r="P193" s="17">
        <f>IF(C193="","",H193+N(O193))</f>
        <v/>
      </c>
      <c r="Q193" s="54">
        <f>IFERROR(O193/P193,"")</f>
        <v/>
      </c>
      <c r="R193" s="16" t="n"/>
      <c r="S193" s="16" t="n"/>
      <c r="T193" s="17">
        <f>IF(C193="","",N(R193)+N(S193))</f>
        <v/>
      </c>
      <c r="U193" s="17">
        <f>IF(C193="","",H193-T193)</f>
        <v/>
      </c>
      <c r="V193" s="54">
        <f>IFERROR(U193/H193,"")</f>
        <v/>
      </c>
      <c r="W193" s="53" t="n"/>
      <c r="X193" s="53" t="n"/>
      <c r="Y193" s="53" t="n"/>
      <c r="Z193" s="53" t="n"/>
      <c r="AA193" s="53" t="n"/>
      <c r="AB193" s="14" t="n"/>
    </row>
    <row r="194" ht="15" customHeight="1">
      <c r="A194" s="51">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52">
        <f>IF(C194="","",COUNTIFS(tbl_Finance[Job Number],C194&amp;"",tbl_Finance[Ex GST],"&lt;&gt;"))</f>
        <v/>
      </c>
      <c r="H194" s="17">
        <f>IF(C194="","",SUMIFS(tbl_Finance[Ex GST],tbl_Finance[Job Number],C194&amp;""))</f>
        <v/>
      </c>
      <c r="I194" s="15">
        <f>IF(C194="","",IFERROR(INDEX(tbl_Finance[Cost Centre],MATCH(C194&amp;"",tbl_Finance[Job Number],0)),"not invoiced yet"))</f>
        <v/>
      </c>
      <c r="J194" s="12" t="n"/>
      <c r="K194" s="14" t="n"/>
      <c r="L194" s="15">
        <f>IF(OR(K194="",set_RMSBase=""),"",HYPERLINK(set_RMSBase&amp;K194,"Open "&amp;K194))</f>
        <v/>
      </c>
      <c r="M194" s="15">
        <f>IF(C194="","",C194)</f>
        <v/>
      </c>
      <c r="N194" s="14" t="n"/>
      <c r="O194" s="16" t="n"/>
      <c r="P194" s="17">
        <f>IF(C194="","",H194+N(O194))</f>
        <v/>
      </c>
      <c r="Q194" s="54">
        <f>IFERROR(O194/P194,"")</f>
        <v/>
      </c>
      <c r="R194" s="16" t="n"/>
      <c r="S194" s="16" t="n"/>
      <c r="T194" s="17">
        <f>IF(C194="","",N(R194)+N(S194))</f>
        <v/>
      </c>
      <c r="U194" s="17">
        <f>IF(C194="","",H194-T194)</f>
        <v/>
      </c>
      <c r="V194" s="54">
        <f>IFERROR(U194/H194,"")</f>
        <v/>
      </c>
      <c r="W194" s="53" t="n"/>
      <c r="X194" s="53" t="n"/>
      <c r="Y194" s="53" t="n"/>
      <c r="Z194" s="53" t="n"/>
      <c r="AA194" s="53" t="n"/>
      <c r="AB194" s="14" t="n"/>
    </row>
    <row r="195" ht="15" customHeight="1">
      <c r="A195" s="51">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52">
        <f>IF(C195="","",COUNTIFS(tbl_Finance[Job Number],C195&amp;"",tbl_Finance[Ex GST],"&lt;&gt;"))</f>
        <v/>
      </c>
      <c r="H195" s="17">
        <f>IF(C195="","",SUMIFS(tbl_Finance[Ex GST],tbl_Finance[Job Number],C195&amp;""))</f>
        <v/>
      </c>
      <c r="I195" s="15">
        <f>IF(C195="","",IFERROR(INDEX(tbl_Finance[Cost Centre],MATCH(C195&amp;"",tbl_Finance[Job Number],0)),"not invoiced yet"))</f>
        <v/>
      </c>
      <c r="J195" s="12" t="n"/>
      <c r="K195" s="14" t="n"/>
      <c r="L195" s="15">
        <f>IF(OR(K195="",set_RMSBase=""),"",HYPERLINK(set_RMSBase&amp;K195,"Open "&amp;K195))</f>
        <v/>
      </c>
      <c r="M195" s="15">
        <f>IF(C195="","",C195)</f>
        <v/>
      </c>
      <c r="N195" s="14" t="n"/>
      <c r="O195" s="16" t="n"/>
      <c r="P195" s="17">
        <f>IF(C195="","",H195+N(O195))</f>
        <v/>
      </c>
      <c r="Q195" s="54">
        <f>IFERROR(O195/P195,"")</f>
        <v/>
      </c>
      <c r="R195" s="16" t="n"/>
      <c r="S195" s="16" t="n"/>
      <c r="T195" s="17">
        <f>IF(C195="","",N(R195)+N(S195))</f>
        <v/>
      </c>
      <c r="U195" s="17">
        <f>IF(C195="","",H195-T195)</f>
        <v/>
      </c>
      <c r="V195" s="54">
        <f>IFERROR(U195/H195,"")</f>
        <v/>
      </c>
      <c r="W195" s="53" t="n"/>
      <c r="X195" s="53" t="n"/>
      <c r="Y195" s="53" t="n"/>
      <c r="Z195" s="53" t="n"/>
      <c r="AA195" s="53" t="n"/>
      <c r="AB195" s="14" t="n"/>
    </row>
    <row r="196" ht="15" customHeight="1">
      <c r="A196" s="51">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52">
        <f>IF(C196="","",COUNTIFS(tbl_Finance[Job Number],C196&amp;"",tbl_Finance[Ex GST],"&lt;&gt;"))</f>
        <v/>
      </c>
      <c r="H196" s="17">
        <f>IF(C196="","",SUMIFS(tbl_Finance[Ex GST],tbl_Finance[Job Number],C196&amp;""))</f>
        <v/>
      </c>
      <c r="I196" s="15">
        <f>IF(C196="","",IFERROR(INDEX(tbl_Finance[Cost Centre],MATCH(C196&amp;"",tbl_Finance[Job Number],0)),"not invoiced yet"))</f>
        <v/>
      </c>
      <c r="J196" s="12" t="n"/>
      <c r="K196" s="14" t="n"/>
      <c r="L196" s="15">
        <f>IF(OR(K196="",set_RMSBase=""),"",HYPERLINK(set_RMSBase&amp;K196,"Open "&amp;K196))</f>
        <v/>
      </c>
      <c r="M196" s="15">
        <f>IF(C196="","",C196)</f>
        <v/>
      </c>
      <c r="N196" s="14" t="n"/>
      <c r="O196" s="16" t="n"/>
      <c r="P196" s="17">
        <f>IF(C196="","",H196+N(O196))</f>
        <v/>
      </c>
      <c r="Q196" s="54">
        <f>IFERROR(O196/P196,"")</f>
        <v/>
      </c>
      <c r="R196" s="16" t="n"/>
      <c r="S196" s="16" t="n"/>
      <c r="T196" s="17">
        <f>IF(C196="","",N(R196)+N(S196))</f>
        <v/>
      </c>
      <c r="U196" s="17">
        <f>IF(C196="","",H196-T196)</f>
        <v/>
      </c>
      <c r="V196" s="54">
        <f>IFERROR(U196/H196,"")</f>
        <v/>
      </c>
      <c r="W196" s="53" t="n"/>
      <c r="X196" s="53" t="n"/>
      <c r="Y196" s="53" t="n"/>
      <c r="Z196" s="53" t="n"/>
      <c r="AA196" s="53" t="n"/>
      <c r="AB196" s="14" t="n"/>
    </row>
    <row r="197" ht="15" customHeight="1">
      <c r="A197" s="51">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52">
        <f>IF(C197="","",COUNTIFS(tbl_Finance[Job Number],C197&amp;"",tbl_Finance[Ex GST],"&lt;&gt;"))</f>
        <v/>
      </c>
      <c r="H197" s="17">
        <f>IF(C197="","",SUMIFS(tbl_Finance[Ex GST],tbl_Finance[Job Number],C197&amp;""))</f>
        <v/>
      </c>
      <c r="I197" s="15">
        <f>IF(C197="","",IFERROR(INDEX(tbl_Finance[Cost Centre],MATCH(C197&amp;"",tbl_Finance[Job Number],0)),"not invoiced yet"))</f>
        <v/>
      </c>
      <c r="J197" s="12" t="n"/>
      <c r="K197" s="14" t="n"/>
      <c r="L197" s="15">
        <f>IF(OR(K197="",set_RMSBase=""),"",HYPERLINK(set_RMSBase&amp;K197,"Open "&amp;K197))</f>
        <v/>
      </c>
      <c r="M197" s="15">
        <f>IF(C197="","",C197)</f>
        <v/>
      </c>
      <c r="N197" s="14" t="n"/>
      <c r="O197" s="16" t="n"/>
      <c r="P197" s="17">
        <f>IF(C197="","",H197+N(O197))</f>
        <v/>
      </c>
      <c r="Q197" s="54">
        <f>IFERROR(O197/P197,"")</f>
        <v/>
      </c>
      <c r="R197" s="16" t="n"/>
      <c r="S197" s="16" t="n"/>
      <c r="T197" s="17">
        <f>IF(C197="","",N(R197)+N(S197))</f>
        <v/>
      </c>
      <c r="U197" s="17">
        <f>IF(C197="","",H197-T197)</f>
        <v/>
      </c>
      <c r="V197" s="54">
        <f>IFERROR(U197/H197,"")</f>
        <v/>
      </c>
      <c r="W197" s="53" t="n"/>
      <c r="X197" s="53" t="n"/>
      <c r="Y197" s="53" t="n"/>
      <c r="Z197" s="53" t="n"/>
      <c r="AA197" s="53" t="n"/>
      <c r="AB197" s="14" t="n"/>
    </row>
    <row r="198" ht="15" customHeight="1">
      <c r="A198" s="51">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52">
        <f>IF(C198="","",COUNTIFS(tbl_Finance[Job Number],C198&amp;"",tbl_Finance[Ex GST],"&lt;&gt;"))</f>
        <v/>
      </c>
      <c r="H198" s="17">
        <f>IF(C198="","",SUMIFS(tbl_Finance[Ex GST],tbl_Finance[Job Number],C198&amp;""))</f>
        <v/>
      </c>
      <c r="I198" s="15">
        <f>IF(C198="","",IFERROR(INDEX(tbl_Finance[Cost Centre],MATCH(C198&amp;"",tbl_Finance[Job Number],0)),"not invoiced yet"))</f>
        <v/>
      </c>
      <c r="J198" s="12" t="n"/>
      <c r="K198" s="14" t="n"/>
      <c r="L198" s="15">
        <f>IF(OR(K198="",set_RMSBase=""),"",HYPERLINK(set_RMSBase&amp;K198,"Open "&amp;K198))</f>
        <v/>
      </c>
      <c r="M198" s="15">
        <f>IF(C198="","",C198)</f>
        <v/>
      </c>
      <c r="N198" s="14" t="n"/>
      <c r="O198" s="16" t="n"/>
      <c r="P198" s="17">
        <f>IF(C198="","",H198+N(O198))</f>
        <v/>
      </c>
      <c r="Q198" s="54">
        <f>IFERROR(O198/P198,"")</f>
        <v/>
      </c>
      <c r="R198" s="16" t="n"/>
      <c r="S198" s="16" t="n"/>
      <c r="T198" s="17">
        <f>IF(C198="","",N(R198)+N(S198))</f>
        <v/>
      </c>
      <c r="U198" s="17">
        <f>IF(C198="","",H198-T198)</f>
        <v/>
      </c>
      <c r="V198" s="54">
        <f>IFERROR(U198/H198,"")</f>
        <v/>
      </c>
      <c r="W198" s="53" t="n"/>
      <c r="X198" s="53" t="n"/>
      <c r="Y198" s="53" t="n"/>
      <c r="Z198" s="53" t="n"/>
      <c r="AA198" s="53" t="n"/>
      <c r="AB198" s="14" t="n"/>
    </row>
    <row r="199" ht="15" customHeight="1">
      <c r="A199" s="51">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52">
        <f>IF(C199="","",COUNTIFS(tbl_Finance[Job Number],C199&amp;"",tbl_Finance[Ex GST],"&lt;&gt;"))</f>
        <v/>
      </c>
      <c r="H199" s="17">
        <f>IF(C199="","",SUMIFS(tbl_Finance[Ex GST],tbl_Finance[Job Number],C199&amp;""))</f>
        <v/>
      </c>
      <c r="I199" s="15">
        <f>IF(C199="","",IFERROR(INDEX(tbl_Finance[Cost Centre],MATCH(C199&amp;"",tbl_Finance[Job Number],0)),"not invoiced yet"))</f>
        <v/>
      </c>
      <c r="J199" s="12" t="n"/>
      <c r="K199" s="14" t="n"/>
      <c r="L199" s="15">
        <f>IF(OR(K199="",set_RMSBase=""),"",HYPERLINK(set_RMSBase&amp;K199,"Open "&amp;K199))</f>
        <v/>
      </c>
      <c r="M199" s="15">
        <f>IF(C199="","",C199)</f>
        <v/>
      </c>
      <c r="N199" s="14" t="n"/>
      <c r="O199" s="16" t="n"/>
      <c r="P199" s="17">
        <f>IF(C199="","",H199+N(O199))</f>
        <v/>
      </c>
      <c r="Q199" s="54">
        <f>IFERROR(O199/P199,"")</f>
        <v/>
      </c>
      <c r="R199" s="16" t="n"/>
      <c r="S199" s="16" t="n"/>
      <c r="T199" s="17">
        <f>IF(C199="","",N(R199)+N(S199))</f>
        <v/>
      </c>
      <c r="U199" s="17">
        <f>IF(C199="","",H199-T199)</f>
        <v/>
      </c>
      <c r="V199" s="54">
        <f>IFERROR(U199/H199,"")</f>
        <v/>
      </c>
      <c r="W199" s="53" t="n"/>
      <c r="X199" s="53" t="n"/>
      <c r="Y199" s="53" t="n"/>
      <c r="Z199" s="53" t="n"/>
      <c r="AA199" s="53" t="n"/>
      <c r="AB199" s="14" t="n"/>
    </row>
    <row r="200" ht="15" customHeight="1">
      <c r="A200" s="51">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52">
        <f>IF(C200="","",COUNTIFS(tbl_Finance[Job Number],C200&amp;"",tbl_Finance[Ex GST],"&lt;&gt;"))</f>
        <v/>
      </c>
      <c r="H200" s="17">
        <f>IF(C200="","",SUMIFS(tbl_Finance[Ex GST],tbl_Finance[Job Number],C200&amp;""))</f>
        <v/>
      </c>
      <c r="I200" s="15">
        <f>IF(C200="","",IFERROR(INDEX(tbl_Finance[Cost Centre],MATCH(C200&amp;"",tbl_Finance[Job Number],0)),"not invoiced yet"))</f>
        <v/>
      </c>
      <c r="J200" s="12" t="n"/>
      <c r="K200" s="14" t="n"/>
      <c r="L200" s="15">
        <f>IF(OR(K200="",set_RMSBase=""),"",HYPERLINK(set_RMSBase&amp;K200,"Open "&amp;K200))</f>
        <v/>
      </c>
      <c r="M200" s="15">
        <f>IF(C200="","",C200)</f>
        <v/>
      </c>
      <c r="N200" s="14" t="n"/>
      <c r="O200" s="16" t="n"/>
      <c r="P200" s="17">
        <f>IF(C200="","",H200+N(O200))</f>
        <v/>
      </c>
      <c r="Q200" s="54">
        <f>IFERROR(O200/P200,"")</f>
        <v/>
      </c>
      <c r="R200" s="16" t="n"/>
      <c r="S200" s="16" t="n"/>
      <c r="T200" s="17">
        <f>IF(C200="","",N(R200)+N(S200))</f>
        <v/>
      </c>
      <c r="U200" s="17">
        <f>IF(C200="","",H200-T200)</f>
        <v/>
      </c>
      <c r="V200" s="54">
        <f>IFERROR(U200/H200,"")</f>
        <v/>
      </c>
      <c r="W200" s="53" t="n"/>
      <c r="X200" s="53" t="n"/>
      <c r="Y200" s="53" t="n"/>
      <c r="Z200" s="53" t="n"/>
      <c r="AA200" s="53" t="n"/>
      <c r="AB200" s="14" t="n"/>
    </row>
    <row r="201" ht="15" customHeight="1">
      <c r="A201" s="51">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52">
        <f>IF(C201="","",COUNTIFS(tbl_Finance[Job Number],C201&amp;"",tbl_Finance[Ex GST],"&lt;&gt;"))</f>
        <v/>
      </c>
      <c r="H201" s="17">
        <f>IF(C201="","",SUMIFS(tbl_Finance[Ex GST],tbl_Finance[Job Number],C201&amp;""))</f>
        <v/>
      </c>
      <c r="I201" s="15">
        <f>IF(C201="","",IFERROR(INDEX(tbl_Finance[Cost Centre],MATCH(C201&amp;"",tbl_Finance[Job Number],0)),"not invoiced yet"))</f>
        <v/>
      </c>
      <c r="J201" s="12" t="n"/>
      <c r="K201" s="14" t="n"/>
      <c r="L201" s="15">
        <f>IF(OR(K201="",set_RMSBase=""),"",HYPERLINK(set_RMSBase&amp;K201,"Open "&amp;K201))</f>
        <v/>
      </c>
      <c r="M201" s="15">
        <f>IF(C201="","",C201)</f>
        <v/>
      </c>
      <c r="N201" s="14" t="n"/>
      <c r="O201" s="16" t="n"/>
      <c r="P201" s="17">
        <f>IF(C201="","",H201+N(O201))</f>
        <v/>
      </c>
      <c r="Q201" s="54">
        <f>IFERROR(O201/P201,"")</f>
        <v/>
      </c>
      <c r="R201" s="16" t="n"/>
      <c r="S201" s="16" t="n"/>
      <c r="T201" s="17">
        <f>IF(C201="","",N(R201)+N(S201))</f>
        <v/>
      </c>
      <c r="U201" s="17">
        <f>IF(C201="","",H201-T201)</f>
        <v/>
      </c>
      <c r="V201" s="54">
        <f>IFERROR(U201/H201,"")</f>
        <v/>
      </c>
      <c r="W201" s="53" t="n"/>
      <c r="X201" s="53" t="n"/>
      <c r="Y201" s="53" t="n"/>
      <c r="Z201" s="53" t="n"/>
      <c r="AA201" s="53" t="n"/>
      <c r="AB201" s="14" t="n"/>
    </row>
    <row r="202" ht="15" customHeight="1">
      <c r="A202" s="51">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52">
        <f>IF(C202="","",COUNTIFS(tbl_Finance[Job Number],C202&amp;"",tbl_Finance[Ex GST],"&lt;&gt;"))</f>
        <v/>
      </c>
      <c r="H202" s="17">
        <f>IF(C202="","",SUMIFS(tbl_Finance[Ex GST],tbl_Finance[Job Number],C202&amp;""))</f>
        <v/>
      </c>
      <c r="I202" s="15">
        <f>IF(C202="","",IFERROR(INDEX(tbl_Finance[Cost Centre],MATCH(C202&amp;"",tbl_Finance[Job Number],0)),"not invoiced yet"))</f>
        <v/>
      </c>
      <c r="J202" s="12" t="n"/>
      <c r="K202" s="14" t="n"/>
      <c r="L202" s="15">
        <f>IF(OR(K202="",set_RMSBase=""),"",HYPERLINK(set_RMSBase&amp;K202,"Open "&amp;K202))</f>
        <v/>
      </c>
      <c r="M202" s="15">
        <f>IF(C202="","",C202)</f>
        <v/>
      </c>
      <c r="N202" s="14" t="n"/>
      <c r="O202" s="16" t="n"/>
      <c r="P202" s="17">
        <f>IF(C202="","",H202+N(O202))</f>
        <v/>
      </c>
      <c r="Q202" s="54">
        <f>IFERROR(O202/P202,"")</f>
        <v/>
      </c>
      <c r="R202" s="16" t="n"/>
      <c r="S202" s="16" t="n"/>
      <c r="T202" s="17">
        <f>IF(C202="","",N(R202)+N(S202))</f>
        <v/>
      </c>
      <c r="U202" s="17">
        <f>IF(C202="","",H202-T202)</f>
        <v/>
      </c>
      <c r="V202" s="54">
        <f>IFERROR(U202/H202,"")</f>
        <v/>
      </c>
      <c r="W202" s="53" t="n"/>
      <c r="X202" s="53" t="n"/>
      <c r="Y202" s="53" t="n"/>
      <c r="Z202" s="53" t="n"/>
      <c r="AA202" s="53" t="n"/>
      <c r="AB202" s="14" t="n"/>
    </row>
    <row r="203" ht="15" customHeight="1">
      <c r="A203" s="51">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52">
        <f>IF(C203="","",COUNTIFS(tbl_Finance[Job Number],C203&amp;"",tbl_Finance[Ex GST],"&lt;&gt;"))</f>
        <v/>
      </c>
      <c r="H203" s="17">
        <f>IF(C203="","",SUMIFS(tbl_Finance[Ex GST],tbl_Finance[Job Number],C203&amp;""))</f>
        <v/>
      </c>
      <c r="I203" s="15">
        <f>IF(C203="","",IFERROR(INDEX(tbl_Finance[Cost Centre],MATCH(C203&amp;"",tbl_Finance[Job Number],0)),"not invoiced yet"))</f>
        <v/>
      </c>
      <c r="J203" s="12" t="n"/>
      <c r="K203" s="14" t="n"/>
      <c r="L203" s="15">
        <f>IF(OR(K203="",set_RMSBase=""),"",HYPERLINK(set_RMSBase&amp;K203,"Open "&amp;K203))</f>
        <v/>
      </c>
      <c r="M203" s="15">
        <f>IF(C203="","",C203)</f>
        <v/>
      </c>
      <c r="N203" s="14" t="n"/>
      <c r="O203" s="16" t="n"/>
      <c r="P203" s="17">
        <f>IF(C203="","",H203+N(O203))</f>
        <v/>
      </c>
      <c r="Q203" s="54">
        <f>IFERROR(O203/P203,"")</f>
        <v/>
      </c>
      <c r="R203" s="16" t="n"/>
      <c r="S203" s="16" t="n"/>
      <c r="T203" s="17">
        <f>IF(C203="","",N(R203)+N(S203))</f>
        <v/>
      </c>
      <c r="U203" s="17">
        <f>IF(C203="","",H203-T203)</f>
        <v/>
      </c>
      <c r="V203" s="54">
        <f>IFERROR(U203/H203,"")</f>
        <v/>
      </c>
      <c r="W203" s="53" t="n"/>
      <c r="X203" s="53" t="n"/>
      <c r="Y203" s="53" t="n"/>
      <c r="Z203" s="53" t="n"/>
      <c r="AA203" s="53" t="n"/>
      <c r="AB203" s="14" t="n"/>
    </row>
    <row r="204" ht="15" customHeight="1">
      <c r="A204" s="51">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52">
        <f>IF(C204="","",COUNTIFS(tbl_Finance[Job Number],C204&amp;"",tbl_Finance[Ex GST],"&lt;&gt;"))</f>
        <v/>
      </c>
      <c r="H204" s="17">
        <f>IF(C204="","",SUMIFS(tbl_Finance[Ex GST],tbl_Finance[Job Number],C204&amp;""))</f>
        <v/>
      </c>
      <c r="I204" s="15">
        <f>IF(C204="","",IFERROR(INDEX(tbl_Finance[Cost Centre],MATCH(C204&amp;"",tbl_Finance[Job Number],0)),"not invoiced yet"))</f>
        <v/>
      </c>
      <c r="J204" s="12" t="n"/>
      <c r="K204" s="14" t="n"/>
      <c r="L204" s="15">
        <f>IF(OR(K204="",set_RMSBase=""),"",HYPERLINK(set_RMSBase&amp;K204,"Open "&amp;K204))</f>
        <v/>
      </c>
      <c r="M204" s="15">
        <f>IF(C204="","",C204)</f>
        <v/>
      </c>
      <c r="N204" s="14" t="n"/>
      <c r="O204" s="16" t="n"/>
      <c r="P204" s="17">
        <f>IF(C204="","",H204+N(O204))</f>
        <v/>
      </c>
      <c r="Q204" s="54">
        <f>IFERROR(O204/P204,"")</f>
        <v/>
      </c>
      <c r="R204" s="16" t="n"/>
      <c r="S204" s="16" t="n"/>
      <c r="T204" s="17">
        <f>IF(C204="","",N(R204)+N(S204))</f>
        <v/>
      </c>
      <c r="U204" s="17">
        <f>IF(C204="","",H204-T204)</f>
        <v/>
      </c>
      <c r="V204" s="54">
        <f>IFERROR(U204/H204,"")</f>
        <v/>
      </c>
      <c r="W204" s="53" t="n"/>
      <c r="X204" s="53" t="n"/>
      <c r="Y204" s="53" t="n"/>
      <c r="Z204" s="53" t="n"/>
      <c r="AA204" s="53" t="n"/>
      <c r="AB204" s="14" t="n"/>
    </row>
    <row r="205" ht="15" customHeight="1">
      <c r="A205" s="51">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52">
        <f>IF(C205="","",COUNTIFS(tbl_Finance[Job Number],C205&amp;"",tbl_Finance[Ex GST],"&lt;&gt;"))</f>
        <v/>
      </c>
      <c r="H205" s="17">
        <f>IF(C205="","",SUMIFS(tbl_Finance[Ex GST],tbl_Finance[Job Number],C205&amp;""))</f>
        <v/>
      </c>
      <c r="I205" s="15">
        <f>IF(C205="","",IFERROR(INDEX(tbl_Finance[Cost Centre],MATCH(C205&amp;"",tbl_Finance[Job Number],0)),"not invoiced yet"))</f>
        <v/>
      </c>
      <c r="J205" s="12" t="n"/>
      <c r="K205" s="14" t="n"/>
      <c r="L205" s="15">
        <f>IF(OR(K205="",set_RMSBase=""),"",HYPERLINK(set_RMSBase&amp;K205,"Open "&amp;K205))</f>
        <v/>
      </c>
      <c r="M205" s="15">
        <f>IF(C205="","",C205)</f>
        <v/>
      </c>
      <c r="N205" s="14" t="n"/>
      <c r="O205" s="16" t="n"/>
      <c r="P205" s="17">
        <f>IF(C205="","",H205+N(O205))</f>
        <v/>
      </c>
      <c r="Q205" s="54">
        <f>IFERROR(O205/P205,"")</f>
        <v/>
      </c>
      <c r="R205" s="16" t="n"/>
      <c r="S205" s="16" t="n"/>
      <c r="T205" s="17">
        <f>IF(C205="","",N(R205)+N(S205))</f>
        <v/>
      </c>
      <c r="U205" s="17">
        <f>IF(C205="","",H205-T205)</f>
        <v/>
      </c>
      <c r="V205" s="54">
        <f>IFERROR(U205/H205,"")</f>
        <v/>
      </c>
      <c r="W205" s="53" t="n"/>
      <c r="X205" s="53" t="n"/>
      <c r="Y205" s="53" t="n"/>
      <c r="Z205" s="53" t="n"/>
      <c r="AA205" s="53" t="n"/>
      <c r="AB205" s="14" t="n"/>
    </row>
    <row r="206" ht="15" customHeight="1">
      <c r="A206" s="51">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52">
        <f>IF(C206="","",COUNTIFS(tbl_Finance[Job Number],C206&amp;"",tbl_Finance[Ex GST],"&lt;&gt;"))</f>
        <v/>
      </c>
      <c r="H206" s="17">
        <f>IF(C206="","",SUMIFS(tbl_Finance[Ex GST],tbl_Finance[Job Number],C206&amp;""))</f>
        <v/>
      </c>
      <c r="I206" s="15">
        <f>IF(C206="","",IFERROR(INDEX(tbl_Finance[Cost Centre],MATCH(C206&amp;"",tbl_Finance[Job Number],0)),"not invoiced yet"))</f>
        <v/>
      </c>
      <c r="J206" s="12" t="n"/>
      <c r="K206" s="14" t="n"/>
      <c r="L206" s="15">
        <f>IF(OR(K206="",set_RMSBase=""),"",HYPERLINK(set_RMSBase&amp;K206,"Open "&amp;K206))</f>
        <v/>
      </c>
      <c r="M206" s="15">
        <f>IF(C206="","",C206)</f>
        <v/>
      </c>
      <c r="N206" s="14" t="n"/>
      <c r="O206" s="16" t="n"/>
      <c r="P206" s="17">
        <f>IF(C206="","",H206+N(O206))</f>
        <v/>
      </c>
      <c r="Q206" s="54">
        <f>IFERROR(O206/P206,"")</f>
        <v/>
      </c>
      <c r="R206" s="16" t="n"/>
      <c r="S206" s="16" t="n"/>
      <c r="T206" s="17">
        <f>IF(C206="","",N(R206)+N(S206))</f>
        <v/>
      </c>
      <c r="U206" s="17">
        <f>IF(C206="","",H206-T206)</f>
        <v/>
      </c>
      <c r="V206" s="54">
        <f>IFERROR(U206/H206,"")</f>
        <v/>
      </c>
      <c r="W206" s="53" t="n"/>
      <c r="X206" s="53" t="n"/>
      <c r="Y206" s="53" t="n"/>
      <c r="Z206" s="53" t="n"/>
      <c r="AA206" s="53" t="n"/>
      <c r="AB206" s="14" t="n"/>
    </row>
    <row r="207" ht="15" customHeight="1">
      <c r="A207" s="51">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52">
        <f>IF(C207="","",COUNTIFS(tbl_Finance[Job Number],C207&amp;"",tbl_Finance[Ex GST],"&lt;&gt;"))</f>
        <v/>
      </c>
      <c r="H207" s="17">
        <f>IF(C207="","",SUMIFS(tbl_Finance[Ex GST],tbl_Finance[Job Number],C207&amp;""))</f>
        <v/>
      </c>
      <c r="I207" s="15">
        <f>IF(C207="","",IFERROR(INDEX(tbl_Finance[Cost Centre],MATCH(C207&amp;"",tbl_Finance[Job Number],0)),"not invoiced yet"))</f>
        <v/>
      </c>
      <c r="J207" s="12" t="n"/>
      <c r="K207" s="14" t="n"/>
      <c r="L207" s="15">
        <f>IF(OR(K207="",set_RMSBase=""),"",HYPERLINK(set_RMSBase&amp;K207,"Open "&amp;K207))</f>
        <v/>
      </c>
      <c r="M207" s="15">
        <f>IF(C207="","",C207)</f>
        <v/>
      </c>
      <c r="N207" s="14" t="n"/>
      <c r="O207" s="16" t="n"/>
      <c r="P207" s="17">
        <f>IF(C207="","",H207+N(O207))</f>
        <v/>
      </c>
      <c r="Q207" s="54">
        <f>IFERROR(O207/P207,"")</f>
        <v/>
      </c>
      <c r="R207" s="16" t="n"/>
      <c r="S207" s="16" t="n"/>
      <c r="T207" s="17">
        <f>IF(C207="","",N(R207)+N(S207))</f>
        <v/>
      </c>
      <c r="U207" s="17">
        <f>IF(C207="","",H207-T207)</f>
        <v/>
      </c>
      <c r="V207" s="54">
        <f>IFERROR(U207/H207,"")</f>
        <v/>
      </c>
      <c r="W207" s="53" t="n"/>
      <c r="X207" s="53" t="n"/>
      <c r="Y207" s="53" t="n"/>
      <c r="Z207" s="53" t="n"/>
      <c r="AA207" s="53" t="n"/>
      <c r="AB207" s="14" t="n"/>
    </row>
    <row r="208" ht="15" customHeight="1">
      <c r="A208" s="51">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52">
        <f>IF(C208="","",COUNTIFS(tbl_Finance[Job Number],C208&amp;"",tbl_Finance[Ex GST],"&lt;&gt;"))</f>
        <v/>
      </c>
      <c r="H208" s="17">
        <f>IF(C208="","",SUMIFS(tbl_Finance[Ex GST],tbl_Finance[Job Number],C208&amp;""))</f>
        <v/>
      </c>
      <c r="I208" s="15">
        <f>IF(C208="","",IFERROR(INDEX(tbl_Finance[Cost Centre],MATCH(C208&amp;"",tbl_Finance[Job Number],0)),"not invoiced yet"))</f>
        <v/>
      </c>
      <c r="J208" s="12" t="n"/>
      <c r="K208" s="14" t="n"/>
      <c r="L208" s="15">
        <f>IF(OR(K208="",set_RMSBase=""),"",HYPERLINK(set_RMSBase&amp;K208,"Open "&amp;K208))</f>
        <v/>
      </c>
      <c r="M208" s="15">
        <f>IF(C208="","",C208)</f>
        <v/>
      </c>
      <c r="N208" s="14" t="n"/>
      <c r="O208" s="16" t="n"/>
      <c r="P208" s="17">
        <f>IF(C208="","",H208+N(O208))</f>
        <v/>
      </c>
      <c r="Q208" s="54">
        <f>IFERROR(O208/P208,"")</f>
        <v/>
      </c>
      <c r="R208" s="16" t="n"/>
      <c r="S208" s="16" t="n"/>
      <c r="T208" s="17">
        <f>IF(C208="","",N(R208)+N(S208))</f>
        <v/>
      </c>
      <c r="U208" s="17">
        <f>IF(C208="","",H208-T208)</f>
        <v/>
      </c>
      <c r="V208" s="54">
        <f>IFERROR(U208/H208,"")</f>
        <v/>
      </c>
      <c r="W208" s="53" t="n"/>
      <c r="X208" s="53" t="n"/>
      <c r="Y208" s="53" t="n"/>
      <c r="Z208" s="53" t="n"/>
      <c r="AA208" s="53" t="n"/>
      <c r="AB208" s="14" t="n"/>
    </row>
    <row r="209" ht="15" customHeight="1">
      <c r="A209" s="51">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52">
        <f>IF(C209="","",COUNTIFS(tbl_Finance[Job Number],C209&amp;"",tbl_Finance[Ex GST],"&lt;&gt;"))</f>
        <v/>
      </c>
      <c r="H209" s="17">
        <f>IF(C209="","",SUMIFS(tbl_Finance[Ex GST],tbl_Finance[Job Number],C209&amp;""))</f>
        <v/>
      </c>
      <c r="I209" s="15">
        <f>IF(C209="","",IFERROR(INDEX(tbl_Finance[Cost Centre],MATCH(C209&amp;"",tbl_Finance[Job Number],0)),"not invoiced yet"))</f>
        <v/>
      </c>
      <c r="J209" s="12" t="n"/>
      <c r="K209" s="14" t="n"/>
      <c r="L209" s="15">
        <f>IF(OR(K209="",set_RMSBase=""),"",HYPERLINK(set_RMSBase&amp;K209,"Open "&amp;K209))</f>
        <v/>
      </c>
      <c r="M209" s="15">
        <f>IF(C209="","",C209)</f>
        <v/>
      </c>
      <c r="N209" s="14" t="n"/>
      <c r="O209" s="16" t="n"/>
      <c r="P209" s="17">
        <f>IF(C209="","",H209+N(O209))</f>
        <v/>
      </c>
      <c r="Q209" s="54">
        <f>IFERROR(O209/P209,"")</f>
        <v/>
      </c>
      <c r="R209" s="16" t="n"/>
      <c r="S209" s="16" t="n"/>
      <c r="T209" s="17">
        <f>IF(C209="","",N(R209)+N(S209))</f>
        <v/>
      </c>
      <c r="U209" s="17">
        <f>IF(C209="","",H209-T209)</f>
        <v/>
      </c>
      <c r="V209" s="54">
        <f>IFERROR(U209/H209,"")</f>
        <v/>
      </c>
      <c r="W209" s="53" t="n"/>
      <c r="X209" s="53" t="n"/>
      <c r="Y209" s="53" t="n"/>
      <c r="Z209" s="53" t="n"/>
      <c r="AA209" s="53" t="n"/>
      <c r="AB209" s="14" t="n"/>
    </row>
    <row r="210" ht="15" customHeight="1">
      <c r="A210" s="51">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52">
        <f>IF(C210="","",COUNTIFS(tbl_Finance[Job Number],C210&amp;"",tbl_Finance[Ex GST],"&lt;&gt;"))</f>
        <v/>
      </c>
      <c r="H210" s="17">
        <f>IF(C210="","",SUMIFS(tbl_Finance[Ex GST],tbl_Finance[Job Number],C210&amp;""))</f>
        <v/>
      </c>
      <c r="I210" s="15">
        <f>IF(C210="","",IFERROR(INDEX(tbl_Finance[Cost Centre],MATCH(C210&amp;"",tbl_Finance[Job Number],0)),"not invoiced yet"))</f>
        <v/>
      </c>
      <c r="J210" s="12" t="n"/>
      <c r="K210" s="14" t="n"/>
      <c r="L210" s="15">
        <f>IF(OR(K210="",set_RMSBase=""),"",HYPERLINK(set_RMSBase&amp;K210,"Open "&amp;K210))</f>
        <v/>
      </c>
      <c r="M210" s="15">
        <f>IF(C210="","",C210)</f>
        <v/>
      </c>
      <c r="N210" s="14" t="n"/>
      <c r="O210" s="16" t="n"/>
      <c r="P210" s="17">
        <f>IF(C210="","",H210+N(O210))</f>
        <v/>
      </c>
      <c r="Q210" s="54">
        <f>IFERROR(O210/P210,"")</f>
        <v/>
      </c>
      <c r="R210" s="16" t="n"/>
      <c r="S210" s="16" t="n"/>
      <c r="T210" s="17">
        <f>IF(C210="","",N(R210)+N(S210))</f>
        <v/>
      </c>
      <c r="U210" s="17">
        <f>IF(C210="","",H210-T210)</f>
        <v/>
      </c>
      <c r="V210" s="54">
        <f>IFERROR(U210/H210,"")</f>
        <v/>
      </c>
      <c r="W210" s="53" t="n"/>
      <c r="X210" s="53" t="n"/>
      <c r="Y210" s="53" t="n"/>
      <c r="Z210" s="53" t="n"/>
      <c r="AA210" s="53" t="n"/>
      <c r="AB210" s="14" t="n"/>
    </row>
    <row r="211" ht="15" customHeight="1">
      <c r="A211" s="51">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52">
        <f>IF(C211="","",COUNTIFS(tbl_Finance[Job Number],C211&amp;"",tbl_Finance[Ex GST],"&lt;&gt;"))</f>
        <v/>
      </c>
      <c r="H211" s="17">
        <f>IF(C211="","",SUMIFS(tbl_Finance[Ex GST],tbl_Finance[Job Number],C211&amp;""))</f>
        <v/>
      </c>
      <c r="I211" s="15">
        <f>IF(C211="","",IFERROR(INDEX(tbl_Finance[Cost Centre],MATCH(C211&amp;"",tbl_Finance[Job Number],0)),"not invoiced yet"))</f>
        <v/>
      </c>
      <c r="J211" s="12" t="n"/>
      <c r="K211" s="14" t="n"/>
      <c r="L211" s="15">
        <f>IF(OR(K211="",set_RMSBase=""),"",HYPERLINK(set_RMSBase&amp;K211,"Open "&amp;K211))</f>
        <v/>
      </c>
      <c r="M211" s="15">
        <f>IF(C211="","",C211)</f>
        <v/>
      </c>
      <c r="N211" s="14" t="n"/>
      <c r="O211" s="16" t="n"/>
      <c r="P211" s="17">
        <f>IF(C211="","",H211+N(O211))</f>
        <v/>
      </c>
      <c r="Q211" s="54">
        <f>IFERROR(O211/P211,"")</f>
        <v/>
      </c>
      <c r="R211" s="16" t="n"/>
      <c r="S211" s="16" t="n"/>
      <c r="T211" s="17">
        <f>IF(C211="","",N(R211)+N(S211))</f>
        <v/>
      </c>
      <c r="U211" s="17">
        <f>IF(C211="","",H211-T211)</f>
        <v/>
      </c>
      <c r="V211" s="54">
        <f>IFERROR(U211/H211,"")</f>
        <v/>
      </c>
      <c r="W211" s="53" t="n"/>
      <c r="X211" s="53" t="n"/>
      <c r="Y211" s="53" t="n"/>
      <c r="Z211" s="53" t="n"/>
      <c r="AA211" s="53" t="n"/>
      <c r="AB211" s="14" t="n"/>
    </row>
    <row r="212" ht="15" customHeight="1">
      <c r="A212" s="51">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52">
        <f>IF(C212="","",COUNTIFS(tbl_Finance[Job Number],C212&amp;"",tbl_Finance[Ex GST],"&lt;&gt;"))</f>
        <v/>
      </c>
      <c r="H212" s="17">
        <f>IF(C212="","",SUMIFS(tbl_Finance[Ex GST],tbl_Finance[Job Number],C212&amp;""))</f>
        <v/>
      </c>
      <c r="I212" s="15">
        <f>IF(C212="","",IFERROR(INDEX(tbl_Finance[Cost Centre],MATCH(C212&amp;"",tbl_Finance[Job Number],0)),"not invoiced yet"))</f>
        <v/>
      </c>
      <c r="J212" s="12" t="n"/>
      <c r="K212" s="14" t="n"/>
      <c r="L212" s="15">
        <f>IF(OR(K212="",set_RMSBase=""),"",HYPERLINK(set_RMSBase&amp;K212,"Open "&amp;K212))</f>
        <v/>
      </c>
      <c r="M212" s="15">
        <f>IF(C212="","",C212)</f>
        <v/>
      </c>
      <c r="N212" s="14" t="n"/>
      <c r="O212" s="16" t="n"/>
      <c r="P212" s="17">
        <f>IF(C212="","",H212+N(O212))</f>
        <v/>
      </c>
      <c r="Q212" s="54">
        <f>IFERROR(O212/P212,"")</f>
        <v/>
      </c>
      <c r="R212" s="16" t="n"/>
      <c r="S212" s="16" t="n"/>
      <c r="T212" s="17">
        <f>IF(C212="","",N(R212)+N(S212))</f>
        <v/>
      </c>
      <c r="U212" s="17">
        <f>IF(C212="","",H212-T212)</f>
        <v/>
      </c>
      <c r="V212" s="54">
        <f>IFERROR(U212/H212,"")</f>
        <v/>
      </c>
      <c r="W212" s="53" t="n"/>
      <c r="X212" s="53" t="n"/>
      <c r="Y212" s="53" t="n"/>
      <c r="Z212" s="53" t="n"/>
      <c r="AA212" s="53" t="n"/>
      <c r="AB212" s="14" t="n"/>
    </row>
    <row r="213" ht="15" customHeight="1">
      <c r="A213" s="51">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52">
        <f>IF(C213="","",COUNTIFS(tbl_Finance[Job Number],C213&amp;"",tbl_Finance[Ex GST],"&lt;&gt;"))</f>
        <v/>
      </c>
      <c r="H213" s="17">
        <f>IF(C213="","",SUMIFS(tbl_Finance[Ex GST],tbl_Finance[Job Number],C213&amp;""))</f>
        <v/>
      </c>
      <c r="I213" s="15">
        <f>IF(C213="","",IFERROR(INDEX(tbl_Finance[Cost Centre],MATCH(C213&amp;"",tbl_Finance[Job Number],0)),"not invoiced yet"))</f>
        <v/>
      </c>
      <c r="J213" s="12" t="n"/>
      <c r="K213" s="14" t="n"/>
      <c r="L213" s="15">
        <f>IF(OR(K213="",set_RMSBase=""),"",HYPERLINK(set_RMSBase&amp;K213,"Open "&amp;K213))</f>
        <v/>
      </c>
      <c r="M213" s="15">
        <f>IF(C213="","",C213)</f>
        <v/>
      </c>
      <c r="N213" s="14" t="n"/>
      <c r="O213" s="16" t="n"/>
      <c r="P213" s="17">
        <f>IF(C213="","",H213+N(O213))</f>
        <v/>
      </c>
      <c r="Q213" s="54">
        <f>IFERROR(O213/P213,"")</f>
        <v/>
      </c>
      <c r="R213" s="16" t="n"/>
      <c r="S213" s="16" t="n"/>
      <c r="T213" s="17">
        <f>IF(C213="","",N(R213)+N(S213))</f>
        <v/>
      </c>
      <c r="U213" s="17">
        <f>IF(C213="","",H213-T213)</f>
        <v/>
      </c>
      <c r="V213" s="54">
        <f>IFERROR(U213/H213,"")</f>
        <v/>
      </c>
      <c r="W213" s="53" t="n"/>
      <c r="X213" s="53" t="n"/>
      <c r="Y213" s="53" t="n"/>
      <c r="Z213" s="53" t="n"/>
      <c r="AA213" s="53" t="n"/>
      <c r="AB213" s="14" t="n"/>
    </row>
    <row r="214" ht="15" customHeight="1">
      <c r="A214" s="51">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52">
        <f>IF(C214="","",COUNTIFS(tbl_Finance[Job Number],C214&amp;"",tbl_Finance[Ex GST],"&lt;&gt;"))</f>
        <v/>
      </c>
      <c r="H214" s="17">
        <f>IF(C214="","",SUMIFS(tbl_Finance[Ex GST],tbl_Finance[Job Number],C214&amp;""))</f>
        <v/>
      </c>
      <c r="I214" s="15">
        <f>IF(C214="","",IFERROR(INDEX(tbl_Finance[Cost Centre],MATCH(C214&amp;"",tbl_Finance[Job Number],0)),"not invoiced yet"))</f>
        <v/>
      </c>
      <c r="J214" s="12" t="n"/>
      <c r="K214" s="14" t="n"/>
      <c r="L214" s="15">
        <f>IF(OR(K214="",set_RMSBase=""),"",HYPERLINK(set_RMSBase&amp;K214,"Open "&amp;K214))</f>
        <v/>
      </c>
      <c r="M214" s="15">
        <f>IF(C214="","",C214)</f>
        <v/>
      </c>
      <c r="N214" s="14" t="n"/>
      <c r="O214" s="16" t="n"/>
      <c r="P214" s="17">
        <f>IF(C214="","",H214+N(O214))</f>
        <v/>
      </c>
      <c r="Q214" s="54">
        <f>IFERROR(O214/P214,"")</f>
        <v/>
      </c>
      <c r="R214" s="16" t="n"/>
      <c r="S214" s="16" t="n"/>
      <c r="T214" s="17">
        <f>IF(C214="","",N(R214)+N(S214))</f>
        <v/>
      </c>
      <c r="U214" s="17">
        <f>IF(C214="","",H214-T214)</f>
        <v/>
      </c>
      <c r="V214" s="54">
        <f>IFERROR(U214/H214,"")</f>
        <v/>
      </c>
      <c r="W214" s="53" t="n"/>
      <c r="X214" s="53" t="n"/>
      <c r="Y214" s="53" t="n"/>
      <c r="Z214" s="53" t="n"/>
      <c r="AA214" s="53" t="n"/>
      <c r="AB214" s="14" t="n"/>
    </row>
    <row r="215" ht="15" customHeight="1">
      <c r="A215" s="51">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52">
        <f>IF(C215="","",COUNTIFS(tbl_Finance[Job Number],C215&amp;"",tbl_Finance[Ex GST],"&lt;&gt;"))</f>
        <v/>
      </c>
      <c r="H215" s="17">
        <f>IF(C215="","",SUMIFS(tbl_Finance[Ex GST],tbl_Finance[Job Number],C215&amp;""))</f>
        <v/>
      </c>
      <c r="I215" s="15">
        <f>IF(C215="","",IFERROR(INDEX(tbl_Finance[Cost Centre],MATCH(C215&amp;"",tbl_Finance[Job Number],0)),"not invoiced yet"))</f>
        <v/>
      </c>
      <c r="J215" s="12" t="n"/>
      <c r="K215" s="14" t="n"/>
      <c r="L215" s="15">
        <f>IF(OR(K215="",set_RMSBase=""),"",HYPERLINK(set_RMSBase&amp;K215,"Open "&amp;K215))</f>
        <v/>
      </c>
      <c r="M215" s="15">
        <f>IF(C215="","",C215)</f>
        <v/>
      </c>
      <c r="N215" s="14" t="n"/>
      <c r="O215" s="16" t="n"/>
      <c r="P215" s="17">
        <f>IF(C215="","",H215+N(O215))</f>
        <v/>
      </c>
      <c r="Q215" s="54">
        <f>IFERROR(O215/P215,"")</f>
        <v/>
      </c>
      <c r="R215" s="16" t="n"/>
      <c r="S215" s="16" t="n"/>
      <c r="T215" s="17">
        <f>IF(C215="","",N(R215)+N(S215))</f>
        <v/>
      </c>
      <c r="U215" s="17">
        <f>IF(C215="","",H215-T215)</f>
        <v/>
      </c>
      <c r="V215" s="54">
        <f>IFERROR(U215/H215,"")</f>
        <v/>
      </c>
      <c r="W215" s="53" t="n"/>
      <c r="X215" s="53" t="n"/>
      <c r="Y215" s="53" t="n"/>
      <c r="Z215" s="53" t="n"/>
      <c r="AA215" s="53" t="n"/>
      <c r="AB215" s="14" t="n"/>
    </row>
    <row r="216" ht="15" customHeight="1">
      <c r="A216" s="51">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52">
        <f>IF(C216="","",COUNTIFS(tbl_Finance[Job Number],C216&amp;"",tbl_Finance[Ex GST],"&lt;&gt;"))</f>
        <v/>
      </c>
      <c r="H216" s="17">
        <f>IF(C216="","",SUMIFS(tbl_Finance[Ex GST],tbl_Finance[Job Number],C216&amp;""))</f>
        <v/>
      </c>
      <c r="I216" s="15">
        <f>IF(C216="","",IFERROR(INDEX(tbl_Finance[Cost Centre],MATCH(C216&amp;"",tbl_Finance[Job Number],0)),"not invoiced yet"))</f>
        <v/>
      </c>
      <c r="J216" s="12" t="n"/>
      <c r="K216" s="14" t="n"/>
      <c r="L216" s="15">
        <f>IF(OR(K216="",set_RMSBase=""),"",HYPERLINK(set_RMSBase&amp;K216,"Open "&amp;K216))</f>
        <v/>
      </c>
      <c r="M216" s="15">
        <f>IF(C216="","",C216)</f>
        <v/>
      </c>
      <c r="N216" s="14" t="n"/>
      <c r="O216" s="16" t="n"/>
      <c r="P216" s="17">
        <f>IF(C216="","",H216+N(O216))</f>
        <v/>
      </c>
      <c r="Q216" s="54">
        <f>IFERROR(O216/P216,"")</f>
        <v/>
      </c>
      <c r="R216" s="16" t="n"/>
      <c r="S216" s="16" t="n"/>
      <c r="T216" s="17">
        <f>IF(C216="","",N(R216)+N(S216))</f>
        <v/>
      </c>
      <c r="U216" s="17">
        <f>IF(C216="","",H216-T216)</f>
        <v/>
      </c>
      <c r="V216" s="54">
        <f>IFERROR(U216/H216,"")</f>
        <v/>
      </c>
      <c r="W216" s="53" t="n"/>
      <c r="X216" s="53" t="n"/>
      <c r="Y216" s="53" t="n"/>
      <c r="Z216" s="53" t="n"/>
      <c r="AA216" s="53" t="n"/>
      <c r="AB216" s="14" t="n"/>
    </row>
    <row r="217" ht="15" customHeight="1">
      <c r="A217" s="51">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52">
        <f>IF(C217="","",COUNTIFS(tbl_Finance[Job Number],C217&amp;"",tbl_Finance[Ex GST],"&lt;&gt;"))</f>
        <v/>
      </c>
      <c r="H217" s="17">
        <f>IF(C217="","",SUMIFS(tbl_Finance[Ex GST],tbl_Finance[Job Number],C217&amp;""))</f>
        <v/>
      </c>
      <c r="I217" s="15">
        <f>IF(C217="","",IFERROR(INDEX(tbl_Finance[Cost Centre],MATCH(C217&amp;"",tbl_Finance[Job Number],0)),"not invoiced yet"))</f>
        <v/>
      </c>
      <c r="J217" s="12" t="n"/>
      <c r="K217" s="14" t="n"/>
      <c r="L217" s="15">
        <f>IF(OR(K217="",set_RMSBase=""),"",HYPERLINK(set_RMSBase&amp;K217,"Open "&amp;K217))</f>
        <v/>
      </c>
      <c r="M217" s="15">
        <f>IF(C217="","",C217)</f>
        <v/>
      </c>
      <c r="N217" s="14" t="n"/>
      <c r="O217" s="16" t="n"/>
      <c r="P217" s="17">
        <f>IF(C217="","",H217+N(O217))</f>
        <v/>
      </c>
      <c r="Q217" s="54">
        <f>IFERROR(O217/P217,"")</f>
        <v/>
      </c>
      <c r="R217" s="16" t="n"/>
      <c r="S217" s="16" t="n"/>
      <c r="T217" s="17">
        <f>IF(C217="","",N(R217)+N(S217))</f>
        <v/>
      </c>
      <c r="U217" s="17">
        <f>IF(C217="","",H217-T217)</f>
        <v/>
      </c>
      <c r="V217" s="54">
        <f>IFERROR(U217/H217,"")</f>
        <v/>
      </c>
      <c r="W217" s="53" t="n"/>
      <c r="X217" s="53" t="n"/>
      <c r="Y217" s="53" t="n"/>
      <c r="Z217" s="53" t="n"/>
      <c r="AA217" s="53" t="n"/>
      <c r="AB217" s="14" t="n"/>
    </row>
    <row r="218" ht="15" customHeight="1">
      <c r="A218" s="51">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52">
        <f>IF(C218="","",COUNTIFS(tbl_Finance[Job Number],C218&amp;"",tbl_Finance[Ex GST],"&lt;&gt;"))</f>
        <v/>
      </c>
      <c r="H218" s="17">
        <f>IF(C218="","",SUMIFS(tbl_Finance[Ex GST],tbl_Finance[Job Number],C218&amp;""))</f>
        <v/>
      </c>
      <c r="I218" s="15">
        <f>IF(C218="","",IFERROR(INDEX(tbl_Finance[Cost Centre],MATCH(C218&amp;"",tbl_Finance[Job Number],0)),"not invoiced yet"))</f>
        <v/>
      </c>
      <c r="J218" s="12" t="n"/>
      <c r="K218" s="14" t="n"/>
      <c r="L218" s="15">
        <f>IF(OR(K218="",set_RMSBase=""),"",HYPERLINK(set_RMSBase&amp;K218,"Open "&amp;K218))</f>
        <v/>
      </c>
      <c r="M218" s="15">
        <f>IF(C218="","",C218)</f>
        <v/>
      </c>
      <c r="N218" s="14" t="n"/>
      <c r="O218" s="16" t="n"/>
      <c r="P218" s="17">
        <f>IF(C218="","",H218+N(O218))</f>
        <v/>
      </c>
      <c r="Q218" s="54">
        <f>IFERROR(O218/P218,"")</f>
        <v/>
      </c>
      <c r="R218" s="16" t="n"/>
      <c r="S218" s="16" t="n"/>
      <c r="T218" s="17">
        <f>IF(C218="","",N(R218)+N(S218))</f>
        <v/>
      </c>
      <c r="U218" s="17">
        <f>IF(C218="","",H218-T218)</f>
        <v/>
      </c>
      <c r="V218" s="54">
        <f>IFERROR(U218/H218,"")</f>
        <v/>
      </c>
      <c r="W218" s="53" t="n"/>
      <c r="X218" s="53" t="n"/>
      <c r="Y218" s="53" t="n"/>
      <c r="Z218" s="53" t="n"/>
      <c r="AA218" s="53" t="n"/>
      <c r="AB218" s="14" t="n"/>
    </row>
    <row r="219" ht="15" customHeight="1">
      <c r="A219" s="51">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52">
        <f>IF(C219="","",COUNTIFS(tbl_Finance[Job Number],C219&amp;"",tbl_Finance[Ex GST],"&lt;&gt;"))</f>
        <v/>
      </c>
      <c r="H219" s="17">
        <f>IF(C219="","",SUMIFS(tbl_Finance[Ex GST],tbl_Finance[Job Number],C219&amp;""))</f>
        <v/>
      </c>
      <c r="I219" s="15">
        <f>IF(C219="","",IFERROR(INDEX(tbl_Finance[Cost Centre],MATCH(C219&amp;"",tbl_Finance[Job Number],0)),"not invoiced yet"))</f>
        <v/>
      </c>
      <c r="J219" s="12" t="n"/>
      <c r="K219" s="14" t="n"/>
      <c r="L219" s="15">
        <f>IF(OR(K219="",set_RMSBase=""),"",HYPERLINK(set_RMSBase&amp;K219,"Open "&amp;K219))</f>
        <v/>
      </c>
      <c r="M219" s="15">
        <f>IF(C219="","",C219)</f>
        <v/>
      </c>
      <c r="N219" s="14" t="n"/>
      <c r="O219" s="16" t="n"/>
      <c r="P219" s="17">
        <f>IF(C219="","",H219+N(O219))</f>
        <v/>
      </c>
      <c r="Q219" s="54">
        <f>IFERROR(O219/P219,"")</f>
        <v/>
      </c>
      <c r="R219" s="16" t="n"/>
      <c r="S219" s="16" t="n"/>
      <c r="T219" s="17">
        <f>IF(C219="","",N(R219)+N(S219))</f>
        <v/>
      </c>
      <c r="U219" s="17">
        <f>IF(C219="","",H219-T219)</f>
        <v/>
      </c>
      <c r="V219" s="54">
        <f>IFERROR(U219/H219,"")</f>
        <v/>
      </c>
      <c r="W219" s="53" t="n"/>
      <c r="X219" s="53" t="n"/>
      <c r="Y219" s="53" t="n"/>
      <c r="Z219" s="53" t="n"/>
      <c r="AA219" s="53" t="n"/>
      <c r="AB219" s="14" t="n"/>
    </row>
    <row r="220" ht="15" customHeight="1">
      <c r="A220" s="51">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52">
        <f>IF(C220="","",COUNTIFS(tbl_Finance[Job Number],C220&amp;"",tbl_Finance[Ex GST],"&lt;&gt;"))</f>
        <v/>
      </c>
      <c r="H220" s="17">
        <f>IF(C220="","",SUMIFS(tbl_Finance[Ex GST],tbl_Finance[Job Number],C220&amp;""))</f>
        <v/>
      </c>
      <c r="I220" s="15">
        <f>IF(C220="","",IFERROR(INDEX(tbl_Finance[Cost Centre],MATCH(C220&amp;"",tbl_Finance[Job Number],0)),"not invoiced yet"))</f>
        <v/>
      </c>
      <c r="J220" s="12" t="n"/>
      <c r="K220" s="14" t="n"/>
      <c r="L220" s="15">
        <f>IF(OR(K220="",set_RMSBase=""),"",HYPERLINK(set_RMSBase&amp;K220,"Open "&amp;K220))</f>
        <v/>
      </c>
      <c r="M220" s="15">
        <f>IF(C220="","",C220)</f>
        <v/>
      </c>
      <c r="N220" s="14" t="n"/>
      <c r="O220" s="16" t="n"/>
      <c r="P220" s="17">
        <f>IF(C220="","",H220+N(O220))</f>
        <v/>
      </c>
      <c r="Q220" s="54">
        <f>IFERROR(O220/P220,"")</f>
        <v/>
      </c>
      <c r="R220" s="16" t="n"/>
      <c r="S220" s="16" t="n"/>
      <c r="T220" s="17">
        <f>IF(C220="","",N(R220)+N(S220))</f>
        <v/>
      </c>
      <c r="U220" s="17">
        <f>IF(C220="","",H220-T220)</f>
        <v/>
      </c>
      <c r="V220" s="54">
        <f>IFERROR(U220/H220,"")</f>
        <v/>
      </c>
      <c r="W220" s="53" t="n"/>
      <c r="X220" s="53" t="n"/>
      <c r="Y220" s="53" t="n"/>
      <c r="Z220" s="53" t="n"/>
      <c r="AA220" s="53" t="n"/>
      <c r="AB220" s="14" t="n"/>
    </row>
    <row r="221" ht="15" customHeight="1">
      <c r="A221" s="51">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52">
        <f>IF(C221="","",COUNTIFS(tbl_Finance[Job Number],C221&amp;"",tbl_Finance[Ex GST],"&lt;&gt;"))</f>
        <v/>
      </c>
      <c r="H221" s="17">
        <f>IF(C221="","",SUMIFS(tbl_Finance[Ex GST],tbl_Finance[Job Number],C221&amp;""))</f>
        <v/>
      </c>
      <c r="I221" s="15">
        <f>IF(C221="","",IFERROR(INDEX(tbl_Finance[Cost Centre],MATCH(C221&amp;"",tbl_Finance[Job Number],0)),"not invoiced yet"))</f>
        <v/>
      </c>
      <c r="J221" s="12" t="n"/>
      <c r="K221" s="14" t="n"/>
      <c r="L221" s="15">
        <f>IF(OR(K221="",set_RMSBase=""),"",HYPERLINK(set_RMSBase&amp;K221,"Open "&amp;K221))</f>
        <v/>
      </c>
      <c r="M221" s="15">
        <f>IF(C221="","",C221)</f>
        <v/>
      </c>
      <c r="N221" s="14" t="n"/>
      <c r="O221" s="16" t="n"/>
      <c r="P221" s="17">
        <f>IF(C221="","",H221+N(O221))</f>
        <v/>
      </c>
      <c r="Q221" s="54">
        <f>IFERROR(O221/P221,"")</f>
        <v/>
      </c>
      <c r="R221" s="16" t="n"/>
      <c r="S221" s="16" t="n"/>
      <c r="T221" s="17">
        <f>IF(C221="","",N(R221)+N(S221))</f>
        <v/>
      </c>
      <c r="U221" s="17">
        <f>IF(C221="","",H221-T221)</f>
        <v/>
      </c>
      <c r="V221" s="54">
        <f>IFERROR(U221/H221,"")</f>
        <v/>
      </c>
      <c r="W221" s="53" t="n"/>
      <c r="X221" s="53" t="n"/>
      <c r="Y221" s="53" t="n"/>
      <c r="Z221" s="53" t="n"/>
      <c r="AA221" s="53" t="n"/>
      <c r="AB221" s="14" t="n"/>
    </row>
    <row r="222" ht="15" customHeight="1">
      <c r="A222" s="51">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52">
        <f>IF(C222="","",COUNTIFS(tbl_Finance[Job Number],C222&amp;"",tbl_Finance[Ex GST],"&lt;&gt;"))</f>
        <v/>
      </c>
      <c r="H222" s="17">
        <f>IF(C222="","",SUMIFS(tbl_Finance[Ex GST],tbl_Finance[Job Number],C222&amp;""))</f>
        <v/>
      </c>
      <c r="I222" s="15">
        <f>IF(C222="","",IFERROR(INDEX(tbl_Finance[Cost Centre],MATCH(C222&amp;"",tbl_Finance[Job Number],0)),"not invoiced yet"))</f>
        <v/>
      </c>
      <c r="J222" s="12" t="n"/>
      <c r="K222" s="14" t="n"/>
      <c r="L222" s="15">
        <f>IF(OR(K222="",set_RMSBase=""),"",HYPERLINK(set_RMSBase&amp;K222,"Open "&amp;K222))</f>
        <v/>
      </c>
      <c r="M222" s="15">
        <f>IF(C222="","",C222)</f>
        <v/>
      </c>
      <c r="N222" s="14" t="n"/>
      <c r="O222" s="16" t="n"/>
      <c r="P222" s="17">
        <f>IF(C222="","",H222+N(O222))</f>
        <v/>
      </c>
      <c r="Q222" s="54">
        <f>IFERROR(O222/P222,"")</f>
        <v/>
      </c>
      <c r="R222" s="16" t="n"/>
      <c r="S222" s="16" t="n"/>
      <c r="T222" s="17">
        <f>IF(C222="","",N(R222)+N(S222))</f>
        <v/>
      </c>
      <c r="U222" s="17">
        <f>IF(C222="","",H222-T222)</f>
        <v/>
      </c>
      <c r="V222" s="54">
        <f>IFERROR(U222/H222,"")</f>
        <v/>
      </c>
      <c r="W222" s="53" t="n"/>
      <c r="X222" s="53" t="n"/>
      <c r="Y222" s="53" t="n"/>
      <c r="Z222" s="53" t="n"/>
      <c r="AA222" s="53" t="n"/>
      <c r="AB222" s="14" t="n"/>
    </row>
    <row r="223" ht="15" customHeight="1">
      <c r="A223" s="51">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52">
        <f>IF(C223="","",COUNTIFS(tbl_Finance[Job Number],C223&amp;"",tbl_Finance[Ex GST],"&lt;&gt;"))</f>
        <v/>
      </c>
      <c r="H223" s="17">
        <f>IF(C223="","",SUMIFS(tbl_Finance[Ex GST],tbl_Finance[Job Number],C223&amp;""))</f>
        <v/>
      </c>
      <c r="I223" s="15">
        <f>IF(C223="","",IFERROR(INDEX(tbl_Finance[Cost Centre],MATCH(C223&amp;"",tbl_Finance[Job Number],0)),"not invoiced yet"))</f>
        <v/>
      </c>
      <c r="J223" s="12" t="n"/>
      <c r="K223" s="14" t="n"/>
      <c r="L223" s="15">
        <f>IF(OR(K223="",set_RMSBase=""),"",HYPERLINK(set_RMSBase&amp;K223,"Open "&amp;K223))</f>
        <v/>
      </c>
      <c r="M223" s="15">
        <f>IF(C223="","",C223)</f>
        <v/>
      </c>
      <c r="N223" s="14" t="n"/>
      <c r="O223" s="16" t="n"/>
      <c r="P223" s="17">
        <f>IF(C223="","",H223+N(O223))</f>
        <v/>
      </c>
      <c r="Q223" s="54">
        <f>IFERROR(O223/P223,"")</f>
        <v/>
      </c>
      <c r="R223" s="16" t="n"/>
      <c r="S223" s="16" t="n"/>
      <c r="T223" s="17">
        <f>IF(C223="","",N(R223)+N(S223))</f>
        <v/>
      </c>
      <c r="U223" s="17">
        <f>IF(C223="","",H223-T223)</f>
        <v/>
      </c>
      <c r="V223" s="54">
        <f>IFERROR(U223/H223,"")</f>
        <v/>
      </c>
      <c r="W223" s="53" t="n"/>
      <c r="X223" s="53" t="n"/>
      <c r="Y223" s="53" t="n"/>
      <c r="Z223" s="53" t="n"/>
      <c r="AA223" s="53" t="n"/>
      <c r="AB223" s="14" t="n"/>
    </row>
    <row r="224" ht="15" customHeight="1">
      <c r="A224" s="51">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52">
        <f>IF(C224="","",COUNTIFS(tbl_Finance[Job Number],C224&amp;"",tbl_Finance[Ex GST],"&lt;&gt;"))</f>
        <v/>
      </c>
      <c r="H224" s="17">
        <f>IF(C224="","",SUMIFS(tbl_Finance[Ex GST],tbl_Finance[Job Number],C224&amp;""))</f>
        <v/>
      </c>
      <c r="I224" s="15">
        <f>IF(C224="","",IFERROR(INDEX(tbl_Finance[Cost Centre],MATCH(C224&amp;"",tbl_Finance[Job Number],0)),"not invoiced yet"))</f>
        <v/>
      </c>
      <c r="J224" s="12" t="n"/>
      <c r="K224" s="14" t="n"/>
      <c r="L224" s="15">
        <f>IF(OR(K224="",set_RMSBase=""),"",HYPERLINK(set_RMSBase&amp;K224,"Open "&amp;K224))</f>
        <v/>
      </c>
      <c r="M224" s="15">
        <f>IF(C224="","",C224)</f>
        <v/>
      </c>
      <c r="N224" s="14" t="n"/>
      <c r="O224" s="16" t="n"/>
      <c r="P224" s="17">
        <f>IF(C224="","",H224+N(O224))</f>
        <v/>
      </c>
      <c r="Q224" s="54">
        <f>IFERROR(O224/P224,"")</f>
        <v/>
      </c>
      <c r="R224" s="16" t="n"/>
      <c r="S224" s="16" t="n"/>
      <c r="T224" s="17">
        <f>IF(C224="","",N(R224)+N(S224))</f>
        <v/>
      </c>
      <c r="U224" s="17">
        <f>IF(C224="","",H224-T224)</f>
        <v/>
      </c>
      <c r="V224" s="54">
        <f>IFERROR(U224/H224,"")</f>
        <v/>
      </c>
      <c r="W224" s="53" t="n"/>
      <c r="X224" s="53" t="n"/>
      <c r="Y224" s="53" t="n"/>
      <c r="Z224" s="53" t="n"/>
      <c r="AA224" s="53" t="n"/>
      <c r="AB224" s="14" t="n"/>
    </row>
    <row r="225" ht="15" customHeight="1">
      <c r="A225" s="51">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52">
        <f>IF(C225="","",COUNTIFS(tbl_Finance[Job Number],C225&amp;"",tbl_Finance[Ex GST],"&lt;&gt;"))</f>
        <v/>
      </c>
      <c r="H225" s="17">
        <f>IF(C225="","",SUMIFS(tbl_Finance[Ex GST],tbl_Finance[Job Number],C225&amp;""))</f>
        <v/>
      </c>
      <c r="I225" s="15">
        <f>IF(C225="","",IFERROR(INDEX(tbl_Finance[Cost Centre],MATCH(C225&amp;"",tbl_Finance[Job Number],0)),"not invoiced yet"))</f>
        <v/>
      </c>
      <c r="J225" s="12" t="n"/>
      <c r="K225" s="14" t="n"/>
      <c r="L225" s="15">
        <f>IF(OR(K225="",set_RMSBase=""),"",HYPERLINK(set_RMSBase&amp;K225,"Open "&amp;K225))</f>
        <v/>
      </c>
      <c r="M225" s="15">
        <f>IF(C225="","",C225)</f>
        <v/>
      </c>
      <c r="N225" s="14" t="n"/>
      <c r="O225" s="16" t="n"/>
      <c r="P225" s="17">
        <f>IF(C225="","",H225+N(O225))</f>
        <v/>
      </c>
      <c r="Q225" s="54">
        <f>IFERROR(O225/P225,"")</f>
        <v/>
      </c>
      <c r="R225" s="16" t="n"/>
      <c r="S225" s="16" t="n"/>
      <c r="T225" s="17">
        <f>IF(C225="","",N(R225)+N(S225))</f>
        <v/>
      </c>
      <c r="U225" s="17">
        <f>IF(C225="","",H225-T225)</f>
        <v/>
      </c>
      <c r="V225" s="54">
        <f>IFERROR(U225/H225,"")</f>
        <v/>
      </c>
      <c r="W225" s="53" t="n"/>
      <c r="X225" s="53" t="n"/>
      <c r="Y225" s="53" t="n"/>
      <c r="Z225" s="53" t="n"/>
      <c r="AA225" s="53" t="n"/>
      <c r="AB225" s="14" t="n"/>
    </row>
    <row r="226" ht="15" customHeight="1">
      <c r="A226" s="51">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52">
        <f>IF(C226="","",COUNTIFS(tbl_Finance[Job Number],C226&amp;"",tbl_Finance[Ex GST],"&lt;&gt;"))</f>
        <v/>
      </c>
      <c r="H226" s="17">
        <f>IF(C226="","",SUMIFS(tbl_Finance[Ex GST],tbl_Finance[Job Number],C226&amp;""))</f>
        <v/>
      </c>
      <c r="I226" s="15">
        <f>IF(C226="","",IFERROR(INDEX(tbl_Finance[Cost Centre],MATCH(C226&amp;"",tbl_Finance[Job Number],0)),"not invoiced yet"))</f>
        <v/>
      </c>
      <c r="J226" s="12" t="n"/>
      <c r="K226" s="14" t="n"/>
      <c r="L226" s="15">
        <f>IF(OR(K226="",set_RMSBase=""),"",HYPERLINK(set_RMSBase&amp;K226,"Open "&amp;K226))</f>
        <v/>
      </c>
      <c r="M226" s="15">
        <f>IF(C226="","",C226)</f>
        <v/>
      </c>
      <c r="N226" s="14" t="n"/>
      <c r="O226" s="16" t="n"/>
      <c r="P226" s="17">
        <f>IF(C226="","",H226+N(O226))</f>
        <v/>
      </c>
      <c r="Q226" s="54">
        <f>IFERROR(O226/P226,"")</f>
        <v/>
      </c>
      <c r="R226" s="16" t="n"/>
      <c r="S226" s="16" t="n"/>
      <c r="T226" s="17">
        <f>IF(C226="","",N(R226)+N(S226))</f>
        <v/>
      </c>
      <c r="U226" s="17">
        <f>IF(C226="","",H226-T226)</f>
        <v/>
      </c>
      <c r="V226" s="54">
        <f>IFERROR(U226/H226,"")</f>
        <v/>
      </c>
      <c r="W226" s="53" t="n"/>
      <c r="X226" s="53" t="n"/>
      <c r="Y226" s="53" t="n"/>
      <c r="Z226" s="53" t="n"/>
      <c r="AA226" s="53" t="n"/>
      <c r="AB226" s="14" t="n"/>
    </row>
    <row r="227" ht="15" customHeight="1">
      <c r="A227" s="51">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52">
        <f>IF(C227="","",COUNTIFS(tbl_Finance[Job Number],C227&amp;"",tbl_Finance[Ex GST],"&lt;&gt;"))</f>
        <v/>
      </c>
      <c r="H227" s="17">
        <f>IF(C227="","",SUMIFS(tbl_Finance[Ex GST],tbl_Finance[Job Number],C227&amp;""))</f>
        <v/>
      </c>
      <c r="I227" s="15">
        <f>IF(C227="","",IFERROR(INDEX(tbl_Finance[Cost Centre],MATCH(C227&amp;"",tbl_Finance[Job Number],0)),"not invoiced yet"))</f>
        <v/>
      </c>
      <c r="J227" s="12" t="n"/>
      <c r="K227" s="14" t="n"/>
      <c r="L227" s="15">
        <f>IF(OR(K227="",set_RMSBase=""),"",HYPERLINK(set_RMSBase&amp;K227,"Open "&amp;K227))</f>
        <v/>
      </c>
      <c r="M227" s="15">
        <f>IF(C227="","",C227)</f>
        <v/>
      </c>
      <c r="N227" s="14" t="n"/>
      <c r="O227" s="16" t="n"/>
      <c r="P227" s="17">
        <f>IF(C227="","",H227+N(O227))</f>
        <v/>
      </c>
      <c r="Q227" s="54">
        <f>IFERROR(O227/P227,"")</f>
        <v/>
      </c>
      <c r="R227" s="16" t="n"/>
      <c r="S227" s="16" t="n"/>
      <c r="T227" s="17">
        <f>IF(C227="","",N(R227)+N(S227))</f>
        <v/>
      </c>
      <c r="U227" s="17">
        <f>IF(C227="","",H227-T227)</f>
        <v/>
      </c>
      <c r="V227" s="54">
        <f>IFERROR(U227/H227,"")</f>
        <v/>
      </c>
      <c r="W227" s="53" t="n"/>
      <c r="X227" s="53" t="n"/>
      <c r="Y227" s="53" t="n"/>
      <c r="Z227" s="53" t="n"/>
      <c r="AA227" s="53" t="n"/>
      <c r="AB227" s="14" t="n"/>
    </row>
    <row r="228" ht="15" customHeight="1">
      <c r="A228" s="51">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52">
        <f>IF(C228="","",COUNTIFS(tbl_Finance[Job Number],C228&amp;"",tbl_Finance[Ex GST],"&lt;&gt;"))</f>
        <v/>
      </c>
      <c r="H228" s="17">
        <f>IF(C228="","",SUMIFS(tbl_Finance[Ex GST],tbl_Finance[Job Number],C228&amp;""))</f>
        <v/>
      </c>
      <c r="I228" s="15">
        <f>IF(C228="","",IFERROR(INDEX(tbl_Finance[Cost Centre],MATCH(C228&amp;"",tbl_Finance[Job Number],0)),"not invoiced yet"))</f>
        <v/>
      </c>
      <c r="J228" s="12" t="n"/>
      <c r="K228" s="14" t="n"/>
      <c r="L228" s="15">
        <f>IF(OR(K228="",set_RMSBase=""),"",HYPERLINK(set_RMSBase&amp;K228,"Open "&amp;K228))</f>
        <v/>
      </c>
      <c r="M228" s="15">
        <f>IF(C228="","",C228)</f>
        <v/>
      </c>
      <c r="N228" s="14" t="n"/>
      <c r="O228" s="16" t="n"/>
      <c r="P228" s="17">
        <f>IF(C228="","",H228+N(O228))</f>
        <v/>
      </c>
      <c r="Q228" s="54">
        <f>IFERROR(O228/P228,"")</f>
        <v/>
      </c>
      <c r="R228" s="16" t="n"/>
      <c r="S228" s="16" t="n"/>
      <c r="T228" s="17">
        <f>IF(C228="","",N(R228)+N(S228))</f>
        <v/>
      </c>
      <c r="U228" s="17">
        <f>IF(C228="","",H228-T228)</f>
        <v/>
      </c>
      <c r="V228" s="54">
        <f>IFERROR(U228/H228,"")</f>
        <v/>
      </c>
      <c r="W228" s="53" t="n"/>
      <c r="X228" s="53" t="n"/>
      <c r="Y228" s="53" t="n"/>
      <c r="Z228" s="53" t="n"/>
      <c r="AA228" s="53" t="n"/>
      <c r="AB228" s="14" t="n"/>
    </row>
    <row r="229" ht="15" customHeight="1">
      <c r="A229" s="51">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52">
        <f>IF(C229="","",COUNTIFS(tbl_Finance[Job Number],C229&amp;"",tbl_Finance[Ex GST],"&lt;&gt;"))</f>
        <v/>
      </c>
      <c r="H229" s="17">
        <f>IF(C229="","",SUMIFS(tbl_Finance[Ex GST],tbl_Finance[Job Number],C229&amp;""))</f>
        <v/>
      </c>
      <c r="I229" s="15">
        <f>IF(C229="","",IFERROR(INDEX(tbl_Finance[Cost Centre],MATCH(C229&amp;"",tbl_Finance[Job Number],0)),"not invoiced yet"))</f>
        <v/>
      </c>
      <c r="J229" s="12" t="n"/>
      <c r="K229" s="14" t="n"/>
      <c r="L229" s="15">
        <f>IF(OR(K229="",set_RMSBase=""),"",HYPERLINK(set_RMSBase&amp;K229,"Open "&amp;K229))</f>
        <v/>
      </c>
      <c r="M229" s="15">
        <f>IF(C229="","",C229)</f>
        <v/>
      </c>
      <c r="N229" s="14" t="n"/>
      <c r="O229" s="16" t="n"/>
      <c r="P229" s="17">
        <f>IF(C229="","",H229+N(O229))</f>
        <v/>
      </c>
      <c r="Q229" s="54">
        <f>IFERROR(O229/P229,"")</f>
        <v/>
      </c>
      <c r="R229" s="16" t="n"/>
      <c r="S229" s="16" t="n"/>
      <c r="T229" s="17">
        <f>IF(C229="","",N(R229)+N(S229))</f>
        <v/>
      </c>
      <c r="U229" s="17">
        <f>IF(C229="","",H229-T229)</f>
        <v/>
      </c>
      <c r="V229" s="54">
        <f>IFERROR(U229/H229,"")</f>
        <v/>
      </c>
      <c r="W229" s="53" t="n"/>
      <c r="X229" s="53" t="n"/>
      <c r="Y229" s="53" t="n"/>
      <c r="Z229" s="53" t="n"/>
      <c r="AA229" s="53" t="n"/>
      <c r="AB229" s="14" t="n"/>
    </row>
    <row r="230" ht="15" customHeight="1">
      <c r="A230" s="51">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52">
        <f>IF(C230="","",COUNTIFS(tbl_Finance[Job Number],C230&amp;"",tbl_Finance[Ex GST],"&lt;&gt;"))</f>
        <v/>
      </c>
      <c r="H230" s="17">
        <f>IF(C230="","",SUMIFS(tbl_Finance[Ex GST],tbl_Finance[Job Number],C230&amp;""))</f>
        <v/>
      </c>
      <c r="I230" s="15">
        <f>IF(C230="","",IFERROR(INDEX(tbl_Finance[Cost Centre],MATCH(C230&amp;"",tbl_Finance[Job Number],0)),"not invoiced yet"))</f>
        <v/>
      </c>
      <c r="J230" s="12" t="n"/>
      <c r="K230" s="14" t="n"/>
      <c r="L230" s="15">
        <f>IF(OR(K230="",set_RMSBase=""),"",HYPERLINK(set_RMSBase&amp;K230,"Open "&amp;K230))</f>
        <v/>
      </c>
      <c r="M230" s="15">
        <f>IF(C230="","",C230)</f>
        <v/>
      </c>
      <c r="N230" s="14" t="n"/>
      <c r="O230" s="16" t="n"/>
      <c r="P230" s="17">
        <f>IF(C230="","",H230+N(O230))</f>
        <v/>
      </c>
      <c r="Q230" s="54">
        <f>IFERROR(O230/P230,"")</f>
        <v/>
      </c>
      <c r="R230" s="16" t="n"/>
      <c r="S230" s="16" t="n"/>
      <c r="T230" s="17">
        <f>IF(C230="","",N(R230)+N(S230))</f>
        <v/>
      </c>
      <c r="U230" s="17">
        <f>IF(C230="","",H230-T230)</f>
        <v/>
      </c>
      <c r="V230" s="54">
        <f>IFERROR(U230/H230,"")</f>
        <v/>
      </c>
      <c r="W230" s="53" t="n"/>
      <c r="X230" s="53" t="n"/>
      <c r="Y230" s="53" t="n"/>
      <c r="Z230" s="53" t="n"/>
      <c r="AA230" s="53" t="n"/>
      <c r="AB230" s="14" t="n"/>
    </row>
    <row r="231" ht="15" customHeight="1">
      <c r="A231" s="51">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52">
        <f>IF(C231="","",COUNTIFS(tbl_Finance[Job Number],C231&amp;"",tbl_Finance[Ex GST],"&lt;&gt;"))</f>
        <v/>
      </c>
      <c r="H231" s="17">
        <f>IF(C231="","",SUMIFS(tbl_Finance[Ex GST],tbl_Finance[Job Number],C231&amp;""))</f>
        <v/>
      </c>
      <c r="I231" s="15">
        <f>IF(C231="","",IFERROR(INDEX(tbl_Finance[Cost Centre],MATCH(C231&amp;"",tbl_Finance[Job Number],0)),"not invoiced yet"))</f>
        <v/>
      </c>
      <c r="J231" s="12" t="n"/>
      <c r="K231" s="14" t="n"/>
      <c r="L231" s="15">
        <f>IF(OR(K231="",set_RMSBase=""),"",HYPERLINK(set_RMSBase&amp;K231,"Open "&amp;K231))</f>
        <v/>
      </c>
      <c r="M231" s="15">
        <f>IF(C231="","",C231)</f>
        <v/>
      </c>
      <c r="N231" s="14" t="n"/>
      <c r="O231" s="16" t="n"/>
      <c r="P231" s="17">
        <f>IF(C231="","",H231+N(O231))</f>
        <v/>
      </c>
      <c r="Q231" s="54">
        <f>IFERROR(O231/P231,"")</f>
        <v/>
      </c>
      <c r="R231" s="16" t="n"/>
      <c r="S231" s="16" t="n"/>
      <c r="T231" s="17">
        <f>IF(C231="","",N(R231)+N(S231))</f>
        <v/>
      </c>
      <c r="U231" s="17">
        <f>IF(C231="","",H231-T231)</f>
        <v/>
      </c>
      <c r="V231" s="54">
        <f>IFERROR(U231/H231,"")</f>
        <v/>
      </c>
      <c r="W231" s="53" t="n"/>
      <c r="X231" s="53" t="n"/>
      <c r="Y231" s="53" t="n"/>
      <c r="Z231" s="53" t="n"/>
      <c r="AA231" s="53" t="n"/>
      <c r="AB231" s="14" t="n"/>
    </row>
    <row r="232" ht="15" customHeight="1">
      <c r="A232" s="51">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52">
        <f>IF(C232="","",COUNTIFS(tbl_Finance[Job Number],C232&amp;"",tbl_Finance[Ex GST],"&lt;&gt;"))</f>
        <v/>
      </c>
      <c r="H232" s="17">
        <f>IF(C232="","",SUMIFS(tbl_Finance[Ex GST],tbl_Finance[Job Number],C232&amp;""))</f>
        <v/>
      </c>
      <c r="I232" s="15">
        <f>IF(C232="","",IFERROR(INDEX(tbl_Finance[Cost Centre],MATCH(C232&amp;"",tbl_Finance[Job Number],0)),"not invoiced yet"))</f>
        <v/>
      </c>
      <c r="J232" s="12" t="n"/>
      <c r="K232" s="14" t="n"/>
      <c r="L232" s="15">
        <f>IF(OR(K232="",set_RMSBase=""),"",HYPERLINK(set_RMSBase&amp;K232,"Open "&amp;K232))</f>
        <v/>
      </c>
      <c r="M232" s="15">
        <f>IF(C232="","",C232)</f>
        <v/>
      </c>
      <c r="N232" s="14" t="n"/>
      <c r="O232" s="16" t="n"/>
      <c r="P232" s="17">
        <f>IF(C232="","",H232+N(O232))</f>
        <v/>
      </c>
      <c r="Q232" s="54">
        <f>IFERROR(O232/P232,"")</f>
        <v/>
      </c>
      <c r="R232" s="16" t="n"/>
      <c r="S232" s="16" t="n"/>
      <c r="T232" s="17">
        <f>IF(C232="","",N(R232)+N(S232))</f>
        <v/>
      </c>
      <c r="U232" s="17">
        <f>IF(C232="","",H232-T232)</f>
        <v/>
      </c>
      <c r="V232" s="54">
        <f>IFERROR(U232/H232,"")</f>
        <v/>
      </c>
      <c r="W232" s="53" t="n"/>
      <c r="X232" s="53" t="n"/>
      <c r="Y232" s="53" t="n"/>
      <c r="Z232" s="53" t="n"/>
      <c r="AA232" s="53" t="n"/>
      <c r="AB232" s="14" t="n"/>
    </row>
    <row r="233" ht="15" customHeight="1">
      <c r="A233" s="51">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52">
        <f>IF(C233="","",COUNTIFS(tbl_Finance[Job Number],C233&amp;"",tbl_Finance[Ex GST],"&lt;&gt;"))</f>
        <v/>
      </c>
      <c r="H233" s="17">
        <f>IF(C233="","",SUMIFS(tbl_Finance[Ex GST],tbl_Finance[Job Number],C233&amp;""))</f>
        <v/>
      </c>
      <c r="I233" s="15">
        <f>IF(C233="","",IFERROR(INDEX(tbl_Finance[Cost Centre],MATCH(C233&amp;"",tbl_Finance[Job Number],0)),"not invoiced yet"))</f>
        <v/>
      </c>
      <c r="J233" s="12" t="n"/>
      <c r="K233" s="14" t="n"/>
      <c r="L233" s="15">
        <f>IF(OR(K233="",set_RMSBase=""),"",HYPERLINK(set_RMSBase&amp;K233,"Open "&amp;K233))</f>
        <v/>
      </c>
      <c r="M233" s="15">
        <f>IF(C233="","",C233)</f>
        <v/>
      </c>
      <c r="N233" s="14" t="n"/>
      <c r="O233" s="16" t="n"/>
      <c r="P233" s="17">
        <f>IF(C233="","",H233+N(O233))</f>
        <v/>
      </c>
      <c r="Q233" s="54">
        <f>IFERROR(O233/P233,"")</f>
        <v/>
      </c>
      <c r="R233" s="16" t="n"/>
      <c r="S233" s="16" t="n"/>
      <c r="T233" s="17">
        <f>IF(C233="","",N(R233)+N(S233))</f>
        <v/>
      </c>
      <c r="U233" s="17">
        <f>IF(C233="","",H233-T233)</f>
        <v/>
      </c>
      <c r="V233" s="54">
        <f>IFERROR(U233/H233,"")</f>
        <v/>
      </c>
      <c r="W233" s="53" t="n"/>
      <c r="X233" s="53" t="n"/>
      <c r="Y233" s="53" t="n"/>
      <c r="Z233" s="53" t="n"/>
      <c r="AA233" s="53" t="n"/>
      <c r="AB233" s="14" t="n"/>
    </row>
    <row r="234" ht="15" customHeight="1">
      <c r="A234" s="51">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52">
        <f>IF(C234="","",COUNTIFS(tbl_Finance[Job Number],C234&amp;"",tbl_Finance[Ex GST],"&lt;&gt;"))</f>
        <v/>
      </c>
      <c r="H234" s="17">
        <f>IF(C234="","",SUMIFS(tbl_Finance[Ex GST],tbl_Finance[Job Number],C234&amp;""))</f>
        <v/>
      </c>
      <c r="I234" s="15">
        <f>IF(C234="","",IFERROR(INDEX(tbl_Finance[Cost Centre],MATCH(C234&amp;"",tbl_Finance[Job Number],0)),"not invoiced yet"))</f>
        <v/>
      </c>
      <c r="J234" s="12" t="n"/>
      <c r="K234" s="14" t="n"/>
      <c r="L234" s="15">
        <f>IF(OR(K234="",set_RMSBase=""),"",HYPERLINK(set_RMSBase&amp;K234,"Open "&amp;K234))</f>
        <v/>
      </c>
      <c r="M234" s="15">
        <f>IF(C234="","",C234)</f>
        <v/>
      </c>
      <c r="N234" s="14" t="n"/>
      <c r="O234" s="16" t="n"/>
      <c r="P234" s="17">
        <f>IF(C234="","",H234+N(O234))</f>
        <v/>
      </c>
      <c r="Q234" s="54">
        <f>IFERROR(O234/P234,"")</f>
        <v/>
      </c>
      <c r="R234" s="16" t="n"/>
      <c r="S234" s="16" t="n"/>
      <c r="T234" s="17">
        <f>IF(C234="","",N(R234)+N(S234))</f>
        <v/>
      </c>
      <c r="U234" s="17">
        <f>IF(C234="","",H234-T234)</f>
        <v/>
      </c>
      <c r="V234" s="54">
        <f>IFERROR(U234/H234,"")</f>
        <v/>
      </c>
      <c r="W234" s="53" t="n"/>
      <c r="X234" s="53" t="n"/>
      <c r="Y234" s="53" t="n"/>
      <c r="Z234" s="53" t="n"/>
      <c r="AA234" s="53" t="n"/>
      <c r="AB234" s="14" t="n"/>
    </row>
    <row r="235" ht="15" customHeight="1">
      <c r="A235" s="51">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52">
        <f>IF(C235="","",COUNTIFS(tbl_Finance[Job Number],C235&amp;"",tbl_Finance[Ex GST],"&lt;&gt;"))</f>
        <v/>
      </c>
      <c r="H235" s="17">
        <f>IF(C235="","",SUMIFS(tbl_Finance[Ex GST],tbl_Finance[Job Number],C235&amp;""))</f>
        <v/>
      </c>
      <c r="I235" s="15">
        <f>IF(C235="","",IFERROR(INDEX(tbl_Finance[Cost Centre],MATCH(C235&amp;"",tbl_Finance[Job Number],0)),"not invoiced yet"))</f>
        <v/>
      </c>
      <c r="J235" s="12" t="n"/>
      <c r="K235" s="14" t="n"/>
      <c r="L235" s="15">
        <f>IF(OR(K235="",set_RMSBase=""),"",HYPERLINK(set_RMSBase&amp;K235,"Open "&amp;K235))</f>
        <v/>
      </c>
      <c r="M235" s="15">
        <f>IF(C235="","",C235)</f>
        <v/>
      </c>
      <c r="N235" s="14" t="n"/>
      <c r="O235" s="16" t="n"/>
      <c r="P235" s="17">
        <f>IF(C235="","",H235+N(O235))</f>
        <v/>
      </c>
      <c r="Q235" s="54">
        <f>IFERROR(O235/P235,"")</f>
        <v/>
      </c>
      <c r="R235" s="16" t="n"/>
      <c r="S235" s="16" t="n"/>
      <c r="T235" s="17">
        <f>IF(C235="","",N(R235)+N(S235))</f>
        <v/>
      </c>
      <c r="U235" s="17">
        <f>IF(C235="","",H235-T235)</f>
        <v/>
      </c>
      <c r="V235" s="54">
        <f>IFERROR(U235/H235,"")</f>
        <v/>
      </c>
      <c r="W235" s="53" t="n"/>
      <c r="X235" s="53" t="n"/>
      <c r="Y235" s="53" t="n"/>
      <c r="Z235" s="53" t="n"/>
      <c r="AA235" s="53" t="n"/>
      <c r="AB235" s="14" t="n"/>
    </row>
    <row r="236" ht="15" customHeight="1">
      <c r="A236" s="51">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52">
        <f>IF(C236="","",COUNTIFS(tbl_Finance[Job Number],C236&amp;"",tbl_Finance[Ex GST],"&lt;&gt;"))</f>
        <v/>
      </c>
      <c r="H236" s="17">
        <f>IF(C236="","",SUMIFS(tbl_Finance[Ex GST],tbl_Finance[Job Number],C236&amp;""))</f>
        <v/>
      </c>
      <c r="I236" s="15">
        <f>IF(C236="","",IFERROR(INDEX(tbl_Finance[Cost Centre],MATCH(C236&amp;"",tbl_Finance[Job Number],0)),"not invoiced yet"))</f>
        <v/>
      </c>
      <c r="J236" s="12" t="n"/>
      <c r="K236" s="14" t="n"/>
      <c r="L236" s="15">
        <f>IF(OR(K236="",set_RMSBase=""),"",HYPERLINK(set_RMSBase&amp;K236,"Open "&amp;K236))</f>
        <v/>
      </c>
      <c r="M236" s="15">
        <f>IF(C236="","",C236)</f>
        <v/>
      </c>
      <c r="N236" s="14" t="n"/>
      <c r="O236" s="16" t="n"/>
      <c r="P236" s="17">
        <f>IF(C236="","",H236+N(O236))</f>
        <v/>
      </c>
      <c r="Q236" s="54">
        <f>IFERROR(O236/P236,"")</f>
        <v/>
      </c>
      <c r="R236" s="16" t="n"/>
      <c r="S236" s="16" t="n"/>
      <c r="T236" s="17">
        <f>IF(C236="","",N(R236)+N(S236))</f>
        <v/>
      </c>
      <c r="U236" s="17">
        <f>IF(C236="","",H236-T236)</f>
        <v/>
      </c>
      <c r="V236" s="54">
        <f>IFERROR(U236/H236,"")</f>
        <v/>
      </c>
      <c r="W236" s="53" t="n"/>
      <c r="X236" s="53" t="n"/>
      <c r="Y236" s="53" t="n"/>
      <c r="Z236" s="53" t="n"/>
      <c r="AA236" s="53" t="n"/>
      <c r="AB236" s="14" t="n"/>
    </row>
    <row r="237" ht="15" customHeight="1">
      <c r="A237" s="51">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52">
        <f>IF(C237="","",COUNTIFS(tbl_Finance[Job Number],C237&amp;"",tbl_Finance[Ex GST],"&lt;&gt;"))</f>
        <v/>
      </c>
      <c r="H237" s="17">
        <f>IF(C237="","",SUMIFS(tbl_Finance[Ex GST],tbl_Finance[Job Number],C237&amp;""))</f>
        <v/>
      </c>
      <c r="I237" s="15">
        <f>IF(C237="","",IFERROR(INDEX(tbl_Finance[Cost Centre],MATCH(C237&amp;"",tbl_Finance[Job Number],0)),"not invoiced yet"))</f>
        <v/>
      </c>
      <c r="J237" s="12" t="n"/>
      <c r="K237" s="14" t="n"/>
      <c r="L237" s="15">
        <f>IF(OR(K237="",set_RMSBase=""),"",HYPERLINK(set_RMSBase&amp;K237,"Open "&amp;K237))</f>
        <v/>
      </c>
      <c r="M237" s="15">
        <f>IF(C237="","",C237)</f>
        <v/>
      </c>
      <c r="N237" s="14" t="n"/>
      <c r="O237" s="16" t="n"/>
      <c r="P237" s="17">
        <f>IF(C237="","",H237+N(O237))</f>
        <v/>
      </c>
      <c r="Q237" s="54">
        <f>IFERROR(O237/P237,"")</f>
        <v/>
      </c>
      <c r="R237" s="16" t="n"/>
      <c r="S237" s="16" t="n"/>
      <c r="T237" s="17">
        <f>IF(C237="","",N(R237)+N(S237))</f>
        <v/>
      </c>
      <c r="U237" s="17">
        <f>IF(C237="","",H237-T237)</f>
        <v/>
      </c>
      <c r="V237" s="54">
        <f>IFERROR(U237/H237,"")</f>
        <v/>
      </c>
      <c r="W237" s="53" t="n"/>
      <c r="X237" s="53" t="n"/>
      <c r="Y237" s="53" t="n"/>
      <c r="Z237" s="53" t="n"/>
      <c r="AA237" s="53" t="n"/>
      <c r="AB237" s="14" t="n"/>
    </row>
    <row r="238" ht="15" customHeight="1">
      <c r="A238" s="51">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52">
        <f>IF(C238="","",COUNTIFS(tbl_Finance[Job Number],C238&amp;"",tbl_Finance[Ex GST],"&lt;&gt;"))</f>
        <v/>
      </c>
      <c r="H238" s="17">
        <f>IF(C238="","",SUMIFS(tbl_Finance[Ex GST],tbl_Finance[Job Number],C238&amp;""))</f>
        <v/>
      </c>
      <c r="I238" s="15">
        <f>IF(C238="","",IFERROR(INDEX(tbl_Finance[Cost Centre],MATCH(C238&amp;"",tbl_Finance[Job Number],0)),"not invoiced yet"))</f>
        <v/>
      </c>
      <c r="J238" s="12" t="n"/>
      <c r="K238" s="14" t="n"/>
      <c r="L238" s="15">
        <f>IF(OR(K238="",set_RMSBase=""),"",HYPERLINK(set_RMSBase&amp;K238,"Open "&amp;K238))</f>
        <v/>
      </c>
      <c r="M238" s="15">
        <f>IF(C238="","",C238)</f>
        <v/>
      </c>
      <c r="N238" s="14" t="n"/>
      <c r="O238" s="16" t="n"/>
      <c r="P238" s="17">
        <f>IF(C238="","",H238+N(O238))</f>
        <v/>
      </c>
      <c r="Q238" s="54">
        <f>IFERROR(O238/P238,"")</f>
        <v/>
      </c>
      <c r="R238" s="16" t="n"/>
      <c r="S238" s="16" t="n"/>
      <c r="T238" s="17">
        <f>IF(C238="","",N(R238)+N(S238))</f>
        <v/>
      </c>
      <c r="U238" s="17">
        <f>IF(C238="","",H238-T238)</f>
        <v/>
      </c>
      <c r="V238" s="54">
        <f>IFERROR(U238/H238,"")</f>
        <v/>
      </c>
      <c r="W238" s="53" t="n"/>
      <c r="X238" s="53" t="n"/>
      <c r="Y238" s="53" t="n"/>
      <c r="Z238" s="53" t="n"/>
      <c r="AA238" s="53" t="n"/>
      <c r="AB238" s="14" t="n"/>
    </row>
    <row r="239" ht="15" customHeight="1">
      <c r="A239" s="51">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52">
        <f>IF(C239="","",COUNTIFS(tbl_Finance[Job Number],C239&amp;"",tbl_Finance[Ex GST],"&lt;&gt;"))</f>
        <v/>
      </c>
      <c r="H239" s="17">
        <f>IF(C239="","",SUMIFS(tbl_Finance[Ex GST],tbl_Finance[Job Number],C239&amp;""))</f>
        <v/>
      </c>
      <c r="I239" s="15">
        <f>IF(C239="","",IFERROR(INDEX(tbl_Finance[Cost Centre],MATCH(C239&amp;"",tbl_Finance[Job Number],0)),"not invoiced yet"))</f>
        <v/>
      </c>
      <c r="J239" s="12" t="n"/>
      <c r="K239" s="14" t="n"/>
      <c r="L239" s="15">
        <f>IF(OR(K239="",set_RMSBase=""),"",HYPERLINK(set_RMSBase&amp;K239,"Open "&amp;K239))</f>
        <v/>
      </c>
      <c r="M239" s="15">
        <f>IF(C239="","",C239)</f>
        <v/>
      </c>
      <c r="N239" s="14" t="n"/>
      <c r="O239" s="16" t="n"/>
      <c r="P239" s="17">
        <f>IF(C239="","",H239+N(O239))</f>
        <v/>
      </c>
      <c r="Q239" s="54">
        <f>IFERROR(O239/P239,"")</f>
        <v/>
      </c>
      <c r="R239" s="16" t="n"/>
      <c r="S239" s="16" t="n"/>
      <c r="T239" s="17">
        <f>IF(C239="","",N(R239)+N(S239))</f>
        <v/>
      </c>
      <c r="U239" s="17">
        <f>IF(C239="","",H239-T239)</f>
        <v/>
      </c>
      <c r="V239" s="54">
        <f>IFERROR(U239/H239,"")</f>
        <v/>
      </c>
      <c r="W239" s="53" t="n"/>
      <c r="X239" s="53" t="n"/>
      <c r="Y239" s="53" t="n"/>
      <c r="Z239" s="53" t="n"/>
      <c r="AA239" s="53" t="n"/>
      <c r="AB239" s="14" t="n"/>
    </row>
    <row r="240" ht="15" customHeight="1">
      <c r="A240" s="51">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52">
        <f>IF(C240="","",COUNTIFS(tbl_Finance[Job Number],C240&amp;"",tbl_Finance[Ex GST],"&lt;&gt;"))</f>
        <v/>
      </c>
      <c r="H240" s="17">
        <f>IF(C240="","",SUMIFS(tbl_Finance[Ex GST],tbl_Finance[Job Number],C240&amp;""))</f>
        <v/>
      </c>
      <c r="I240" s="15">
        <f>IF(C240="","",IFERROR(INDEX(tbl_Finance[Cost Centre],MATCH(C240&amp;"",tbl_Finance[Job Number],0)),"not invoiced yet"))</f>
        <v/>
      </c>
      <c r="J240" s="12" t="n"/>
      <c r="K240" s="14" t="n"/>
      <c r="L240" s="15">
        <f>IF(OR(K240="",set_RMSBase=""),"",HYPERLINK(set_RMSBase&amp;K240,"Open "&amp;K240))</f>
        <v/>
      </c>
      <c r="M240" s="15">
        <f>IF(C240="","",C240)</f>
        <v/>
      </c>
      <c r="N240" s="14" t="n"/>
      <c r="O240" s="16" t="n"/>
      <c r="P240" s="17">
        <f>IF(C240="","",H240+N(O240))</f>
        <v/>
      </c>
      <c r="Q240" s="54">
        <f>IFERROR(O240/P240,"")</f>
        <v/>
      </c>
      <c r="R240" s="16" t="n"/>
      <c r="S240" s="16" t="n"/>
      <c r="T240" s="17">
        <f>IF(C240="","",N(R240)+N(S240))</f>
        <v/>
      </c>
      <c r="U240" s="17">
        <f>IF(C240="","",H240-T240)</f>
        <v/>
      </c>
      <c r="V240" s="54">
        <f>IFERROR(U240/H240,"")</f>
        <v/>
      </c>
      <c r="W240" s="53" t="n"/>
      <c r="X240" s="53" t="n"/>
      <c r="Y240" s="53" t="n"/>
      <c r="Z240" s="53" t="n"/>
      <c r="AA240" s="53" t="n"/>
      <c r="AB240" s="14" t="n"/>
    </row>
    <row r="241" ht="15" customHeight="1">
      <c r="A241" s="51">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52">
        <f>IF(C241="","",COUNTIFS(tbl_Finance[Job Number],C241&amp;"",tbl_Finance[Ex GST],"&lt;&gt;"))</f>
        <v/>
      </c>
      <c r="H241" s="17">
        <f>IF(C241="","",SUMIFS(tbl_Finance[Ex GST],tbl_Finance[Job Number],C241&amp;""))</f>
        <v/>
      </c>
      <c r="I241" s="15">
        <f>IF(C241="","",IFERROR(INDEX(tbl_Finance[Cost Centre],MATCH(C241&amp;"",tbl_Finance[Job Number],0)),"not invoiced yet"))</f>
        <v/>
      </c>
      <c r="J241" s="12" t="n"/>
      <c r="K241" s="14" t="n"/>
      <c r="L241" s="15">
        <f>IF(OR(K241="",set_RMSBase=""),"",HYPERLINK(set_RMSBase&amp;K241,"Open "&amp;K241))</f>
        <v/>
      </c>
      <c r="M241" s="15">
        <f>IF(C241="","",C241)</f>
        <v/>
      </c>
      <c r="N241" s="14" t="n"/>
      <c r="O241" s="16" t="n"/>
      <c r="P241" s="17">
        <f>IF(C241="","",H241+N(O241))</f>
        <v/>
      </c>
      <c r="Q241" s="54">
        <f>IFERROR(O241/P241,"")</f>
        <v/>
      </c>
      <c r="R241" s="16" t="n"/>
      <c r="S241" s="16" t="n"/>
      <c r="T241" s="17">
        <f>IF(C241="","",N(R241)+N(S241))</f>
        <v/>
      </c>
      <c r="U241" s="17">
        <f>IF(C241="","",H241-T241)</f>
        <v/>
      </c>
      <c r="V241" s="54">
        <f>IFERROR(U241/H241,"")</f>
        <v/>
      </c>
      <c r="W241" s="53" t="n"/>
      <c r="X241" s="53" t="n"/>
      <c r="Y241" s="53" t="n"/>
      <c r="Z241" s="53" t="n"/>
      <c r="AA241" s="53" t="n"/>
      <c r="AB241" s="14" t="n"/>
    </row>
    <row r="242" ht="15" customHeight="1">
      <c r="A242" s="51">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52">
        <f>IF(C242="","",COUNTIFS(tbl_Finance[Job Number],C242&amp;"",tbl_Finance[Ex GST],"&lt;&gt;"))</f>
        <v/>
      </c>
      <c r="H242" s="17">
        <f>IF(C242="","",SUMIFS(tbl_Finance[Ex GST],tbl_Finance[Job Number],C242&amp;""))</f>
        <v/>
      </c>
      <c r="I242" s="15">
        <f>IF(C242="","",IFERROR(INDEX(tbl_Finance[Cost Centre],MATCH(C242&amp;"",tbl_Finance[Job Number],0)),"not invoiced yet"))</f>
        <v/>
      </c>
      <c r="J242" s="12" t="n"/>
      <c r="K242" s="14" t="n"/>
      <c r="L242" s="15">
        <f>IF(OR(K242="",set_RMSBase=""),"",HYPERLINK(set_RMSBase&amp;K242,"Open "&amp;K242))</f>
        <v/>
      </c>
      <c r="M242" s="15">
        <f>IF(C242="","",C242)</f>
        <v/>
      </c>
      <c r="N242" s="14" t="n"/>
      <c r="O242" s="16" t="n"/>
      <c r="P242" s="17">
        <f>IF(C242="","",H242+N(O242))</f>
        <v/>
      </c>
      <c r="Q242" s="54">
        <f>IFERROR(O242/P242,"")</f>
        <v/>
      </c>
      <c r="R242" s="16" t="n"/>
      <c r="S242" s="16" t="n"/>
      <c r="T242" s="17">
        <f>IF(C242="","",N(R242)+N(S242))</f>
        <v/>
      </c>
      <c r="U242" s="17">
        <f>IF(C242="","",H242-T242)</f>
        <v/>
      </c>
      <c r="V242" s="54">
        <f>IFERROR(U242/H242,"")</f>
        <v/>
      </c>
      <c r="W242" s="53" t="n"/>
      <c r="X242" s="53" t="n"/>
      <c r="Y242" s="53" t="n"/>
      <c r="Z242" s="53" t="n"/>
      <c r="AA242" s="53" t="n"/>
      <c r="AB242" s="14" t="n"/>
    </row>
    <row r="243" ht="15" customHeight="1">
      <c r="A243" s="51">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52">
        <f>IF(C243="","",COUNTIFS(tbl_Finance[Job Number],C243&amp;"",tbl_Finance[Ex GST],"&lt;&gt;"))</f>
        <v/>
      </c>
      <c r="H243" s="17">
        <f>IF(C243="","",SUMIFS(tbl_Finance[Ex GST],tbl_Finance[Job Number],C243&amp;""))</f>
        <v/>
      </c>
      <c r="I243" s="15">
        <f>IF(C243="","",IFERROR(INDEX(tbl_Finance[Cost Centre],MATCH(C243&amp;"",tbl_Finance[Job Number],0)),"not invoiced yet"))</f>
        <v/>
      </c>
      <c r="J243" s="12" t="n"/>
      <c r="K243" s="14" t="n"/>
      <c r="L243" s="15">
        <f>IF(OR(K243="",set_RMSBase=""),"",HYPERLINK(set_RMSBase&amp;K243,"Open "&amp;K243))</f>
        <v/>
      </c>
      <c r="M243" s="15">
        <f>IF(C243="","",C243)</f>
        <v/>
      </c>
      <c r="N243" s="14" t="n"/>
      <c r="O243" s="16" t="n"/>
      <c r="P243" s="17">
        <f>IF(C243="","",H243+N(O243))</f>
        <v/>
      </c>
      <c r="Q243" s="54">
        <f>IFERROR(O243/P243,"")</f>
        <v/>
      </c>
      <c r="R243" s="16" t="n"/>
      <c r="S243" s="16" t="n"/>
      <c r="T243" s="17">
        <f>IF(C243="","",N(R243)+N(S243))</f>
        <v/>
      </c>
      <c r="U243" s="17">
        <f>IF(C243="","",H243-T243)</f>
        <v/>
      </c>
      <c r="V243" s="54">
        <f>IFERROR(U243/H243,"")</f>
        <v/>
      </c>
      <c r="W243" s="53" t="n"/>
      <c r="X243" s="53" t="n"/>
      <c r="Y243" s="53" t="n"/>
      <c r="Z243" s="53" t="n"/>
      <c r="AA243" s="53" t="n"/>
      <c r="AB243" s="14" t="n"/>
    </row>
    <row r="244" ht="15" customHeight="1">
      <c r="A244" s="51">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52">
        <f>IF(C244="","",COUNTIFS(tbl_Finance[Job Number],C244&amp;"",tbl_Finance[Ex GST],"&lt;&gt;"))</f>
        <v/>
      </c>
      <c r="H244" s="17">
        <f>IF(C244="","",SUMIFS(tbl_Finance[Ex GST],tbl_Finance[Job Number],C244&amp;""))</f>
        <v/>
      </c>
      <c r="I244" s="15">
        <f>IF(C244="","",IFERROR(INDEX(tbl_Finance[Cost Centre],MATCH(C244&amp;"",tbl_Finance[Job Number],0)),"not invoiced yet"))</f>
        <v/>
      </c>
      <c r="J244" s="12" t="n"/>
      <c r="K244" s="14" t="n"/>
      <c r="L244" s="15">
        <f>IF(OR(K244="",set_RMSBase=""),"",HYPERLINK(set_RMSBase&amp;K244,"Open "&amp;K244))</f>
        <v/>
      </c>
      <c r="M244" s="15">
        <f>IF(C244="","",C244)</f>
        <v/>
      </c>
      <c r="N244" s="14" t="n"/>
      <c r="O244" s="16" t="n"/>
      <c r="P244" s="17">
        <f>IF(C244="","",H244+N(O244))</f>
        <v/>
      </c>
      <c r="Q244" s="54">
        <f>IFERROR(O244/P244,"")</f>
        <v/>
      </c>
      <c r="R244" s="16" t="n"/>
      <c r="S244" s="16" t="n"/>
      <c r="T244" s="17">
        <f>IF(C244="","",N(R244)+N(S244))</f>
        <v/>
      </c>
      <c r="U244" s="17">
        <f>IF(C244="","",H244-T244)</f>
        <v/>
      </c>
      <c r="V244" s="54">
        <f>IFERROR(U244/H244,"")</f>
        <v/>
      </c>
      <c r="W244" s="53" t="n"/>
      <c r="X244" s="53" t="n"/>
      <c r="Y244" s="53" t="n"/>
      <c r="Z244" s="53" t="n"/>
      <c r="AA244" s="53" t="n"/>
      <c r="AB244" s="14" t="n"/>
    </row>
    <row r="245" ht="15" customHeight="1">
      <c r="A245" s="51">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52">
        <f>IF(C245="","",COUNTIFS(tbl_Finance[Job Number],C245&amp;"",tbl_Finance[Ex GST],"&lt;&gt;"))</f>
        <v/>
      </c>
      <c r="H245" s="17">
        <f>IF(C245="","",SUMIFS(tbl_Finance[Ex GST],tbl_Finance[Job Number],C245&amp;""))</f>
        <v/>
      </c>
      <c r="I245" s="15">
        <f>IF(C245="","",IFERROR(INDEX(tbl_Finance[Cost Centre],MATCH(C245&amp;"",tbl_Finance[Job Number],0)),"not invoiced yet"))</f>
        <v/>
      </c>
      <c r="J245" s="12" t="n"/>
      <c r="K245" s="14" t="n"/>
      <c r="L245" s="15">
        <f>IF(OR(K245="",set_RMSBase=""),"",HYPERLINK(set_RMSBase&amp;K245,"Open "&amp;K245))</f>
        <v/>
      </c>
      <c r="M245" s="15">
        <f>IF(C245="","",C245)</f>
        <v/>
      </c>
      <c r="N245" s="14" t="n"/>
      <c r="O245" s="16" t="n"/>
      <c r="P245" s="17">
        <f>IF(C245="","",H245+N(O245))</f>
        <v/>
      </c>
      <c r="Q245" s="54">
        <f>IFERROR(O245/P245,"")</f>
        <v/>
      </c>
      <c r="R245" s="16" t="n"/>
      <c r="S245" s="16" t="n"/>
      <c r="T245" s="17">
        <f>IF(C245="","",N(R245)+N(S245))</f>
        <v/>
      </c>
      <c r="U245" s="17">
        <f>IF(C245="","",H245-T245)</f>
        <v/>
      </c>
      <c r="V245" s="54">
        <f>IFERROR(U245/H245,"")</f>
        <v/>
      </c>
      <c r="W245" s="53" t="n"/>
      <c r="X245" s="53" t="n"/>
      <c r="Y245" s="53" t="n"/>
      <c r="Z245" s="53" t="n"/>
      <c r="AA245" s="53" t="n"/>
      <c r="AB245" s="14" t="n"/>
    </row>
    <row r="246" ht="15" customHeight="1">
      <c r="A246" s="51">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52">
        <f>IF(C246="","",COUNTIFS(tbl_Finance[Job Number],C246&amp;"",tbl_Finance[Ex GST],"&lt;&gt;"))</f>
        <v/>
      </c>
      <c r="H246" s="17">
        <f>IF(C246="","",SUMIFS(tbl_Finance[Ex GST],tbl_Finance[Job Number],C246&amp;""))</f>
        <v/>
      </c>
      <c r="I246" s="15">
        <f>IF(C246="","",IFERROR(INDEX(tbl_Finance[Cost Centre],MATCH(C246&amp;"",tbl_Finance[Job Number],0)),"not invoiced yet"))</f>
        <v/>
      </c>
      <c r="J246" s="12" t="n"/>
      <c r="K246" s="14" t="n"/>
      <c r="L246" s="15">
        <f>IF(OR(K246="",set_RMSBase=""),"",HYPERLINK(set_RMSBase&amp;K246,"Open "&amp;K246))</f>
        <v/>
      </c>
      <c r="M246" s="15">
        <f>IF(C246="","",C246)</f>
        <v/>
      </c>
      <c r="N246" s="14" t="n"/>
      <c r="O246" s="16" t="n"/>
      <c r="P246" s="17">
        <f>IF(C246="","",H246+N(O246))</f>
        <v/>
      </c>
      <c r="Q246" s="54">
        <f>IFERROR(O246/P246,"")</f>
        <v/>
      </c>
      <c r="R246" s="16" t="n"/>
      <c r="S246" s="16" t="n"/>
      <c r="T246" s="17">
        <f>IF(C246="","",N(R246)+N(S246))</f>
        <v/>
      </c>
      <c r="U246" s="17">
        <f>IF(C246="","",H246-T246)</f>
        <v/>
      </c>
      <c r="V246" s="54">
        <f>IFERROR(U246/H246,"")</f>
        <v/>
      </c>
      <c r="W246" s="53" t="n"/>
      <c r="X246" s="53" t="n"/>
      <c r="Y246" s="53" t="n"/>
      <c r="Z246" s="53" t="n"/>
      <c r="AA246" s="53" t="n"/>
      <c r="AB246" s="14" t="n"/>
    </row>
    <row r="247" ht="15" customHeight="1">
      <c r="A247" s="51">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52">
        <f>IF(C247="","",COUNTIFS(tbl_Finance[Job Number],C247&amp;"",tbl_Finance[Ex GST],"&lt;&gt;"))</f>
        <v/>
      </c>
      <c r="H247" s="17">
        <f>IF(C247="","",SUMIFS(tbl_Finance[Ex GST],tbl_Finance[Job Number],C247&amp;""))</f>
        <v/>
      </c>
      <c r="I247" s="15">
        <f>IF(C247="","",IFERROR(INDEX(tbl_Finance[Cost Centre],MATCH(C247&amp;"",tbl_Finance[Job Number],0)),"not invoiced yet"))</f>
        <v/>
      </c>
      <c r="J247" s="12" t="n"/>
      <c r="K247" s="14" t="n"/>
      <c r="L247" s="15">
        <f>IF(OR(K247="",set_RMSBase=""),"",HYPERLINK(set_RMSBase&amp;K247,"Open "&amp;K247))</f>
        <v/>
      </c>
      <c r="M247" s="15">
        <f>IF(C247="","",C247)</f>
        <v/>
      </c>
      <c r="N247" s="14" t="n"/>
      <c r="O247" s="16" t="n"/>
      <c r="P247" s="17">
        <f>IF(C247="","",H247+N(O247))</f>
        <v/>
      </c>
      <c r="Q247" s="54">
        <f>IFERROR(O247/P247,"")</f>
        <v/>
      </c>
      <c r="R247" s="16" t="n"/>
      <c r="S247" s="16" t="n"/>
      <c r="T247" s="17">
        <f>IF(C247="","",N(R247)+N(S247))</f>
        <v/>
      </c>
      <c r="U247" s="17">
        <f>IF(C247="","",H247-T247)</f>
        <v/>
      </c>
      <c r="V247" s="54">
        <f>IFERROR(U247/H247,"")</f>
        <v/>
      </c>
      <c r="W247" s="53" t="n"/>
      <c r="X247" s="53" t="n"/>
      <c r="Y247" s="53" t="n"/>
      <c r="Z247" s="53" t="n"/>
      <c r="AA247" s="53" t="n"/>
      <c r="AB247" s="14" t="n"/>
    </row>
    <row r="248" ht="15" customHeight="1">
      <c r="A248" s="51">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52">
        <f>IF(C248="","",COUNTIFS(tbl_Finance[Job Number],C248&amp;"",tbl_Finance[Ex GST],"&lt;&gt;"))</f>
        <v/>
      </c>
      <c r="H248" s="17">
        <f>IF(C248="","",SUMIFS(tbl_Finance[Ex GST],tbl_Finance[Job Number],C248&amp;""))</f>
        <v/>
      </c>
      <c r="I248" s="15">
        <f>IF(C248="","",IFERROR(INDEX(tbl_Finance[Cost Centre],MATCH(C248&amp;"",tbl_Finance[Job Number],0)),"not invoiced yet"))</f>
        <v/>
      </c>
      <c r="J248" s="12" t="n"/>
      <c r="K248" s="14" t="n"/>
      <c r="L248" s="15">
        <f>IF(OR(K248="",set_RMSBase=""),"",HYPERLINK(set_RMSBase&amp;K248,"Open "&amp;K248))</f>
        <v/>
      </c>
      <c r="M248" s="15">
        <f>IF(C248="","",C248)</f>
        <v/>
      </c>
      <c r="N248" s="14" t="n"/>
      <c r="O248" s="16" t="n"/>
      <c r="P248" s="17">
        <f>IF(C248="","",H248+N(O248))</f>
        <v/>
      </c>
      <c r="Q248" s="54">
        <f>IFERROR(O248/P248,"")</f>
        <v/>
      </c>
      <c r="R248" s="16" t="n"/>
      <c r="S248" s="16" t="n"/>
      <c r="T248" s="17">
        <f>IF(C248="","",N(R248)+N(S248))</f>
        <v/>
      </c>
      <c r="U248" s="17">
        <f>IF(C248="","",H248-T248)</f>
        <v/>
      </c>
      <c r="V248" s="54">
        <f>IFERROR(U248/H248,"")</f>
        <v/>
      </c>
      <c r="W248" s="53" t="n"/>
      <c r="X248" s="53" t="n"/>
      <c r="Y248" s="53" t="n"/>
      <c r="Z248" s="53" t="n"/>
      <c r="AA248" s="53" t="n"/>
      <c r="AB248" s="14" t="n"/>
    </row>
    <row r="249" ht="15" customHeight="1">
      <c r="A249" s="51">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52">
        <f>IF(C249="","",COUNTIFS(tbl_Finance[Job Number],C249&amp;"",tbl_Finance[Ex GST],"&lt;&gt;"))</f>
        <v/>
      </c>
      <c r="H249" s="17">
        <f>IF(C249="","",SUMIFS(tbl_Finance[Ex GST],tbl_Finance[Job Number],C249&amp;""))</f>
        <v/>
      </c>
      <c r="I249" s="15">
        <f>IF(C249="","",IFERROR(INDEX(tbl_Finance[Cost Centre],MATCH(C249&amp;"",tbl_Finance[Job Number],0)),"not invoiced yet"))</f>
        <v/>
      </c>
      <c r="J249" s="12" t="n"/>
      <c r="K249" s="14" t="n"/>
      <c r="L249" s="15">
        <f>IF(OR(K249="",set_RMSBase=""),"",HYPERLINK(set_RMSBase&amp;K249,"Open "&amp;K249))</f>
        <v/>
      </c>
      <c r="M249" s="15">
        <f>IF(C249="","",C249)</f>
        <v/>
      </c>
      <c r="N249" s="14" t="n"/>
      <c r="O249" s="16" t="n"/>
      <c r="P249" s="17">
        <f>IF(C249="","",H249+N(O249))</f>
        <v/>
      </c>
      <c r="Q249" s="54">
        <f>IFERROR(O249/P249,"")</f>
        <v/>
      </c>
      <c r="R249" s="16" t="n"/>
      <c r="S249" s="16" t="n"/>
      <c r="T249" s="17">
        <f>IF(C249="","",N(R249)+N(S249))</f>
        <v/>
      </c>
      <c r="U249" s="17">
        <f>IF(C249="","",H249-T249)</f>
        <v/>
      </c>
      <c r="V249" s="54">
        <f>IFERROR(U249/H249,"")</f>
        <v/>
      </c>
      <c r="W249" s="53" t="n"/>
      <c r="X249" s="53" t="n"/>
      <c r="Y249" s="53" t="n"/>
      <c r="Z249" s="53" t="n"/>
      <c r="AA249" s="53" t="n"/>
      <c r="AB249" s="14" t="n"/>
    </row>
    <row r="250" ht="15" customHeight="1">
      <c r="A250" s="51">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52">
        <f>IF(C250="","",COUNTIFS(tbl_Finance[Job Number],C250&amp;"",tbl_Finance[Ex GST],"&lt;&gt;"))</f>
        <v/>
      </c>
      <c r="H250" s="17">
        <f>IF(C250="","",SUMIFS(tbl_Finance[Ex GST],tbl_Finance[Job Number],C250&amp;""))</f>
        <v/>
      </c>
      <c r="I250" s="15">
        <f>IF(C250="","",IFERROR(INDEX(tbl_Finance[Cost Centre],MATCH(C250&amp;"",tbl_Finance[Job Number],0)),"not invoiced yet"))</f>
        <v/>
      </c>
      <c r="J250" s="12" t="n"/>
      <c r="K250" s="14" t="n"/>
      <c r="L250" s="15">
        <f>IF(OR(K250="",set_RMSBase=""),"",HYPERLINK(set_RMSBase&amp;K250,"Open "&amp;K250))</f>
        <v/>
      </c>
      <c r="M250" s="15">
        <f>IF(C250="","",C250)</f>
        <v/>
      </c>
      <c r="N250" s="14" t="n"/>
      <c r="O250" s="16" t="n"/>
      <c r="P250" s="17">
        <f>IF(C250="","",H250+N(O250))</f>
        <v/>
      </c>
      <c r="Q250" s="54">
        <f>IFERROR(O250/P250,"")</f>
        <v/>
      </c>
      <c r="R250" s="16" t="n"/>
      <c r="S250" s="16" t="n"/>
      <c r="T250" s="17">
        <f>IF(C250="","",N(R250)+N(S250))</f>
        <v/>
      </c>
      <c r="U250" s="17">
        <f>IF(C250="","",H250-T250)</f>
        <v/>
      </c>
      <c r="V250" s="54">
        <f>IFERROR(U250/H250,"")</f>
        <v/>
      </c>
      <c r="W250" s="53" t="n"/>
      <c r="X250" s="53" t="n"/>
      <c r="Y250" s="53" t="n"/>
      <c r="Z250" s="53" t="n"/>
      <c r="AA250" s="53" t="n"/>
      <c r="AB250" s="14" t="n"/>
    </row>
    <row r="251" ht="15" customHeight="1">
      <c r="A251" s="51">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52">
        <f>IF(C251="","",COUNTIFS(tbl_Finance[Job Number],C251&amp;"",tbl_Finance[Ex GST],"&lt;&gt;"))</f>
        <v/>
      </c>
      <c r="H251" s="17">
        <f>IF(C251="","",SUMIFS(tbl_Finance[Ex GST],tbl_Finance[Job Number],C251&amp;""))</f>
        <v/>
      </c>
      <c r="I251" s="15">
        <f>IF(C251="","",IFERROR(INDEX(tbl_Finance[Cost Centre],MATCH(C251&amp;"",tbl_Finance[Job Number],0)),"not invoiced yet"))</f>
        <v/>
      </c>
      <c r="J251" s="12" t="n"/>
      <c r="K251" s="14" t="n"/>
      <c r="L251" s="15">
        <f>IF(OR(K251="",set_RMSBase=""),"",HYPERLINK(set_RMSBase&amp;K251,"Open "&amp;K251))</f>
        <v/>
      </c>
      <c r="M251" s="15">
        <f>IF(C251="","",C251)</f>
        <v/>
      </c>
      <c r="N251" s="14" t="n"/>
      <c r="O251" s="16" t="n"/>
      <c r="P251" s="17">
        <f>IF(C251="","",H251+N(O251))</f>
        <v/>
      </c>
      <c r="Q251" s="54">
        <f>IFERROR(O251/P251,"")</f>
        <v/>
      </c>
      <c r="R251" s="16" t="n"/>
      <c r="S251" s="16" t="n"/>
      <c r="T251" s="17">
        <f>IF(C251="","",N(R251)+N(S251))</f>
        <v/>
      </c>
      <c r="U251" s="17">
        <f>IF(C251="","",H251-T251)</f>
        <v/>
      </c>
      <c r="V251" s="54">
        <f>IFERROR(U251/H251,"")</f>
        <v/>
      </c>
      <c r="W251" s="53" t="n"/>
      <c r="X251" s="53" t="n"/>
      <c r="Y251" s="53" t="n"/>
      <c r="Z251" s="53" t="n"/>
      <c r="AA251" s="53" t="n"/>
      <c r="AB251" s="14" t="n"/>
    </row>
    <row r="252" ht="15" customHeight="1">
      <c r="A252" s="51">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52">
        <f>IF(C252="","",COUNTIFS(tbl_Finance[Job Number],C252&amp;"",tbl_Finance[Ex GST],"&lt;&gt;"))</f>
        <v/>
      </c>
      <c r="H252" s="17">
        <f>IF(C252="","",SUMIFS(tbl_Finance[Ex GST],tbl_Finance[Job Number],C252&amp;""))</f>
        <v/>
      </c>
      <c r="I252" s="15">
        <f>IF(C252="","",IFERROR(INDEX(tbl_Finance[Cost Centre],MATCH(C252&amp;"",tbl_Finance[Job Number],0)),"not invoiced yet"))</f>
        <v/>
      </c>
      <c r="J252" s="12" t="n"/>
      <c r="K252" s="14" t="n"/>
      <c r="L252" s="15">
        <f>IF(OR(K252="",set_RMSBase=""),"",HYPERLINK(set_RMSBase&amp;K252,"Open "&amp;K252))</f>
        <v/>
      </c>
      <c r="M252" s="15">
        <f>IF(C252="","",C252)</f>
        <v/>
      </c>
      <c r="N252" s="14" t="n"/>
      <c r="O252" s="16" t="n"/>
      <c r="P252" s="17">
        <f>IF(C252="","",H252+N(O252))</f>
        <v/>
      </c>
      <c r="Q252" s="54">
        <f>IFERROR(O252/P252,"")</f>
        <v/>
      </c>
      <c r="R252" s="16" t="n"/>
      <c r="S252" s="16" t="n"/>
      <c r="T252" s="17">
        <f>IF(C252="","",N(R252)+N(S252))</f>
        <v/>
      </c>
      <c r="U252" s="17">
        <f>IF(C252="","",H252-T252)</f>
        <v/>
      </c>
      <c r="V252" s="54">
        <f>IFERROR(U252/H252,"")</f>
        <v/>
      </c>
      <c r="W252" s="53" t="n"/>
      <c r="X252" s="53" t="n"/>
      <c r="Y252" s="53" t="n"/>
      <c r="Z252" s="53" t="n"/>
      <c r="AA252" s="53" t="n"/>
      <c r="AB252" s="14" t="n"/>
    </row>
    <row r="253" ht="15" customHeight="1">
      <c r="A253" s="51">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52">
        <f>IF(C253="","",COUNTIFS(tbl_Finance[Job Number],C253&amp;"",tbl_Finance[Ex GST],"&lt;&gt;"))</f>
        <v/>
      </c>
      <c r="H253" s="17">
        <f>IF(C253="","",SUMIFS(tbl_Finance[Ex GST],tbl_Finance[Job Number],C253&amp;""))</f>
        <v/>
      </c>
      <c r="I253" s="15">
        <f>IF(C253="","",IFERROR(INDEX(tbl_Finance[Cost Centre],MATCH(C253&amp;"",tbl_Finance[Job Number],0)),"not invoiced yet"))</f>
        <v/>
      </c>
      <c r="J253" s="12" t="n"/>
      <c r="K253" s="14" t="n"/>
      <c r="L253" s="15">
        <f>IF(OR(K253="",set_RMSBase=""),"",HYPERLINK(set_RMSBase&amp;K253,"Open "&amp;K253))</f>
        <v/>
      </c>
      <c r="M253" s="15">
        <f>IF(C253="","",C253)</f>
        <v/>
      </c>
      <c r="N253" s="14" t="n"/>
      <c r="O253" s="16" t="n"/>
      <c r="P253" s="17">
        <f>IF(C253="","",H253+N(O253))</f>
        <v/>
      </c>
      <c r="Q253" s="54">
        <f>IFERROR(O253/P253,"")</f>
        <v/>
      </c>
      <c r="R253" s="16" t="n"/>
      <c r="S253" s="16" t="n"/>
      <c r="T253" s="17">
        <f>IF(C253="","",N(R253)+N(S253))</f>
        <v/>
      </c>
      <c r="U253" s="17">
        <f>IF(C253="","",H253-T253)</f>
        <v/>
      </c>
      <c r="V253" s="54">
        <f>IFERROR(U253/H253,"")</f>
        <v/>
      </c>
      <c r="W253" s="53" t="n"/>
      <c r="X253" s="53" t="n"/>
      <c r="Y253" s="53" t="n"/>
      <c r="Z253" s="53" t="n"/>
      <c r="AA253" s="53" t="n"/>
      <c r="AB253" s="14" t="n"/>
    </row>
    <row r="254" ht="15" customHeight="1">
      <c r="A254" s="51">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52">
        <f>IF(C254="","",COUNTIFS(tbl_Finance[Job Number],C254&amp;"",tbl_Finance[Ex GST],"&lt;&gt;"))</f>
        <v/>
      </c>
      <c r="H254" s="17">
        <f>IF(C254="","",SUMIFS(tbl_Finance[Ex GST],tbl_Finance[Job Number],C254&amp;""))</f>
        <v/>
      </c>
      <c r="I254" s="15">
        <f>IF(C254="","",IFERROR(INDEX(tbl_Finance[Cost Centre],MATCH(C254&amp;"",tbl_Finance[Job Number],0)),"not invoiced yet"))</f>
        <v/>
      </c>
      <c r="J254" s="12" t="n"/>
      <c r="K254" s="14" t="n"/>
      <c r="L254" s="15">
        <f>IF(OR(K254="",set_RMSBase=""),"",HYPERLINK(set_RMSBase&amp;K254,"Open "&amp;K254))</f>
        <v/>
      </c>
      <c r="M254" s="15">
        <f>IF(C254="","",C254)</f>
        <v/>
      </c>
      <c r="N254" s="14" t="n"/>
      <c r="O254" s="16" t="n"/>
      <c r="P254" s="17">
        <f>IF(C254="","",H254+N(O254))</f>
        <v/>
      </c>
      <c r="Q254" s="54">
        <f>IFERROR(O254/P254,"")</f>
        <v/>
      </c>
      <c r="R254" s="16" t="n"/>
      <c r="S254" s="16" t="n"/>
      <c r="T254" s="17">
        <f>IF(C254="","",N(R254)+N(S254))</f>
        <v/>
      </c>
      <c r="U254" s="17">
        <f>IF(C254="","",H254-T254)</f>
        <v/>
      </c>
      <c r="V254" s="54">
        <f>IFERROR(U254/H254,"")</f>
        <v/>
      </c>
      <c r="W254" s="53" t="n"/>
      <c r="X254" s="53" t="n"/>
      <c r="Y254" s="53" t="n"/>
      <c r="Z254" s="53" t="n"/>
      <c r="AA254" s="53" t="n"/>
      <c r="AB254" s="14" t="n"/>
    </row>
    <row r="255" ht="15" customHeight="1">
      <c r="A255" s="51">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52">
        <f>IF(C255="","",COUNTIFS(tbl_Finance[Job Number],C255&amp;"",tbl_Finance[Ex GST],"&lt;&gt;"))</f>
        <v/>
      </c>
      <c r="H255" s="17">
        <f>IF(C255="","",SUMIFS(tbl_Finance[Ex GST],tbl_Finance[Job Number],C255&amp;""))</f>
        <v/>
      </c>
      <c r="I255" s="15">
        <f>IF(C255="","",IFERROR(INDEX(tbl_Finance[Cost Centre],MATCH(C255&amp;"",tbl_Finance[Job Number],0)),"not invoiced yet"))</f>
        <v/>
      </c>
      <c r="J255" s="12" t="n"/>
      <c r="K255" s="14" t="n"/>
      <c r="L255" s="15">
        <f>IF(OR(K255="",set_RMSBase=""),"",HYPERLINK(set_RMSBase&amp;K255,"Open "&amp;K255))</f>
        <v/>
      </c>
      <c r="M255" s="15">
        <f>IF(C255="","",C255)</f>
        <v/>
      </c>
      <c r="N255" s="14" t="n"/>
      <c r="O255" s="16" t="n"/>
      <c r="P255" s="17">
        <f>IF(C255="","",H255+N(O255))</f>
        <v/>
      </c>
      <c r="Q255" s="54">
        <f>IFERROR(O255/P255,"")</f>
        <v/>
      </c>
      <c r="R255" s="16" t="n"/>
      <c r="S255" s="16" t="n"/>
      <c r="T255" s="17">
        <f>IF(C255="","",N(R255)+N(S255))</f>
        <v/>
      </c>
      <c r="U255" s="17">
        <f>IF(C255="","",H255-T255)</f>
        <v/>
      </c>
      <c r="V255" s="54">
        <f>IFERROR(U255/H255,"")</f>
        <v/>
      </c>
      <c r="W255" s="53" t="n"/>
      <c r="X255" s="53" t="n"/>
      <c r="Y255" s="53" t="n"/>
      <c r="Z255" s="53" t="n"/>
      <c r="AA255" s="53" t="n"/>
      <c r="AB255" s="14" t="n"/>
    </row>
    <row r="256" ht="15" customHeight="1">
      <c r="A256" s="51">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52">
        <f>IF(C256="","",COUNTIFS(tbl_Finance[Job Number],C256&amp;"",tbl_Finance[Ex GST],"&lt;&gt;"))</f>
        <v/>
      </c>
      <c r="H256" s="17">
        <f>IF(C256="","",SUMIFS(tbl_Finance[Ex GST],tbl_Finance[Job Number],C256&amp;""))</f>
        <v/>
      </c>
      <c r="I256" s="15">
        <f>IF(C256="","",IFERROR(INDEX(tbl_Finance[Cost Centre],MATCH(C256&amp;"",tbl_Finance[Job Number],0)),"not invoiced yet"))</f>
        <v/>
      </c>
      <c r="J256" s="12" t="n"/>
      <c r="K256" s="14" t="n"/>
      <c r="L256" s="15">
        <f>IF(OR(K256="",set_RMSBase=""),"",HYPERLINK(set_RMSBase&amp;K256,"Open "&amp;K256))</f>
        <v/>
      </c>
      <c r="M256" s="15">
        <f>IF(C256="","",C256)</f>
        <v/>
      </c>
      <c r="N256" s="14" t="n"/>
      <c r="O256" s="16" t="n"/>
      <c r="P256" s="17">
        <f>IF(C256="","",H256+N(O256))</f>
        <v/>
      </c>
      <c r="Q256" s="54">
        <f>IFERROR(O256/P256,"")</f>
        <v/>
      </c>
      <c r="R256" s="16" t="n"/>
      <c r="S256" s="16" t="n"/>
      <c r="T256" s="17">
        <f>IF(C256="","",N(R256)+N(S256))</f>
        <v/>
      </c>
      <c r="U256" s="17">
        <f>IF(C256="","",H256-T256)</f>
        <v/>
      </c>
      <c r="V256" s="54">
        <f>IFERROR(U256/H256,"")</f>
        <v/>
      </c>
      <c r="W256" s="53" t="n"/>
      <c r="X256" s="53" t="n"/>
      <c r="Y256" s="53" t="n"/>
      <c r="Z256" s="53" t="n"/>
      <c r="AA256" s="53" t="n"/>
      <c r="AB256" s="14" t="n"/>
    </row>
    <row r="257" ht="15" customHeight="1">
      <c r="A257" s="51">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52">
        <f>IF(C257="","",COUNTIFS(tbl_Finance[Job Number],C257&amp;"",tbl_Finance[Ex GST],"&lt;&gt;"))</f>
        <v/>
      </c>
      <c r="H257" s="17">
        <f>IF(C257="","",SUMIFS(tbl_Finance[Ex GST],tbl_Finance[Job Number],C257&amp;""))</f>
        <v/>
      </c>
      <c r="I257" s="15">
        <f>IF(C257="","",IFERROR(INDEX(tbl_Finance[Cost Centre],MATCH(C257&amp;"",tbl_Finance[Job Number],0)),"not invoiced yet"))</f>
        <v/>
      </c>
      <c r="J257" s="12" t="n"/>
      <c r="K257" s="14" t="n"/>
      <c r="L257" s="15">
        <f>IF(OR(K257="",set_RMSBase=""),"",HYPERLINK(set_RMSBase&amp;K257,"Open "&amp;K257))</f>
        <v/>
      </c>
      <c r="M257" s="15">
        <f>IF(C257="","",C257)</f>
        <v/>
      </c>
      <c r="N257" s="14" t="n"/>
      <c r="O257" s="16" t="n"/>
      <c r="P257" s="17">
        <f>IF(C257="","",H257+N(O257))</f>
        <v/>
      </c>
      <c r="Q257" s="54">
        <f>IFERROR(O257/P257,"")</f>
        <v/>
      </c>
      <c r="R257" s="16" t="n"/>
      <c r="S257" s="16" t="n"/>
      <c r="T257" s="17">
        <f>IF(C257="","",N(R257)+N(S257))</f>
        <v/>
      </c>
      <c r="U257" s="17">
        <f>IF(C257="","",H257-T257)</f>
        <v/>
      </c>
      <c r="V257" s="54">
        <f>IFERROR(U257/H257,"")</f>
        <v/>
      </c>
      <c r="W257" s="53" t="n"/>
      <c r="X257" s="53" t="n"/>
      <c r="Y257" s="53" t="n"/>
      <c r="Z257" s="53" t="n"/>
      <c r="AA257" s="53" t="n"/>
      <c r="AB257" s="14" t="n"/>
    </row>
    <row r="258" ht="15" customHeight="1">
      <c r="A258" s="51">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52">
        <f>IF(C258="","",COUNTIFS(tbl_Finance[Job Number],C258&amp;"",tbl_Finance[Ex GST],"&lt;&gt;"))</f>
        <v/>
      </c>
      <c r="H258" s="17">
        <f>IF(C258="","",SUMIFS(tbl_Finance[Ex GST],tbl_Finance[Job Number],C258&amp;""))</f>
        <v/>
      </c>
      <c r="I258" s="15">
        <f>IF(C258="","",IFERROR(INDEX(tbl_Finance[Cost Centre],MATCH(C258&amp;"",tbl_Finance[Job Number],0)),"not invoiced yet"))</f>
        <v/>
      </c>
      <c r="J258" s="12" t="n"/>
      <c r="K258" s="14" t="n"/>
      <c r="L258" s="15">
        <f>IF(OR(K258="",set_RMSBase=""),"",HYPERLINK(set_RMSBase&amp;K258,"Open "&amp;K258))</f>
        <v/>
      </c>
      <c r="M258" s="15">
        <f>IF(C258="","",C258)</f>
        <v/>
      </c>
      <c r="N258" s="14" t="n"/>
      <c r="O258" s="16" t="n"/>
      <c r="P258" s="17">
        <f>IF(C258="","",H258+N(O258))</f>
        <v/>
      </c>
      <c r="Q258" s="54">
        <f>IFERROR(O258/P258,"")</f>
        <v/>
      </c>
      <c r="R258" s="16" t="n"/>
      <c r="S258" s="16" t="n"/>
      <c r="T258" s="17">
        <f>IF(C258="","",N(R258)+N(S258))</f>
        <v/>
      </c>
      <c r="U258" s="17">
        <f>IF(C258="","",H258-T258)</f>
        <v/>
      </c>
      <c r="V258" s="54">
        <f>IFERROR(U258/H258,"")</f>
        <v/>
      </c>
      <c r="W258" s="53" t="n"/>
      <c r="X258" s="53" t="n"/>
      <c r="Y258" s="53" t="n"/>
      <c r="Z258" s="53" t="n"/>
      <c r="AA258" s="53" t="n"/>
      <c r="AB258" s="14" t="n"/>
    </row>
    <row r="259" ht="15" customHeight="1">
      <c r="A259" s="51">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52">
        <f>IF(C259="","",COUNTIFS(tbl_Finance[Job Number],C259&amp;"",tbl_Finance[Ex GST],"&lt;&gt;"))</f>
        <v/>
      </c>
      <c r="H259" s="17">
        <f>IF(C259="","",SUMIFS(tbl_Finance[Ex GST],tbl_Finance[Job Number],C259&amp;""))</f>
        <v/>
      </c>
      <c r="I259" s="15">
        <f>IF(C259="","",IFERROR(INDEX(tbl_Finance[Cost Centre],MATCH(C259&amp;"",tbl_Finance[Job Number],0)),"not invoiced yet"))</f>
        <v/>
      </c>
      <c r="J259" s="12" t="n"/>
      <c r="K259" s="14" t="n"/>
      <c r="L259" s="15">
        <f>IF(OR(K259="",set_RMSBase=""),"",HYPERLINK(set_RMSBase&amp;K259,"Open "&amp;K259))</f>
        <v/>
      </c>
      <c r="M259" s="15">
        <f>IF(C259="","",C259)</f>
        <v/>
      </c>
      <c r="N259" s="14" t="n"/>
      <c r="O259" s="16" t="n"/>
      <c r="P259" s="17">
        <f>IF(C259="","",H259+N(O259))</f>
        <v/>
      </c>
      <c r="Q259" s="54">
        <f>IFERROR(O259/P259,"")</f>
        <v/>
      </c>
      <c r="R259" s="16" t="n"/>
      <c r="S259" s="16" t="n"/>
      <c r="T259" s="17">
        <f>IF(C259="","",N(R259)+N(S259))</f>
        <v/>
      </c>
      <c r="U259" s="17">
        <f>IF(C259="","",H259-T259)</f>
        <v/>
      </c>
      <c r="V259" s="54">
        <f>IFERROR(U259/H259,"")</f>
        <v/>
      </c>
      <c r="W259" s="53" t="n"/>
      <c r="X259" s="53" t="n"/>
      <c r="Y259" s="53" t="n"/>
      <c r="Z259" s="53" t="n"/>
      <c r="AA259" s="53" t="n"/>
      <c r="AB259" s="14" t="n"/>
    </row>
    <row r="260" ht="15" customHeight="1">
      <c r="A260" s="51">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52">
        <f>IF(C260="","",COUNTIFS(tbl_Finance[Job Number],C260&amp;"",tbl_Finance[Ex GST],"&lt;&gt;"))</f>
        <v/>
      </c>
      <c r="H260" s="17">
        <f>IF(C260="","",SUMIFS(tbl_Finance[Ex GST],tbl_Finance[Job Number],C260&amp;""))</f>
        <v/>
      </c>
      <c r="I260" s="15">
        <f>IF(C260="","",IFERROR(INDEX(tbl_Finance[Cost Centre],MATCH(C260&amp;"",tbl_Finance[Job Number],0)),"not invoiced yet"))</f>
        <v/>
      </c>
      <c r="J260" s="12" t="n"/>
      <c r="K260" s="14" t="n"/>
      <c r="L260" s="15">
        <f>IF(OR(K260="",set_RMSBase=""),"",HYPERLINK(set_RMSBase&amp;K260,"Open "&amp;K260))</f>
        <v/>
      </c>
      <c r="M260" s="15">
        <f>IF(C260="","",C260)</f>
        <v/>
      </c>
      <c r="N260" s="14" t="n"/>
      <c r="O260" s="16" t="n"/>
      <c r="P260" s="17">
        <f>IF(C260="","",H260+N(O260))</f>
        <v/>
      </c>
      <c r="Q260" s="54">
        <f>IFERROR(O260/P260,"")</f>
        <v/>
      </c>
      <c r="R260" s="16" t="n"/>
      <c r="S260" s="16" t="n"/>
      <c r="T260" s="17">
        <f>IF(C260="","",N(R260)+N(S260))</f>
        <v/>
      </c>
      <c r="U260" s="17">
        <f>IF(C260="","",H260-T260)</f>
        <v/>
      </c>
      <c r="V260" s="54">
        <f>IFERROR(U260/H260,"")</f>
        <v/>
      </c>
      <c r="W260" s="53" t="n"/>
      <c r="X260" s="53" t="n"/>
      <c r="Y260" s="53" t="n"/>
      <c r="Z260" s="53" t="n"/>
      <c r="AA260" s="53" t="n"/>
      <c r="AB260" s="14" t="n"/>
    </row>
    <row r="261" ht="15" customHeight="1">
      <c r="A261" s="51">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52">
        <f>IF(C261="","",COUNTIFS(tbl_Finance[Job Number],C261&amp;"",tbl_Finance[Ex GST],"&lt;&gt;"))</f>
        <v/>
      </c>
      <c r="H261" s="17">
        <f>IF(C261="","",SUMIFS(tbl_Finance[Ex GST],tbl_Finance[Job Number],C261&amp;""))</f>
        <v/>
      </c>
      <c r="I261" s="15">
        <f>IF(C261="","",IFERROR(INDEX(tbl_Finance[Cost Centre],MATCH(C261&amp;"",tbl_Finance[Job Number],0)),"not invoiced yet"))</f>
        <v/>
      </c>
      <c r="J261" s="12" t="n"/>
      <c r="K261" s="14" t="n"/>
      <c r="L261" s="15">
        <f>IF(OR(K261="",set_RMSBase=""),"",HYPERLINK(set_RMSBase&amp;K261,"Open "&amp;K261))</f>
        <v/>
      </c>
      <c r="M261" s="15">
        <f>IF(C261="","",C261)</f>
        <v/>
      </c>
      <c r="N261" s="14" t="n"/>
      <c r="O261" s="16" t="n"/>
      <c r="P261" s="17">
        <f>IF(C261="","",H261+N(O261))</f>
        <v/>
      </c>
      <c r="Q261" s="54">
        <f>IFERROR(O261/P261,"")</f>
        <v/>
      </c>
      <c r="R261" s="16" t="n"/>
      <c r="S261" s="16" t="n"/>
      <c r="T261" s="17">
        <f>IF(C261="","",N(R261)+N(S261))</f>
        <v/>
      </c>
      <c r="U261" s="17">
        <f>IF(C261="","",H261-T261)</f>
        <v/>
      </c>
      <c r="V261" s="54">
        <f>IFERROR(U261/H261,"")</f>
        <v/>
      </c>
      <c r="W261" s="53" t="n"/>
      <c r="X261" s="53" t="n"/>
      <c r="Y261" s="53" t="n"/>
      <c r="Z261" s="53" t="n"/>
      <c r="AA261" s="53" t="n"/>
      <c r="AB261" s="14" t="n"/>
    </row>
    <row r="262" ht="15" customHeight="1">
      <c r="A262" s="51">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52">
        <f>IF(C262="","",COUNTIFS(tbl_Finance[Job Number],C262&amp;"",tbl_Finance[Ex GST],"&lt;&gt;"))</f>
        <v/>
      </c>
      <c r="H262" s="17">
        <f>IF(C262="","",SUMIFS(tbl_Finance[Ex GST],tbl_Finance[Job Number],C262&amp;""))</f>
        <v/>
      </c>
      <c r="I262" s="15">
        <f>IF(C262="","",IFERROR(INDEX(tbl_Finance[Cost Centre],MATCH(C262&amp;"",tbl_Finance[Job Number],0)),"not invoiced yet"))</f>
        <v/>
      </c>
      <c r="J262" s="12" t="n"/>
      <c r="K262" s="14" t="n"/>
      <c r="L262" s="15">
        <f>IF(OR(K262="",set_RMSBase=""),"",HYPERLINK(set_RMSBase&amp;K262,"Open "&amp;K262))</f>
        <v/>
      </c>
      <c r="M262" s="15">
        <f>IF(C262="","",C262)</f>
        <v/>
      </c>
      <c r="N262" s="14" t="n"/>
      <c r="O262" s="16" t="n"/>
      <c r="P262" s="17">
        <f>IF(C262="","",H262+N(O262))</f>
        <v/>
      </c>
      <c r="Q262" s="54">
        <f>IFERROR(O262/P262,"")</f>
        <v/>
      </c>
      <c r="R262" s="16" t="n"/>
      <c r="S262" s="16" t="n"/>
      <c r="T262" s="17">
        <f>IF(C262="","",N(R262)+N(S262))</f>
        <v/>
      </c>
      <c r="U262" s="17">
        <f>IF(C262="","",H262-T262)</f>
        <v/>
      </c>
      <c r="V262" s="54">
        <f>IFERROR(U262/H262,"")</f>
        <v/>
      </c>
      <c r="W262" s="53" t="n"/>
      <c r="X262" s="53" t="n"/>
      <c r="Y262" s="53" t="n"/>
      <c r="Z262" s="53" t="n"/>
      <c r="AA262" s="53" t="n"/>
      <c r="AB262" s="14" t="n"/>
    </row>
    <row r="263" ht="15" customHeight="1">
      <c r="A263" s="51">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52">
        <f>IF(C263="","",COUNTIFS(tbl_Finance[Job Number],C263&amp;"",tbl_Finance[Ex GST],"&lt;&gt;"))</f>
        <v/>
      </c>
      <c r="H263" s="17">
        <f>IF(C263="","",SUMIFS(tbl_Finance[Ex GST],tbl_Finance[Job Number],C263&amp;""))</f>
        <v/>
      </c>
      <c r="I263" s="15">
        <f>IF(C263="","",IFERROR(INDEX(tbl_Finance[Cost Centre],MATCH(C263&amp;"",tbl_Finance[Job Number],0)),"not invoiced yet"))</f>
        <v/>
      </c>
      <c r="J263" s="12" t="n"/>
      <c r="K263" s="14" t="n"/>
      <c r="L263" s="15">
        <f>IF(OR(K263="",set_RMSBase=""),"",HYPERLINK(set_RMSBase&amp;K263,"Open "&amp;K263))</f>
        <v/>
      </c>
      <c r="M263" s="15">
        <f>IF(C263="","",C263)</f>
        <v/>
      </c>
      <c r="N263" s="14" t="n"/>
      <c r="O263" s="16" t="n"/>
      <c r="P263" s="17">
        <f>IF(C263="","",H263+N(O263))</f>
        <v/>
      </c>
      <c r="Q263" s="54">
        <f>IFERROR(O263/P263,"")</f>
        <v/>
      </c>
      <c r="R263" s="16" t="n"/>
      <c r="S263" s="16" t="n"/>
      <c r="T263" s="17">
        <f>IF(C263="","",N(R263)+N(S263))</f>
        <v/>
      </c>
      <c r="U263" s="17">
        <f>IF(C263="","",H263-T263)</f>
        <v/>
      </c>
      <c r="V263" s="54">
        <f>IFERROR(U263/H263,"")</f>
        <v/>
      </c>
      <c r="W263" s="53" t="n"/>
      <c r="X263" s="53" t="n"/>
      <c r="Y263" s="53" t="n"/>
      <c r="Z263" s="53" t="n"/>
      <c r="AA263" s="53" t="n"/>
      <c r="AB263" s="14" t="n"/>
    </row>
    <row r="264" ht="15" customHeight="1">
      <c r="A264" s="51">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52">
        <f>IF(C264="","",COUNTIFS(tbl_Finance[Job Number],C264&amp;"",tbl_Finance[Ex GST],"&lt;&gt;"))</f>
        <v/>
      </c>
      <c r="H264" s="17">
        <f>IF(C264="","",SUMIFS(tbl_Finance[Ex GST],tbl_Finance[Job Number],C264&amp;""))</f>
        <v/>
      </c>
      <c r="I264" s="15">
        <f>IF(C264="","",IFERROR(INDEX(tbl_Finance[Cost Centre],MATCH(C264&amp;"",tbl_Finance[Job Number],0)),"not invoiced yet"))</f>
        <v/>
      </c>
      <c r="J264" s="12" t="n"/>
      <c r="K264" s="14" t="n"/>
      <c r="L264" s="15">
        <f>IF(OR(K264="",set_RMSBase=""),"",HYPERLINK(set_RMSBase&amp;K264,"Open "&amp;K264))</f>
        <v/>
      </c>
      <c r="M264" s="15">
        <f>IF(C264="","",C264)</f>
        <v/>
      </c>
      <c r="N264" s="14" t="n"/>
      <c r="O264" s="16" t="n"/>
      <c r="P264" s="17">
        <f>IF(C264="","",H264+N(O264))</f>
        <v/>
      </c>
      <c r="Q264" s="54">
        <f>IFERROR(O264/P264,"")</f>
        <v/>
      </c>
      <c r="R264" s="16" t="n"/>
      <c r="S264" s="16" t="n"/>
      <c r="T264" s="17">
        <f>IF(C264="","",N(R264)+N(S264))</f>
        <v/>
      </c>
      <c r="U264" s="17">
        <f>IF(C264="","",H264-T264)</f>
        <v/>
      </c>
      <c r="V264" s="54">
        <f>IFERROR(U264/H264,"")</f>
        <v/>
      </c>
      <c r="W264" s="53" t="n"/>
      <c r="X264" s="53" t="n"/>
      <c r="Y264" s="53" t="n"/>
      <c r="Z264" s="53" t="n"/>
      <c r="AA264" s="53" t="n"/>
      <c r="AB264" s="14" t="n"/>
    </row>
    <row r="265" ht="15" customHeight="1">
      <c r="A265" s="51">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52">
        <f>IF(C265="","",COUNTIFS(tbl_Finance[Job Number],C265&amp;"",tbl_Finance[Ex GST],"&lt;&gt;"))</f>
        <v/>
      </c>
      <c r="H265" s="17">
        <f>IF(C265="","",SUMIFS(tbl_Finance[Ex GST],tbl_Finance[Job Number],C265&amp;""))</f>
        <v/>
      </c>
      <c r="I265" s="15">
        <f>IF(C265="","",IFERROR(INDEX(tbl_Finance[Cost Centre],MATCH(C265&amp;"",tbl_Finance[Job Number],0)),"not invoiced yet"))</f>
        <v/>
      </c>
      <c r="J265" s="12" t="n"/>
      <c r="K265" s="14" t="n"/>
      <c r="L265" s="15">
        <f>IF(OR(K265="",set_RMSBase=""),"",HYPERLINK(set_RMSBase&amp;K265,"Open "&amp;K265))</f>
        <v/>
      </c>
      <c r="M265" s="15">
        <f>IF(C265="","",C265)</f>
        <v/>
      </c>
      <c r="N265" s="14" t="n"/>
      <c r="O265" s="16" t="n"/>
      <c r="P265" s="17">
        <f>IF(C265="","",H265+N(O265))</f>
        <v/>
      </c>
      <c r="Q265" s="54">
        <f>IFERROR(O265/P265,"")</f>
        <v/>
      </c>
      <c r="R265" s="16" t="n"/>
      <c r="S265" s="16" t="n"/>
      <c r="T265" s="17">
        <f>IF(C265="","",N(R265)+N(S265))</f>
        <v/>
      </c>
      <c r="U265" s="17">
        <f>IF(C265="","",H265-T265)</f>
        <v/>
      </c>
      <c r="V265" s="54">
        <f>IFERROR(U265/H265,"")</f>
        <v/>
      </c>
      <c r="W265" s="53" t="n"/>
      <c r="X265" s="53" t="n"/>
      <c r="Y265" s="53" t="n"/>
      <c r="Z265" s="53" t="n"/>
      <c r="AA265" s="53" t="n"/>
      <c r="AB265" s="14" t="n"/>
    </row>
    <row r="266" ht="15" customHeight="1">
      <c r="A266" s="51">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52">
        <f>IF(C266="","",COUNTIFS(tbl_Finance[Job Number],C266&amp;"",tbl_Finance[Ex GST],"&lt;&gt;"))</f>
        <v/>
      </c>
      <c r="H266" s="17">
        <f>IF(C266="","",SUMIFS(tbl_Finance[Ex GST],tbl_Finance[Job Number],C266&amp;""))</f>
        <v/>
      </c>
      <c r="I266" s="15">
        <f>IF(C266="","",IFERROR(INDEX(tbl_Finance[Cost Centre],MATCH(C266&amp;"",tbl_Finance[Job Number],0)),"not invoiced yet"))</f>
        <v/>
      </c>
      <c r="J266" s="12" t="n"/>
      <c r="K266" s="14" t="n"/>
      <c r="L266" s="15">
        <f>IF(OR(K266="",set_RMSBase=""),"",HYPERLINK(set_RMSBase&amp;K266,"Open "&amp;K266))</f>
        <v/>
      </c>
      <c r="M266" s="15">
        <f>IF(C266="","",C266)</f>
        <v/>
      </c>
      <c r="N266" s="14" t="n"/>
      <c r="O266" s="16" t="n"/>
      <c r="P266" s="17">
        <f>IF(C266="","",H266+N(O266))</f>
        <v/>
      </c>
      <c r="Q266" s="54">
        <f>IFERROR(O266/P266,"")</f>
        <v/>
      </c>
      <c r="R266" s="16" t="n"/>
      <c r="S266" s="16" t="n"/>
      <c r="T266" s="17">
        <f>IF(C266="","",N(R266)+N(S266))</f>
        <v/>
      </c>
      <c r="U266" s="17">
        <f>IF(C266="","",H266-T266)</f>
        <v/>
      </c>
      <c r="V266" s="54">
        <f>IFERROR(U266/H266,"")</f>
        <v/>
      </c>
      <c r="W266" s="53" t="n"/>
      <c r="X266" s="53" t="n"/>
      <c r="Y266" s="53" t="n"/>
      <c r="Z266" s="53" t="n"/>
      <c r="AA266" s="53" t="n"/>
      <c r="AB266" s="14" t="n"/>
    </row>
    <row r="267" ht="15" customHeight="1">
      <c r="A267" s="51">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52">
        <f>IF(C267="","",COUNTIFS(tbl_Finance[Job Number],C267&amp;"",tbl_Finance[Ex GST],"&lt;&gt;"))</f>
        <v/>
      </c>
      <c r="H267" s="17">
        <f>IF(C267="","",SUMIFS(tbl_Finance[Ex GST],tbl_Finance[Job Number],C267&amp;""))</f>
        <v/>
      </c>
      <c r="I267" s="15">
        <f>IF(C267="","",IFERROR(INDEX(tbl_Finance[Cost Centre],MATCH(C267&amp;"",tbl_Finance[Job Number],0)),"not invoiced yet"))</f>
        <v/>
      </c>
      <c r="J267" s="12" t="n"/>
      <c r="K267" s="14" t="n"/>
      <c r="L267" s="15">
        <f>IF(OR(K267="",set_RMSBase=""),"",HYPERLINK(set_RMSBase&amp;K267,"Open "&amp;K267))</f>
        <v/>
      </c>
      <c r="M267" s="15">
        <f>IF(C267="","",C267)</f>
        <v/>
      </c>
      <c r="N267" s="14" t="n"/>
      <c r="O267" s="16" t="n"/>
      <c r="P267" s="17">
        <f>IF(C267="","",H267+N(O267))</f>
        <v/>
      </c>
      <c r="Q267" s="54">
        <f>IFERROR(O267/P267,"")</f>
        <v/>
      </c>
      <c r="R267" s="16" t="n"/>
      <c r="S267" s="16" t="n"/>
      <c r="T267" s="17">
        <f>IF(C267="","",N(R267)+N(S267))</f>
        <v/>
      </c>
      <c r="U267" s="17">
        <f>IF(C267="","",H267-T267)</f>
        <v/>
      </c>
      <c r="V267" s="54">
        <f>IFERROR(U267/H267,"")</f>
        <v/>
      </c>
      <c r="W267" s="53" t="n"/>
      <c r="X267" s="53" t="n"/>
      <c r="Y267" s="53" t="n"/>
      <c r="Z267" s="53" t="n"/>
      <c r="AA267" s="53" t="n"/>
      <c r="AB267" s="14" t="n"/>
    </row>
    <row r="268" ht="15" customHeight="1">
      <c r="A268" s="51">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52">
        <f>IF(C268="","",COUNTIFS(tbl_Finance[Job Number],C268&amp;"",tbl_Finance[Ex GST],"&lt;&gt;"))</f>
        <v/>
      </c>
      <c r="H268" s="17">
        <f>IF(C268="","",SUMIFS(tbl_Finance[Ex GST],tbl_Finance[Job Number],C268&amp;""))</f>
        <v/>
      </c>
      <c r="I268" s="15">
        <f>IF(C268="","",IFERROR(INDEX(tbl_Finance[Cost Centre],MATCH(C268&amp;"",tbl_Finance[Job Number],0)),"not invoiced yet"))</f>
        <v/>
      </c>
      <c r="J268" s="12" t="n"/>
      <c r="K268" s="14" t="n"/>
      <c r="L268" s="15">
        <f>IF(OR(K268="",set_RMSBase=""),"",HYPERLINK(set_RMSBase&amp;K268,"Open "&amp;K268))</f>
        <v/>
      </c>
      <c r="M268" s="15">
        <f>IF(C268="","",C268)</f>
        <v/>
      </c>
      <c r="N268" s="14" t="n"/>
      <c r="O268" s="16" t="n"/>
      <c r="P268" s="17">
        <f>IF(C268="","",H268+N(O268))</f>
        <v/>
      </c>
      <c r="Q268" s="54">
        <f>IFERROR(O268/P268,"")</f>
        <v/>
      </c>
      <c r="R268" s="16" t="n"/>
      <c r="S268" s="16" t="n"/>
      <c r="T268" s="17">
        <f>IF(C268="","",N(R268)+N(S268))</f>
        <v/>
      </c>
      <c r="U268" s="17">
        <f>IF(C268="","",H268-T268)</f>
        <v/>
      </c>
      <c r="V268" s="54">
        <f>IFERROR(U268/H268,"")</f>
        <v/>
      </c>
      <c r="W268" s="53" t="n"/>
      <c r="X268" s="53" t="n"/>
      <c r="Y268" s="53" t="n"/>
      <c r="Z268" s="53" t="n"/>
      <c r="AA268" s="53" t="n"/>
      <c r="AB268" s="14" t="n"/>
    </row>
    <row r="269" ht="15" customHeight="1">
      <c r="A269" s="51">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52">
        <f>IF(C269="","",COUNTIFS(tbl_Finance[Job Number],C269&amp;"",tbl_Finance[Ex GST],"&lt;&gt;"))</f>
        <v/>
      </c>
      <c r="H269" s="17">
        <f>IF(C269="","",SUMIFS(tbl_Finance[Ex GST],tbl_Finance[Job Number],C269&amp;""))</f>
        <v/>
      </c>
      <c r="I269" s="15">
        <f>IF(C269="","",IFERROR(INDEX(tbl_Finance[Cost Centre],MATCH(C269&amp;"",tbl_Finance[Job Number],0)),"not invoiced yet"))</f>
        <v/>
      </c>
      <c r="J269" s="12" t="n"/>
      <c r="K269" s="14" t="n"/>
      <c r="L269" s="15">
        <f>IF(OR(K269="",set_RMSBase=""),"",HYPERLINK(set_RMSBase&amp;K269,"Open "&amp;K269))</f>
        <v/>
      </c>
      <c r="M269" s="15">
        <f>IF(C269="","",C269)</f>
        <v/>
      </c>
      <c r="N269" s="14" t="n"/>
      <c r="O269" s="16" t="n"/>
      <c r="P269" s="17">
        <f>IF(C269="","",H269+N(O269))</f>
        <v/>
      </c>
      <c r="Q269" s="54">
        <f>IFERROR(O269/P269,"")</f>
        <v/>
      </c>
      <c r="R269" s="16" t="n"/>
      <c r="S269" s="16" t="n"/>
      <c r="T269" s="17">
        <f>IF(C269="","",N(R269)+N(S269))</f>
        <v/>
      </c>
      <c r="U269" s="17">
        <f>IF(C269="","",H269-T269)</f>
        <v/>
      </c>
      <c r="V269" s="54">
        <f>IFERROR(U269/H269,"")</f>
        <v/>
      </c>
      <c r="W269" s="53" t="n"/>
      <c r="X269" s="53" t="n"/>
      <c r="Y269" s="53" t="n"/>
      <c r="Z269" s="53" t="n"/>
      <c r="AA269" s="53" t="n"/>
      <c r="AB269" s="14" t="n"/>
    </row>
    <row r="270" ht="15" customHeight="1">
      <c r="A270" s="51">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52">
        <f>IF(C270="","",COUNTIFS(tbl_Finance[Job Number],C270&amp;"",tbl_Finance[Ex GST],"&lt;&gt;"))</f>
        <v/>
      </c>
      <c r="H270" s="17">
        <f>IF(C270="","",SUMIFS(tbl_Finance[Ex GST],tbl_Finance[Job Number],C270&amp;""))</f>
        <v/>
      </c>
      <c r="I270" s="15">
        <f>IF(C270="","",IFERROR(INDEX(tbl_Finance[Cost Centre],MATCH(C270&amp;"",tbl_Finance[Job Number],0)),"not invoiced yet"))</f>
        <v/>
      </c>
      <c r="J270" s="12" t="n"/>
      <c r="K270" s="14" t="n"/>
      <c r="L270" s="15">
        <f>IF(OR(K270="",set_RMSBase=""),"",HYPERLINK(set_RMSBase&amp;K270,"Open "&amp;K270))</f>
        <v/>
      </c>
      <c r="M270" s="15">
        <f>IF(C270="","",C270)</f>
        <v/>
      </c>
      <c r="N270" s="14" t="n"/>
      <c r="O270" s="16" t="n"/>
      <c r="P270" s="17">
        <f>IF(C270="","",H270+N(O270))</f>
        <v/>
      </c>
      <c r="Q270" s="54">
        <f>IFERROR(O270/P270,"")</f>
        <v/>
      </c>
      <c r="R270" s="16" t="n"/>
      <c r="S270" s="16" t="n"/>
      <c r="T270" s="17">
        <f>IF(C270="","",N(R270)+N(S270))</f>
        <v/>
      </c>
      <c r="U270" s="17">
        <f>IF(C270="","",H270-T270)</f>
        <v/>
      </c>
      <c r="V270" s="54">
        <f>IFERROR(U270/H270,"")</f>
        <v/>
      </c>
      <c r="W270" s="53" t="n"/>
      <c r="X270" s="53" t="n"/>
      <c r="Y270" s="53" t="n"/>
      <c r="Z270" s="53" t="n"/>
      <c r="AA270" s="53" t="n"/>
      <c r="AB270" s="14" t="n"/>
    </row>
    <row r="271" ht="15" customHeight="1">
      <c r="A271" s="51">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52">
        <f>IF(C271="","",COUNTIFS(tbl_Finance[Job Number],C271&amp;"",tbl_Finance[Ex GST],"&lt;&gt;"))</f>
        <v/>
      </c>
      <c r="H271" s="17">
        <f>IF(C271="","",SUMIFS(tbl_Finance[Ex GST],tbl_Finance[Job Number],C271&amp;""))</f>
        <v/>
      </c>
      <c r="I271" s="15">
        <f>IF(C271="","",IFERROR(INDEX(tbl_Finance[Cost Centre],MATCH(C271&amp;"",tbl_Finance[Job Number],0)),"not invoiced yet"))</f>
        <v/>
      </c>
      <c r="J271" s="12" t="n"/>
      <c r="K271" s="14" t="n"/>
      <c r="L271" s="15">
        <f>IF(OR(K271="",set_RMSBase=""),"",HYPERLINK(set_RMSBase&amp;K271,"Open "&amp;K271))</f>
        <v/>
      </c>
      <c r="M271" s="15">
        <f>IF(C271="","",C271)</f>
        <v/>
      </c>
      <c r="N271" s="14" t="n"/>
      <c r="O271" s="16" t="n"/>
      <c r="P271" s="17">
        <f>IF(C271="","",H271+N(O271))</f>
        <v/>
      </c>
      <c r="Q271" s="54">
        <f>IFERROR(O271/P271,"")</f>
        <v/>
      </c>
      <c r="R271" s="16" t="n"/>
      <c r="S271" s="16" t="n"/>
      <c r="T271" s="17">
        <f>IF(C271="","",N(R271)+N(S271))</f>
        <v/>
      </c>
      <c r="U271" s="17">
        <f>IF(C271="","",H271-T271)</f>
        <v/>
      </c>
      <c r="V271" s="54">
        <f>IFERROR(U271/H271,"")</f>
        <v/>
      </c>
      <c r="W271" s="53" t="n"/>
      <c r="X271" s="53" t="n"/>
      <c r="Y271" s="53" t="n"/>
      <c r="Z271" s="53" t="n"/>
      <c r="AA271" s="53" t="n"/>
      <c r="AB271" s="14" t="n"/>
    </row>
    <row r="272" ht="15" customHeight="1">
      <c r="A272" s="51">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52">
        <f>IF(C272="","",COUNTIFS(tbl_Finance[Job Number],C272&amp;"",tbl_Finance[Ex GST],"&lt;&gt;"))</f>
        <v/>
      </c>
      <c r="H272" s="17">
        <f>IF(C272="","",SUMIFS(tbl_Finance[Ex GST],tbl_Finance[Job Number],C272&amp;""))</f>
        <v/>
      </c>
      <c r="I272" s="15">
        <f>IF(C272="","",IFERROR(INDEX(tbl_Finance[Cost Centre],MATCH(C272&amp;"",tbl_Finance[Job Number],0)),"not invoiced yet"))</f>
        <v/>
      </c>
      <c r="J272" s="12" t="n"/>
      <c r="K272" s="14" t="n"/>
      <c r="L272" s="15">
        <f>IF(OR(K272="",set_RMSBase=""),"",HYPERLINK(set_RMSBase&amp;K272,"Open "&amp;K272))</f>
        <v/>
      </c>
      <c r="M272" s="15">
        <f>IF(C272="","",C272)</f>
        <v/>
      </c>
      <c r="N272" s="14" t="n"/>
      <c r="O272" s="16" t="n"/>
      <c r="P272" s="17">
        <f>IF(C272="","",H272+N(O272))</f>
        <v/>
      </c>
      <c r="Q272" s="54">
        <f>IFERROR(O272/P272,"")</f>
        <v/>
      </c>
      <c r="R272" s="16" t="n"/>
      <c r="S272" s="16" t="n"/>
      <c r="T272" s="17">
        <f>IF(C272="","",N(R272)+N(S272))</f>
        <v/>
      </c>
      <c r="U272" s="17">
        <f>IF(C272="","",H272-T272)</f>
        <v/>
      </c>
      <c r="V272" s="54">
        <f>IFERROR(U272/H272,"")</f>
        <v/>
      </c>
      <c r="W272" s="53" t="n"/>
      <c r="X272" s="53" t="n"/>
      <c r="Y272" s="53" t="n"/>
      <c r="Z272" s="53" t="n"/>
      <c r="AA272" s="53" t="n"/>
      <c r="AB272" s="14" t="n"/>
    </row>
    <row r="273" ht="15" customHeight="1">
      <c r="A273" s="51">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52">
        <f>IF(C273="","",COUNTIFS(tbl_Finance[Job Number],C273&amp;"",tbl_Finance[Ex GST],"&lt;&gt;"))</f>
        <v/>
      </c>
      <c r="H273" s="17">
        <f>IF(C273="","",SUMIFS(tbl_Finance[Ex GST],tbl_Finance[Job Number],C273&amp;""))</f>
        <v/>
      </c>
      <c r="I273" s="15">
        <f>IF(C273="","",IFERROR(INDEX(tbl_Finance[Cost Centre],MATCH(C273&amp;"",tbl_Finance[Job Number],0)),"not invoiced yet"))</f>
        <v/>
      </c>
      <c r="J273" s="12" t="n"/>
      <c r="K273" s="14" t="n"/>
      <c r="L273" s="15">
        <f>IF(OR(K273="",set_RMSBase=""),"",HYPERLINK(set_RMSBase&amp;K273,"Open "&amp;K273))</f>
        <v/>
      </c>
      <c r="M273" s="15">
        <f>IF(C273="","",C273)</f>
        <v/>
      </c>
      <c r="N273" s="14" t="n"/>
      <c r="O273" s="16" t="n"/>
      <c r="P273" s="17">
        <f>IF(C273="","",H273+N(O273))</f>
        <v/>
      </c>
      <c r="Q273" s="54">
        <f>IFERROR(O273/P273,"")</f>
        <v/>
      </c>
      <c r="R273" s="16" t="n"/>
      <c r="S273" s="16" t="n"/>
      <c r="T273" s="17">
        <f>IF(C273="","",N(R273)+N(S273))</f>
        <v/>
      </c>
      <c r="U273" s="17">
        <f>IF(C273="","",H273-T273)</f>
        <v/>
      </c>
      <c r="V273" s="54">
        <f>IFERROR(U273/H273,"")</f>
        <v/>
      </c>
      <c r="W273" s="53" t="n"/>
      <c r="X273" s="53" t="n"/>
      <c r="Y273" s="53" t="n"/>
      <c r="Z273" s="53" t="n"/>
      <c r="AA273" s="53" t="n"/>
      <c r="AB273" s="14" t="n"/>
    </row>
    <row r="274" ht="15" customHeight="1">
      <c r="A274" s="51">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52">
        <f>IF(C274="","",COUNTIFS(tbl_Finance[Job Number],C274&amp;"",tbl_Finance[Ex GST],"&lt;&gt;"))</f>
        <v/>
      </c>
      <c r="H274" s="17">
        <f>IF(C274="","",SUMIFS(tbl_Finance[Ex GST],tbl_Finance[Job Number],C274&amp;""))</f>
        <v/>
      </c>
      <c r="I274" s="15">
        <f>IF(C274="","",IFERROR(INDEX(tbl_Finance[Cost Centre],MATCH(C274&amp;"",tbl_Finance[Job Number],0)),"not invoiced yet"))</f>
        <v/>
      </c>
      <c r="J274" s="12" t="n"/>
      <c r="K274" s="14" t="n"/>
      <c r="L274" s="15">
        <f>IF(OR(K274="",set_RMSBase=""),"",HYPERLINK(set_RMSBase&amp;K274,"Open "&amp;K274))</f>
        <v/>
      </c>
      <c r="M274" s="15">
        <f>IF(C274="","",C274)</f>
        <v/>
      </c>
      <c r="N274" s="14" t="n"/>
      <c r="O274" s="16" t="n"/>
      <c r="P274" s="17">
        <f>IF(C274="","",H274+N(O274))</f>
        <v/>
      </c>
      <c r="Q274" s="54">
        <f>IFERROR(O274/P274,"")</f>
        <v/>
      </c>
      <c r="R274" s="16" t="n"/>
      <c r="S274" s="16" t="n"/>
      <c r="T274" s="17">
        <f>IF(C274="","",N(R274)+N(S274))</f>
        <v/>
      </c>
      <c r="U274" s="17">
        <f>IF(C274="","",H274-T274)</f>
        <v/>
      </c>
      <c r="V274" s="54">
        <f>IFERROR(U274/H274,"")</f>
        <v/>
      </c>
      <c r="W274" s="53" t="n"/>
      <c r="X274" s="53" t="n"/>
      <c r="Y274" s="53" t="n"/>
      <c r="Z274" s="53" t="n"/>
      <c r="AA274" s="53" t="n"/>
      <c r="AB274" s="14" t="n"/>
    </row>
    <row r="275" ht="15" customHeight="1">
      <c r="A275" s="51">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52">
        <f>IF(C275="","",COUNTIFS(tbl_Finance[Job Number],C275&amp;"",tbl_Finance[Ex GST],"&lt;&gt;"))</f>
        <v/>
      </c>
      <c r="H275" s="17">
        <f>IF(C275="","",SUMIFS(tbl_Finance[Ex GST],tbl_Finance[Job Number],C275&amp;""))</f>
        <v/>
      </c>
      <c r="I275" s="15">
        <f>IF(C275="","",IFERROR(INDEX(tbl_Finance[Cost Centre],MATCH(C275&amp;"",tbl_Finance[Job Number],0)),"not invoiced yet"))</f>
        <v/>
      </c>
      <c r="J275" s="12" t="n"/>
      <c r="K275" s="14" t="n"/>
      <c r="L275" s="15">
        <f>IF(OR(K275="",set_RMSBase=""),"",HYPERLINK(set_RMSBase&amp;K275,"Open "&amp;K275))</f>
        <v/>
      </c>
      <c r="M275" s="15">
        <f>IF(C275="","",C275)</f>
        <v/>
      </c>
      <c r="N275" s="14" t="n"/>
      <c r="O275" s="16" t="n"/>
      <c r="P275" s="17">
        <f>IF(C275="","",H275+N(O275))</f>
        <v/>
      </c>
      <c r="Q275" s="54">
        <f>IFERROR(O275/P275,"")</f>
        <v/>
      </c>
      <c r="R275" s="16" t="n"/>
      <c r="S275" s="16" t="n"/>
      <c r="T275" s="17">
        <f>IF(C275="","",N(R275)+N(S275))</f>
        <v/>
      </c>
      <c r="U275" s="17">
        <f>IF(C275="","",H275-T275)</f>
        <v/>
      </c>
      <c r="V275" s="54">
        <f>IFERROR(U275/H275,"")</f>
        <v/>
      </c>
      <c r="W275" s="53" t="n"/>
      <c r="X275" s="53" t="n"/>
      <c r="Y275" s="53" t="n"/>
      <c r="Z275" s="53" t="n"/>
      <c r="AA275" s="53" t="n"/>
      <c r="AB275" s="14" t="n"/>
    </row>
    <row r="276" ht="15" customHeight="1">
      <c r="A276" s="51">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52">
        <f>IF(C276="","",COUNTIFS(tbl_Finance[Job Number],C276&amp;"",tbl_Finance[Ex GST],"&lt;&gt;"))</f>
        <v/>
      </c>
      <c r="H276" s="17">
        <f>IF(C276="","",SUMIFS(tbl_Finance[Ex GST],tbl_Finance[Job Number],C276&amp;""))</f>
        <v/>
      </c>
      <c r="I276" s="15">
        <f>IF(C276="","",IFERROR(INDEX(tbl_Finance[Cost Centre],MATCH(C276&amp;"",tbl_Finance[Job Number],0)),"not invoiced yet"))</f>
        <v/>
      </c>
      <c r="J276" s="12" t="n"/>
      <c r="K276" s="14" t="n"/>
      <c r="L276" s="15">
        <f>IF(OR(K276="",set_RMSBase=""),"",HYPERLINK(set_RMSBase&amp;K276,"Open "&amp;K276))</f>
        <v/>
      </c>
      <c r="M276" s="15">
        <f>IF(C276="","",C276)</f>
        <v/>
      </c>
      <c r="N276" s="14" t="n"/>
      <c r="O276" s="16" t="n"/>
      <c r="P276" s="17">
        <f>IF(C276="","",H276+N(O276))</f>
        <v/>
      </c>
      <c r="Q276" s="54">
        <f>IFERROR(O276/P276,"")</f>
        <v/>
      </c>
      <c r="R276" s="16" t="n"/>
      <c r="S276" s="16" t="n"/>
      <c r="T276" s="17">
        <f>IF(C276="","",N(R276)+N(S276))</f>
        <v/>
      </c>
      <c r="U276" s="17">
        <f>IF(C276="","",H276-T276)</f>
        <v/>
      </c>
      <c r="V276" s="54">
        <f>IFERROR(U276/H276,"")</f>
        <v/>
      </c>
      <c r="W276" s="53" t="n"/>
      <c r="X276" s="53" t="n"/>
      <c r="Y276" s="53" t="n"/>
      <c r="Z276" s="53" t="n"/>
      <c r="AA276" s="53" t="n"/>
      <c r="AB276" s="14" t="n"/>
    </row>
    <row r="277" ht="15" customHeight="1">
      <c r="A277" s="51">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52">
        <f>IF(C277="","",COUNTIFS(tbl_Finance[Job Number],C277&amp;"",tbl_Finance[Ex GST],"&lt;&gt;"))</f>
        <v/>
      </c>
      <c r="H277" s="17">
        <f>IF(C277="","",SUMIFS(tbl_Finance[Ex GST],tbl_Finance[Job Number],C277&amp;""))</f>
        <v/>
      </c>
      <c r="I277" s="15">
        <f>IF(C277="","",IFERROR(INDEX(tbl_Finance[Cost Centre],MATCH(C277&amp;"",tbl_Finance[Job Number],0)),"not invoiced yet"))</f>
        <v/>
      </c>
      <c r="J277" s="12" t="n"/>
      <c r="K277" s="14" t="n"/>
      <c r="L277" s="15">
        <f>IF(OR(K277="",set_RMSBase=""),"",HYPERLINK(set_RMSBase&amp;K277,"Open "&amp;K277))</f>
        <v/>
      </c>
      <c r="M277" s="15">
        <f>IF(C277="","",C277)</f>
        <v/>
      </c>
      <c r="N277" s="14" t="n"/>
      <c r="O277" s="16" t="n"/>
      <c r="P277" s="17">
        <f>IF(C277="","",H277+N(O277))</f>
        <v/>
      </c>
      <c r="Q277" s="54">
        <f>IFERROR(O277/P277,"")</f>
        <v/>
      </c>
      <c r="R277" s="16" t="n"/>
      <c r="S277" s="16" t="n"/>
      <c r="T277" s="17">
        <f>IF(C277="","",N(R277)+N(S277))</f>
        <v/>
      </c>
      <c r="U277" s="17">
        <f>IF(C277="","",H277-T277)</f>
        <v/>
      </c>
      <c r="V277" s="54">
        <f>IFERROR(U277/H277,"")</f>
        <v/>
      </c>
      <c r="W277" s="53" t="n"/>
      <c r="X277" s="53" t="n"/>
      <c r="Y277" s="53" t="n"/>
      <c r="Z277" s="53" t="n"/>
      <c r="AA277" s="53" t="n"/>
      <c r="AB277" s="14" t="n"/>
    </row>
    <row r="278" ht="15" customHeight="1">
      <c r="A278" s="51">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52">
        <f>IF(C278="","",COUNTIFS(tbl_Finance[Job Number],C278&amp;"",tbl_Finance[Ex GST],"&lt;&gt;"))</f>
        <v/>
      </c>
      <c r="H278" s="17">
        <f>IF(C278="","",SUMIFS(tbl_Finance[Ex GST],tbl_Finance[Job Number],C278&amp;""))</f>
        <v/>
      </c>
      <c r="I278" s="15">
        <f>IF(C278="","",IFERROR(INDEX(tbl_Finance[Cost Centre],MATCH(C278&amp;"",tbl_Finance[Job Number],0)),"not invoiced yet"))</f>
        <v/>
      </c>
      <c r="J278" s="12" t="n"/>
      <c r="K278" s="14" t="n"/>
      <c r="L278" s="15">
        <f>IF(OR(K278="",set_RMSBase=""),"",HYPERLINK(set_RMSBase&amp;K278,"Open "&amp;K278))</f>
        <v/>
      </c>
      <c r="M278" s="15">
        <f>IF(C278="","",C278)</f>
        <v/>
      </c>
      <c r="N278" s="14" t="n"/>
      <c r="O278" s="16" t="n"/>
      <c r="P278" s="17">
        <f>IF(C278="","",H278+N(O278))</f>
        <v/>
      </c>
      <c r="Q278" s="54">
        <f>IFERROR(O278/P278,"")</f>
        <v/>
      </c>
      <c r="R278" s="16" t="n"/>
      <c r="S278" s="16" t="n"/>
      <c r="T278" s="17">
        <f>IF(C278="","",N(R278)+N(S278))</f>
        <v/>
      </c>
      <c r="U278" s="17">
        <f>IF(C278="","",H278-T278)</f>
        <v/>
      </c>
      <c r="V278" s="54">
        <f>IFERROR(U278/H278,"")</f>
        <v/>
      </c>
      <c r="W278" s="53" t="n"/>
      <c r="X278" s="53" t="n"/>
      <c r="Y278" s="53" t="n"/>
      <c r="Z278" s="53" t="n"/>
      <c r="AA278" s="53" t="n"/>
      <c r="AB278" s="14" t="n"/>
    </row>
    <row r="279" ht="15" customHeight="1">
      <c r="A279" s="51">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52">
        <f>IF(C279="","",COUNTIFS(tbl_Finance[Job Number],C279&amp;"",tbl_Finance[Ex GST],"&lt;&gt;"))</f>
        <v/>
      </c>
      <c r="H279" s="17">
        <f>IF(C279="","",SUMIFS(tbl_Finance[Ex GST],tbl_Finance[Job Number],C279&amp;""))</f>
        <v/>
      </c>
      <c r="I279" s="15">
        <f>IF(C279="","",IFERROR(INDEX(tbl_Finance[Cost Centre],MATCH(C279&amp;"",tbl_Finance[Job Number],0)),"not invoiced yet"))</f>
        <v/>
      </c>
      <c r="J279" s="12" t="n"/>
      <c r="K279" s="14" t="n"/>
      <c r="L279" s="15">
        <f>IF(OR(K279="",set_RMSBase=""),"",HYPERLINK(set_RMSBase&amp;K279,"Open "&amp;K279))</f>
        <v/>
      </c>
      <c r="M279" s="15">
        <f>IF(C279="","",C279)</f>
        <v/>
      </c>
      <c r="N279" s="14" t="n"/>
      <c r="O279" s="16" t="n"/>
      <c r="P279" s="17">
        <f>IF(C279="","",H279+N(O279))</f>
        <v/>
      </c>
      <c r="Q279" s="54">
        <f>IFERROR(O279/P279,"")</f>
        <v/>
      </c>
      <c r="R279" s="16" t="n"/>
      <c r="S279" s="16" t="n"/>
      <c r="T279" s="17">
        <f>IF(C279="","",N(R279)+N(S279))</f>
        <v/>
      </c>
      <c r="U279" s="17">
        <f>IF(C279="","",H279-T279)</f>
        <v/>
      </c>
      <c r="V279" s="54">
        <f>IFERROR(U279/H279,"")</f>
        <v/>
      </c>
      <c r="W279" s="53" t="n"/>
      <c r="X279" s="53" t="n"/>
      <c r="Y279" s="53" t="n"/>
      <c r="Z279" s="53" t="n"/>
      <c r="AA279" s="53" t="n"/>
      <c r="AB279" s="14" t="n"/>
    </row>
    <row r="280" ht="15" customHeight="1">
      <c r="A280" s="51">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52">
        <f>IF(C280="","",COUNTIFS(tbl_Finance[Job Number],C280&amp;"",tbl_Finance[Ex GST],"&lt;&gt;"))</f>
        <v/>
      </c>
      <c r="H280" s="17">
        <f>IF(C280="","",SUMIFS(tbl_Finance[Ex GST],tbl_Finance[Job Number],C280&amp;""))</f>
        <v/>
      </c>
      <c r="I280" s="15">
        <f>IF(C280="","",IFERROR(INDEX(tbl_Finance[Cost Centre],MATCH(C280&amp;"",tbl_Finance[Job Number],0)),"not invoiced yet"))</f>
        <v/>
      </c>
      <c r="J280" s="12" t="n"/>
      <c r="K280" s="14" t="n"/>
      <c r="L280" s="15">
        <f>IF(OR(K280="",set_RMSBase=""),"",HYPERLINK(set_RMSBase&amp;K280,"Open "&amp;K280))</f>
        <v/>
      </c>
      <c r="M280" s="15">
        <f>IF(C280="","",C280)</f>
        <v/>
      </c>
      <c r="N280" s="14" t="n"/>
      <c r="O280" s="16" t="n"/>
      <c r="P280" s="17">
        <f>IF(C280="","",H280+N(O280))</f>
        <v/>
      </c>
      <c r="Q280" s="54">
        <f>IFERROR(O280/P280,"")</f>
        <v/>
      </c>
      <c r="R280" s="16" t="n"/>
      <c r="S280" s="16" t="n"/>
      <c r="T280" s="17">
        <f>IF(C280="","",N(R280)+N(S280))</f>
        <v/>
      </c>
      <c r="U280" s="17">
        <f>IF(C280="","",H280-T280)</f>
        <v/>
      </c>
      <c r="V280" s="54">
        <f>IFERROR(U280/H280,"")</f>
        <v/>
      </c>
      <c r="W280" s="53" t="n"/>
      <c r="X280" s="53" t="n"/>
      <c r="Y280" s="53" t="n"/>
      <c r="Z280" s="53" t="n"/>
      <c r="AA280" s="53" t="n"/>
      <c r="AB280" s="14" t="n"/>
    </row>
    <row r="281" ht="15" customHeight="1">
      <c r="A281" s="51">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52">
        <f>IF(C281="","",COUNTIFS(tbl_Finance[Job Number],C281&amp;"",tbl_Finance[Ex GST],"&lt;&gt;"))</f>
        <v/>
      </c>
      <c r="H281" s="17">
        <f>IF(C281="","",SUMIFS(tbl_Finance[Ex GST],tbl_Finance[Job Number],C281&amp;""))</f>
        <v/>
      </c>
      <c r="I281" s="15">
        <f>IF(C281="","",IFERROR(INDEX(tbl_Finance[Cost Centre],MATCH(C281&amp;"",tbl_Finance[Job Number],0)),"not invoiced yet"))</f>
        <v/>
      </c>
      <c r="J281" s="12" t="n"/>
      <c r="K281" s="14" t="n"/>
      <c r="L281" s="15">
        <f>IF(OR(K281="",set_RMSBase=""),"",HYPERLINK(set_RMSBase&amp;K281,"Open "&amp;K281))</f>
        <v/>
      </c>
      <c r="M281" s="15">
        <f>IF(C281="","",C281)</f>
        <v/>
      </c>
      <c r="N281" s="14" t="n"/>
      <c r="O281" s="16" t="n"/>
      <c r="P281" s="17">
        <f>IF(C281="","",H281+N(O281))</f>
        <v/>
      </c>
      <c r="Q281" s="54">
        <f>IFERROR(O281/P281,"")</f>
        <v/>
      </c>
      <c r="R281" s="16" t="n"/>
      <c r="S281" s="16" t="n"/>
      <c r="T281" s="17">
        <f>IF(C281="","",N(R281)+N(S281))</f>
        <v/>
      </c>
      <c r="U281" s="17">
        <f>IF(C281="","",H281-T281)</f>
        <v/>
      </c>
      <c r="V281" s="54">
        <f>IFERROR(U281/H281,"")</f>
        <v/>
      </c>
      <c r="W281" s="53" t="n"/>
      <c r="X281" s="53" t="n"/>
      <c r="Y281" s="53" t="n"/>
      <c r="Z281" s="53" t="n"/>
      <c r="AA281" s="53" t="n"/>
      <c r="AB281" s="14" t="n"/>
    </row>
    <row r="282" ht="15" customHeight="1">
      <c r="A282" s="51">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52">
        <f>IF(C282="","",COUNTIFS(tbl_Finance[Job Number],C282&amp;"",tbl_Finance[Ex GST],"&lt;&gt;"))</f>
        <v/>
      </c>
      <c r="H282" s="17">
        <f>IF(C282="","",SUMIFS(tbl_Finance[Ex GST],tbl_Finance[Job Number],C282&amp;""))</f>
        <v/>
      </c>
      <c r="I282" s="15">
        <f>IF(C282="","",IFERROR(INDEX(tbl_Finance[Cost Centre],MATCH(C282&amp;"",tbl_Finance[Job Number],0)),"not invoiced yet"))</f>
        <v/>
      </c>
      <c r="J282" s="12" t="n"/>
      <c r="K282" s="14" t="n"/>
      <c r="L282" s="15">
        <f>IF(OR(K282="",set_RMSBase=""),"",HYPERLINK(set_RMSBase&amp;K282,"Open "&amp;K282))</f>
        <v/>
      </c>
      <c r="M282" s="15">
        <f>IF(C282="","",C282)</f>
        <v/>
      </c>
      <c r="N282" s="14" t="n"/>
      <c r="O282" s="16" t="n"/>
      <c r="P282" s="17">
        <f>IF(C282="","",H282+N(O282))</f>
        <v/>
      </c>
      <c r="Q282" s="54">
        <f>IFERROR(O282/P282,"")</f>
        <v/>
      </c>
      <c r="R282" s="16" t="n"/>
      <c r="S282" s="16" t="n"/>
      <c r="T282" s="17">
        <f>IF(C282="","",N(R282)+N(S282))</f>
        <v/>
      </c>
      <c r="U282" s="17">
        <f>IF(C282="","",H282-T282)</f>
        <v/>
      </c>
      <c r="V282" s="54">
        <f>IFERROR(U282/H282,"")</f>
        <v/>
      </c>
      <c r="W282" s="53" t="n"/>
      <c r="X282" s="53" t="n"/>
      <c r="Y282" s="53" t="n"/>
      <c r="Z282" s="53" t="n"/>
      <c r="AA282" s="53" t="n"/>
      <c r="AB282" s="14" t="n"/>
    </row>
    <row r="283" ht="15" customHeight="1">
      <c r="A283" s="51">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52">
        <f>IF(C283="","",COUNTIFS(tbl_Finance[Job Number],C283&amp;"",tbl_Finance[Ex GST],"&lt;&gt;"))</f>
        <v/>
      </c>
      <c r="H283" s="17">
        <f>IF(C283="","",SUMIFS(tbl_Finance[Ex GST],tbl_Finance[Job Number],C283&amp;""))</f>
        <v/>
      </c>
      <c r="I283" s="15">
        <f>IF(C283="","",IFERROR(INDEX(tbl_Finance[Cost Centre],MATCH(C283&amp;"",tbl_Finance[Job Number],0)),"not invoiced yet"))</f>
        <v/>
      </c>
      <c r="J283" s="12" t="n"/>
      <c r="K283" s="14" t="n"/>
      <c r="L283" s="15">
        <f>IF(OR(K283="",set_RMSBase=""),"",HYPERLINK(set_RMSBase&amp;K283,"Open "&amp;K283))</f>
        <v/>
      </c>
      <c r="M283" s="15">
        <f>IF(C283="","",C283)</f>
        <v/>
      </c>
      <c r="N283" s="14" t="n"/>
      <c r="O283" s="16" t="n"/>
      <c r="P283" s="17">
        <f>IF(C283="","",H283+N(O283))</f>
        <v/>
      </c>
      <c r="Q283" s="54">
        <f>IFERROR(O283/P283,"")</f>
        <v/>
      </c>
      <c r="R283" s="16" t="n"/>
      <c r="S283" s="16" t="n"/>
      <c r="T283" s="17">
        <f>IF(C283="","",N(R283)+N(S283))</f>
        <v/>
      </c>
      <c r="U283" s="17">
        <f>IF(C283="","",H283-T283)</f>
        <v/>
      </c>
      <c r="V283" s="54">
        <f>IFERROR(U283/H283,"")</f>
        <v/>
      </c>
      <c r="W283" s="53" t="n"/>
      <c r="X283" s="53" t="n"/>
      <c r="Y283" s="53" t="n"/>
      <c r="Z283" s="53" t="n"/>
      <c r="AA283" s="53" t="n"/>
      <c r="AB283" s="14" t="n"/>
    </row>
    <row r="284" ht="15" customHeight="1">
      <c r="A284" s="51">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52">
        <f>IF(C284="","",COUNTIFS(tbl_Finance[Job Number],C284&amp;"",tbl_Finance[Ex GST],"&lt;&gt;"))</f>
        <v/>
      </c>
      <c r="H284" s="17">
        <f>IF(C284="","",SUMIFS(tbl_Finance[Ex GST],tbl_Finance[Job Number],C284&amp;""))</f>
        <v/>
      </c>
      <c r="I284" s="15">
        <f>IF(C284="","",IFERROR(INDEX(tbl_Finance[Cost Centre],MATCH(C284&amp;"",tbl_Finance[Job Number],0)),"not invoiced yet"))</f>
        <v/>
      </c>
      <c r="J284" s="12" t="n"/>
      <c r="K284" s="14" t="n"/>
      <c r="L284" s="15">
        <f>IF(OR(K284="",set_RMSBase=""),"",HYPERLINK(set_RMSBase&amp;K284,"Open "&amp;K284))</f>
        <v/>
      </c>
      <c r="M284" s="15">
        <f>IF(C284="","",C284)</f>
        <v/>
      </c>
      <c r="N284" s="14" t="n"/>
      <c r="O284" s="16" t="n"/>
      <c r="P284" s="17">
        <f>IF(C284="","",H284+N(O284))</f>
        <v/>
      </c>
      <c r="Q284" s="54">
        <f>IFERROR(O284/P284,"")</f>
        <v/>
      </c>
      <c r="R284" s="16" t="n"/>
      <c r="S284" s="16" t="n"/>
      <c r="T284" s="17">
        <f>IF(C284="","",N(R284)+N(S284))</f>
        <v/>
      </c>
      <c r="U284" s="17">
        <f>IF(C284="","",H284-T284)</f>
        <v/>
      </c>
      <c r="V284" s="54">
        <f>IFERROR(U284/H284,"")</f>
        <v/>
      </c>
      <c r="W284" s="53" t="n"/>
      <c r="X284" s="53" t="n"/>
      <c r="Y284" s="53" t="n"/>
      <c r="Z284" s="53" t="n"/>
      <c r="AA284" s="53" t="n"/>
      <c r="AB284" s="14" t="n"/>
    </row>
    <row r="285" ht="15" customHeight="1">
      <c r="A285" s="51">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52">
        <f>IF(C285="","",COUNTIFS(tbl_Finance[Job Number],C285&amp;"",tbl_Finance[Ex GST],"&lt;&gt;"))</f>
        <v/>
      </c>
      <c r="H285" s="17">
        <f>IF(C285="","",SUMIFS(tbl_Finance[Ex GST],tbl_Finance[Job Number],C285&amp;""))</f>
        <v/>
      </c>
      <c r="I285" s="15">
        <f>IF(C285="","",IFERROR(INDEX(tbl_Finance[Cost Centre],MATCH(C285&amp;"",tbl_Finance[Job Number],0)),"not invoiced yet"))</f>
        <v/>
      </c>
      <c r="J285" s="12" t="n"/>
      <c r="K285" s="14" t="n"/>
      <c r="L285" s="15">
        <f>IF(OR(K285="",set_RMSBase=""),"",HYPERLINK(set_RMSBase&amp;K285,"Open "&amp;K285))</f>
        <v/>
      </c>
      <c r="M285" s="15">
        <f>IF(C285="","",C285)</f>
        <v/>
      </c>
      <c r="N285" s="14" t="n"/>
      <c r="O285" s="16" t="n"/>
      <c r="P285" s="17">
        <f>IF(C285="","",H285+N(O285))</f>
        <v/>
      </c>
      <c r="Q285" s="54">
        <f>IFERROR(O285/P285,"")</f>
        <v/>
      </c>
      <c r="R285" s="16" t="n"/>
      <c r="S285" s="16" t="n"/>
      <c r="T285" s="17">
        <f>IF(C285="","",N(R285)+N(S285))</f>
        <v/>
      </c>
      <c r="U285" s="17">
        <f>IF(C285="","",H285-T285)</f>
        <v/>
      </c>
      <c r="V285" s="54">
        <f>IFERROR(U285/H285,"")</f>
        <v/>
      </c>
      <c r="W285" s="53" t="n"/>
      <c r="X285" s="53" t="n"/>
      <c r="Y285" s="53" t="n"/>
      <c r="Z285" s="53" t="n"/>
      <c r="AA285" s="53" t="n"/>
      <c r="AB285" s="14" t="n"/>
    </row>
    <row r="286" ht="15" customHeight="1">
      <c r="A286" s="51">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52">
        <f>IF(C286="","",COUNTIFS(tbl_Finance[Job Number],C286&amp;"",tbl_Finance[Ex GST],"&lt;&gt;"))</f>
        <v/>
      </c>
      <c r="H286" s="17">
        <f>IF(C286="","",SUMIFS(tbl_Finance[Ex GST],tbl_Finance[Job Number],C286&amp;""))</f>
        <v/>
      </c>
      <c r="I286" s="15">
        <f>IF(C286="","",IFERROR(INDEX(tbl_Finance[Cost Centre],MATCH(C286&amp;"",tbl_Finance[Job Number],0)),"not invoiced yet"))</f>
        <v/>
      </c>
      <c r="J286" s="12" t="n"/>
      <c r="K286" s="14" t="n"/>
      <c r="L286" s="15">
        <f>IF(OR(K286="",set_RMSBase=""),"",HYPERLINK(set_RMSBase&amp;K286,"Open "&amp;K286))</f>
        <v/>
      </c>
      <c r="M286" s="15">
        <f>IF(C286="","",C286)</f>
        <v/>
      </c>
      <c r="N286" s="14" t="n"/>
      <c r="O286" s="16" t="n"/>
      <c r="P286" s="17">
        <f>IF(C286="","",H286+N(O286))</f>
        <v/>
      </c>
      <c r="Q286" s="54">
        <f>IFERROR(O286/P286,"")</f>
        <v/>
      </c>
      <c r="R286" s="16" t="n"/>
      <c r="S286" s="16" t="n"/>
      <c r="T286" s="17">
        <f>IF(C286="","",N(R286)+N(S286))</f>
        <v/>
      </c>
      <c r="U286" s="17">
        <f>IF(C286="","",H286-T286)</f>
        <v/>
      </c>
      <c r="V286" s="54">
        <f>IFERROR(U286/H286,"")</f>
        <v/>
      </c>
      <c r="W286" s="53" t="n"/>
      <c r="X286" s="53" t="n"/>
      <c r="Y286" s="53" t="n"/>
      <c r="Z286" s="53" t="n"/>
      <c r="AA286" s="53" t="n"/>
      <c r="AB286" s="14" t="n"/>
    </row>
    <row r="287" ht="15" customHeight="1">
      <c r="A287" s="51">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52">
        <f>IF(C287="","",COUNTIFS(tbl_Finance[Job Number],C287&amp;"",tbl_Finance[Ex GST],"&lt;&gt;"))</f>
        <v/>
      </c>
      <c r="H287" s="17">
        <f>IF(C287="","",SUMIFS(tbl_Finance[Ex GST],tbl_Finance[Job Number],C287&amp;""))</f>
        <v/>
      </c>
      <c r="I287" s="15">
        <f>IF(C287="","",IFERROR(INDEX(tbl_Finance[Cost Centre],MATCH(C287&amp;"",tbl_Finance[Job Number],0)),"not invoiced yet"))</f>
        <v/>
      </c>
      <c r="J287" s="12" t="n"/>
      <c r="K287" s="14" t="n"/>
      <c r="L287" s="15">
        <f>IF(OR(K287="",set_RMSBase=""),"",HYPERLINK(set_RMSBase&amp;K287,"Open "&amp;K287))</f>
        <v/>
      </c>
      <c r="M287" s="15">
        <f>IF(C287="","",C287)</f>
        <v/>
      </c>
      <c r="N287" s="14" t="n"/>
      <c r="O287" s="16" t="n"/>
      <c r="P287" s="17">
        <f>IF(C287="","",H287+N(O287))</f>
        <v/>
      </c>
      <c r="Q287" s="54">
        <f>IFERROR(O287/P287,"")</f>
        <v/>
      </c>
      <c r="R287" s="16" t="n"/>
      <c r="S287" s="16" t="n"/>
      <c r="T287" s="17">
        <f>IF(C287="","",N(R287)+N(S287))</f>
        <v/>
      </c>
      <c r="U287" s="17">
        <f>IF(C287="","",H287-T287)</f>
        <v/>
      </c>
      <c r="V287" s="54">
        <f>IFERROR(U287/H287,"")</f>
        <v/>
      </c>
      <c r="W287" s="53" t="n"/>
      <c r="X287" s="53" t="n"/>
      <c r="Y287" s="53" t="n"/>
      <c r="Z287" s="53" t="n"/>
      <c r="AA287" s="53" t="n"/>
      <c r="AB287" s="14" t="n"/>
    </row>
    <row r="288" ht="15" customHeight="1">
      <c r="A288" s="51">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52">
        <f>IF(C288="","",COUNTIFS(tbl_Finance[Job Number],C288&amp;"",tbl_Finance[Ex GST],"&lt;&gt;"))</f>
        <v/>
      </c>
      <c r="H288" s="17">
        <f>IF(C288="","",SUMIFS(tbl_Finance[Ex GST],tbl_Finance[Job Number],C288&amp;""))</f>
        <v/>
      </c>
      <c r="I288" s="15">
        <f>IF(C288="","",IFERROR(INDEX(tbl_Finance[Cost Centre],MATCH(C288&amp;"",tbl_Finance[Job Number],0)),"not invoiced yet"))</f>
        <v/>
      </c>
      <c r="J288" s="12" t="n"/>
      <c r="K288" s="14" t="n"/>
      <c r="L288" s="15">
        <f>IF(OR(K288="",set_RMSBase=""),"",HYPERLINK(set_RMSBase&amp;K288,"Open "&amp;K288))</f>
        <v/>
      </c>
      <c r="M288" s="15">
        <f>IF(C288="","",C288)</f>
        <v/>
      </c>
      <c r="N288" s="14" t="n"/>
      <c r="O288" s="16" t="n"/>
      <c r="P288" s="17">
        <f>IF(C288="","",H288+N(O288))</f>
        <v/>
      </c>
      <c r="Q288" s="54">
        <f>IFERROR(O288/P288,"")</f>
        <v/>
      </c>
      <c r="R288" s="16" t="n"/>
      <c r="S288" s="16" t="n"/>
      <c r="T288" s="17">
        <f>IF(C288="","",N(R288)+N(S288))</f>
        <v/>
      </c>
      <c r="U288" s="17">
        <f>IF(C288="","",H288-T288)</f>
        <v/>
      </c>
      <c r="V288" s="54">
        <f>IFERROR(U288/H288,"")</f>
        <v/>
      </c>
      <c r="W288" s="53" t="n"/>
      <c r="X288" s="53" t="n"/>
      <c r="Y288" s="53" t="n"/>
      <c r="Z288" s="53" t="n"/>
      <c r="AA288" s="53" t="n"/>
      <c r="AB288" s="14" t="n"/>
    </row>
    <row r="289" ht="15" customHeight="1">
      <c r="A289" s="51">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52">
        <f>IF(C289="","",COUNTIFS(tbl_Finance[Job Number],C289&amp;"",tbl_Finance[Ex GST],"&lt;&gt;"))</f>
        <v/>
      </c>
      <c r="H289" s="17">
        <f>IF(C289="","",SUMIFS(tbl_Finance[Ex GST],tbl_Finance[Job Number],C289&amp;""))</f>
        <v/>
      </c>
      <c r="I289" s="15">
        <f>IF(C289="","",IFERROR(INDEX(tbl_Finance[Cost Centre],MATCH(C289&amp;"",tbl_Finance[Job Number],0)),"not invoiced yet"))</f>
        <v/>
      </c>
      <c r="J289" s="12" t="n"/>
      <c r="K289" s="14" t="n"/>
      <c r="L289" s="15">
        <f>IF(OR(K289="",set_RMSBase=""),"",HYPERLINK(set_RMSBase&amp;K289,"Open "&amp;K289))</f>
        <v/>
      </c>
      <c r="M289" s="15">
        <f>IF(C289="","",C289)</f>
        <v/>
      </c>
      <c r="N289" s="14" t="n"/>
      <c r="O289" s="16" t="n"/>
      <c r="P289" s="17">
        <f>IF(C289="","",H289+N(O289))</f>
        <v/>
      </c>
      <c r="Q289" s="54">
        <f>IFERROR(O289/P289,"")</f>
        <v/>
      </c>
      <c r="R289" s="16" t="n"/>
      <c r="S289" s="16" t="n"/>
      <c r="T289" s="17">
        <f>IF(C289="","",N(R289)+N(S289))</f>
        <v/>
      </c>
      <c r="U289" s="17">
        <f>IF(C289="","",H289-T289)</f>
        <v/>
      </c>
      <c r="V289" s="54">
        <f>IFERROR(U289/H289,"")</f>
        <v/>
      </c>
      <c r="W289" s="53" t="n"/>
      <c r="X289" s="53" t="n"/>
      <c r="Y289" s="53" t="n"/>
      <c r="Z289" s="53" t="n"/>
      <c r="AA289" s="53" t="n"/>
      <c r="AB289" s="14" t="n"/>
    </row>
    <row r="290" ht="15" customHeight="1">
      <c r="A290" s="51">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52">
        <f>IF(C290="","",COUNTIFS(tbl_Finance[Job Number],C290&amp;"",tbl_Finance[Ex GST],"&lt;&gt;"))</f>
        <v/>
      </c>
      <c r="H290" s="17">
        <f>IF(C290="","",SUMIFS(tbl_Finance[Ex GST],tbl_Finance[Job Number],C290&amp;""))</f>
        <v/>
      </c>
      <c r="I290" s="15">
        <f>IF(C290="","",IFERROR(INDEX(tbl_Finance[Cost Centre],MATCH(C290&amp;"",tbl_Finance[Job Number],0)),"not invoiced yet"))</f>
        <v/>
      </c>
      <c r="J290" s="12" t="n"/>
      <c r="K290" s="14" t="n"/>
      <c r="L290" s="15">
        <f>IF(OR(K290="",set_RMSBase=""),"",HYPERLINK(set_RMSBase&amp;K290,"Open "&amp;K290))</f>
        <v/>
      </c>
      <c r="M290" s="15">
        <f>IF(C290="","",C290)</f>
        <v/>
      </c>
      <c r="N290" s="14" t="n"/>
      <c r="O290" s="16" t="n"/>
      <c r="P290" s="17">
        <f>IF(C290="","",H290+N(O290))</f>
        <v/>
      </c>
      <c r="Q290" s="54">
        <f>IFERROR(O290/P290,"")</f>
        <v/>
      </c>
      <c r="R290" s="16" t="n"/>
      <c r="S290" s="16" t="n"/>
      <c r="T290" s="17">
        <f>IF(C290="","",N(R290)+N(S290))</f>
        <v/>
      </c>
      <c r="U290" s="17">
        <f>IF(C290="","",H290-T290)</f>
        <v/>
      </c>
      <c r="V290" s="54">
        <f>IFERROR(U290/H290,"")</f>
        <v/>
      </c>
      <c r="W290" s="53" t="n"/>
      <c r="X290" s="53" t="n"/>
      <c r="Y290" s="53" t="n"/>
      <c r="Z290" s="53" t="n"/>
      <c r="AA290" s="53" t="n"/>
      <c r="AB290" s="14" t="n"/>
    </row>
    <row r="291" ht="15" customHeight="1">
      <c r="A291" s="51">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52">
        <f>IF(C291="","",COUNTIFS(tbl_Finance[Job Number],C291&amp;"",tbl_Finance[Ex GST],"&lt;&gt;"))</f>
        <v/>
      </c>
      <c r="H291" s="17">
        <f>IF(C291="","",SUMIFS(tbl_Finance[Ex GST],tbl_Finance[Job Number],C291&amp;""))</f>
        <v/>
      </c>
      <c r="I291" s="15">
        <f>IF(C291="","",IFERROR(INDEX(tbl_Finance[Cost Centre],MATCH(C291&amp;"",tbl_Finance[Job Number],0)),"not invoiced yet"))</f>
        <v/>
      </c>
      <c r="J291" s="12" t="n"/>
      <c r="K291" s="14" t="n"/>
      <c r="L291" s="15">
        <f>IF(OR(K291="",set_RMSBase=""),"",HYPERLINK(set_RMSBase&amp;K291,"Open "&amp;K291))</f>
        <v/>
      </c>
      <c r="M291" s="15">
        <f>IF(C291="","",C291)</f>
        <v/>
      </c>
      <c r="N291" s="14" t="n"/>
      <c r="O291" s="16" t="n"/>
      <c r="P291" s="17">
        <f>IF(C291="","",H291+N(O291))</f>
        <v/>
      </c>
      <c r="Q291" s="54">
        <f>IFERROR(O291/P291,"")</f>
        <v/>
      </c>
      <c r="R291" s="16" t="n"/>
      <c r="S291" s="16" t="n"/>
      <c r="T291" s="17">
        <f>IF(C291="","",N(R291)+N(S291))</f>
        <v/>
      </c>
      <c r="U291" s="17">
        <f>IF(C291="","",H291-T291)</f>
        <v/>
      </c>
      <c r="V291" s="54">
        <f>IFERROR(U291/H291,"")</f>
        <v/>
      </c>
      <c r="W291" s="53" t="n"/>
      <c r="X291" s="53" t="n"/>
      <c r="Y291" s="53" t="n"/>
      <c r="Z291" s="53" t="n"/>
      <c r="AA291" s="53" t="n"/>
      <c r="AB291" s="14" t="n"/>
    </row>
    <row r="292" ht="15" customHeight="1">
      <c r="A292" s="51">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52">
        <f>IF(C292="","",COUNTIFS(tbl_Finance[Job Number],C292&amp;"",tbl_Finance[Ex GST],"&lt;&gt;"))</f>
        <v/>
      </c>
      <c r="H292" s="17">
        <f>IF(C292="","",SUMIFS(tbl_Finance[Ex GST],tbl_Finance[Job Number],C292&amp;""))</f>
        <v/>
      </c>
      <c r="I292" s="15">
        <f>IF(C292="","",IFERROR(INDEX(tbl_Finance[Cost Centre],MATCH(C292&amp;"",tbl_Finance[Job Number],0)),"not invoiced yet"))</f>
        <v/>
      </c>
      <c r="J292" s="12" t="n"/>
      <c r="K292" s="14" t="n"/>
      <c r="L292" s="15">
        <f>IF(OR(K292="",set_RMSBase=""),"",HYPERLINK(set_RMSBase&amp;K292,"Open "&amp;K292))</f>
        <v/>
      </c>
      <c r="M292" s="15">
        <f>IF(C292="","",C292)</f>
        <v/>
      </c>
      <c r="N292" s="14" t="n"/>
      <c r="O292" s="16" t="n"/>
      <c r="P292" s="17">
        <f>IF(C292="","",H292+N(O292))</f>
        <v/>
      </c>
      <c r="Q292" s="54">
        <f>IFERROR(O292/P292,"")</f>
        <v/>
      </c>
      <c r="R292" s="16" t="n"/>
      <c r="S292" s="16" t="n"/>
      <c r="T292" s="17">
        <f>IF(C292="","",N(R292)+N(S292))</f>
        <v/>
      </c>
      <c r="U292" s="17">
        <f>IF(C292="","",H292-T292)</f>
        <v/>
      </c>
      <c r="V292" s="54">
        <f>IFERROR(U292/H292,"")</f>
        <v/>
      </c>
      <c r="W292" s="53" t="n"/>
      <c r="X292" s="53" t="n"/>
      <c r="Y292" s="53" t="n"/>
      <c r="Z292" s="53" t="n"/>
      <c r="AA292" s="53" t="n"/>
      <c r="AB292" s="14" t="n"/>
    </row>
    <row r="293" ht="15" customHeight="1">
      <c r="A293" s="51">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52">
        <f>IF(C293="","",COUNTIFS(tbl_Finance[Job Number],C293&amp;"",tbl_Finance[Ex GST],"&lt;&gt;"))</f>
        <v/>
      </c>
      <c r="H293" s="17">
        <f>IF(C293="","",SUMIFS(tbl_Finance[Ex GST],tbl_Finance[Job Number],C293&amp;""))</f>
        <v/>
      </c>
      <c r="I293" s="15">
        <f>IF(C293="","",IFERROR(INDEX(tbl_Finance[Cost Centre],MATCH(C293&amp;"",tbl_Finance[Job Number],0)),"not invoiced yet"))</f>
        <v/>
      </c>
      <c r="J293" s="12" t="n"/>
      <c r="K293" s="14" t="n"/>
      <c r="L293" s="15">
        <f>IF(OR(K293="",set_RMSBase=""),"",HYPERLINK(set_RMSBase&amp;K293,"Open "&amp;K293))</f>
        <v/>
      </c>
      <c r="M293" s="15">
        <f>IF(C293="","",C293)</f>
        <v/>
      </c>
      <c r="N293" s="14" t="n"/>
      <c r="O293" s="16" t="n"/>
      <c r="P293" s="17">
        <f>IF(C293="","",H293+N(O293))</f>
        <v/>
      </c>
      <c r="Q293" s="54">
        <f>IFERROR(O293/P293,"")</f>
        <v/>
      </c>
      <c r="R293" s="16" t="n"/>
      <c r="S293" s="16" t="n"/>
      <c r="T293" s="17">
        <f>IF(C293="","",N(R293)+N(S293))</f>
        <v/>
      </c>
      <c r="U293" s="17">
        <f>IF(C293="","",H293-T293)</f>
        <v/>
      </c>
      <c r="V293" s="54">
        <f>IFERROR(U293/H293,"")</f>
        <v/>
      </c>
      <c r="W293" s="53" t="n"/>
      <c r="X293" s="53" t="n"/>
      <c r="Y293" s="53" t="n"/>
      <c r="Z293" s="53" t="n"/>
      <c r="AA293" s="53" t="n"/>
      <c r="AB293" s="14" t="n"/>
    </row>
    <row r="294" ht="15" customHeight="1">
      <c r="A294" s="51">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52">
        <f>IF(C294="","",COUNTIFS(tbl_Finance[Job Number],C294&amp;"",tbl_Finance[Ex GST],"&lt;&gt;"))</f>
        <v/>
      </c>
      <c r="H294" s="17">
        <f>IF(C294="","",SUMIFS(tbl_Finance[Ex GST],tbl_Finance[Job Number],C294&amp;""))</f>
        <v/>
      </c>
      <c r="I294" s="15">
        <f>IF(C294="","",IFERROR(INDEX(tbl_Finance[Cost Centre],MATCH(C294&amp;"",tbl_Finance[Job Number],0)),"not invoiced yet"))</f>
        <v/>
      </c>
      <c r="J294" s="12" t="n"/>
      <c r="K294" s="14" t="n"/>
      <c r="L294" s="15">
        <f>IF(OR(K294="",set_RMSBase=""),"",HYPERLINK(set_RMSBase&amp;K294,"Open "&amp;K294))</f>
        <v/>
      </c>
      <c r="M294" s="15">
        <f>IF(C294="","",C294)</f>
        <v/>
      </c>
      <c r="N294" s="14" t="n"/>
      <c r="O294" s="16" t="n"/>
      <c r="P294" s="17">
        <f>IF(C294="","",H294+N(O294))</f>
        <v/>
      </c>
      <c r="Q294" s="54">
        <f>IFERROR(O294/P294,"")</f>
        <v/>
      </c>
      <c r="R294" s="16" t="n"/>
      <c r="S294" s="16" t="n"/>
      <c r="T294" s="17">
        <f>IF(C294="","",N(R294)+N(S294))</f>
        <v/>
      </c>
      <c r="U294" s="17">
        <f>IF(C294="","",H294-T294)</f>
        <v/>
      </c>
      <c r="V294" s="54">
        <f>IFERROR(U294/H294,"")</f>
        <v/>
      </c>
      <c r="W294" s="53" t="n"/>
      <c r="X294" s="53" t="n"/>
      <c r="Y294" s="53" t="n"/>
      <c r="Z294" s="53" t="n"/>
      <c r="AA294" s="53" t="n"/>
      <c r="AB294" s="14" t="n"/>
    </row>
    <row r="295" ht="15" customHeight="1">
      <c r="A295" s="51">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52">
        <f>IF(C295="","",COUNTIFS(tbl_Finance[Job Number],C295&amp;"",tbl_Finance[Ex GST],"&lt;&gt;"))</f>
        <v/>
      </c>
      <c r="H295" s="17">
        <f>IF(C295="","",SUMIFS(tbl_Finance[Ex GST],tbl_Finance[Job Number],C295&amp;""))</f>
        <v/>
      </c>
      <c r="I295" s="15">
        <f>IF(C295="","",IFERROR(INDEX(tbl_Finance[Cost Centre],MATCH(C295&amp;"",tbl_Finance[Job Number],0)),"not invoiced yet"))</f>
        <v/>
      </c>
      <c r="J295" s="12" t="n"/>
      <c r="K295" s="14" t="n"/>
      <c r="L295" s="15">
        <f>IF(OR(K295="",set_RMSBase=""),"",HYPERLINK(set_RMSBase&amp;K295,"Open "&amp;K295))</f>
        <v/>
      </c>
      <c r="M295" s="15">
        <f>IF(C295="","",C295)</f>
        <v/>
      </c>
      <c r="N295" s="14" t="n"/>
      <c r="O295" s="16" t="n"/>
      <c r="P295" s="17">
        <f>IF(C295="","",H295+N(O295))</f>
        <v/>
      </c>
      <c r="Q295" s="54">
        <f>IFERROR(O295/P295,"")</f>
        <v/>
      </c>
      <c r="R295" s="16" t="n"/>
      <c r="S295" s="16" t="n"/>
      <c r="T295" s="17">
        <f>IF(C295="","",N(R295)+N(S295))</f>
        <v/>
      </c>
      <c r="U295" s="17">
        <f>IF(C295="","",H295-T295)</f>
        <v/>
      </c>
      <c r="V295" s="54">
        <f>IFERROR(U295/H295,"")</f>
        <v/>
      </c>
      <c r="W295" s="53" t="n"/>
      <c r="X295" s="53" t="n"/>
      <c r="Y295" s="53" t="n"/>
      <c r="Z295" s="53" t="n"/>
      <c r="AA295" s="53" t="n"/>
      <c r="AB295" s="14" t="n"/>
    </row>
    <row r="296" ht="15" customHeight="1">
      <c r="A296" s="51">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52">
        <f>IF(C296="","",COUNTIFS(tbl_Finance[Job Number],C296&amp;"",tbl_Finance[Ex GST],"&lt;&gt;"))</f>
        <v/>
      </c>
      <c r="H296" s="17">
        <f>IF(C296="","",SUMIFS(tbl_Finance[Ex GST],tbl_Finance[Job Number],C296&amp;""))</f>
        <v/>
      </c>
      <c r="I296" s="15">
        <f>IF(C296="","",IFERROR(INDEX(tbl_Finance[Cost Centre],MATCH(C296&amp;"",tbl_Finance[Job Number],0)),"not invoiced yet"))</f>
        <v/>
      </c>
      <c r="J296" s="12" t="n"/>
      <c r="K296" s="14" t="n"/>
      <c r="L296" s="15">
        <f>IF(OR(K296="",set_RMSBase=""),"",HYPERLINK(set_RMSBase&amp;K296,"Open "&amp;K296))</f>
        <v/>
      </c>
      <c r="M296" s="15">
        <f>IF(C296="","",C296)</f>
        <v/>
      </c>
      <c r="N296" s="14" t="n"/>
      <c r="O296" s="16" t="n"/>
      <c r="P296" s="17">
        <f>IF(C296="","",H296+N(O296))</f>
        <v/>
      </c>
      <c r="Q296" s="54">
        <f>IFERROR(O296/P296,"")</f>
        <v/>
      </c>
      <c r="R296" s="16" t="n"/>
      <c r="S296" s="16" t="n"/>
      <c r="T296" s="17">
        <f>IF(C296="","",N(R296)+N(S296))</f>
        <v/>
      </c>
      <c r="U296" s="17">
        <f>IF(C296="","",H296-T296)</f>
        <v/>
      </c>
      <c r="V296" s="54">
        <f>IFERROR(U296/H296,"")</f>
        <v/>
      </c>
      <c r="W296" s="53" t="n"/>
      <c r="X296" s="53" t="n"/>
      <c r="Y296" s="53" t="n"/>
      <c r="Z296" s="53" t="n"/>
      <c r="AA296" s="53" t="n"/>
      <c r="AB296" s="14" t="n"/>
    </row>
    <row r="297" ht="15" customHeight="1">
      <c r="A297" s="51">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52">
        <f>IF(C297="","",COUNTIFS(tbl_Finance[Job Number],C297&amp;"",tbl_Finance[Ex GST],"&lt;&gt;"))</f>
        <v/>
      </c>
      <c r="H297" s="17">
        <f>IF(C297="","",SUMIFS(tbl_Finance[Ex GST],tbl_Finance[Job Number],C297&amp;""))</f>
        <v/>
      </c>
      <c r="I297" s="15">
        <f>IF(C297="","",IFERROR(INDEX(tbl_Finance[Cost Centre],MATCH(C297&amp;"",tbl_Finance[Job Number],0)),"not invoiced yet"))</f>
        <v/>
      </c>
      <c r="J297" s="12" t="n"/>
      <c r="K297" s="14" t="n"/>
      <c r="L297" s="15">
        <f>IF(OR(K297="",set_RMSBase=""),"",HYPERLINK(set_RMSBase&amp;K297,"Open "&amp;K297))</f>
        <v/>
      </c>
      <c r="M297" s="15">
        <f>IF(C297="","",C297)</f>
        <v/>
      </c>
      <c r="N297" s="14" t="n"/>
      <c r="O297" s="16" t="n"/>
      <c r="P297" s="17">
        <f>IF(C297="","",H297+N(O297))</f>
        <v/>
      </c>
      <c r="Q297" s="54">
        <f>IFERROR(O297/P297,"")</f>
        <v/>
      </c>
      <c r="R297" s="16" t="n"/>
      <c r="S297" s="16" t="n"/>
      <c r="T297" s="17">
        <f>IF(C297="","",N(R297)+N(S297))</f>
        <v/>
      </c>
      <c r="U297" s="17">
        <f>IF(C297="","",H297-T297)</f>
        <v/>
      </c>
      <c r="V297" s="54">
        <f>IFERROR(U297/H297,"")</f>
        <v/>
      </c>
      <c r="W297" s="53" t="n"/>
      <c r="X297" s="53" t="n"/>
      <c r="Y297" s="53" t="n"/>
      <c r="Z297" s="53" t="n"/>
      <c r="AA297" s="53" t="n"/>
      <c r="AB297" s="14" t="n"/>
    </row>
    <row r="298" ht="15" customHeight="1">
      <c r="A298" s="51">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52">
        <f>IF(C298="","",COUNTIFS(tbl_Finance[Job Number],C298&amp;"",tbl_Finance[Ex GST],"&lt;&gt;"))</f>
        <v/>
      </c>
      <c r="H298" s="17">
        <f>IF(C298="","",SUMIFS(tbl_Finance[Ex GST],tbl_Finance[Job Number],C298&amp;""))</f>
        <v/>
      </c>
      <c r="I298" s="15">
        <f>IF(C298="","",IFERROR(INDEX(tbl_Finance[Cost Centre],MATCH(C298&amp;"",tbl_Finance[Job Number],0)),"not invoiced yet"))</f>
        <v/>
      </c>
      <c r="J298" s="12" t="n"/>
      <c r="K298" s="14" t="n"/>
      <c r="L298" s="15">
        <f>IF(OR(K298="",set_RMSBase=""),"",HYPERLINK(set_RMSBase&amp;K298,"Open "&amp;K298))</f>
        <v/>
      </c>
      <c r="M298" s="15">
        <f>IF(C298="","",C298)</f>
        <v/>
      </c>
      <c r="N298" s="14" t="n"/>
      <c r="O298" s="16" t="n"/>
      <c r="P298" s="17">
        <f>IF(C298="","",H298+N(O298))</f>
        <v/>
      </c>
      <c r="Q298" s="54">
        <f>IFERROR(O298/P298,"")</f>
        <v/>
      </c>
      <c r="R298" s="16" t="n"/>
      <c r="S298" s="16" t="n"/>
      <c r="T298" s="17">
        <f>IF(C298="","",N(R298)+N(S298))</f>
        <v/>
      </c>
      <c r="U298" s="17">
        <f>IF(C298="","",H298-T298)</f>
        <v/>
      </c>
      <c r="V298" s="54">
        <f>IFERROR(U298/H298,"")</f>
        <v/>
      </c>
      <c r="W298" s="53" t="n"/>
      <c r="X298" s="53" t="n"/>
      <c r="Y298" s="53" t="n"/>
      <c r="Z298" s="53" t="n"/>
      <c r="AA298" s="53" t="n"/>
      <c r="AB298" s="14" t="n"/>
    </row>
    <row r="299" ht="15" customHeight="1">
      <c r="A299" s="51">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52">
        <f>IF(C299="","",COUNTIFS(tbl_Finance[Job Number],C299&amp;"",tbl_Finance[Ex GST],"&lt;&gt;"))</f>
        <v/>
      </c>
      <c r="H299" s="17">
        <f>IF(C299="","",SUMIFS(tbl_Finance[Ex GST],tbl_Finance[Job Number],C299&amp;""))</f>
        <v/>
      </c>
      <c r="I299" s="15">
        <f>IF(C299="","",IFERROR(INDEX(tbl_Finance[Cost Centre],MATCH(C299&amp;"",tbl_Finance[Job Number],0)),"not invoiced yet"))</f>
        <v/>
      </c>
      <c r="J299" s="12" t="n"/>
      <c r="K299" s="14" t="n"/>
      <c r="L299" s="15">
        <f>IF(OR(K299="",set_RMSBase=""),"",HYPERLINK(set_RMSBase&amp;K299,"Open "&amp;K299))</f>
        <v/>
      </c>
      <c r="M299" s="15">
        <f>IF(C299="","",C299)</f>
        <v/>
      </c>
      <c r="N299" s="14" t="n"/>
      <c r="O299" s="16" t="n"/>
      <c r="P299" s="17">
        <f>IF(C299="","",H299+N(O299))</f>
        <v/>
      </c>
      <c r="Q299" s="54">
        <f>IFERROR(O299/P299,"")</f>
        <v/>
      </c>
      <c r="R299" s="16" t="n"/>
      <c r="S299" s="16" t="n"/>
      <c r="T299" s="17">
        <f>IF(C299="","",N(R299)+N(S299))</f>
        <v/>
      </c>
      <c r="U299" s="17">
        <f>IF(C299="","",H299-T299)</f>
        <v/>
      </c>
      <c r="V299" s="54">
        <f>IFERROR(U299/H299,"")</f>
        <v/>
      </c>
      <c r="W299" s="53" t="n"/>
      <c r="X299" s="53" t="n"/>
      <c r="Y299" s="53" t="n"/>
      <c r="Z299" s="53" t="n"/>
      <c r="AA299" s="53" t="n"/>
      <c r="AB299" s="14" t="n"/>
    </row>
    <row r="300" ht="15" customHeight="1">
      <c r="A300" s="51">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52">
        <f>IF(C300="","",COUNTIFS(tbl_Finance[Job Number],C300&amp;"",tbl_Finance[Ex GST],"&lt;&gt;"))</f>
        <v/>
      </c>
      <c r="H300" s="17">
        <f>IF(C300="","",SUMIFS(tbl_Finance[Ex GST],tbl_Finance[Job Number],C300&amp;""))</f>
        <v/>
      </c>
      <c r="I300" s="15">
        <f>IF(C300="","",IFERROR(INDEX(tbl_Finance[Cost Centre],MATCH(C300&amp;"",tbl_Finance[Job Number],0)),"not invoiced yet"))</f>
        <v/>
      </c>
      <c r="J300" s="12" t="n"/>
      <c r="K300" s="14" t="n"/>
      <c r="L300" s="15">
        <f>IF(OR(K300="",set_RMSBase=""),"",HYPERLINK(set_RMSBase&amp;K300,"Open "&amp;K300))</f>
        <v/>
      </c>
      <c r="M300" s="15">
        <f>IF(C300="","",C300)</f>
        <v/>
      </c>
      <c r="N300" s="14" t="n"/>
      <c r="O300" s="16" t="n"/>
      <c r="P300" s="17">
        <f>IF(C300="","",H300+N(O300))</f>
        <v/>
      </c>
      <c r="Q300" s="54">
        <f>IFERROR(O300/P300,"")</f>
        <v/>
      </c>
      <c r="R300" s="16" t="n"/>
      <c r="S300" s="16" t="n"/>
      <c r="T300" s="17">
        <f>IF(C300="","",N(R300)+N(S300))</f>
        <v/>
      </c>
      <c r="U300" s="17">
        <f>IF(C300="","",H300-T300)</f>
        <v/>
      </c>
      <c r="V300" s="54">
        <f>IFERROR(U300/H300,"")</f>
        <v/>
      </c>
      <c r="W300" s="53" t="n"/>
      <c r="X300" s="53" t="n"/>
      <c r="Y300" s="53" t="n"/>
      <c r="Z300" s="53" t="n"/>
      <c r="AA300" s="53" t="n"/>
      <c r="AB300" s="14" t="n"/>
    </row>
    <row r="301" ht="15" customHeight="1">
      <c r="A301" s="51">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52">
        <f>IF(C301="","",COUNTIFS(tbl_Finance[Job Number],C301&amp;"",tbl_Finance[Ex GST],"&lt;&gt;"))</f>
        <v/>
      </c>
      <c r="H301" s="17">
        <f>IF(C301="","",SUMIFS(tbl_Finance[Ex GST],tbl_Finance[Job Number],C301&amp;""))</f>
        <v/>
      </c>
      <c r="I301" s="15">
        <f>IF(C301="","",IFERROR(INDEX(tbl_Finance[Cost Centre],MATCH(C301&amp;"",tbl_Finance[Job Number],0)),"not invoiced yet"))</f>
        <v/>
      </c>
      <c r="J301" s="12" t="n"/>
      <c r="K301" s="14" t="n"/>
      <c r="L301" s="15">
        <f>IF(OR(K301="",set_RMSBase=""),"",HYPERLINK(set_RMSBase&amp;K301,"Open "&amp;K301))</f>
        <v/>
      </c>
      <c r="M301" s="15">
        <f>IF(C301="","",C301)</f>
        <v/>
      </c>
      <c r="N301" s="14" t="n"/>
      <c r="O301" s="16" t="n"/>
      <c r="P301" s="17">
        <f>IF(C301="","",H301+N(O301))</f>
        <v/>
      </c>
      <c r="Q301" s="54">
        <f>IFERROR(O301/P301,"")</f>
        <v/>
      </c>
      <c r="R301" s="16" t="n"/>
      <c r="S301" s="16" t="n"/>
      <c r="T301" s="17">
        <f>IF(C301="","",N(R301)+N(S301))</f>
        <v/>
      </c>
      <c r="U301" s="17">
        <f>IF(C301="","",H301-T301)</f>
        <v/>
      </c>
      <c r="V301" s="54">
        <f>IFERROR(U301/H301,"")</f>
        <v/>
      </c>
      <c r="W301" s="53" t="n"/>
      <c r="X301" s="53" t="n"/>
      <c r="Y301" s="53" t="n"/>
      <c r="Z301" s="53" t="n"/>
      <c r="AA301" s="53" t="n"/>
      <c r="AB301" s="14" t="n"/>
    </row>
    <row r="302" ht="15" customHeight="1">
      <c r="A302" s="51">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52">
        <f>IF(C302="","",COUNTIFS(tbl_Finance[Job Number],C302&amp;"",tbl_Finance[Ex GST],"&lt;&gt;"))</f>
        <v/>
      </c>
      <c r="H302" s="17">
        <f>IF(C302="","",SUMIFS(tbl_Finance[Ex GST],tbl_Finance[Job Number],C302&amp;""))</f>
        <v/>
      </c>
      <c r="I302" s="15">
        <f>IF(C302="","",IFERROR(INDEX(tbl_Finance[Cost Centre],MATCH(C302&amp;"",tbl_Finance[Job Number],0)),"not invoiced yet"))</f>
        <v/>
      </c>
      <c r="J302" s="12" t="n"/>
      <c r="K302" s="14" t="n"/>
      <c r="L302" s="15">
        <f>IF(OR(K302="",set_RMSBase=""),"",HYPERLINK(set_RMSBase&amp;K302,"Open "&amp;K302))</f>
        <v/>
      </c>
      <c r="M302" s="15">
        <f>IF(C302="","",C302)</f>
        <v/>
      </c>
      <c r="N302" s="14" t="n"/>
      <c r="O302" s="16" t="n"/>
      <c r="P302" s="17">
        <f>IF(C302="","",H302+N(O302))</f>
        <v/>
      </c>
      <c r="Q302" s="54">
        <f>IFERROR(O302/P302,"")</f>
        <v/>
      </c>
      <c r="R302" s="16" t="n"/>
      <c r="S302" s="16" t="n"/>
      <c r="T302" s="17">
        <f>IF(C302="","",N(R302)+N(S302))</f>
        <v/>
      </c>
      <c r="U302" s="17">
        <f>IF(C302="","",H302-T302)</f>
        <v/>
      </c>
      <c r="V302" s="54">
        <f>IFERROR(U302/H302,"")</f>
        <v/>
      </c>
      <c r="W302" s="53" t="n"/>
      <c r="X302" s="53" t="n"/>
      <c r="Y302" s="53" t="n"/>
      <c r="Z302" s="53" t="n"/>
      <c r="AA302" s="53" t="n"/>
      <c r="AB302" s="14" t="n"/>
    </row>
    <row r="303" ht="15" customHeight="1">
      <c r="A303" s="51">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52">
        <f>IF(C303="","",COUNTIFS(tbl_Finance[Job Number],C303&amp;"",tbl_Finance[Ex GST],"&lt;&gt;"))</f>
        <v/>
      </c>
      <c r="H303" s="17">
        <f>IF(C303="","",SUMIFS(tbl_Finance[Ex GST],tbl_Finance[Job Number],C303&amp;""))</f>
        <v/>
      </c>
      <c r="I303" s="15">
        <f>IF(C303="","",IFERROR(INDEX(tbl_Finance[Cost Centre],MATCH(C303&amp;"",tbl_Finance[Job Number],0)),"not invoiced yet"))</f>
        <v/>
      </c>
      <c r="J303" s="12" t="n"/>
      <c r="K303" s="14" t="n"/>
      <c r="L303" s="15">
        <f>IF(OR(K303="",set_RMSBase=""),"",HYPERLINK(set_RMSBase&amp;K303,"Open "&amp;K303))</f>
        <v/>
      </c>
      <c r="M303" s="15">
        <f>IF(C303="","",C303)</f>
        <v/>
      </c>
      <c r="N303" s="14" t="n"/>
      <c r="O303" s="16" t="n"/>
      <c r="P303" s="17">
        <f>IF(C303="","",H303+N(O303))</f>
        <v/>
      </c>
      <c r="Q303" s="54">
        <f>IFERROR(O303/P303,"")</f>
        <v/>
      </c>
      <c r="R303" s="16" t="n"/>
      <c r="S303" s="16" t="n"/>
      <c r="T303" s="17">
        <f>IF(C303="","",N(R303)+N(S303))</f>
        <v/>
      </c>
      <c r="U303" s="17">
        <f>IF(C303="","",H303-T303)</f>
        <v/>
      </c>
      <c r="V303" s="54">
        <f>IFERROR(U303/H303,"")</f>
        <v/>
      </c>
      <c r="W303" s="53" t="n"/>
      <c r="X303" s="53" t="n"/>
      <c r="Y303" s="53" t="n"/>
      <c r="Z303" s="53" t="n"/>
      <c r="AA303" s="53" t="n"/>
      <c r="AB303" s="14" t="n"/>
    </row>
    <row r="304" ht="15" customHeight="1">
      <c r="A304" s="51">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52">
        <f>IF(C304="","",COUNTIFS(tbl_Finance[Job Number],C304&amp;"",tbl_Finance[Ex GST],"&lt;&gt;"))</f>
        <v/>
      </c>
      <c r="H304" s="17">
        <f>IF(C304="","",SUMIFS(tbl_Finance[Ex GST],tbl_Finance[Job Number],C304&amp;""))</f>
        <v/>
      </c>
      <c r="I304" s="15">
        <f>IF(C304="","",IFERROR(INDEX(tbl_Finance[Cost Centre],MATCH(C304&amp;"",tbl_Finance[Job Number],0)),"not invoiced yet"))</f>
        <v/>
      </c>
      <c r="J304" s="12" t="n"/>
      <c r="K304" s="14" t="n"/>
      <c r="L304" s="15">
        <f>IF(OR(K304="",set_RMSBase=""),"",HYPERLINK(set_RMSBase&amp;K304,"Open "&amp;K304))</f>
        <v/>
      </c>
      <c r="M304" s="15">
        <f>IF(C304="","",C304)</f>
        <v/>
      </c>
      <c r="N304" s="14" t="n"/>
      <c r="O304" s="16" t="n"/>
      <c r="P304" s="17">
        <f>IF(C304="","",H304+N(O304))</f>
        <v/>
      </c>
      <c r="Q304" s="54">
        <f>IFERROR(O304/P304,"")</f>
        <v/>
      </c>
      <c r="R304" s="16" t="n"/>
      <c r="S304" s="16" t="n"/>
      <c r="T304" s="17">
        <f>IF(C304="","",N(R304)+N(S304))</f>
        <v/>
      </c>
      <c r="U304" s="17">
        <f>IF(C304="","",H304-T304)</f>
        <v/>
      </c>
      <c r="V304" s="54">
        <f>IFERROR(U304/H304,"")</f>
        <v/>
      </c>
      <c r="W304" s="53" t="n"/>
      <c r="X304" s="53" t="n"/>
      <c r="Y304" s="53" t="n"/>
      <c r="Z304" s="53" t="n"/>
      <c r="AA304" s="53" t="n"/>
      <c r="AB304" s="14" t="n"/>
    </row>
    <row r="305" ht="15" customHeight="1">
      <c r="A305" s="51">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52">
        <f>IF(C305="","",COUNTIFS(tbl_Finance[Job Number],C305&amp;"",tbl_Finance[Ex GST],"&lt;&gt;"))</f>
        <v/>
      </c>
      <c r="H305" s="17">
        <f>IF(C305="","",SUMIFS(tbl_Finance[Ex GST],tbl_Finance[Job Number],C305&amp;""))</f>
        <v/>
      </c>
      <c r="I305" s="15">
        <f>IF(C305="","",IFERROR(INDEX(tbl_Finance[Cost Centre],MATCH(C305&amp;"",tbl_Finance[Job Number],0)),"not invoiced yet"))</f>
        <v/>
      </c>
      <c r="J305" s="12" t="n"/>
      <c r="K305" s="14" t="n"/>
      <c r="L305" s="15">
        <f>IF(OR(K305="",set_RMSBase=""),"",HYPERLINK(set_RMSBase&amp;K305,"Open "&amp;K305))</f>
        <v/>
      </c>
      <c r="M305" s="15">
        <f>IF(C305="","",C305)</f>
        <v/>
      </c>
      <c r="N305" s="14" t="n"/>
      <c r="O305" s="16" t="n"/>
      <c r="P305" s="17">
        <f>IF(C305="","",H305+N(O305))</f>
        <v/>
      </c>
      <c r="Q305" s="54">
        <f>IFERROR(O305/P305,"")</f>
        <v/>
      </c>
      <c r="R305" s="16" t="n"/>
      <c r="S305" s="16" t="n"/>
      <c r="T305" s="17">
        <f>IF(C305="","",N(R305)+N(S305))</f>
        <v/>
      </c>
      <c r="U305" s="17">
        <f>IF(C305="","",H305-T305)</f>
        <v/>
      </c>
      <c r="V305" s="54">
        <f>IFERROR(U305/H305,"")</f>
        <v/>
      </c>
      <c r="W305" s="53" t="n"/>
      <c r="X305" s="53" t="n"/>
      <c r="Y305" s="53" t="n"/>
      <c r="Z305" s="53" t="n"/>
      <c r="AA305" s="53" t="n"/>
      <c r="AB305" s="14" t="n"/>
    </row>
    <row r="306" ht="15" customHeight="1">
      <c r="A306" s="51">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52">
        <f>IF(C306="","",COUNTIFS(tbl_Finance[Job Number],C306&amp;"",tbl_Finance[Ex GST],"&lt;&gt;"))</f>
        <v/>
      </c>
      <c r="H306" s="17">
        <f>IF(C306="","",SUMIFS(tbl_Finance[Ex GST],tbl_Finance[Job Number],C306&amp;""))</f>
        <v/>
      </c>
      <c r="I306" s="15">
        <f>IF(C306="","",IFERROR(INDEX(tbl_Finance[Cost Centre],MATCH(C306&amp;"",tbl_Finance[Job Number],0)),"not invoiced yet"))</f>
        <v/>
      </c>
      <c r="J306" s="12" t="n"/>
      <c r="K306" s="14" t="n"/>
      <c r="L306" s="15">
        <f>IF(OR(K306="",set_RMSBase=""),"",HYPERLINK(set_RMSBase&amp;K306,"Open "&amp;K306))</f>
        <v/>
      </c>
      <c r="M306" s="15">
        <f>IF(C306="","",C306)</f>
        <v/>
      </c>
      <c r="N306" s="14" t="n"/>
      <c r="O306" s="16" t="n"/>
      <c r="P306" s="17">
        <f>IF(C306="","",H306+N(O306))</f>
        <v/>
      </c>
      <c r="Q306" s="54">
        <f>IFERROR(O306/P306,"")</f>
        <v/>
      </c>
      <c r="R306" s="16" t="n"/>
      <c r="S306" s="16" t="n"/>
      <c r="T306" s="17">
        <f>IF(C306="","",N(R306)+N(S306))</f>
        <v/>
      </c>
      <c r="U306" s="17">
        <f>IF(C306="","",H306-T306)</f>
        <v/>
      </c>
      <c r="V306" s="54">
        <f>IFERROR(U306/H306,"")</f>
        <v/>
      </c>
      <c r="W306" s="53" t="n"/>
      <c r="X306" s="53" t="n"/>
      <c r="Y306" s="53" t="n"/>
      <c r="Z306" s="53" t="n"/>
      <c r="AA306" s="53" t="n"/>
      <c r="AB306" s="14" t="n"/>
    </row>
    <row r="307" ht="15" customHeight="1">
      <c r="A307" s="51">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52">
        <f>IF(C307="","",COUNTIFS(tbl_Finance[Job Number],C307&amp;"",tbl_Finance[Ex GST],"&lt;&gt;"))</f>
        <v/>
      </c>
      <c r="H307" s="17">
        <f>IF(C307="","",SUMIFS(tbl_Finance[Ex GST],tbl_Finance[Job Number],C307&amp;""))</f>
        <v/>
      </c>
      <c r="I307" s="15">
        <f>IF(C307="","",IFERROR(INDEX(tbl_Finance[Cost Centre],MATCH(C307&amp;"",tbl_Finance[Job Number],0)),"not invoiced yet"))</f>
        <v/>
      </c>
      <c r="J307" s="12" t="n"/>
      <c r="K307" s="14" t="n"/>
      <c r="L307" s="15">
        <f>IF(OR(K307="",set_RMSBase=""),"",HYPERLINK(set_RMSBase&amp;K307,"Open "&amp;K307))</f>
        <v/>
      </c>
      <c r="M307" s="15">
        <f>IF(C307="","",C307)</f>
        <v/>
      </c>
      <c r="N307" s="14" t="n"/>
      <c r="O307" s="16" t="n"/>
      <c r="P307" s="17">
        <f>IF(C307="","",H307+N(O307))</f>
        <v/>
      </c>
      <c r="Q307" s="54">
        <f>IFERROR(O307/P307,"")</f>
        <v/>
      </c>
      <c r="R307" s="16" t="n"/>
      <c r="S307" s="16" t="n"/>
      <c r="T307" s="17">
        <f>IF(C307="","",N(R307)+N(S307))</f>
        <v/>
      </c>
      <c r="U307" s="17">
        <f>IF(C307="","",H307-T307)</f>
        <v/>
      </c>
      <c r="V307" s="54">
        <f>IFERROR(U307/H307,"")</f>
        <v/>
      </c>
      <c r="W307" s="53" t="n"/>
      <c r="X307" s="53" t="n"/>
      <c r="Y307" s="53" t="n"/>
      <c r="Z307" s="53" t="n"/>
      <c r="AA307" s="53" t="n"/>
      <c r="AB307" s="14" t="n"/>
    </row>
    <row r="308" ht="15" customHeight="1">
      <c r="A308" s="51">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52">
        <f>IF(C308="","",COUNTIFS(tbl_Finance[Job Number],C308&amp;"",tbl_Finance[Ex GST],"&lt;&gt;"))</f>
        <v/>
      </c>
      <c r="H308" s="17">
        <f>IF(C308="","",SUMIFS(tbl_Finance[Ex GST],tbl_Finance[Job Number],C308&amp;""))</f>
        <v/>
      </c>
      <c r="I308" s="15">
        <f>IF(C308="","",IFERROR(INDEX(tbl_Finance[Cost Centre],MATCH(C308&amp;"",tbl_Finance[Job Number],0)),"not invoiced yet"))</f>
        <v/>
      </c>
      <c r="J308" s="12" t="n"/>
      <c r="K308" s="14" t="n"/>
      <c r="L308" s="15">
        <f>IF(OR(K308="",set_RMSBase=""),"",HYPERLINK(set_RMSBase&amp;K308,"Open "&amp;K308))</f>
        <v/>
      </c>
      <c r="M308" s="15">
        <f>IF(C308="","",C308)</f>
        <v/>
      </c>
      <c r="N308" s="14" t="n"/>
      <c r="O308" s="16" t="n"/>
      <c r="P308" s="17">
        <f>IF(C308="","",H308+N(O308))</f>
        <v/>
      </c>
      <c r="Q308" s="54">
        <f>IFERROR(O308/P308,"")</f>
        <v/>
      </c>
      <c r="R308" s="16" t="n"/>
      <c r="S308" s="16" t="n"/>
      <c r="T308" s="17">
        <f>IF(C308="","",N(R308)+N(S308))</f>
        <v/>
      </c>
      <c r="U308" s="17">
        <f>IF(C308="","",H308-T308)</f>
        <v/>
      </c>
      <c r="V308" s="54">
        <f>IFERROR(U308/H308,"")</f>
        <v/>
      </c>
      <c r="W308" s="53" t="n"/>
      <c r="X308" s="53" t="n"/>
      <c r="Y308" s="53" t="n"/>
      <c r="Z308" s="53" t="n"/>
      <c r="AA308" s="53" t="n"/>
      <c r="AB308" s="14" t="n"/>
    </row>
    <row r="309" ht="15" customHeight="1">
      <c r="A309" s="51">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52">
        <f>IF(C309="","",COUNTIFS(tbl_Finance[Job Number],C309&amp;"",tbl_Finance[Ex GST],"&lt;&gt;"))</f>
        <v/>
      </c>
      <c r="H309" s="17">
        <f>IF(C309="","",SUMIFS(tbl_Finance[Ex GST],tbl_Finance[Job Number],C309&amp;""))</f>
        <v/>
      </c>
      <c r="I309" s="15">
        <f>IF(C309="","",IFERROR(INDEX(tbl_Finance[Cost Centre],MATCH(C309&amp;"",tbl_Finance[Job Number],0)),"not invoiced yet"))</f>
        <v/>
      </c>
      <c r="J309" s="12" t="n"/>
      <c r="K309" s="14" t="n"/>
      <c r="L309" s="15">
        <f>IF(OR(K309="",set_RMSBase=""),"",HYPERLINK(set_RMSBase&amp;K309,"Open "&amp;K309))</f>
        <v/>
      </c>
      <c r="M309" s="15">
        <f>IF(C309="","",C309)</f>
        <v/>
      </c>
      <c r="N309" s="14" t="n"/>
      <c r="O309" s="16" t="n"/>
      <c r="P309" s="17">
        <f>IF(C309="","",H309+N(O309))</f>
        <v/>
      </c>
      <c r="Q309" s="54">
        <f>IFERROR(O309/P309,"")</f>
        <v/>
      </c>
      <c r="R309" s="16" t="n"/>
      <c r="S309" s="16" t="n"/>
      <c r="T309" s="17">
        <f>IF(C309="","",N(R309)+N(S309))</f>
        <v/>
      </c>
      <c r="U309" s="17">
        <f>IF(C309="","",H309-T309)</f>
        <v/>
      </c>
      <c r="V309" s="54">
        <f>IFERROR(U309/H309,"")</f>
        <v/>
      </c>
      <c r="W309" s="53" t="n"/>
      <c r="X309" s="53" t="n"/>
      <c r="Y309" s="53" t="n"/>
      <c r="Z309" s="53" t="n"/>
      <c r="AA309" s="53" t="n"/>
      <c r="AB309" s="14" t="n"/>
    </row>
    <row r="310" ht="15" customHeight="1">
      <c r="A310" s="51">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52">
        <f>IF(C310="","",COUNTIFS(tbl_Finance[Job Number],C310&amp;"",tbl_Finance[Ex GST],"&lt;&gt;"))</f>
        <v/>
      </c>
      <c r="H310" s="17">
        <f>IF(C310="","",SUMIFS(tbl_Finance[Ex GST],tbl_Finance[Job Number],C310&amp;""))</f>
        <v/>
      </c>
      <c r="I310" s="15">
        <f>IF(C310="","",IFERROR(INDEX(tbl_Finance[Cost Centre],MATCH(C310&amp;"",tbl_Finance[Job Number],0)),"not invoiced yet"))</f>
        <v/>
      </c>
      <c r="J310" s="12" t="n"/>
      <c r="K310" s="14" t="n"/>
      <c r="L310" s="15">
        <f>IF(OR(K310="",set_RMSBase=""),"",HYPERLINK(set_RMSBase&amp;K310,"Open "&amp;K310))</f>
        <v/>
      </c>
      <c r="M310" s="15">
        <f>IF(C310="","",C310)</f>
        <v/>
      </c>
      <c r="N310" s="14" t="n"/>
      <c r="O310" s="16" t="n"/>
      <c r="P310" s="17">
        <f>IF(C310="","",H310+N(O310))</f>
        <v/>
      </c>
      <c r="Q310" s="54">
        <f>IFERROR(O310/P310,"")</f>
        <v/>
      </c>
      <c r="R310" s="16" t="n"/>
      <c r="S310" s="16" t="n"/>
      <c r="T310" s="17">
        <f>IF(C310="","",N(R310)+N(S310))</f>
        <v/>
      </c>
      <c r="U310" s="17">
        <f>IF(C310="","",H310-T310)</f>
        <v/>
      </c>
      <c r="V310" s="54">
        <f>IFERROR(U310/H310,"")</f>
        <v/>
      </c>
      <c r="W310" s="53" t="n"/>
      <c r="X310" s="53" t="n"/>
      <c r="Y310" s="53" t="n"/>
      <c r="Z310" s="53" t="n"/>
      <c r="AA310" s="53" t="n"/>
      <c r="AB310" s="14" t="n"/>
    </row>
    <row r="311" ht="15" customHeight="1">
      <c r="A311" s="51">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52">
        <f>IF(C311="","",COUNTIFS(tbl_Finance[Job Number],C311&amp;"",tbl_Finance[Ex GST],"&lt;&gt;"))</f>
        <v/>
      </c>
      <c r="H311" s="17">
        <f>IF(C311="","",SUMIFS(tbl_Finance[Ex GST],tbl_Finance[Job Number],C311&amp;""))</f>
        <v/>
      </c>
      <c r="I311" s="15">
        <f>IF(C311="","",IFERROR(INDEX(tbl_Finance[Cost Centre],MATCH(C311&amp;"",tbl_Finance[Job Number],0)),"not invoiced yet"))</f>
        <v/>
      </c>
      <c r="J311" s="12" t="n"/>
      <c r="K311" s="14" t="n"/>
      <c r="L311" s="15">
        <f>IF(OR(K311="",set_RMSBase=""),"",HYPERLINK(set_RMSBase&amp;K311,"Open "&amp;K311))</f>
        <v/>
      </c>
      <c r="M311" s="15">
        <f>IF(C311="","",C311)</f>
        <v/>
      </c>
      <c r="N311" s="14" t="n"/>
      <c r="O311" s="16" t="n"/>
      <c r="P311" s="17">
        <f>IF(C311="","",H311+N(O311))</f>
        <v/>
      </c>
      <c r="Q311" s="54">
        <f>IFERROR(O311/P311,"")</f>
        <v/>
      </c>
      <c r="R311" s="16" t="n"/>
      <c r="S311" s="16" t="n"/>
      <c r="T311" s="17">
        <f>IF(C311="","",N(R311)+N(S311))</f>
        <v/>
      </c>
      <c r="U311" s="17">
        <f>IF(C311="","",H311-T311)</f>
        <v/>
      </c>
      <c r="V311" s="54">
        <f>IFERROR(U311/H311,"")</f>
        <v/>
      </c>
      <c r="W311" s="53" t="n"/>
      <c r="X311" s="53" t="n"/>
      <c r="Y311" s="53" t="n"/>
      <c r="Z311" s="53" t="n"/>
      <c r="AA311" s="53" t="n"/>
      <c r="AB311" s="14" t="n"/>
    </row>
    <row r="312" ht="15" customHeight="1">
      <c r="A312" s="51">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52">
        <f>IF(C312="","",COUNTIFS(tbl_Finance[Job Number],C312&amp;"",tbl_Finance[Ex GST],"&lt;&gt;"))</f>
        <v/>
      </c>
      <c r="H312" s="17">
        <f>IF(C312="","",SUMIFS(tbl_Finance[Ex GST],tbl_Finance[Job Number],C312&amp;""))</f>
        <v/>
      </c>
      <c r="I312" s="15">
        <f>IF(C312="","",IFERROR(INDEX(tbl_Finance[Cost Centre],MATCH(C312&amp;"",tbl_Finance[Job Number],0)),"not invoiced yet"))</f>
        <v/>
      </c>
      <c r="J312" s="12" t="n"/>
      <c r="K312" s="14" t="n"/>
      <c r="L312" s="15">
        <f>IF(OR(K312="",set_RMSBase=""),"",HYPERLINK(set_RMSBase&amp;K312,"Open "&amp;K312))</f>
        <v/>
      </c>
      <c r="M312" s="15">
        <f>IF(C312="","",C312)</f>
        <v/>
      </c>
      <c r="N312" s="14" t="n"/>
      <c r="O312" s="16" t="n"/>
      <c r="P312" s="17">
        <f>IF(C312="","",H312+N(O312))</f>
        <v/>
      </c>
      <c r="Q312" s="54">
        <f>IFERROR(O312/P312,"")</f>
        <v/>
      </c>
      <c r="R312" s="16" t="n"/>
      <c r="S312" s="16" t="n"/>
      <c r="T312" s="17">
        <f>IF(C312="","",N(R312)+N(S312))</f>
        <v/>
      </c>
      <c r="U312" s="17">
        <f>IF(C312="","",H312-T312)</f>
        <v/>
      </c>
      <c r="V312" s="54">
        <f>IFERROR(U312/H312,"")</f>
        <v/>
      </c>
      <c r="W312" s="53" t="n"/>
      <c r="X312" s="53" t="n"/>
      <c r="Y312" s="53" t="n"/>
      <c r="Z312" s="53" t="n"/>
      <c r="AA312" s="53" t="n"/>
      <c r="AB312" s="14" t="n"/>
    </row>
    <row r="313" ht="15" customHeight="1">
      <c r="A313" s="51">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52">
        <f>IF(C313="","",COUNTIFS(tbl_Finance[Job Number],C313&amp;"",tbl_Finance[Ex GST],"&lt;&gt;"))</f>
        <v/>
      </c>
      <c r="H313" s="17">
        <f>IF(C313="","",SUMIFS(tbl_Finance[Ex GST],tbl_Finance[Job Number],C313&amp;""))</f>
        <v/>
      </c>
      <c r="I313" s="15">
        <f>IF(C313="","",IFERROR(INDEX(tbl_Finance[Cost Centre],MATCH(C313&amp;"",tbl_Finance[Job Number],0)),"not invoiced yet"))</f>
        <v/>
      </c>
      <c r="J313" s="12" t="n"/>
      <c r="K313" s="14" t="n"/>
      <c r="L313" s="15">
        <f>IF(OR(K313="",set_RMSBase=""),"",HYPERLINK(set_RMSBase&amp;K313,"Open "&amp;K313))</f>
        <v/>
      </c>
      <c r="M313" s="15">
        <f>IF(C313="","",C313)</f>
        <v/>
      </c>
      <c r="N313" s="14" t="n"/>
      <c r="O313" s="16" t="n"/>
      <c r="P313" s="17">
        <f>IF(C313="","",H313+N(O313))</f>
        <v/>
      </c>
      <c r="Q313" s="54">
        <f>IFERROR(O313/P313,"")</f>
        <v/>
      </c>
      <c r="R313" s="16" t="n"/>
      <c r="S313" s="16" t="n"/>
      <c r="T313" s="17">
        <f>IF(C313="","",N(R313)+N(S313))</f>
        <v/>
      </c>
      <c r="U313" s="17">
        <f>IF(C313="","",H313-T313)</f>
        <v/>
      </c>
      <c r="V313" s="54">
        <f>IFERROR(U313/H313,"")</f>
        <v/>
      </c>
      <c r="W313" s="53" t="n"/>
      <c r="X313" s="53" t="n"/>
      <c r="Y313" s="53" t="n"/>
      <c r="Z313" s="53" t="n"/>
      <c r="AA313" s="53" t="n"/>
      <c r="AB313" s="14" t="n"/>
    </row>
    <row r="314" ht="15" customHeight="1">
      <c r="A314" s="51">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52">
        <f>IF(C314="","",COUNTIFS(tbl_Finance[Job Number],C314&amp;"",tbl_Finance[Ex GST],"&lt;&gt;"))</f>
        <v/>
      </c>
      <c r="H314" s="17">
        <f>IF(C314="","",SUMIFS(tbl_Finance[Ex GST],tbl_Finance[Job Number],C314&amp;""))</f>
        <v/>
      </c>
      <c r="I314" s="15">
        <f>IF(C314="","",IFERROR(INDEX(tbl_Finance[Cost Centre],MATCH(C314&amp;"",tbl_Finance[Job Number],0)),"not invoiced yet"))</f>
        <v/>
      </c>
      <c r="J314" s="12" t="n"/>
      <c r="K314" s="14" t="n"/>
      <c r="L314" s="15">
        <f>IF(OR(K314="",set_RMSBase=""),"",HYPERLINK(set_RMSBase&amp;K314,"Open "&amp;K314))</f>
        <v/>
      </c>
      <c r="M314" s="15">
        <f>IF(C314="","",C314)</f>
        <v/>
      </c>
      <c r="N314" s="14" t="n"/>
      <c r="O314" s="16" t="n"/>
      <c r="P314" s="17">
        <f>IF(C314="","",H314+N(O314))</f>
        <v/>
      </c>
      <c r="Q314" s="54">
        <f>IFERROR(O314/P314,"")</f>
        <v/>
      </c>
      <c r="R314" s="16" t="n"/>
      <c r="S314" s="16" t="n"/>
      <c r="T314" s="17">
        <f>IF(C314="","",N(R314)+N(S314))</f>
        <v/>
      </c>
      <c r="U314" s="17">
        <f>IF(C314="","",H314-T314)</f>
        <v/>
      </c>
      <c r="V314" s="54">
        <f>IFERROR(U314/H314,"")</f>
        <v/>
      </c>
      <c r="W314" s="53" t="n"/>
      <c r="X314" s="53" t="n"/>
      <c r="Y314" s="53" t="n"/>
      <c r="Z314" s="53" t="n"/>
      <c r="AA314" s="53" t="n"/>
      <c r="AB314" s="14" t="n"/>
    </row>
    <row r="315" ht="15" customHeight="1">
      <c r="A315" s="51">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52">
        <f>IF(C315="","",COUNTIFS(tbl_Finance[Job Number],C315&amp;"",tbl_Finance[Ex GST],"&lt;&gt;"))</f>
        <v/>
      </c>
      <c r="H315" s="17">
        <f>IF(C315="","",SUMIFS(tbl_Finance[Ex GST],tbl_Finance[Job Number],C315&amp;""))</f>
        <v/>
      </c>
      <c r="I315" s="15">
        <f>IF(C315="","",IFERROR(INDEX(tbl_Finance[Cost Centre],MATCH(C315&amp;"",tbl_Finance[Job Number],0)),"not invoiced yet"))</f>
        <v/>
      </c>
      <c r="J315" s="12" t="n"/>
      <c r="K315" s="14" t="n"/>
      <c r="L315" s="15">
        <f>IF(OR(K315="",set_RMSBase=""),"",HYPERLINK(set_RMSBase&amp;K315,"Open "&amp;K315))</f>
        <v/>
      </c>
      <c r="M315" s="15">
        <f>IF(C315="","",C315)</f>
        <v/>
      </c>
      <c r="N315" s="14" t="n"/>
      <c r="O315" s="16" t="n"/>
      <c r="P315" s="17">
        <f>IF(C315="","",H315+N(O315))</f>
        <v/>
      </c>
      <c r="Q315" s="54">
        <f>IFERROR(O315/P315,"")</f>
        <v/>
      </c>
      <c r="R315" s="16" t="n"/>
      <c r="S315" s="16" t="n"/>
      <c r="T315" s="17">
        <f>IF(C315="","",N(R315)+N(S315))</f>
        <v/>
      </c>
      <c r="U315" s="17">
        <f>IF(C315="","",H315-T315)</f>
        <v/>
      </c>
      <c r="V315" s="54">
        <f>IFERROR(U315/H315,"")</f>
        <v/>
      </c>
      <c r="W315" s="53" t="n"/>
      <c r="X315" s="53" t="n"/>
      <c r="Y315" s="53" t="n"/>
      <c r="Z315" s="53" t="n"/>
      <c r="AA315" s="53" t="n"/>
      <c r="AB315" s="14" t="n"/>
    </row>
    <row r="316" ht="15" customHeight="1">
      <c r="A316" s="51">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52">
        <f>IF(C316="","",COUNTIFS(tbl_Finance[Job Number],C316&amp;"",tbl_Finance[Ex GST],"&lt;&gt;"))</f>
        <v/>
      </c>
      <c r="H316" s="17">
        <f>IF(C316="","",SUMIFS(tbl_Finance[Ex GST],tbl_Finance[Job Number],C316&amp;""))</f>
        <v/>
      </c>
      <c r="I316" s="15">
        <f>IF(C316="","",IFERROR(INDEX(tbl_Finance[Cost Centre],MATCH(C316&amp;"",tbl_Finance[Job Number],0)),"not invoiced yet"))</f>
        <v/>
      </c>
      <c r="J316" s="12" t="n"/>
      <c r="K316" s="14" t="n"/>
      <c r="L316" s="15">
        <f>IF(OR(K316="",set_RMSBase=""),"",HYPERLINK(set_RMSBase&amp;K316,"Open "&amp;K316))</f>
        <v/>
      </c>
      <c r="M316" s="15">
        <f>IF(C316="","",C316)</f>
        <v/>
      </c>
      <c r="N316" s="14" t="n"/>
      <c r="O316" s="16" t="n"/>
      <c r="P316" s="17">
        <f>IF(C316="","",H316+N(O316))</f>
        <v/>
      </c>
      <c r="Q316" s="54">
        <f>IFERROR(O316/P316,"")</f>
        <v/>
      </c>
      <c r="R316" s="16" t="n"/>
      <c r="S316" s="16" t="n"/>
      <c r="T316" s="17">
        <f>IF(C316="","",N(R316)+N(S316))</f>
        <v/>
      </c>
      <c r="U316" s="17">
        <f>IF(C316="","",H316-T316)</f>
        <v/>
      </c>
      <c r="V316" s="54">
        <f>IFERROR(U316/H316,"")</f>
        <v/>
      </c>
      <c r="W316" s="53" t="n"/>
      <c r="X316" s="53" t="n"/>
      <c r="Y316" s="53" t="n"/>
      <c r="Z316" s="53" t="n"/>
      <c r="AA316" s="53" t="n"/>
      <c r="AB316" s="14" t="n"/>
    </row>
    <row r="317" ht="15" customHeight="1">
      <c r="A317" s="51">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52">
        <f>IF(C317="","",COUNTIFS(tbl_Finance[Job Number],C317&amp;"",tbl_Finance[Ex GST],"&lt;&gt;"))</f>
        <v/>
      </c>
      <c r="H317" s="17">
        <f>IF(C317="","",SUMIFS(tbl_Finance[Ex GST],tbl_Finance[Job Number],C317&amp;""))</f>
        <v/>
      </c>
      <c r="I317" s="15">
        <f>IF(C317="","",IFERROR(INDEX(tbl_Finance[Cost Centre],MATCH(C317&amp;"",tbl_Finance[Job Number],0)),"not invoiced yet"))</f>
        <v/>
      </c>
      <c r="J317" s="12" t="n"/>
      <c r="K317" s="14" t="n"/>
      <c r="L317" s="15">
        <f>IF(OR(K317="",set_RMSBase=""),"",HYPERLINK(set_RMSBase&amp;K317,"Open "&amp;K317))</f>
        <v/>
      </c>
      <c r="M317" s="15">
        <f>IF(C317="","",C317)</f>
        <v/>
      </c>
      <c r="N317" s="14" t="n"/>
      <c r="O317" s="16" t="n"/>
      <c r="P317" s="17">
        <f>IF(C317="","",H317+N(O317))</f>
        <v/>
      </c>
      <c r="Q317" s="54">
        <f>IFERROR(O317/P317,"")</f>
        <v/>
      </c>
      <c r="R317" s="16" t="n"/>
      <c r="S317" s="16" t="n"/>
      <c r="T317" s="17">
        <f>IF(C317="","",N(R317)+N(S317))</f>
        <v/>
      </c>
      <c r="U317" s="17">
        <f>IF(C317="","",H317-T317)</f>
        <v/>
      </c>
      <c r="V317" s="54">
        <f>IFERROR(U317/H317,"")</f>
        <v/>
      </c>
      <c r="W317" s="53" t="n"/>
      <c r="X317" s="53" t="n"/>
      <c r="Y317" s="53" t="n"/>
      <c r="Z317" s="53" t="n"/>
      <c r="AA317" s="53" t="n"/>
      <c r="AB317" s="14" t="n"/>
    </row>
    <row r="318" ht="15" customHeight="1">
      <c r="A318" s="51">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52">
        <f>IF(C318="","",COUNTIFS(tbl_Finance[Job Number],C318&amp;"",tbl_Finance[Ex GST],"&lt;&gt;"))</f>
        <v/>
      </c>
      <c r="H318" s="17">
        <f>IF(C318="","",SUMIFS(tbl_Finance[Ex GST],tbl_Finance[Job Number],C318&amp;""))</f>
        <v/>
      </c>
      <c r="I318" s="15">
        <f>IF(C318="","",IFERROR(INDEX(tbl_Finance[Cost Centre],MATCH(C318&amp;"",tbl_Finance[Job Number],0)),"not invoiced yet"))</f>
        <v/>
      </c>
      <c r="J318" s="12" t="n"/>
      <c r="K318" s="14" t="n"/>
      <c r="L318" s="15">
        <f>IF(OR(K318="",set_RMSBase=""),"",HYPERLINK(set_RMSBase&amp;K318,"Open "&amp;K318))</f>
        <v/>
      </c>
      <c r="M318" s="15">
        <f>IF(C318="","",C318)</f>
        <v/>
      </c>
      <c r="N318" s="14" t="n"/>
      <c r="O318" s="16" t="n"/>
      <c r="P318" s="17">
        <f>IF(C318="","",H318+N(O318))</f>
        <v/>
      </c>
      <c r="Q318" s="54">
        <f>IFERROR(O318/P318,"")</f>
        <v/>
      </c>
      <c r="R318" s="16" t="n"/>
      <c r="S318" s="16" t="n"/>
      <c r="T318" s="17">
        <f>IF(C318="","",N(R318)+N(S318))</f>
        <v/>
      </c>
      <c r="U318" s="17">
        <f>IF(C318="","",H318-T318)</f>
        <v/>
      </c>
      <c r="V318" s="54">
        <f>IFERROR(U318/H318,"")</f>
        <v/>
      </c>
      <c r="W318" s="53" t="n"/>
      <c r="X318" s="53" t="n"/>
      <c r="Y318" s="53" t="n"/>
      <c r="Z318" s="53" t="n"/>
      <c r="AA318" s="53" t="n"/>
      <c r="AB318" s="14" t="n"/>
    </row>
    <row r="319" ht="15" customHeight="1">
      <c r="A319" s="51">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52">
        <f>IF(C319="","",COUNTIFS(tbl_Finance[Job Number],C319&amp;"",tbl_Finance[Ex GST],"&lt;&gt;"))</f>
        <v/>
      </c>
      <c r="H319" s="17">
        <f>IF(C319="","",SUMIFS(tbl_Finance[Ex GST],tbl_Finance[Job Number],C319&amp;""))</f>
        <v/>
      </c>
      <c r="I319" s="15">
        <f>IF(C319="","",IFERROR(INDEX(tbl_Finance[Cost Centre],MATCH(C319&amp;"",tbl_Finance[Job Number],0)),"not invoiced yet"))</f>
        <v/>
      </c>
      <c r="J319" s="12" t="n"/>
      <c r="K319" s="14" t="n"/>
      <c r="L319" s="15">
        <f>IF(OR(K319="",set_RMSBase=""),"",HYPERLINK(set_RMSBase&amp;K319,"Open "&amp;K319))</f>
        <v/>
      </c>
      <c r="M319" s="15">
        <f>IF(C319="","",C319)</f>
        <v/>
      </c>
      <c r="N319" s="14" t="n"/>
      <c r="O319" s="16" t="n"/>
      <c r="P319" s="17">
        <f>IF(C319="","",H319+N(O319))</f>
        <v/>
      </c>
      <c r="Q319" s="54">
        <f>IFERROR(O319/P319,"")</f>
        <v/>
      </c>
      <c r="R319" s="16" t="n"/>
      <c r="S319" s="16" t="n"/>
      <c r="T319" s="17">
        <f>IF(C319="","",N(R319)+N(S319))</f>
        <v/>
      </c>
      <c r="U319" s="17">
        <f>IF(C319="","",H319-T319)</f>
        <v/>
      </c>
      <c r="V319" s="54">
        <f>IFERROR(U319/H319,"")</f>
        <v/>
      </c>
      <c r="W319" s="53" t="n"/>
      <c r="X319" s="53" t="n"/>
      <c r="Y319" s="53" t="n"/>
      <c r="Z319" s="53" t="n"/>
      <c r="AA319" s="53" t="n"/>
      <c r="AB319" s="14" t="n"/>
    </row>
    <row r="320" ht="15" customHeight="1">
      <c r="A320" s="51">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52">
        <f>IF(C320="","",COUNTIFS(tbl_Finance[Job Number],C320&amp;"",tbl_Finance[Ex GST],"&lt;&gt;"))</f>
        <v/>
      </c>
      <c r="H320" s="17">
        <f>IF(C320="","",SUMIFS(tbl_Finance[Ex GST],tbl_Finance[Job Number],C320&amp;""))</f>
        <v/>
      </c>
      <c r="I320" s="15">
        <f>IF(C320="","",IFERROR(INDEX(tbl_Finance[Cost Centre],MATCH(C320&amp;"",tbl_Finance[Job Number],0)),"not invoiced yet"))</f>
        <v/>
      </c>
      <c r="J320" s="12" t="n"/>
      <c r="K320" s="14" t="n"/>
      <c r="L320" s="15">
        <f>IF(OR(K320="",set_RMSBase=""),"",HYPERLINK(set_RMSBase&amp;K320,"Open "&amp;K320))</f>
        <v/>
      </c>
      <c r="M320" s="15">
        <f>IF(C320="","",C320)</f>
        <v/>
      </c>
      <c r="N320" s="14" t="n"/>
      <c r="O320" s="16" t="n"/>
      <c r="P320" s="17">
        <f>IF(C320="","",H320+N(O320))</f>
        <v/>
      </c>
      <c r="Q320" s="54">
        <f>IFERROR(O320/P320,"")</f>
        <v/>
      </c>
      <c r="R320" s="16" t="n"/>
      <c r="S320" s="16" t="n"/>
      <c r="T320" s="17">
        <f>IF(C320="","",N(R320)+N(S320))</f>
        <v/>
      </c>
      <c r="U320" s="17">
        <f>IF(C320="","",H320-T320)</f>
        <v/>
      </c>
      <c r="V320" s="54">
        <f>IFERROR(U320/H320,"")</f>
        <v/>
      </c>
      <c r="W320" s="53" t="n"/>
      <c r="X320" s="53" t="n"/>
      <c r="Y320" s="53" t="n"/>
      <c r="Z320" s="53" t="n"/>
      <c r="AA320" s="53" t="n"/>
      <c r="AB320" s="14" t="n"/>
    </row>
    <row r="321" ht="15" customHeight="1">
      <c r="A321" s="51">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52">
        <f>IF(C321="","",COUNTIFS(tbl_Finance[Job Number],C321&amp;"",tbl_Finance[Ex GST],"&lt;&gt;"))</f>
        <v/>
      </c>
      <c r="H321" s="17">
        <f>IF(C321="","",SUMIFS(tbl_Finance[Ex GST],tbl_Finance[Job Number],C321&amp;""))</f>
        <v/>
      </c>
      <c r="I321" s="15">
        <f>IF(C321="","",IFERROR(INDEX(tbl_Finance[Cost Centre],MATCH(C321&amp;"",tbl_Finance[Job Number],0)),"not invoiced yet"))</f>
        <v/>
      </c>
      <c r="J321" s="12" t="n"/>
      <c r="K321" s="14" t="n"/>
      <c r="L321" s="15">
        <f>IF(OR(K321="",set_RMSBase=""),"",HYPERLINK(set_RMSBase&amp;K321,"Open "&amp;K321))</f>
        <v/>
      </c>
      <c r="M321" s="15">
        <f>IF(C321="","",C321)</f>
        <v/>
      </c>
      <c r="N321" s="14" t="n"/>
      <c r="O321" s="16" t="n"/>
      <c r="P321" s="17">
        <f>IF(C321="","",H321+N(O321))</f>
        <v/>
      </c>
      <c r="Q321" s="54">
        <f>IFERROR(O321/P321,"")</f>
        <v/>
      </c>
      <c r="R321" s="16" t="n"/>
      <c r="S321" s="16" t="n"/>
      <c r="T321" s="17">
        <f>IF(C321="","",N(R321)+N(S321))</f>
        <v/>
      </c>
      <c r="U321" s="17">
        <f>IF(C321="","",H321-T321)</f>
        <v/>
      </c>
      <c r="V321" s="54">
        <f>IFERROR(U321/H321,"")</f>
        <v/>
      </c>
      <c r="W321" s="53" t="n"/>
      <c r="X321" s="53" t="n"/>
      <c r="Y321" s="53" t="n"/>
      <c r="Z321" s="53" t="n"/>
      <c r="AA321" s="53" t="n"/>
      <c r="AB321" s="14" t="n"/>
    </row>
    <row r="322" ht="15" customHeight="1">
      <c r="A322" s="51">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52">
        <f>IF(C322="","",COUNTIFS(tbl_Finance[Job Number],C322&amp;"",tbl_Finance[Ex GST],"&lt;&gt;"))</f>
        <v/>
      </c>
      <c r="H322" s="17">
        <f>IF(C322="","",SUMIFS(tbl_Finance[Ex GST],tbl_Finance[Job Number],C322&amp;""))</f>
        <v/>
      </c>
      <c r="I322" s="15">
        <f>IF(C322="","",IFERROR(INDEX(tbl_Finance[Cost Centre],MATCH(C322&amp;"",tbl_Finance[Job Number],0)),"not invoiced yet"))</f>
        <v/>
      </c>
      <c r="J322" s="12" t="n"/>
      <c r="K322" s="14" t="n"/>
      <c r="L322" s="15">
        <f>IF(OR(K322="",set_RMSBase=""),"",HYPERLINK(set_RMSBase&amp;K322,"Open "&amp;K322))</f>
        <v/>
      </c>
      <c r="M322" s="15">
        <f>IF(C322="","",C322)</f>
        <v/>
      </c>
      <c r="N322" s="14" t="n"/>
      <c r="O322" s="16" t="n"/>
      <c r="P322" s="17">
        <f>IF(C322="","",H322+N(O322))</f>
        <v/>
      </c>
      <c r="Q322" s="54">
        <f>IFERROR(O322/P322,"")</f>
        <v/>
      </c>
      <c r="R322" s="16" t="n"/>
      <c r="S322" s="16" t="n"/>
      <c r="T322" s="17">
        <f>IF(C322="","",N(R322)+N(S322))</f>
        <v/>
      </c>
      <c r="U322" s="17">
        <f>IF(C322="","",H322-T322)</f>
        <v/>
      </c>
      <c r="V322" s="54">
        <f>IFERROR(U322/H322,"")</f>
        <v/>
      </c>
      <c r="W322" s="53" t="n"/>
      <c r="X322" s="53" t="n"/>
      <c r="Y322" s="53" t="n"/>
      <c r="Z322" s="53" t="n"/>
      <c r="AA322" s="53" t="n"/>
      <c r="AB322" s="14" t="n"/>
    </row>
    <row r="323" ht="15" customHeight="1">
      <c r="A323" s="51">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52">
        <f>IF(C323="","",COUNTIFS(tbl_Finance[Job Number],C323&amp;"",tbl_Finance[Ex GST],"&lt;&gt;"))</f>
        <v/>
      </c>
      <c r="H323" s="17">
        <f>IF(C323="","",SUMIFS(tbl_Finance[Ex GST],tbl_Finance[Job Number],C323&amp;""))</f>
        <v/>
      </c>
      <c r="I323" s="15">
        <f>IF(C323="","",IFERROR(INDEX(tbl_Finance[Cost Centre],MATCH(C323&amp;"",tbl_Finance[Job Number],0)),"not invoiced yet"))</f>
        <v/>
      </c>
      <c r="J323" s="12" t="n"/>
      <c r="K323" s="14" t="n"/>
      <c r="L323" s="15">
        <f>IF(OR(K323="",set_RMSBase=""),"",HYPERLINK(set_RMSBase&amp;K323,"Open "&amp;K323))</f>
        <v/>
      </c>
      <c r="M323" s="15">
        <f>IF(C323="","",C323)</f>
        <v/>
      </c>
      <c r="N323" s="14" t="n"/>
      <c r="O323" s="16" t="n"/>
      <c r="P323" s="17">
        <f>IF(C323="","",H323+N(O323))</f>
        <v/>
      </c>
      <c r="Q323" s="54">
        <f>IFERROR(O323/P323,"")</f>
        <v/>
      </c>
      <c r="R323" s="16" t="n"/>
      <c r="S323" s="16" t="n"/>
      <c r="T323" s="17">
        <f>IF(C323="","",N(R323)+N(S323))</f>
        <v/>
      </c>
      <c r="U323" s="17">
        <f>IF(C323="","",H323-T323)</f>
        <v/>
      </c>
      <c r="V323" s="54">
        <f>IFERROR(U323/H323,"")</f>
        <v/>
      </c>
      <c r="W323" s="53" t="n"/>
      <c r="X323" s="53" t="n"/>
      <c r="Y323" s="53" t="n"/>
      <c r="Z323" s="53" t="n"/>
      <c r="AA323" s="53" t="n"/>
      <c r="AB323" s="14" t="n"/>
    </row>
    <row r="324" ht="15" customHeight="1">
      <c r="A324" s="51">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52">
        <f>IF(C324="","",COUNTIFS(tbl_Finance[Job Number],C324&amp;"",tbl_Finance[Ex GST],"&lt;&gt;"))</f>
        <v/>
      </c>
      <c r="H324" s="17">
        <f>IF(C324="","",SUMIFS(tbl_Finance[Ex GST],tbl_Finance[Job Number],C324&amp;""))</f>
        <v/>
      </c>
      <c r="I324" s="15">
        <f>IF(C324="","",IFERROR(INDEX(tbl_Finance[Cost Centre],MATCH(C324&amp;"",tbl_Finance[Job Number],0)),"not invoiced yet"))</f>
        <v/>
      </c>
      <c r="J324" s="12" t="n"/>
      <c r="K324" s="14" t="n"/>
      <c r="L324" s="15">
        <f>IF(OR(K324="",set_RMSBase=""),"",HYPERLINK(set_RMSBase&amp;K324,"Open "&amp;K324))</f>
        <v/>
      </c>
      <c r="M324" s="15">
        <f>IF(C324="","",C324)</f>
        <v/>
      </c>
      <c r="N324" s="14" t="n"/>
      <c r="O324" s="16" t="n"/>
      <c r="P324" s="17">
        <f>IF(C324="","",H324+N(O324))</f>
        <v/>
      </c>
      <c r="Q324" s="54">
        <f>IFERROR(O324/P324,"")</f>
        <v/>
      </c>
      <c r="R324" s="16" t="n"/>
      <c r="S324" s="16" t="n"/>
      <c r="T324" s="17">
        <f>IF(C324="","",N(R324)+N(S324))</f>
        <v/>
      </c>
      <c r="U324" s="17">
        <f>IF(C324="","",H324-T324)</f>
        <v/>
      </c>
      <c r="V324" s="54">
        <f>IFERROR(U324/H324,"")</f>
        <v/>
      </c>
      <c r="W324" s="53" t="n"/>
      <c r="X324" s="53" t="n"/>
      <c r="Y324" s="53" t="n"/>
      <c r="Z324" s="53" t="n"/>
      <c r="AA324" s="53" t="n"/>
      <c r="AB324" s="14" t="n"/>
    </row>
    <row r="325" ht="15" customHeight="1">
      <c r="A325" s="51">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52">
        <f>IF(C325="","",COUNTIFS(tbl_Finance[Job Number],C325&amp;"",tbl_Finance[Ex GST],"&lt;&gt;"))</f>
        <v/>
      </c>
      <c r="H325" s="17">
        <f>IF(C325="","",SUMIFS(tbl_Finance[Ex GST],tbl_Finance[Job Number],C325&amp;""))</f>
        <v/>
      </c>
      <c r="I325" s="15">
        <f>IF(C325="","",IFERROR(INDEX(tbl_Finance[Cost Centre],MATCH(C325&amp;"",tbl_Finance[Job Number],0)),"not invoiced yet"))</f>
        <v/>
      </c>
      <c r="J325" s="12" t="n"/>
      <c r="K325" s="14" t="n"/>
      <c r="L325" s="15">
        <f>IF(OR(K325="",set_RMSBase=""),"",HYPERLINK(set_RMSBase&amp;K325,"Open "&amp;K325))</f>
        <v/>
      </c>
      <c r="M325" s="15">
        <f>IF(C325="","",C325)</f>
        <v/>
      </c>
      <c r="N325" s="14" t="n"/>
      <c r="O325" s="16" t="n"/>
      <c r="P325" s="17">
        <f>IF(C325="","",H325+N(O325))</f>
        <v/>
      </c>
      <c r="Q325" s="54">
        <f>IFERROR(O325/P325,"")</f>
        <v/>
      </c>
      <c r="R325" s="16" t="n"/>
      <c r="S325" s="16" t="n"/>
      <c r="T325" s="17">
        <f>IF(C325="","",N(R325)+N(S325))</f>
        <v/>
      </c>
      <c r="U325" s="17">
        <f>IF(C325="","",H325-T325)</f>
        <v/>
      </c>
      <c r="V325" s="54">
        <f>IFERROR(U325/H325,"")</f>
        <v/>
      </c>
      <c r="W325" s="53" t="n"/>
      <c r="X325" s="53" t="n"/>
      <c r="Y325" s="53" t="n"/>
      <c r="Z325" s="53" t="n"/>
      <c r="AA325" s="53" t="n"/>
      <c r="AB325" s="14" t="n"/>
    </row>
    <row r="326" ht="15" customHeight="1">
      <c r="A326" s="51">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52">
        <f>IF(C326="","",COUNTIFS(tbl_Finance[Job Number],C326&amp;"",tbl_Finance[Ex GST],"&lt;&gt;"))</f>
        <v/>
      </c>
      <c r="H326" s="17">
        <f>IF(C326="","",SUMIFS(tbl_Finance[Ex GST],tbl_Finance[Job Number],C326&amp;""))</f>
        <v/>
      </c>
      <c r="I326" s="15">
        <f>IF(C326="","",IFERROR(INDEX(tbl_Finance[Cost Centre],MATCH(C326&amp;"",tbl_Finance[Job Number],0)),"not invoiced yet"))</f>
        <v/>
      </c>
      <c r="J326" s="12" t="n"/>
      <c r="K326" s="14" t="n"/>
      <c r="L326" s="15">
        <f>IF(OR(K326="",set_RMSBase=""),"",HYPERLINK(set_RMSBase&amp;K326,"Open "&amp;K326))</f>
        <v/>
      </c>
      <c r="M326" s="15">
        <f>IF(C326="","",C326)</f>
        <v/>
      </c>
      <c r="N326" s="14" t="n"/>
      <c r="O326" s="16" t="n"/>
      <c r="P326" s="17">
        <f>IF(C326="","",H326+N(O326))</f>
        <v/>
      </c>
      <c r="Q326" s="54">
        <f>IFERROR(O326/P326,"")</f>
        <v/>
      </c>
      <c r="R326" s="16" t="n"/>
      <c r="S326" s="16" t="n"/>
      <c r="T326" s="17">
        <f>IF(C326="","",N(R326)+N(S326))</f>
        <v/>
      </c>
      <c r="U326" s="17">
        <f>IF(C326="","",H326-T326)</f>
        <v/>
      </c>
      <c r="V326" s="54">
        <f>IFERROR(U326/H326,"")</f>
        <v/>
      </c>
      <c r="W326" s="53" t="n"/>
      <c r="X326" s="53" t="n"/>
      <c r="Y326" s="53" t="n"/>
      <c r="Z326" s="53" t="n"/>
      <c r="AA326" s="53" t="n"/>
      <c r="AB326" s="14" t="n"/>
    </row>
    <row r="327" ht="15" customHeight="1">
      <c r="A327" s="51">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52">
        <f>IF(C327="","",COUNTIFS(tbl_Finance[Job Number],C327&amp;"",tbl_Finance[Ex GST],"&lt;&gt;"))</f>
        <v/>
      </c>
      <c r="H327" s="17">
        <f>IF(C327="","",SUMIFS(tbl_Finance[Ex GST],tbl_Finance[Job Number],C327&amp;""))</f>
        <v/>
      </c>
      <c r="I327" s="15">
        <f>IF(C327="","",IFERROR(INDEX(tbl_Finance[Cost Centre],MATCH(C327&amp;"",tbl_Finance[Job Number],0)),"not invoiced yet"))</f>
        <v/>
      </c>
      <c r="J327" s="12" t="n"/>
      <c r="K327" s="14" t="n"/>
      <c r="L327" s="15">
        <f>IF(OR(K327="",set_RMSBase=""),"",HYPERLINK(set_RMSBase&amp;K327,"Open "&amp;K327))</f>
        <v/>
      </c>
      <c r="M327" s="15">
        <f>IF(C327="","",C327)</f>
        <v/>
      </c>
      <c r="N327" s="14" t="n"/>
      <c r="O327" s="16" t="n"/>
      <c r="P327" s="17">
        <f>IF(C327="","",H327+N(O327))</f>
        <v/>
      </c>
      <c r="Q327" s="54">
        <f>IFERROR(O327/P327,"")</f>
        <v/>
      </c>
      <c r="R327" s="16" t="n"/>
      <c r="S327" s="16" t="n"/>
      <c r="T327" s="17">
        <f>IF(C327="","",N(R327)+N(S327))</f>
        <v/>
      </c>
      <c r="U327" s="17">
        <f>IF(C327="","",H327-T327)</f>
        <v/>
      </c>
      <c r="V327" s="54">
        <f>IFERROR(U327/H327,"")</f>
        <v/>
      </c>
      <c r="W327" s="53" t="n"/>
      <c r="X327" s="53" t="n"/>
      <c r="Y327" s="53" t="n"/>
      <c r="Z327" s="53" t="n"/>
      <c r="AA327" s="53" t="n"/>
      <c r="AB327" s="14" t="n"/>
    </row>
    <row r="328" ht="15" customHeight="1">
      <c r="A328" s="51">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52">
        <f>IF(C328="","",COUNTIFS(tbl_Finance[Job Number],C328&amp;"",tbl_Finance[Ex GST],"&lt;&gt;"))</f>
        <v/>
      </c>
      <c r="H328" s="17">
        <f>IF(C328="","",SUMIFS(tbl_Finance[Ex GST],tbl_Finance[Job Number],C328&amp;""))</f>
        <v/>
      </c>
      <c r="I328" s="15">
        <f>IF(C328="","",IFERROR(INDEX(tbl_Finance[Cost Centre],MATCH(C328&amp;"",tbl_Finance[Job Number],0)),"not invoiced yet"))</f>
        <v/>
      </c>
      <c r="J328" s="12" t="n"/>
      <c r="K328" s="14" t="n"/>
      <c r="L328" s="15">
        <f>IF(OR(K328="",set_RMSBase=""),"",HYPERLINK(set_RMSBase&amp;K328,"Open "&amp;K328))</f>
        <v/>
      </c>
      <c r="M328" s="15">
        <f>IF(C328="","",C328)</f>
        <v/>
      </c>
      <c r="N328" s="14" t="n"/>
      <c r="O328" s="16" t="n"/>
      <c r="P328" s="17">
        <f>IF(C328="","",H328+N(O328))</f>
        <v/>
      </c>
      <c r="Q328" s="54">
        <f>IFERROR(O328/P328,"")</f>
        <v/>
      </c>
      <c r="R328" s="16" t="n"/>
      <c r="S328" s="16" t="n"/>
      <c r="T328" s="17">
        <f>IF(C328="","",N(R328)+N(S328))</f>
        <v/>
      </c>
      <c r="U328" s="17">
        <f>IF(C328="","",H328-T328)</f>
        <v/>
      </c>
      <c r="V328" s="54">
        <f>IFERROR(U328/H328,"")</f>
        <v/>
      </c>
      <c r="W328" s="53" t="n"/>
      <c r="X328" s="53" t="n"/>
      <c r="Y328" s="53" t="n"/>
      <c r="Z328" s="53" t="n"/>
      <c r="AA328" s="53" t="n"/>
      <c r="AB328" s="14" t="n"/>
    </row>
    <row r="329" ht="15" customHeight="1">
      <c r="A329" s="51">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52">
        <f>IF(C329="","",COUNTIFS(tbl_Finance[Job Number],C329&amp;"",tbl_Finance[Ex GST],"&lt;&gt;"))</f>
        <v/>
      </c>
      <c r="H329" s="17">
        <f>IF(C329="","",SUMIFS(tbl_Finance[Ex GST],tbl_Finance[Job Number],C329&amp;""))</f>
        <v/>
      </c>
      <c r="I329" s="15">
        <f>IF(C329="","",IFERROR(INDEX(tbl_Finance[Cost Centre],MATCH(C329&amp;"",tbl_Finance[Job Number],0)),"not invoiced yet"))</f>
        <v/>
      </c>
      <c r="J329" s="12" t="n"/>
      <c r="K329" s="14" t="n"/>
      <c r="L329" s="15">
        <f>IF(OR(K329="",set_RMSBase=""),"",HYPERLINK(set_RMSBase&amp;K329,"Open "&amp;K329))</f>
        <v/>
      </c>
      <c r="M329" s="15">
        <f>IF(C329="","",C329)</f>
        <v/>
      </c>
      <c r="N329" s="14" t="n"/>
      <c r="O329" s="16" t="n"/>
      <c r="P329" s="17">
        <f>IF(C329="","",H329+N(O329))</f>
        <v/>
      </c>
      <c r="Q329" s="54">
        <f>IFERROR(O329/P329,"")</f>
        <v/>
      </c>
      <c r="R329" s="16" t="n"/>
      <c r="S329" s="16" t="n"/>
      <c r="T329" s="17">
        <f>IF(C329="","",N(R329)+N(S329))</f>
        <v/>
      </c>
      <c r="U329" s="17">
        <f>IF(C329="","",H329-T329)</f>
        <v/>
      </c>
      <c r="V329" s="54">
        <f>IFERROR(U329/H329,"")</f>
        <v/>
      </c>
      <c r="W329" s="53" t="n"/>
      <c r="X329" s="53" t="n"/>
      <c r="Y329" s="53" t="n"/>
      <c r="Z329" s="53" t="n"/>
      <c r="AA329" s="53" t="n"/>
      <c r="AB329" s="14" t="n"/>
    </row>
    <row r="330" ht="15" customHeight="1">
      <c r="A330" s="51">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52">
        <f>IF(C330="","",COUNTIFS(tbl_Finance[Job Number],C330&amp;"",tbl_Finance[Ex GST],"&lt;&gt;"))</f>
        <v/>
      </c>
      <c r="H330" s="17">
        <f>IF(C330="","",SUMIFS(tbl_Finance[Ex GST],tbl_Finance[Job Number],C330&amp;""))</f>
        <v/>
      </c>
      <c r="I330" s="15">
        <f>IF(C330="","",IFERROR(INDEX(tbl_Finance[Cost Centre],MATCH(C330&amp;"",tbl_Finance[Job Number],0)),"not invoiced yet"))</f>
        <v/>
      </c>
      <c r="J330" s="12" t="n"/>
      <c r="K330" s="14" t="n"/>
      <c r="L330" s="15">
        <f>IF(OR(K330="",set_RMSBase=""),"",HYPERLINK(set_RMSBase&amp;K330,"Open "&amp;K330))</f>
        <v/>
      </c>
      <c r="M330" s="15">
        <f>IF(C330="","",C330)</f>
        <v/>
      </c>
      <c r="N330" s="14" t="n"/>
      <c r="O330" s="16" t="n"/>
      <c r="P330" s="17">
        <f>IF(C330="","",H330+N(O330))</f>
        <v/>
      </c>
      <c r="Q330" s="54">
        <f>IFERROR(O330/P330,"")</f>
        <v/>
      </c>
      <c r="R330" s="16" t="n"/>
      <c r="S330" s="16" t="n"/>
      <c r="T330" s="17">
        <f>IF(C330="","",N(R330)+N(S330))</f>
        <v/>
      </c>
      <c r="U330" s="17">
        <f>IF(C330="","",H330-T330)</f>
        <v/>
      </c>
      <c r="V330" s="54">
        <f>IFERROR(U330/H330,"")</f>
        <v/>
      </c>
      <c r="W330" s="53" t="n"/>
      <c r="X330" s="53" t="n"/>
      <c r="Y330" s="53" t="n"/>
      <c r="Z330" s="53" t="n"/>
      <c r="AA330" s="53" t="n"/>
      <c r="AB330" s="14" t="n"/>
    </row>
    <row r="331" ht="15" customHeight="1">
      <c r="A331" s="51">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52">
        <f>IF(C331="","",COUNTIFS(tbl_Finance[Job Number],C331&amp;"",tbl_Finance[Ex GST],"&lt;&gt;"))</f>
        <v/>
      </c>
      <c r="H331" s="17">
        <f>IF(C331="","",SUMIFS(tbl_Finance[Ex GST],tbl_Finance[Job Number],C331&amp;""))</f>
        <v/>
      </c>
      <c r="I331" s="15">
        <f>IF(C331="","",IFERROR(INDEX(tbl_Finance[Cost Centre],MATCH(C331&amp;"",tbl_Finance[Job Number],0)),"not invoiced yet"))</f>
        <v/>
      </c>
      <c r="J331" s="12" t="n"/>
      <c r="K331" s="14" t="n"/>
      <c r="L331" s="15">
        <f>IF(OR(K331="",set_RMSBase=""),"",HYPERLINK(set_RMSBase&amp;K331,"Open "&amp;K331))</f>
        <v/>
      </c>
      <c r="M331" s="15">
        <f>IF(C331="","",C331)</f>
        <v/>
      </c>
      <c r="N331" s="14" t="n"/>
      <c r="O331" s="16" t="n"/>
      <c r="P331" s="17">
        <f>IF(C331="","",H331+N(O331))</f>
        <v/>
      </c>
      <c r="Q331" s="54">
        <f>IFERROR(O331/P331,"")</f>
        <v/>
      </c>
      <c r="R331" s="16" t="n"/>
      <c r="S331" s="16" t="n"/>
      <c r="T331" s="17">
        <f>IF(C331="","",N(R331)+N(S331))</f>
        <v/>
      </c>
      <c r="U331" s="17">
        <f>IF(C331="","",H331-T331)</f>
        <v/>
      </c>
      <c r="V331" s="54">
        <f>IFERROR(U331/H331,"")</f>
        <v/>
      </c>
      <c r="W331" s="53" t="n"/>
      <c r="X331" s="53" t="n"/>
      <c r="Y331" s="53" t="n"/>
      <c r="Z331" s="53" t="n"/>
      <c r="AA331" s="53" t="n"/>
      <c r="AB331" s="14" t="n"/>
    </row>
    <row r="332" ht="15" customHeight="1">
      <c r="A332" s="51">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52">
        <f>IF(C332="","",COUNTIFS(tbl_Finance[Job Number],C332&amp;"",tbl_Finance[Ex GST],"&lt;&gt;"))</f>
        <v/>
      </c>
      <c r="H332" s="17">
        <f>IF(C332="","",SUMIFS(tbl_Finance[Ex GST],tbl_Finance[Job Number],C332&amp;""))</f>
        <v/>
      </c>
      <c r="I332" s="15">
        <f>IF(C332="","",IFERROR(INDEX(tbl_Finance[Cost Centre],MATCH(C332&amp;"",tbl_Finance[Job Number],0)),"not invoiced yet"))</f>
        <v/>
      </c>
      <c r="J332" s="12" t="n"/>
      <c r="K332" s="14" t="n"/>
      <c r="L332" s="15">
        <f>IF(OR(K332="",set_RMSBase=""),"",HYPERLINK(set_RMSBase&amp;K332,"Open "&amp;K332))</f>
        <v/>
      </c>
      <c r="M332" s="15">
        <f>IF(C332="","",C332)</f>
        <v/>
      </c>
      <c r="N332" s="14" t="n"/>
      <c r="O332" s="16" t="n"/>
      <c r="P332" s="17">
        <f>IF(C332="","",H332+N(O332))</f>
        <v/>
      </c>
      <c r="Q332" s="54">
        <f>IFERROR(O332/P332,"")</f>
        <v/>
      </c>
      <c r="R332" s="16" t="n"/>
      <c r="S332" s="16" t="n"/>
      <c r="T332" s="17">
        <f>IF(C332="","",N(R332)+N(S332))</f>
        <v/>
      </c>
      <c r="U332" s="17">
        <f>IF(C332="","",H332-T332)</f>
        <v/>
      </c>
      <c r="V332" s="54">
        <f>IFERROR(U332/H332,"")</f>
        <v/>
      </c>
      <c r="W332" s="53" t="n"/>
      <c r="X332" s="53" t="n"/>
      <c r="Y332" s="53" t="n"/>
      <c r="Z332" s="53" t="n"/>
      <c r="AA332" s="53" t="n"/>
      <c r="AB332" s="14" t="n"/>
    </row>
    <row r="333" ht="15" customHeight="1">
      <c r="A333" s="51">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52">
        <f>IF(C333="","",COUNTIFS(tbl_Finance[Job Number],C333&amp;"",tbl_Finance[Ex GST],"&lt;&gt;"))</f>
        <v/>
      </c>
      <c r="H333" s="17">
        <f>IF(C333="","",SUMIFS(tbl_Finance[Ex GST],tbl_Finance[Job Number],C333&amp;""))</f>
        <v/>
      </c>
      <c r="I333" s="15">
        <f>IF(C333="","",IFERROR(INDEX(tbl_Finance[Cost Centre],MATCH(C333&amp;"",tbl_Finance[Job Number],0)),"not invoiced yet"))</f>
        <v/>
      </c>
      <c r="J333" s="12" t="n"/>
      <c r="K333" s="14" t="n"/>
      <c r="L333" s="15">
        <f>IF(OR(K333="",set_RMSBase=""),"",HYPERLINK(set_RMSBase&amp;K333,"Open "&amp;K333))</f>
        <v/>
      </c>
      <c r="M333" s="15">
        <f>IF(C333="","",C333)</f>
        <v/>
      </c>
      <c r="N333" s="14" t="n"/>
      <c r="O333" s="16" t="n"/>
      <c r="P333" s="17">
        <f>IF(C333="","",H333+N(O333))</f>
        <v/>
      </c>
      <c r="Q333" s="54">
        <f>IFERROR(O333/P333,"")</f>
        <v/>
      </c>
      <c r="R333" s="16" t="n"/>
      <c r="S333" s="16" t="n"/>
      <c r="T333" s="17">
        <f>IF(C333="","",N(R333)+N(S333))</f>
        <v/>
      </c>
      <c r="U333" s="17">
        <f>IF(C333="","",H333-T333)</f>
        <v/>
      </c>
      <c r="V333" s="54">
        <f>IFERROR(U333/H333,"")</f>
        <v/>
      </c>
      <c r="W333" s="53" t="n"/>
      <c r="X333" s="53" t="n"/>
      <c r="Y333" s="53" t="n"/>
      <c r="Z333" s="53" t="n"/>
      <c r="AA333" s="53" t="n"/>
      <c r="AB333" s="14" t="n"/>
    </row>
    <row r="334" ht="15" customHeight="1">
      <c r="A334" s="51">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52">
        <f>IF(C334="","",COUNTIFS(tbl_Finance[Job Number],C334&amp;"",tbl_Finance[Ex GST],"&lt;&gt;"))</f>
        <v/>
      </c>
      <c r="H334" s="17">
        <f>IF(C334="","",SUMIFS(tbl_Finance[Ex GST],tbl_Finance[Job Number],C334&amp;""))</f>
        <v/>
      </c>
      <c r="I334" s="15">
        <f>IF(C334="","",IFERROR(INDEX(tbl_Finance[Cost Centre],MATCH(C334&amp;"",tbl_Finance[Job Number],0)),"not invoiced yet"))</f>
        <v/>
      </c>
      <c r="J334" s="12" t="n"/>
      <c r="K334" s="14" t="n"/>
      <c r="L334" s="15">
        <f>IF(OR(K334="",set_RMSBase=""),"",HYPERLINK(set_RMSBase&amp;K334,"Open "&amp;K334))</f>
        <v/>
      </c>
      <c r="M334" s="15">
        <f>IF(C334="","",C334)</f>
        <v/>
      </c>
      <c r="N334" s="14" t="n"/>
      <c r="O334" s="16" t="n"/>
      <c r="P334" s="17">
        <f>IF(C334="","",H334+N(O334))</f>
        <v/>
      </c>
      <c r="Q334" s="54">
        <f>IFERROR(O334/P334,"")</f>
        <v/>
      </c>
      <c r="R334" s="16" t="n"/>
      <c r="S334" s="16" t="n"/>
      <c r="T334" s="17">
        <f>IF(C334="","",N(R334)+N(S334))</f>
        <v/>
      </c>
      <c r="U334" s="17">
        <f>IF(C334="","",H334-T334)</f>
        <v/>
      </c>
      <c r="V334" s="54">
        <f>IFERROR(U334/H334,"")</f>
        <v/>
      </c>
      <c r="W334" s="53" t="n"/>
      <c r="X334" s="53" t="n"/>
      <c r="Y334" s="53" t="n"/>
      <c r="Z334" s="53" t="n"/>
      <c r="AA334" s="53" t="n"/>
      <c r="AB334" s="14" t="n"/>
    </row>
    <row r="335" ht="15" customHeight="1">
      <c r="A335" s="51">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52">
        <f>IF(C335="","",COUNTIFS(tbl_Finance[Job Number],C335&amp;"",tbl_Finance[Ex GST],"&lt;&gt;"))</f>
        <v/>
      </c>
      <c r="H335" s="17">
        <f>IF(C335="","",SUMIFS(tbl_Finance[Ex GST],tbl_Finance[Job Number],C335&amp;""))</f>
        <v/>
      </c>
      <c r="I335" s="15">
        <f>IF(C335="","",IFERROR(INDEX(tbl_Finance[Cost Centre],MATCH(C335&amp;"",tbl_Finance[Job Number],0)),"not invoiced yet"))</f>
        <v/>
      </c>
      <c r="J335" s="12" t="n"/>
      <c r="K335" s="14" t="n"/>
      <c r="L335" s="15">
        <f>IF(OR(K335="",set_RMSBase=""),"",HYPERLINK(set_RMSBase&amp;K335,"Open "&amp;K335))</f>
        <v/>
      </c>
      <c r="M335" s="15">
        <f>IF(C335="","",C335)</f>
        <v/>
      </c>
      <c r="N335" s="14" t="n"/>
      <c r="O335" s="16" t="n"/>
      <c r="P335" s="17">
        <f>IF(C335="","",H335+N(O335))</f>
        <v/>
      </c>
      <c r="Q335" s="54">
        <f>IFERROR(O335/P335,"")</f>
        <v/>
      </c>
      <c r="R335" s="16" t="n"/>
      <c r="S335" s="16" t="n"/>
      <c r="T335" s="17">
        <f>IF(C335="","",N(R335)+N(S335))</f>
        <v/>
      </c>
      <c r="U335" s="17">
        <f>IF(C335="","",H335-T335)</f>
        <v/>
      </c>
      <c r="V335" s="54">
        <f>IFERROR(U335/H335,"")</f>
        <v/>
      </c>
      <c r="W335" s="53" t="n"/>
      <c r="X335" s="53" t="n"/>
      <c r="Y335" s="53" t="n"/>
      <c r="Z335" s="53" t="n"/>
      <c r="AA335" s="53" t="n"/>
      <c r="AB335" s="14" t="n"/>
    </row>
    <row r="336" ht="15" customHeight="1">
      <c r="A336" s="51">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52">
        <f>IF(C336="","",COUNTIFS(tbl_Finance[Job Number],C336&amp;"",tbl_Finance[Ex GST],"&lt;&gt;"))</f>
        <v/>
      </c>
      <c r="H336" s="17">
        <f>IF(C336="","",SUMIFS(tbl_Finance[Ex GST],tbl_Finance[Job Number],C336&amp;""))</f>
        <v/>
      </c>
      <c r="I336" s="15">
        <f>IF(C336="","",IFERROR(INDEX(tbl_Finance[Cost Centre],MATCH(C336&amp;"",tbl_Finance[Job Number],0)),"not invoiced yet"))</f>
        <v/>
      </c>
      <c r="J336" s="12" t="n"/>
      <c r="K336" s="14" t="n"/>
      <c r="L336" s="15">
        <f>IF(OR(K336="",set_RMSBase=""),"",HYPERLINK(set_RMSBase&amp;K336,"Open "&amp;K336))</f>
        <v/>
      </c>
      <c r="M336" s="15">
        <f>IF(C336="","",C336)</f>
        <v/>
      </c>
      <c r="N336" s="14" t="n"/>
      <c r="O336" s="16" t="n"/>
      <c r="P336" s="17">
        <f>IF(C336="","",H336+N(O336))</f>
        <v/>
      </c>
      <c r="Q336" s="54">
        <f>IFERROR(O336/P336,"")</f>
        <v/>
      </c>
      <c r="R336" s="16" t="n"/>
      <c r="S336" s="16" t="n"/>
      <c r="T336" s="17">
        <f>IF(C336="","",N(R336)+N(S336))</f>
        <v/>
      </c>
      <c r="U336" s="17">
        <f>IF(C336="","",H336-T336)</f>
        <v/>
      </c>
      <c r="V336" s="54">
        <f>IFERROR(U336/H336,"")</f>
        <v/>
      </c>
      <c r="W336" s="53" t="n"/>
      <c r="X336" s="53" t="n"/>
      <c r="Y336" s="53" t="n"/>
      <c r="Z336" s="53" t="n"/>
      <c r="AA336" s="53" t="n"/>
      <c r="AB336" s="14" t="n"/>
    </row>
    <row r="337" ht="15" customHeight="1">
      <c r="A337" s="51">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52">
        <f>IF(C337="","",COUNTIFS(tbl_Finance[Job Number],C337&amp;"",tbl_Finance[Ex GST],"&lt;&gt;"))</f>
        <v/>
      </c>
      <c r="H337" s="17">
        <f>IF(C337="","",SUMIFS(tbl_Finance[Ex GST],tbl_Finance[Job Number],C337&amp;""))</f>
        <v/>
      </c>
      <c r="I337" s="15">
        <f>IF(C337="","",IFERROR(INDEX(tbl_Finance[Cost Centre],MATCH(C337&amp;"",tbl_Finance[Job Number],0)),"not invoiced yet"))</f>
        <v/>
      </c>
      <c r="J337" s="12" t="n"/>
      <c r="K337" s="14" t="n"/>
      <c r="L337" s="15">
        <f>IF(OR(K337="",set_RMSBase=""),"",HYPERLINK(set_RMSBase&amp;K337,"Open "&amp;K337))</f>
        <v/>
      </c>
      <c r="M337" s="15">
        <f>IF(C337="","",C337)</f>
        <v/>
      </c>
      <c r="N337" s="14" t="n"/>
      <c r="O337" s="16" t="n"/>
      <c r="P337" s="17">
        <f>IF(C337="","",H337+N(O337))</f>
        <v/>
      </c>
      <c r="Q337" s="54">
        <f>IFERROR(O337/P337,"")</f>
        <v/>
      </c>
      <c r="R337" s="16" t="n"/>
      <c r="S337" s="16" t="n"/>
      <c r="T337" s="17">
        <f>IF(C337="","",N(R337)+N(S337))</f>
        <v/>
      </c>
      <c r="U337" s="17">
        <f>IF(C337="","",H337-T337)</f>
        <v/>
      </c>
      <c r="V337" s="54">
        <f>IFERROR(U337/H337,"")</f>
        <v/>
      </c>
      <c r="W337" s="53" t="n"/>
      <c r="X337" s="53" t="n"/>
      <c r="Y337" s="53" t="n"/>
      <c r="Z337" s="53" t="n"/>
      <c r="AA337" s="53" t="n"/>
      <c r="AB337" s="14" t="n"/>
    </row>
    <row r="338" ht="15" customHeight="1">
      <c r="A338" s="51">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52">
        <f>IF(C338="","",COUNTIFS(tbl_Finance[Job Number],C338&amp;"",tbl_Finance[Ex GST],"&lt;&gt;"))</f>
        <v/>
      </c>
      <c r="H338" s="17">
        <f>IF(C338="","",SUMIFS(tbl_Finance[Ex GST],tbl_Finance[Job Number],C338&amp;""))</f>
        <v/>
      </c>
      <c r="I338" s="15">
        <f>IF(C338="","",IFERROR(INDEX(tbl_Finance[Cost Centre],MATCH(C338&amp;"",tbl_Finance[Job Number],0)),"not invoiced yet"))</f>
        <v/>
      </c>
      <c r="J338" s="12" t="n"/>
      <c r="K338" s="14" t="n"/>
      <c r="L338" s="15">
        <f>IF(OR(K338="",set_RMSBase=""),"",HYPERLINK(set_RMSBase&amp;K338,"Open "&amp;K338))</f>
        <v/>
      </c>
      <c r="M338" s="15">
        <f>IF(C338="","",C338)</f>
        <v/>
      </c>
      <c r="N338" s="14" t="n"/>
      <c r="O338" s="16" t="n"/>
      <c r="P338" s="17">
        <f>IF(C338="","",H338+N(O338))</f>
        <v/>
      </c>
      <c r="Q338" s="54">
        <f>IFERROR(O338/P338,"")</f>
        <v/>
      </c>
      <c r="R338" s="16" t="n"/>
      <c r="S338" s="16" t="n"/>
      <c r="T338" s="17">
        <f>IF(C338="","",N(R338)+N(S338))</f>
        <v/>
      </c>
      <c r="U338" s="17">
        <f>IF(C338="","",H338-T338)</f>
        <v/>
      </c>
      <c r="V338" s="54">
        <f>IFERROR(U338/H338,"")</f>
        <v/>
      </c>
      <c r="W338" s="53" t="n"/>
      <c r="X338" s="53" t="n"/>
      <c r="Y338" s="53" t="n"/>
      <c r="Z338" s="53" t="n"/>
      <c r="AA338" s="53" t="n"/>
      <c r="AB338" s="14" t="n"/>
    </row>
    <row r="339" ht="15" customHeight="1">
      <c r="A339" s="51">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52">
        <f>IF(C339="","",COUNTIFS(tbl_Finance[Job Number],C339&amp;"",tbl_Finance[Ex GST],"&lt;&gt;"))</f>
        <v/>
      </c>
      <c r="H339" s="17">
        <f>IF(C339="","",SUMIFS(tbl_Finance[Ex GST],tbl_Finance[Job Number],C339&amp;""))</f>
        <v/>
      </c>
      <c r="I339" s="15">
        <f>IF(C339="","",IFERROR(INDEX(tbl_Finance[Cost Centre],MATCH(C339&amp;"",tbl_Finance[Job Number],0)),"not invoiced yet"))</f>
        <v/>
      </c>
      <c r="J339" s="12" t="n"/>
      <c r="K339" s="14" t="n"/>
      <c r="L339" s="15">
        <f>IF(OR(K339="",set_RMSBase=""),"",HYPERLINK(set_RMSBase&amp;K339,"Open "&amp;K339))</f>
        <v/>
      </c>
      <c r="M339" s="15">
        <f>IF(C339="","",C339)</f>
        <v/>
      </c>
      <c r="N339" s="14" t="n"/>
      <c r="O339" s="16" t="n"/>
      <c r="P339" s="17">
        <f>IF(C339="","",H339+N(O339))</f>
        <v/>
      </c>
      <c r="Q339" s="54">
        <f>IFERROR(O339/P339,"")</f>
        <v/>
      </c>
      <c r="R339" s="16" t="n"/>
      <c r="S339" s="16" t="n"/>
      <c r="T339" s="17">
        <f>IF(C339="","",N(R339)+N(S339))</f>
        <v/>
      </c>
      <c r="U339" s="17">
        <f>IF(C339="","",H339-T339)</f>
        <v/>
      </c>
      <c r="V339" s="54">
        <f>IFERROR(U339/H339,"")</f>
        <v/>
      </c>
      <c r="W339" s="53" t="n"/>
      <c r="X339" s="53" t="n"/>
      <c r="Y339" s="53" t="n"/>
      <c r="Z339" s="53" t="n"/>
      <c r="AA339" s="53" t="n"/>
      <c r="AB339" s="14" t="n"/>
    </row>
    <row r="340" ht="15" customHeight="1">
      <c r="A340" s="51">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52">
        <f>IF(C340="","",COUNTIFS(tbl_Finance[Job Number],C340&amp;"",tbl_Finance[Ex GST],"&lt;&gt;"))</f>
        <v/>
      </c>
      <c r="H340" s="17">
        <f>IF(C340="","",SUMIFS(tbl_Finance[Ex GST],tbl_Finance[Job Number],C340&amp;""))</f>
        <v/>
      </c>
      <c r="I340" s="15">
        <f>IF(C340="","",IFERROR(INDEX(tbl_Finance[Cost Centre],MATCH(C340&amp;"",tbl_Finance[Job Number],0)),"not invoiced yet"))</f>
        <v/>
      </c>
      <c r="J340" s="12" t="n"/>
      <c r="K340" s="14" t="n"/>
      <c r="L340" s="15">
        <f>IF(OR(K340="",set_RMSBase=""),"",HYPERLINK(set_RMSBase&amp;K340,"Open "&amp;K340))</f>
        <v/>
      </c>
      <c r="M340" s="15">
        <f>IF(C340="","",C340)</f>
        <v/>
      </c>
      <c r="N340" s="14" t="n"/>
      <c r="O340" s="16" t="n"/>
      <c r="P340" s="17">
        <f>IF(C340="","",H340+N(O340))</f>
        <v/>
      </c>
      <c r="Q340" s="54">
        <f>IFERROR(O340/P340,"")</f>
        <v/>
      </c>
      <c r="R340" s="16" t="n"/>
      <c r="S340" s="16" t="n"/>
      <c r="T340" s="17">
        <f>IF(C340="","",N(R340)+N(S340))</f>
        <v/>
      </c>
      <c r="U340" s="17">
        <f>IF(C340="","",H340-T340)</f>
        <v/>
      </c>
      <c r="V340" s="54">
        <f>IFERROR(U340/H340,"")</f>
        <v/>
      </c>
      <c r="W340" s="53" t="n"/>
      <c r="X340" s="53" t="n"/>
      <c r="Y340" s="53" t="n"/>
      <c r="Z340" s="53" t="n"/>
      <c r="AA340" s="53" t="n"/>
      <c r="AB340" s="14" t="n"/>
    </row>
    <row r="341" ht="15" customHeight="1">
      <c r="A341" s="51">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52">
        <f>IF(C341="","",COUNTIFS(tbl_Finance[Job Number],C341&amp;"",tbl_Finance[Ex GST],"&lt;&gt;"))</f>
        <v/>
      </c>
      <c r="H341" s="17">
        <f>IF(C341="","",SUMIFS(tbl_Finance[Ex GST],tbl_Finance[Job Number],C341&amp;""))</f>
        <v/>
      </c>
      <c r="I341" s="15">
        <f>IF(C341="","",IFERROR(INDEX(tbl_Finance[Cost Centre],MATCH(C341&amp;"",tbl_Finance[Job Number],0)),"not invoiced yet"))</f>
        <v/>
      </c>
      <c r="J341" s="12" t="n"/>
      <c r="K341" s="14" t="n"/>
      <c r="L341" s="15">
        <f>IF(OR(K341="",set_RMSBase=""),"",HYPERLINK(set_RMSBase&amp;K341,"Open "&amp;K341))</f>
        <v/>
      </c>
      <c r="M341" s="15">
        <f>IF(C341="","",C341)</f>
        <v/>
      </c>
      <c r="N341" s="14" t="n"/>
      <c r="O341" s="16" t="n"/>
      <c r="P341" s="17">
        <f>IF(C341="","",H341+N(O341))</f>
        <v/>
      </c>
      <c r="Q341" s="54">
        <f>IFERROR(O341/P341,"")</f>
        <v/>
      </c>
      <c r="R341" s="16" t="n"/>
      <c r="S341" s="16" t="n"/>
      <c r="T341" s="17">
        <f>IF(C341="","",N(R341)+N(S341))</f>
        <v/>
      </c>
      <c r="U341" s="17">
        <f>IF(C341="","",H341-T341)</f>
        <v/>
      </c>
      <c r="V341" s="54">
        <f>IFERROR(U341/H341,"")</f>
        <v/>
      </c>
      <c r="W341" s="53" t="n"/>
      <c r="X341" s="53" t="n"/>
      <c r="Y341" s="53" t="n"/>
      <c r="Z341" s="53" t="n"/>
      <c r="AA341" s="53" t="n"/>
      <c r="AB341" s="14" t="n"/>
    </row>
    <row r="342" ht="15" customHeight="1">
      <c r="A342" s="51">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52">
        <f>IF(C342="","",COUNTIFS(tbl_Finance[Job Number],C342&amp;"",tbl_Finance[Ex GST],"&lt;&gt;"))</f>
        <v/>
      </c>
      <c r="H342" s="17">
        <f>IF(C342="","",SUMIFS(tbl_Finance[Ex GST],tbl_Finance[Job Number],C342&amp;""))</f>
        <v/>
      </c>
      <c r="I342" s="15">
        <f>IF(C342="","",IFERROR(INDEX(tbl_Finance[Cost Centre],MATCH(C342&amp;"",tbl_Finance[Job Number],0)),"not invoiced yet"))</f>
        <v/>
      </c>
      <c r="J342" s="12" t="n"/>
      <c r="K342" s="14" t="n"/>
      <c r="L342" s="15">
        <f>IF(OR(K342="",set_RMSBase=""),"",HYPERLINK(set_RMSBase&amp;K342,"Open "&amp;K342))</f>
        <v/>
      </c>
      <c r="M342" s="15">
        <f>IF(C342="","",C342)</f>
        <v/>
      </c>
      <c r="N342" s="14" t="n"/>
      <c r="O342" s="16" t="n"/>
      <c r="P342" s="17">
        <f>IF(C342="","",H342+N(O342))</f>
        <v/>
      </c>
      <c r="Q342" s="54">
        <f>IFERROR(O342/P342,"")</f>
        <v/>
      </c>
      <c r="R342" s="16" t="n"/>
      <c r="S342" s="16" t="n"/>
      <c r="T342" s="17">
        <f>IF(C342="","",N(R342)+N(S342))</f>
        <v/>
      </c>
      <c r="U342" s="17">
        <f>IF(C342="","",H342-T342)</f>
        <v/>
      </c>
      <c r="V342" s="54">
        <f>IFERROR(U342/H342,"")</f>
        <v/>
      </c>
      <c r="W342" s="53" t="n"/>
      <c r="X342" s="53" t="n"/>
      <c r="Y342" s="53" t="n"/>
      <c r="Z342" s="53" t="n"/>
      <c r="AA342" s="53" t="n"/>
      <c r="AB342" s="14" t="n"/>
    </row>
    <row r="343" ht="15" customHeight="1">
      <c r="A343" s="51">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52">
        <f>IF(C343="","",COUNTIFS(tbl_Finance[Job Number],C343&amp;"",tbl_Finance[Ex GST],"&lt;&gt;"))</f>
        <v/>
      </c>
      <c r="H343" s="17">
        <f>IF(C343="","",SUMIFS(tbl_Finance[Ex GST],tbl_Finance[Job Number],C343&amp;""))</f>
        <v/>
      </c>
      <c r="I343" s="15">
        <f>IF(C343="","",IFERROR(INDEX(tbl_Finance[Cost Centre],MATCH(C343&amp;"",tbl_Finance[Job Number],0)),"not invoiced yet"))</f>
        <v/>
      </c>
      <c r="J343" s="12" t="n"/>
      <c r="K343" s="14" t="n"/>
      <c r="L343" s="15">
        <f>IF(OR(K343="",set_RMSBase=""),"",HYPERLINK(set_RMSBase&amp;K343,"Open "&amp;K343))</f>
        <v/>
      </c>
      <c r="M343" s="15">
        <f>IF(C343="","",C343)</f>
        <v/>
      </c>
      <c r="N343" s="14" t="n"/>
      <c r="O343" s="16" t="n"/>
      <c r="P343" s="17">
        <f>IF(C343="","",H343+N(O343))</f>
        <v/>
      </c>
      <c r="Q343" s="54">
        <f>IFERROR(O343/P343,"")</f>
        <v/>
      </c>
      <c r="R343" s="16" t="n"/>
      <c r="S343" s="16" t="n"/>
      <c r="T343" s="17">
        <f>IF(C343="","",N(R343)+N(S343))</f>
        <v/>
      </c>
      <c r="U343" s="17">
        <f>IF(C343="","",H343-T343)</f>
        <v/>
      </c>
      <c r="V343" s="54">
        <f>IFERROR(U343/H343,"")</f>
        <v/>
      </c>
      <c r="W343" s="53" t="n"/>
      <c r="X343" s="53" t="n"/>
      <c r="Y343" s="53" t="n"/>
      <c r="Z343" s="53" t="n"/>
      <c r="AA343" s="53" t="n"/>
      <c r="AB343" s="14" t="n"/>
    </row>
    <row r="344" ht="15" customHeight="1">
      <c r="A344" s="51">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52">
        <f>IF(C344="","",COUNTIFS(tbl_Finance[Job Number],C344&amp;"",tbl_Finance[Ex GST],"&lt;&gt;"))</f>
        <v/>
      </c>
      <c r="H344" s="17">
        <f>IF(C344="","",SUMIFS(tbl_Finance[Ex GST],tbl_Finance[Job Number],C344&amp;""))</f>
        <v/>
      </c>
      <c r="I344" s="15">
        <f>IF(C344="","",IFERROR(INDEX(tbl_Finance[Cost Centre],MATCH(C344&amp;"",tbl_Finance[Job Number],0)),"not invoiced yet"))</f>
        <v/>
      </c>
      <c r="J344" s="12" t="n"/>
      <c r="K344" s="14" t="n"/>
      <c r="L344" s="15">
        <f>IF(OR(K344="",set_RMSBase=""),"",HYPERLINK(set_RMSBase&amp;K344,"Open "&amp;K344))</f>
        <v/>
      </c>
      <c r="M344" s="15">
        <f>IF(C344="","",C344)</f>
        <v/>
      </c>
      <c r="N344" s="14" t="n"/>
      <c r="O344" s="16" t="n"/>
      <c r="P344" s="17">
        <f>IF(C344="","",H344+N(O344))</f>
        <v/>
      </c>
      <c r="Q344" s="54">
        <f>IFERROR(O344/P344,"")</f>
        <v/>
      </c>
      <c r="R344" s="16" t="n"/>
      <c r="S344" s="16" t="n"/>
      <c r="T344" s="17">
        <f>IF(C344="","",N(R344)+N(S344))</f>
        <v/>
      </c>
      <c r="U344" s="17">
        <f>IF(C344="","",H344-T344)</f>
        <v/>
      </c>
      <c r="V344" s="54">
        <f>IFERROR(U344/H344,"")</f>
        <v/>
      </c>
      <c r="W344" s="53" t="n"/>
      <c r="X344" s="53" t="n"/>
      <c r="Y344" s="53" t="n"/>
      <c r="Z344" s="53" t="n"/>
      <c r="AA344" s="53" t="n"/>
      <c r="AB344" s="14" t="n"/>
    </row>
    <row r="345" ht="15" customHeight="1">
      <c r="A345" s="51">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52">
        <f>IF(C345="","",COUNTIFS(tbl_Finance[Job Number],C345&amp;"",tbl_Finance[Ex GST],"&lt;&gt;"))</f>
        <v/>
      </c>
      <c r="H345" s="17">
        <f>IF(C345="","",SUMIFS(tbl_Finance[Ex GST],tbl_Finance[Job Number],C345&amp;""))</f>
        <v/>
      </c>
      <c r="I345" s="15">
        <f>IF(C345="","",IFERROR(INDEX(tbl_Finance[Cost Centre],MATCH(C345&amp;"",tbl_Finance[Job Number],0)),"not invoiced yet"))</f>
        <v/>
      </c>
      <c r="J345" s="12" t="n"/>
      <c r="K345" s="14" t="n"/>
      <c r="L345" s="15">
        <f>IF(OR(K345="",set_RMSBase=""),"",HYPERLINK(set_RMSBase&amp;K345,"Open "&amp;K345))</f>
        <v/>
      </c>
      <c r="M345" s="15">
        <f>IF(C345="","",C345)</f>
        <v/>
      </c>
      <c r="N345" s="14" t="n"/>
      <c r="O345" s="16" t="n"/>
      <c r="P345" s="17">
        <f>IF(C345="","",H345+N(O345))</f>
        <v/>
      </c>
      <c r="Q345" s="54">
        <f>IFERROR(O345/P345,"")</f>
        <v/>
      </c>
      <c r="R345" s="16" t="n"/>
      <c r="S345" s="16" t="n"/>
      <c r="T345" s="17">
        <f>IF(C345="","",N(R345)+N(S345))</f>
        <v/>
      </c>
      <c r="U345" s="17">
        <f>IF(C345="","",H345-T345)</f>
        <v/>
      </c>
      <c r="V345" s="54">
        <f>IFERROR(U345/H345,"")</f>
        <v/>
      </c>
      <c r="W345" s="53" t="n"/>
      <c r="X345" s="53" t="n"/>
      <c r="Y345" s="53" t="n"/>
      <c r="Z345" s="53" t="n"/>
      <c r="AA345" s="53" t="n"/>
      <c r="AB345" s="14" t="n"/>
    </row>
    <row r="346" ht="15" customHeight="1">
      <c r="A346" s="51">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52">
        <f>IF(C346="","",COUNTIFS(tbl_Finance[Job Number],C346&amp;"",tbl_Finance[Ex GST],"&lt;&gt;"))</f>
        <v/>
      </c>
      <c r="H346" s="17">
        <f>IF(C346="","",SUMIFS(tbl_Finance[Ex GST],tbl_Finance[Job Number],C346&amp;""))</f>
        <v/>
      </c>
      <c r="I346" s="15">
        <f>IF(C346="","",IFERROR(INDEX(tbl_Finance[Cost Centre],MATCH(C346&amp;"",tbl_Finance[Job Number],0)),"not invoiced yet"))</f>
        <v/>
      </c>
      <c r="J346" s="12" t="n"/>
      <c r="K346" s="14" t="n"/>
      <c r="L346" s="15">
        <f>IF(OR(K346="",set_RMSBase=""),"",HYPERLINK(set_RMSBase&amp;K346,"Open "&amp;K346))</f>
        <v/>
      </c>
      <c r="M346" s="15">
        <f>IF(C346="","",C346)</f>
        <v/>
      </c>
      <c r="N346" s="14" t="n"/>
      <c r="O346" s="16" t="n"/>
      <c r="P346" s="17">
        <f>IF(C346="","",H346+N(O346))</f>
        <v/>
      </c>
      <c r="Q346" s="54">
        <f>IFERROR(O346/P346,"")</f>
        <v/>
      </c>
      <c r="R346" s="16" t="n"/>
      <c r="S346" s="16" t="n"/>
      <c r="T346" s="17">
        <f>IF(C346="","",N(R346)+N(S346))</f>
        <v/>
      </c>
      <c r="U346" s="17">
        <f>IF(C346="","",H346-T346)</f>
        <v/>
      </c>
      <c r="V346" s="54">
        <f>IFERROR(U346/H346,"")</f>
        <v/>
      </c>
      <c r="W346" s="53" t="n"/>
      <c r="X346" s="53" t="n"/>
      <c r="Y346" s="53" t="n"/>
      <c r="Z346" s="53" t="n"/>
      <c r="AA346" s="53" t="n"/>
      <c r="AB346" s="14" t="n"/>
    </row>
    <row r="347" ht="15" customHeight="1">
      <c r="A347" s="51">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52">
        <f>IF(C347="","",COUNTIFS(tbl_Finance[Job Number],C347&amp;"",tbl_Finance[Ex GST],"&lt;&gt;"))</f>
        <v/>
      </c>
      <c r="H347" s="17">
        <f>IF(C347="","",SUMIFS(tbl_Finance[Ex GST],tbl_Finance[Job Number],C347&amp;""))</f>
        <v/>
      </c>
      <c r="I347" s="15">
        <f>IF(C347="","",IFERROR(INDEX(tbl_Finance[Cost Centre],MATCH(C347&amp;"",tbl_Finance[Job Number],0)),"not invoiced yet"))</f>
        <v/>
      </c>
      <c r="J347" s="12" t="n"/>
      <c r="K347" s="14" t="n"/>
      <c r="L347" s="15">
        <f>IF(OR(K347="",set_RMSBase=""),"",HYPERLINK(set_RMSBase&amp;K347,"Open "&amp;K347))</f>
        <v/>
      </c>
      <c r="M347" s="15">
        <f>IF(C347="","",C347)</f>
        <v/>
      </c>
      <c r="N347" s="14" t="n"/>
      <c r="O347" s="16" t="n"/>
      <c r="P347" s="17">
        <f>IF(C347="","",H347+N(O347))</f>
        <v/>
      </c>
      <c r="Q347" s="54">
        <f>IFERROR(O347/P347,"")</f>
        <v/>
      </c>
      <c r="R347" s="16" t="n"/>
      <c r="S347" s="16" t="n"/>
      <c r="T347" s="17">
        <f>IF(C347="","",N(R347)+N(S347))</f>
        <v/>
      </c>
      <c r="U347" s="17">
        <f>IF(C347="","",H347-T347)</f>
        <v/>
      </c>
      <c r="V347" s="54">
        <f>IFERROR(U347/H347,"")</f>
        <v/>
      </c>
      <c r="W347" s="53" t="n"/>
      <c r="X347" s="53" t="n"/>
      <c r="Y347" s="53" t="n"/>
      <c r="Z347" s="53" t="n"/>
      <c r="AA347" s="53" t="n"/>
      <c r="AB347" s="14" t="n"/>
    </row>
    <row r="348" ht="15" customHeight="1">
      <c r="A348" s="51">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52">
        <f>IF(C348="","",COUNTIFS(tbl_Finance[Job Number],C348&amp;"",tbl_Finance[Ex GST],"&lt;&gt;"))</f>
        <v/>
      </c>
      <c r="H348" s="17">
        <f>IF(C348="","",SUMIFS(tbl_Finance[Ex GST],tbl_Finance[Job Number],C348&amp;""))</f>
        <v/>
      </c>
      <c r="I348" s="15">
        <f>IF(C348="","",IFERROR(INDEX(tbl_Finance[Cost Centre],MATCH(C348&amp;"",tbl_Finance[Job Number],0)),"not invoiced yet"))</f>
        <v/>
      </c>
      <c r="J348" s="12" t="n"/>
      <c r="K348" s="14" t="n"/>
      <c r="L348" s="15">
        <f>IF(OR(K348="",set_RMSBase=""),"",HYPERLINK(set_RMSBase&amp;K348,"Open "&amp;K348))</f>
        <v/>
      </c>
      <c r="M348" s="15">
        <f>IF(C348="","",C348)</f>
        <v/>
      </c>
      <c r="N348" s="14" t="n"/>
      <c r="O348" s="16" t="n"/>
      <c r="P348" s="17">
        <f>IF(C348="","",H348+N(O348))</f>
        <v/>
      </c>
      <c r="Q348" s="54">
        <f>IFERROR(O348/P348,"")</f>
        <v/>
      </c>
      <c r="R348" s="16" t="n"/>
      <c r="S348" s="16" t="n"/>
      <c r="T348" s="17">
        <f>IF(C348="","",N(R348)+N(S348))</f>
        <v/>
      </c>
      <c r="U348" s="17">
        <f>IF(C348="","",H348-T348)</f>
        <v/>
      </c>
      <c r="V348" s="54">
        <f>IFERROR(U348/H348,"")</f>
        <v/>
      </c>
      <c r="W348" s="53" t="n"/>
      <c r="X348" s="53" t="n"/>
      <c r="Y348" s="53" t="n"/>
      <c r="Z348" s="53" t="n"/>
      <c r="AA348" s="53" t="n"/>
      <c r="AB348" s="14" t="n"/>
    </row>
    <row r="349" ht="15" customHeight="1">
      <c r="A349" s="51">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52">
        <f>IF(C349="","",COUNTIFS(tbl_Finance[Job Number],C349&amp;"",tbl_Finance[Ex GST],"&lt;&gt;"))</f>
        <v/>
      </c>
      <c r="H349" s="17">
        <f>IF(C349="","",SUMIFS(tbl_Finance[Ex GST],tbl_Finance[Job Number],C349&amp;""))</f>
        <v/>
      </c>
      <c r="I349" s="15">
        <f>IF(C349="","",IFERROR(INDEX(tbl_Finance[Cost Centre],MATCH(C349&amp;"",tbl_Finance[Job Number],0)),"not invoiced yet"))</f>
        <v/>
      </c>
      <c r="J349" s="12" t="n"/>
      <c r="K349" s="14" t="n"/>
      <c r="L349" s="15">
        <f>IF(OR(K349="",set_RMSBase=""),"",HYPERLINK(set_RMSBase&amp;K349,"Open "&amp;K349))</f>
        <v/>
      </c>
      <c r="M349" s="15">
        <f>IF(C349="","",C349)</f>
        <v/>
      </c>
      <c r="N349" s="14" t="n"/>
      <c r="O349" s="16" t="n"/>
      <c r="P349" s="17">
        <f>IF(C349="","",H349+N(O349))</f>
        <v/>
      </c>
      <c r="Q349" s="54">
        <f>IFERROR(O349/P349,"")</f>
        <v/>
      </c>
      <c r="R349" s="16" t="n"/>
      <c r="S349" s="16" t="n"/>
      <c r="T349" s="17">
        <f>IF(C349="","",N(R349)+N(S349))</f>
        <v/>
      </c>
      <c r="U349" s="17">
        <f>IF(C349="","",H349-T349)</f>
        <v/>
      </c>
      <c r="V349" s="54">
        <f>IFERROR(U349/H349,"")</f>
        <v/>
      </c>
      <c r="W349" s="53" t="n"/>
      <c r="X349" s="53" t="n"/>
      <c r="Y349" s="53" t="n"/>
      <c r="Z349" s="53" t="n"/>
      <c r="AA349" s="53" t="n"/>
      <c r="AB349" s="14" t="n"/>
    </row>
    <row r="350" ht="15" customHeight="1">
      <c r="A350" s="51">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52">
        <f>IF(C350="","",COUNTIFS(tbl_Finance[Job Number],C350&amp;"",tbl_Finance[Ex GST],"&lt;&gt;"))</f>
        <v/>
      </c>
      <c r="H350" s="17">
        <f>IF(C350="","",SUMIFS(tbl_Finance[Ex GST],tbl_Finance[Job Number],C350&amp;""))</f>
        <v/>
      </c>
      <c r="I350" s="15">
        <f>IF(C350="","",IFERROR(INDEX(tbl_Finance[Cost Centre],MATCH(C350&amp;"",tbl_Finance[Job Number],0)),"not invoiced yet"))</f>
        <v/>
      </c>
      <c r="J350" s="12" t="n"/>
      <c r="K350" s="14" t="n"/>
      <c r="L350" s="15">
        <f>IF(OR(K350="",set_RMSBase=""),"",HYPERLINK(set_RMSBase&amp;K350,"Open "&amp;K350))</f>
        <v/>
      </c>
      <c r="M350" s="15">
        <f>IF(C350="","",C350)</f>
        <v/>
      </c>
      <c r="N350" s="14" t="n"/>
      <c r="O350" s="16" t="n"/>
      <c r="P350" s="17">
        <f>IF(C350="","",H350+N(O350))</f>
        <v/>
      </c>
      <c r="Q350" s="54">
        <f>IFERROR(O350/P350,"")</f>
        <v/>
      </c>
      <c r="R350" s="16" t="n"/>
      <c r="S350" s="16" t="n"/>
      <c r="T350" s="17">
        <f>IF(C350="","",N(R350)+N(S350))</f>
        <v/>
      </c>
      <c r="U350" s="17">
        <f>IF(C350="","",H350-T350)</f>
        <v/>
      </c>
      <c r="V350" s="54">
        <f>IFERROR(U350/H350,"")</f>
        <v/>
      </c>
      <c r="W350" s="53" t="n"/>
      <c r="X350" s="53" t="n"/>
      <c r="Y350" s="53" t="n"/>
      <c r="Z350" s="53" t="n"/>
      <c r="AA350" s="53" t="n"/>
      <c r="AB350" s="14" t="n"/>
    </row>
    <row r="351" ht="15" customHeight="1">
      <c r="A351" s="51">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52">
        <f>IF(C351="","",COUNTIFS(tbl_Finance[Job Number],C351&amp;"",tbl_Finance[Ex GST],"&lt;&gt;"))</f>
        <v/>
      </c>
      <c r="H351" s="17">
        <f>IF(C351="","",SUMIFS(tbl_Finance[Ex GST],tbl_Finance[Job Number],C351&amp;""))</f>
        <v/>
      </c>
      <c r="I351" s="15">
        <f>IF(C351="","",IFERROR(INDEX(tbl_Finance[Cost Centre],MATCH(C351&amp;"",tbl_Finance[Job Number],0)),"not invoiced yet"))</f>
        <v/>
      </c>
      <c r="J351" s="12" t="n"/>
      <c r="K351" s="14" t="n"/>
      <c r="L351" s="15">
        <f>IF(OR(K351="",set_RMSBase=""),"",HYPERLINK(set_RMSBase&amp;K351,"Open "&amp;K351))</f>
        <v/>
      </c>
      <c r="M351" s="15">
        <f>IF(C351="","",C351)</f>
        <v/>
      </c>
      <c r="N351" s="14" t="n"/>
      <c r="O351" s="16" t="n"/>
      <c r="P351" s="17">
        <f>IF(C351="","",H351+N(O351))</f>
        <v/>
      </c>
      <c r="Q351" s="54">
        <f>IFERROR(O351/P351,"")</f>
        <v/>
      </c>
      <c r="R351" s="16" t="n"/>
      <c r="S351" s="16" t="n"/>
      <c r="T351" s="17">
        <f>IF(C351="","",N(R351)+N(S351))</f>
        <v/>
      </c>
      <c r="U351" s="17">
        <f>IF(C351="","",H351-T351)</f>
        <v/>
      </c>
      <c r="V351" s="54">
        <f>IFERROR(U351/H351,"")</f>
        <v/>
      </c>
      <c r="W351" s="53" t="n"/>
      <c r="X351" s="53" t="n"/>
      <c r="Y351" s="53" t="n"/>
      <c r="Z351" s="53" t="n"/>
      <c r="AA351" s="53" t="n"/>
      <c r="AB351" s="14" t="n"/>
    </row>
    <row r="352" ht="15" customHeight="1">
      <c r="A352" s="51">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52">
        <f>IF(C352="","",COUNTIFS(tbl_Finance[Job Number],C352&amp;"",tbl_Finance[Ex GST],"&lt;&gt;"))</f>
        <v/>
      </c>
      <c r="H352" s="17">
        <f>IF(C352="","",SUMIFS(tbl_Finance[Ex GST],tbl_Finance[Job Number],C352&amp;""))</f>
        <v/>
      </c>
      <c r="I352" s="15">
        <f>IF(C352="","",IFERROR(INDEX(tbl_Finance[Cost Centre],MATCH(C352&amp;"",tbl_Finance[Job Number],0)),"not invoiced yet"))</f>
        <v/>
      </c>
      <c r="J352" s="12" t="n"/>
      <c r="K352" s="14" t="n"/>
      <c r="L352" s="15">
        <f>IF(OR(K352="",set_RMSBase=""),"",HYPERLINK(set_RMSBase&amp;K352,"Open "&amp;K352))</f>
        <v/>
      </c>
      <c r="M352" s="15">
        <f>IF(C352="","",C352)</f>
        <v/>
      </c>
      <c r="N352" s="14" t="n"/>
      <c r="O352" s="16" t="n"/>
      <c r="P352" s="17">
        <f>IF(C352="","",H352+N(O352))</f>
        <v/>
      </c>
      <c r="Q352" s="54">
        <f>IFERROR(O352/P352,"")</f>
        <v/>
      </c>
      <c r="R352" s="16" t="n"/>
      <c r="S352" s="16" t="n"/>
      <c r="T352" s="17">
        <f>IF(C352="","",N(R352)+N(S352))</f>
        <v/>
      </c>
      <c r="U352" s="17">
        <f>IF(C352="","",H352-T352)</f>
        <v/>
      </c>
      <c r="V352" s="54">
        <f>IFERROR(U352/H352,"")</f>
        <v/>
      </c>
      <c r="W352" s="53" t="n"/>
      <c r="X352" s="53" t="n"/>
      <c r="Y352" s="53" t="n"/>
      <c r="Z352" s="53" t="n"/>
      <c r="AA352" s="53" t="n"/>
      <c r="AB352" s="14" t="n"/>
    </row>
    <row r="353" ht="15" customHeight="1">
      <c r="A353" s="51">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52">
        <f>IF(C353="","",COUNTIFS(tbl_Finance[Job Number],C353&amp;"",tbl_Finance[Ex GST],"&lt;&gt;"))</f>
        <v/>
      </c>
      <c r="H353" s="17">
        <f>IF(C353="","",SUMIFS(tbl_Finance[Ex GST],tbl_Finance[Job Number],C353&amp;""))</f>
        <v/>
      </c>
      <c r="I353" s="15">
        <f>IF(C353="","",IFERROR(INDEX(tbl_Finance[Cost Centre],MATCH(C353&amp;"",tbl_Finance[Job Number],0)),"not invoiced yet"))</f>
        <v/>
      </c>
      <c r="J353" s="12" t="n"/>
      <c r="K353" s="14" t="n"/>
      <c r="L353" s="15">
        <f>IF(OR(K353="",set_RMSBase=""),"",HYPERLINK(set_RMSBase&amp;K353,"Open "&amp;K353))</f>
        <v/>
      </c>
      <c r="M353" s="15">
        <f>IF(C353="","",C353)</f>
        <v/>
      </c>
      <c r="N353" s="14" t="n"/>
      <c r="O353" s="16" t="n"/>
      <c r="P353" s="17">
        <f>IF(C353="","",H353+N(O353))</f>
        <v/>
      </c>
      <c r="Q353" s="54">
        <f>IFERROR(O353/P353,"")</f>
        <v/>
      </c>
      <c r="R353" s="16" t="n"/>
      <c r="S353" s="16" t="n"/>
      <c r="T353" s="17">
        <f>IF(C353="","",N(R353)+N(S353))</f>
        <v/>
      </c>
      <c r="U353" s="17">
        <f>IF(C353="","",H353-T353)</f>
        <v/>
      </c>
      <c r="V353" s="54">
        <f>IFERROR(U353/H353,"")</f>
        <v/>
      </c>
      <c r="W353" s="53" t="n"/>
      <c r="X353" s="53" t="n"/>
      <c r="Y353" s="53" t="n"/>
      <c r="Z353" s="53" t="n"/>
      <c r="AA353" s="53" t="n"/>
      <c r="AB353" s="14" t="n"/>
    </row>
    <row r="354" ht="15" customHeight="1">
      <c r="A354" s="51">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52">
        <f>IF(C354="","",COUNTIFS(tbl_Finance[Job Number],C354&amp;"",tbl_Finance[Ex GST],"&lt;&gt;"))</f>
        <v/>
      </c>
      <c r="H354" s="17">
        <f>IF(C354="","",SUMIFS(tbl_Finance[Ex GST],tbl_Finance[Job Number],C354&amp;""))</f>
        <v/>
      </c>
      <c r="I354" s="15">
        <f>IF(C354="","",IFERROR(INDEX(tbl_Finance[Cost Centre],MATCH(C354&amp;"",tbl_Finance[Job Number],0)),"not invoiced yet"))</f>
        <v/>
      </c>
      <c r="J354" s="12" t="n"/>
      <c r="K354" s="14" t="n"/>
      <c r="L354" s="15">
        <f>IF(OR(K354="",set_RMSBase=""),"",HYPERLINK(set_RMSBase&amp;K354,"Open "&amp;K354))</f>
        <v/>
      </c>
      <c r="M354" s="15">
        <f>IF(C354="","",C354)</f>
        <v/>
      </c>
      <c r="N354" s="14" t="n"/>
      <c r="O354" s="16" t="n"/>
      <c r="P354" s="17">
        <f>IF(C354="","",H354+N(O354))</f>
        <v/>
      </c>
      <c r="Q354" s="54">
        <f>IFERROR(O354/P354,"")</f>
        <v/>
      </c>
      <c r="R354" s="16" t="n"/>
      <c r="S354" s="16" t="n"/>
      <c r="T354" s="17">
        <f>IF(C354="","",N(R354)+N(S354))</f>
        <v/>
      </c>
      <c r="U354" s="17">
        <f>IF(C354="","",H354-T354)</f>
        <v/>
      </c>
      <c r="V354" s="54">
        <f>IFERROR(U354/H354,"")</f>
        <v/>
      </c>
      <c r="W354" s="53" t="n"/>
      <c r="X354" s="53" t="n"/>
      <c r="Y354" s="53" t="n"/>
      <c r="Z354" s="53" t="n"/>
      <c r="AA354" s="53" t="n"/>
      <c r="AB354" s="14" t="n"/>
    </row>
    <row r="355" ht="15" customHeight="1">
      <c r="A355" s="51">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52">
        <f>IF(C355="","",COUNTIFS(tbl_Finance[Job Number],C355&amp;"",tbl_Finance[Ex GST],"&lt;&gt;"))</f>
        <v/>
      </c>
      <c r="H355" s="17">
        <f>IF(C355="","",SUMIFS(tbl_Finance[Ex GST],tbl_Finance[Job Number],C355&amp;""))</f>
        <v/>
      </c>
      <c r="I355" s="15">
        <f>IF(C355="","",IFERROR(INDEX(tbl_Finance[Cost Centre],MATCH(C355&amp;"",tbl_Finance[Job Number],0)),"not invoiced yet"))</f>
        <v/>
      </c>
      <c r="J355" s="12" t="n"/>
      <c r="K355" s="14" t="n"/>
      <c r="L355" s="15">
        <f>IF(OR(K355="",set_RMSBase=""),"",HYPERLINK(set_RMSBase&amp;K355,"Open "&amp;K355))</f>
        <v/>
      </c>
      <c r="M355" s="15">
        <f>IF(C355="","",C355)</f>
        <v/>
      </c>
      <c r="N355" s="14" t="n"/>
      <c r="O355" s="16" t="n"/>
      <c r="P355" s="17">
        <f>IF(C355="","",H355+N(O355))</f>
        <v/>
      </c>
      <c r="Q355" s="54">
        <f>IFERROR(O355/P355,"")</f>
        <v/>
      </c>
      <c r="R355" s="16" t="n"/>
      <c r="S355" s="16" t="n"/>
      <c r="T355" s="17">
        <f>IF(C355="","",N(R355)+N(S355))</f>
        <v/>
      </c>
      <c r="U355" s="17">
        <f>IF(C355="","",H355-T355)</f>
        <v/>
      </c>
      <c r="V355" s="54">
        <f>IFERROR(U355/H355,"")</f>
        <v/>
      </c>
      <c r="W355" s="53" t="n"/>
      <c r="X355" s="53" t="n"/>
      <c r="Y355" s="53" t="n"/>
      <c r="Z355" s="53" t="n"/>
      <c r="AA355" s="53" t="n"/>
      <c r="AB355" s="14" t="n"/>
    </row>
    <row r="356" ht="15" customHeight="1">
      <c r="A356" s="51">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52">
        <f>IF(C356="","",COUNTIFS(tbl_Finance[Job Number],C356&amp;"",tbl_Finance[Ex GST],"&lt;&gt;"))</f>
        <v/>
      </c>
      <c r="H356" s="17">
        <f>IF(C356="","",SUMIFS(tbl_Finance[Ex GST],tbl_Finance[Job Number],C356&amp;""))</f>
        <v/>
      </c>
      <c r="I356" s="15">
        <f>IF(C356="","",IFERROR(INDEX(tbl_Finance[Cost Centre],MATCH(C356&amp;"",tbl_Finance[Job Number],0)),"not invoiced yet"))</f>
        <v/>
      </c>
      <c r="J356" s="12" t="n"/>
      <c r="K356" s="14" t="n"/>
      <c r="L356" s="15">
        <f>IF(OR(K356="",set_RMSBase=""),"",HYPERLINK(set_RMSBase&amp;K356,"Open "&amp;K356))</f>
        <v/>
      </c>
      <c r="M356" s="15">
        <f>IF(C356="","",C356)</f>
        <v/>
      </c>
      <c r="N356" s="14" t="n"/>
      <c r="O356" s="16" t="n"/>
      <c r="P356" s="17">
        <f>IF(C356="","",H356+N(O356))</f>
        <v/>
      </c>
      <c r="Q356" s="54">
        <f>IFERROR(O356/P356,"")</f>
        <v/>
      </c>
      <c r="R356" s="16" t="n"/>
      <c r="S356" s="16" t="n"/>
      <c r="T356" s="17">
        <f>IF(C356="","",N(R356)+N(S356))</f>
        <v/>
      </c>
      <c r="U356" s="17">
        <f>IF(C356="","",H356-T356)</f>
        <v/>
      </c>
      <c r="V356" s="54">
        <f>IFERROR(U356/H356,"")</f>
        <v/>
      </c>
      <c r="W356" s="53" t="n"/>
      <c r="X356" s="53" t="n"/>
      <c r="Y356" s="53" t="n"/>
      <c r="Z356" s="53" t="n"/>
      <c r="AA356" s="53" t="n"/>
      <c r="AB356" s="14" t="n"/>
    </row>
    <row r="357" ht="15" customHeight="1">
      <c r="A357" s="51">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52">
        <f>IF(C357="","",COUNTIFS(tbl_Finance[Job Number],C357&amp;"",tbl_Finance[Ex GST],"&lt;&gt;"))</f>
        <v/>
      </c>
      <c r="H357" s="17">
        <f>IF(C357="","",SUMIFS(tbl_Finance[Ex GST],tbl_Finance[Job Number],C357&amp;""))</f>
        <v/>
      </c>
      <c r="I357" s="15">
        <f>IF(C357="","",IFERROR(INDEX(tbl_Finance[Cost Centre],MATCH(C357&amp;"",tbl_Finance[Job Number],0)),"not invoiced yet"))</f>
        <v/>
      </c>
      <c r="J357" s="12" t="n"/>
      <c r="K357" s="14" t="n"/>
      <c r="L357" s="15">
        <f>IF(OR(K357="",set_RMSBase=""),"",HYPERLINK(set_RMSBase&amp;K357,"Open "&amp;K357))</f>
        <v/>
      </c>
      <c r="M357" s="15">
        <f>IF(C357="","",C357)</f>
        <v/>
      </c>
      <c r="N357" s="14" t="n"/>
      <c r="O357" s="16" t="n"/>
      <c r="P357" s="17">
        <f>IF(C357="","",H357+N(O357))</f>
        <v/>
      </c>
      <c r="Q357" s="54">
        <f>IFERROR(O357/P357,"")</f>
        <v/>
      </c>
      <c r="R357" s="16" t="n"/>
      <c r="S357" s="16" t="n"/>
      <c r="T357" s="17">
        <f>IF(C357="","",N(R357)+N(S357))</f>
        <v/>
      </c>
      <c r="U357" s="17">
        <f>IF(C357="","",H357-T357)</f>
        <v/>
      </c>
      <c r="V357" s="54">
        <f>IFERROR(U357/H357,"")</f>
        <v/>
      </c>
      <c r="W357" s="53" t="n"/>
      <c r="X357" s="53" t="n"/>
      <c r="Y357" s="53" t="n"/>
      <c r="Z357" s="53" t="n"/>
      <c r="AA357" s="53" t="n"/>
      <c r="AB357" s="14" t="n"/>
    </row>
    <row r="358" ht="15" customHeight="1">
      <c r="A358" s="51">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52">
        <f>IF(C358="","",COUNTIFS(tbl_Finance[Job Number],C358&amp;"",tbl_Finance[Ex GST],"&lt;&gt;"))</f>
        <v/>
      </c>
      <c r="H358" s="17">
        <f>IF(C358="","",SUMIFS(tbl_Finance[Ex GST],tbl_Finance[Job Number],C358&amp;""))</f>
        <v/>
      </c>
      <c r="I358" s="15">
        <f>IF(C358="","",IFERROR(INDEX(tbl_Finance[Cost Centre],MATCH(C358&amp;"",tbl_Finance[Job Number],0)),"not invoiced yet"))</f>
        <v/>
      </c>
      <c r="J358" s="12" t="n"/>
      <c r="K358" s="14" t="n"/>
      <c r="L358" s="15">
        <f>IF(OR(K358="",set_RMSBase=""),"",HYPERLINK(set_RMSBase&amp;K358,"Open "&amp;K358))</f>
        <v/>
      </c>
      <c r="M358" s="15">
        <f>IF(C358="","",C358)</f>
        <v/>
      </c>
      <c r="N358" s="14" t="n"/>
      <c r="O358" s="16" t="n"/>
      <c r="P358" s="17">
        <f>IF(C358="","",H358+N(O358))</f>
        <v/>
      </c>
      <c r="Q358" s="54">
        <f>IFERROR(O358/P358,"")</f>
        <v/>
      </c>
      <c r="R358" s="16" t="n"/>
      <c r="S358" s="16" t="n"/>
      <c r="T358" s="17">
        <f>IF(C358="","",N(R358)+N(S358))</f>
        <v/>
      </c>
      <c r="U358" s="17">
        <f>IF(C358="","",H358-T358)</f>
        <v/>
      </c>
      <c r="V358" s="54">
        <f>IFERROR(U358/H358,"")</f>
        <v/>
      </c>
      <c r="W358" s="53" t="n"/>
      <c r="X358" s="53" t="n"/>
      <c r="Y358" s="53" t="n"/>
      <c r="Z358" s="53" t="n"/>
      <c r="AA358" s="53" t="n"/>
      <c r="AB358" s="14" t="n"/>
    </row>
    <row r="359" ht="15" customHeight="1">
      <c r="A359" s="51">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52">
        <f>IF(C359="","",COUNTIFS(tbl_Finance[Job Number],C359&amp;"",tbl_Finance[Ex GST],"&lt;&gt;"))</f>
        <v/>
      </c>
      <c r="H359" s="17">
        <f>IF(C359="","",SUMIFS(tbl_Finance[Ex GST],tbl_Finance[Job Number],C359&amp;""))</f>
        <v/>
      </c>
      <c r="I359" s="15">
        <f>IF(C359="","",IFERROR(INDEX(tbl_Finance[Cost Centre],MATCH(C359&amp;"",tbl_Finance[Job Number],0)),"not invoiced yet"))</f>
        <v/>
      </c>
      <c r="J359" s="12" t="n"/>
      <c r="K359" s="14" t="n"/>
      <c r="L359" s="15">
        <f>IF(OR(K359="",set_RMSBase=""),"",HYPERLINK(set_RMSBase&amp;K359,"Open "&amp;K359))</f>
        <v/>
      </c>
      <c r="M359" s="15">
        <f>IF(C359="","",C359)</f>
        <v/>
      </c>
      <c r="N359" s="14" t="n"/>
      <c r="O359" s="16" t="n"/>
      <c r="P359" s="17">
        <f>IF(C359="","",H359+N(O359))</f>
        <v/>
      </c>
      <c r="Q359" s="54">
        <f>IFERROR(O359/P359,"")</f>
        <v/>
      </c>
      <c r="R359" s="16" t="n"/>
      <c r="S359" s="16" t="n"/>
      <c r="T359" s="17">
        <f>IF(C359="","",N(R359)+N(S359))</f>
        <v/>
      </c>
      <c r="U359" s="17">
        <f>IF(C359="","",H359-T359)</f>
        <v/>
      </c>
      <c r="V359" s="54">
        <f>IFERROR(U359/H359,"")</f>
        <v/>
      </c>
      <c r="W359" s="53" t="n"/>
      <c r="X359" s="53" t="n"/>
      <c r="Y359" s="53" t="n"/>
      <c r="Z359" s="53" t="n"/>
      <c r="AA359" s="53" t="n"/>
      <c r="AB359" s="14" t="n"/>
    </row>
    <row r="360" ht="15" customHeight="1">
      <c r="A360" s="51">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52">
        <f>IF(C360="","",COUNTIFS(tbl_Finance[Job Number],C360&amp;"",tbl_Finance[Ex GST],"&lt;&gt;"))</f>
        <v/>
      </c>
      <c r="H360" s="17">
        <f>IF(C360="","",SUMIFS(tbl_Finance[Ex GST],tbl_Finance[Job Number],C360&amp;""))</f>
        <v/>
      </c>
      <c r="I360" s="15">
        <f>IF(C360="","",IFERROR(INDEX(tbl_Finance[Cost Centre],MATCH(C360&amp;"",tbl_Finance[Job Number],0)),"not invoiced yet"))</f>
        <v/>
      </c>
      <c r="J360" s="12" t="n"/>
      <c r="K360" s="14" t="n"/>
      <c r="L360" s="15">
        <f>IF(OR(K360="",set_RMSBase=""),"",HYPERLINK(set_RMSBase&amp;K360,"Open "&amp;K360))</f>
        <v/>
      </c>
      <c r="M360" s="15">
        <f>IF(C360="","",C360)</f>
        <v/>
      </c>
      <c r="N360" s="14" t="n"/>
      <c r="O360" s="16" t="n"/>
      <c r="P360" s="17">
        <f>IF(C360="","",H360+N(O360))</f>
        <v/>
      </c>
      <c r="Q360" s="54">
        <f>IFERROR(O360/P360,"")</f>
        <v/>
      </c>
      <c r="R360" s="16" t="n"/>
      <c r="S360" s="16" t="n"/>
      <c r="T360" s="17">
        <f>IF(C360="","",N(R360)+N(S360))</f>
        <v/>
      </c>
      <c r="U360" s="17">
        <f>IF(C360="","",H360-T360)</f>
        <v/>
      </c>
      <c r="V360" s="54">
        <f>IFERROR(U360/H360,"")</f>
        <v/>
      </c>
      <c r="W360" s="53" t="n"/>
      <c r="X360" s="53" t="n"/>
      <c r="Y360" s="53" t="n"/>
      <c r="Z360" s="53" t="n"/>
      <c r="AA360" s="53" t="n"/>
      <c r="AB360" s="14" t="n"/>
    </row>
    <row r="361" ht="15" customHeight="1">
      <c r="A361" s="51">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52">
        <f>IF(C361="","",COUNTIFS(tbl_Finance[Job Number],C361&amp;"",tbl_Finance[Ex GST],"&lt;&gt;"))</f>
        <v/>
      </c>
      <c r="H361" s="17">
        <f>IF(C361="","",SUMIFS(tbl_Finance[Ex GST],tbl_Finance[Job Number],C361&amp;""))</f>
        <v/>
      </c>
      <c r="I361" s="15">
        <f>IF(C361="","",IFERROR(INDEX(tbl_Finance[Cost Centre],MATCH(C361&amp;"",tbl_Finance[Job Number],0)),"not invoiced yet"))</f>
        <v/>
      </c>
      <c r="J361" s="12" t="n"/>
      <c r="K361" s="14" t="n"/>
      <c r="L361" s="15">
        <f>IF(OR(K361="",set_RMSBase=""),"",HYPERLINK(set_RMSBase&amp;K361,"Open "&amp;K361))</f>
        <v/>
      </c>
      <c r="M361" s="15">
        <f>IF(C361="","",C361)</f>
        <v/>
      </c>
      <c r="N361" s="14" t="n"/>
      <c r="O361" s="16" t="n"/>
      <c r="P361" s="17">
        <f>IF(C361="","",H361+N(O361))</f>
        <v/>
      </c>
      <c r="Q361" s="54">
        <f>IFERROR(O361/P361,"")</f>
        <v/>
      </c>
      <c r="R361" s="16" t="n"/>
      <c r="S361" s="16" t="n"/>
      <c r="T361" s="17">
        <f>IF(C361="","",N(R361)+N(S361))</f>
        <v/>
      </c>
      <c r="U361" s="17">
        <f>IF(C361="","",H361-T361)</f>
        <v/>
      </c>
      <c r="V361" s="54">
        <f>IFERROR(U361/H361,"")</f>
        <v/>
      </c>
      <c r="W361" s="53" t="n"/>
      <c r="X361" s="53" t="n"/>
      <c r="Y361" s="53" t="n"/>
      <c r="Z361" s="53" t="n"/>
      <c r="AA361" s="53" t="n"/>
      <c r="AB361" s="14" t="n"/>
    </row>
    <row r="362" ht="15" customHeight="1">
      <c r="A362" s="51">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52">
        <f>IF(C362="","",COUNTIFS(tbl_Finance[Job Number],C362&amp;"",tbl_Finance[Ex GST],"&lt;&gt;"))</f>
        <v/>
      </c>
      <c r="H362" s="17">
        <f>IF(C362="","",SUMIFS(tbl_Finance[Ex GST],tbl_Finance[Job Number],C362&amp;""))</f>
        <v/>
      </c>
      <c r="I362" s="15">
        <f>IF(C362="","",IFERROR(INDEX(tbl_Finance[Cost Centre],MATCH(C362&amp;"",tbl_Finance[Job Number],0)),"not invoiced yet"))</f>
        <v/>
      </c>
      <c r="J362" s="12" t="n"/>
      <c r="K362" s="14" t="n"/>
      <c r="L362" s="15">
        <f>IF(OR(K362="",set_RMSBase=""),"",HYPERLINK(set_RMSBase&amp;K362,"Open "&amp;K362))</f>
        <v/>
      </c>
      <c r="M362" s="15">
        <f>IF(C362="","",C362)</f>
        <v/>
      </c>
      <c r="N362" s="14" t="n"/>
      <c r="O362" s="16" t="n"/>
      <c r="P362" s="17">
        <f>IF(C362="","",H362+N(O362))</f>
        <v/>
      </c>
      <c r="Q362" s="54">
        <f>IFERROR(O362/P362,"")</f>
        <v/>
      </c>
      <c r="R362" s="16" t="n"/>
      <c r="S362" s="16" t="n"/>
      <c r="T362" s="17">
        <f>IF(C362="","",N(R362)+N(S362))</f>
        <v/>
      </c>
      <c r="U362" s="17">
        <f>IF(C362="","",H362-T362)</f>
        <v/>
      </c>
      <c r="V362" s="54">
        <f>IFERROR(U362/H362,"")</f>
        <v/>
      </c>
      <c r="W362" s="53" t="n"/>
      <c r="X362" s="53" t="n"/>
      <c r="Y362" s="53" t="n"/>
      <c r="Z362" s="53" t="n"/>
      <c r="AA362" s="53" t="n"/>
      <c r="AB362" s="14" t="n"/>
    </row>
    <row r="363" ht="15" customHeight="1">
      <c r="A363" s="51">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52">
        <f>IF(C363="","",COUNTIFS(tbl_Finance[Job Number],C363&amp;"",tbl_Finance[Ex GST],"&lt;&gt;"))</f>
        <v/>
      </c>
      <c r="H363" s="17">
        <f>IF(C363="","",SUMIFS(tbl_Finance[Ex GST],tbl_Finance[Job Number],C363&amp;""))</f>
        <v/>
      </c>
      <c r="I363" s="15">
        <f>IF(C363="","",IFERROR(INDEX(tbl_Finance[Cost Centre],MATCH(C363&amp;"",tbl_Finance[Job Number],0)),"not invoiced yet"))</f>
        <v/>
      </c>
      <c r="J363" s="12" t="n"/>
      <c r="K363" s="14" t="n"/>
      <c r="L363" s="15">
        <f>IF(OR(K363="",set_RMSBase=""),"",HYPERLINK(set_RMSBase&amp;K363,"Open "&amp;K363))</f>
        <v/>
      </c>
      <c r="M363" s="15">
        <f>IF(C363="","",C363)</f>
        <v/>
      </c>
      <c r="N363" s="14" t="n"/>
      <c r="O363" s="16" t="n"/>
      <c r="P363" s="17">
        <f>IF(C363="","",H363+N(O363))</f>
        <v/>
      </c>
      <c r="Q363" s="54">
        <f>IFERROR(O363/P363,"")</f>
        <v/>
      </c>
      <c r="R363" s="16" t="n"/>
      <c r="S363" s="16" t="n"/>
      <c r="T363" s="17">
        <f>IF(C363="","",N(R363)+N(S363))</f>
        <v/>
      </c>
      <c r="U363" s="17">
        <f>IF(C363="","",H363-T363)</f>
        <v/>
      </c>
      <c r="V363" s="54">
        <f>IFERROR(U363/H363,"")</f>
        <v/>
      </c>
      <c r="W363" s="53" t="n"/>
      <c r="X363" s="53" t="n"/>
      <c r="Y363" s="53" t="n"/>
      <c r="Z363" s="53" t="n"/>
      <c r="AA363" s="53" t="n"/>
      <c r="AB363" s="14" t="n"/>
    </row>
    <row r="364" ht="15" customHeight="1">
      <c r="A364" s="51">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52">
        <f>IF(C364="","",COUNTIFS(tbl_Finance[Job Number],C364&amp;"",tbl_Finance[Ex GST],"&lt;&gt;"))</f>
        <v/>
      </c>
      <c r="H364" s="17">
        <f>IF(C364="","",SUMIFS(tbl_Finance[Ex GST],tbl_Finance[Job Number],C364&amp;""))</f>
        <v/>
      </c>
      <c r="I364" s="15">
        <f>IF(C364="","",IFERROR(INDEX(tbl_Finance[Cost Centre],MATCH(C364&amp;"",tbl_Finance[Job Number],0)),"not invoiced yet"))</f>
        <v/>
      </c>
      <c r="J364" s="12" t="n"/>
      <c r="K364" s="14" t="n"/>
      <c r="L364" s="15">
        <f>IF(OR(K364="",set_RMSBase=""),"",HYPERLINK(set_RMSBase&amp;K364,"Open "&amp;K364))</f>
        <v/>
      </c>
      <c r="M364" s="15">
        <f>IF(C364="","",C364)</f>
        <v/>
      </c>
      <c r="N364" s="14" t="n"/>
      <c r="O364" s="16" t="n"/>
      <c r="P364" s="17">
        <f>IF(C364="","",H364+N(O364))</f>
        <v/>
      </c>
      <c r="Q364" s="54">
        <f>IFERROR(O364/P364,"")</f>
        <v/>
      </c>
      <c r="R364" s="16" t="n"/>
      <c r="S364" s="16" t="n"/>
      <c r="T364" s="17">
        <f>IF(C364="","",N(R364)+N(S364))</f>
        <v/>
      </c>
      <c r="U364" s="17">
        <f>IF(C364="","",H364-T364)</f>
        <v/>
      </c>
      <c r="V364" s="54">
        <f>IFERROR(U364/H364,"")</f>
        <v/>
      </c>
      <c r="W364" s="53" t="n"/>
      <c r="X364" s="53" t="n"/>
      <c r="Y364" s="53" t="n"/>
      <c r="Z364" s="53" t="n"/>
      <c r="AA364" s="53" t="n"/>
      <c r="AB364" s="14" t="n"/>
    </row>
    <row r="365" ht="15" customHeight="1">
      <c r="A365" s="51">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52">
        <f>IF(C365="","",COUNTIFS(tbl_Finance[Job Number],C365&amp;"",tbl_Finance[Ex GST],"&lt;&gt;"))</f>
        <v/>
      </c>
      <c r="H365" s="17">
        <f>IF(C365="","",SUMIFS(tbl_Finance[Ex GST],tbl_Finance[Job Number],C365&amp;""))</f>
        <v/>
      </c>
      <c r="I365" s="15">
        <f>IF(C365="","",IFERROR(INDEX(tbl_Finance[Cost Centre],MATCH(C365&amp;"",tbl_Finance[Job Number],0)),"not invoiced yet"))</f>
        <v/>
      </c>
      <c r="J365" s="12" t="n"/>
      <c r="K365" s="14" t="n"/>
      <c r="L365" s="15">
        <f>IF(OR(K365="",set_RMSBase=""),"",HYPERLINK(set_RMSBase&amp;K365,"Open "&amp;K365))</f>
        <v/>
      </c>
      <c r="M365" s="15">
        <f>IF(C365="","",C365)</f>
        <v/>
      </c>
      <c r="N365" s="14" t="n"/>
      <c r="O365" s="16" t="n"/>
      <c r="P365" s="17">
        <f>IF(C365="","",H365+N(O365))</f>
        <v/>
      </c>
      <c r="Q365" s="54">
        <f>IFERROR(O365/P365,"")</f>
        <v/>
      </c>
      <c r="R365" s="16" t="n"/>
      <c r="S365" s="16" t="n"/>
      <c r="T365" s="17">
        <f>IF(C365="","",N(R365)+N(S365))</f>
        <v/>
      </c>
      <c r="U365" s="17">
        <f>IF(C365="","",H365-T365)</f>
        <v/>
      </c>
      <c r="V365" s="54">
        <f>IFERROR(U365/H365,"")</f>
        <v/>
      </c>
      <c r="W365" s="53" t="n"/>
      <c r="X365" s="53" t="n"/>
      <c r="Y365" s="53" t="n"/>
      <c r="Z365" s="53" t="n"/>
      <c r="AA365" s="53" t="n"/>
      <c r="AB365" s="14" t="n"/>
    </row>
    <row r="366" ht="15" customHeight="1">
      <c r="A366" s="51">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52">
        <f>IF(C366="","",COUNTIFS(tbl_Finance[Job Number],C366&amp;"",tbl_Finance[Ex GST],"&lt;&gt;"))</f>
        <v/>
      </c>
      <c r="H366" s="17">
        <f>IF(C366="","",SUMIFS(tbl_Finance[Ex GST],tbl_Finance[Job Number],C366&amp;""))</f>
        <v/>
      </c>
      <c r="I366" s="15">
        <f>IF(C366="","",IFERROR(INDEX(tbl_Finance[Cost Centre],MATCH(C366&amp;"",tbl_Finance[Job Number],0)),"not invoiced yet"))</f>
        <v/>
      </c>
      <c r="J366" s="12" t="n"/>
      <c r="K366" s="14" t="n"/>
      <c r="L366" s="15">
        <f>IF(OR(K366="",set_RMSBase=""),"",HYPERLINK(set_RMSBase&amp;K366,"Open "&amp;K366))</f>
        <v/>
      </c>
      <c r="M366" s="15">
        <f>IF(C366="","",C366)</f>
        <v/>
      </c>
      <c r="N366" s="14" t="n"/>
      <c r="O366" s="16" t="n"/>
      <c r="P366" s="17">
        <f>IF(C366="","",H366+N(O366))</f>
        <v/>
      </c>
      <c r="Q366" s="54">
        <f>IFERROR(O366/P366,"")</f>
        <v/>
      </c>
      <c r="R366" s="16" t="n"/>
      <c r="S366" s="16" t="n"/>
      <c r="T366" s="17">
        <f>IF(C366="","",N(R366)+N(S366))</f>
        <v/>
      </c>
      <c r="U366" s="17">
        <f>IF(C366="","",H366-T366)</f>
        <v/>
      </c>
      <c r="V366" s="54">
        <f>IFERROR(U366/H366,"")</f>
        <v/>
      </c>
      <c r="W366" s="53" t="n"/>
      <c r="X366" s="53" t="n"/>
      <c r="Y366" s="53" t="n"/>
      <c r="Z366" s="53" t="n"/>
      <c r="AA366" s="53" t="n"/>
      <c r="AB366" s="14" t="n"/>
    </row>
    <row r="367" ht="15" customHeight="1">
      <c r="A367" s="51">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52">
        <f>IF(C367="","",COUNTIFS(tbl_Finance[Job Number],C367&amp;"",tbl_Finance[Ex GST],"&lt;&gt;"))</f>
        <v/>
      </c>
      <c r="H367" s="17">
        <f>IF(C367="","",SUMIFS(tbl_Finance[Ex GST],tbl_Finance[Job Number],C367&amp;""))</f>
        <v/>
      </c>
      <c r="I367" s="15">
        <f>IF(C367="","",IFERROR(INDEX(tbl_Finance[Cost Centre],MATCH(C367&amp;"",tbl_Finance[Job Number],0)),"not invoiced yet"))</f>
        <v/>
      </c>
      <c r="J367" s="12" t="n"/>
      <c r="K367" s="14" t="n"/>
      <c r="L367" s="15">
        <f>IF(OR(K367="",set_RMSBase=""),"",HYPERLINK(set_RMSBase&amp;K367,"Open "&amp;K367))</f>
        <v/>
      </c>
      <c r="M367" s="15">
        <f>IF(C367="","",C367)</f>
        <v/>
      </c>
      <c r="N367" s="14" t="n"/>
      <c r="O367" s="16" t="n"/>
      <c r="P367" s="17">
        <f>IF(C367="","",H367+N(O367))</f>
        <v/>
      </c>
      <c r="Q367" s="54">
        <f>IFERROR(O367/P367,"")</f>
        <v/>
      </c>
      <c r="R367" s="16" t="n"/>
      <c r="S367" s="16" t="n"/>
      <c r="T367" s="17">
        <f>IF(C367="","",N(R367)+N(S367))</f>
        <v/>
      </c>
      <c r="U367" s="17">
        <f>IF(C367="","",H367-T367)</f>
        <v/>
      </c>
      <c r="V367" s="54">
        <f>IFERROR(U367/H367,"")</f>
        <v/>
      </c>
      <c r="W367" s="53" t="n"/>
      <c r="X367" s="53" t="n"/>
      <c r="Y367" s="53" t="n"/>
      <c r="Z367" s="53" t="n"/>
      <c r="AA367" s="53" t="n"/>
      <c r="AB367" s="14" t="n"/>
    </row>
    <row r="368" ht="15" customHeight="1">
      <c r="A368" s="51">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52">
        <f>IF(C368="","",COUNTIFS(tbl_Finance[Job Number],C368&amp;"",tbl_Finance[Ex GST],"&lt;&gt;"))</f>
        <v/>
      </c>
      <c r="H368" s="17">
        <f>IF(C368="","",SUMIFS(tbl_Finance[Ex GST],tbl_Finance[Job Number],C368&amp;""))</f>
        <v/>
      </c>
      <c r="I368" s="15">
        <f>IF(C368="","",IFERROR(INDEX(tbl_Finance[Cost Centre],MATCH(C368&amp;"",tbl_Finance[Job Number],0)),"not invoiced yet"))</f>
        <v/>
      </c>
      <c r="J368" s="12" t="n"/>
      <c r="K368" s="14" t="n"/>
      <c r="L368" s="15">
        <f>IF(OR(K368="",set_RMSBase=""),"",HYPERLINK(set_RMSBase&amp;K368,"Open "&amp;K368))</f>
        <v/>
      </c>
      <c r="M368" s="15">
        <f>IF(C368="","",C368)</f>
        <v/>
      </c>
      <c r="N368" s="14" t="n"/>
      <c r="O368" s="16" t="n"/>
      <c r="P368" s="17">
        <f>IF(C368="","",H368+N(O368))</f>
        <v/>
      </c>
      <c r="Q368" s="54">
        <f>IFERROR(O368/P368,"")</f>
        <v/>
      </c>
      <c r="R368" s="16" t="n"/>
      <c r="S368" s="16" t="n"/>
      <c r="T368" s="17">
        <f>IF(C368="","",N(R368)+N(S368))</f>
        <v/>
      </c>
      <c r="U368" s="17">
        <f>IF(C368="","",H368-T368)</f>
        <v/>
      </c>
      <c r="V368" s="54">
        <f>IFERROR(U368/H368,"")</f>
        <v/>
      </c>
      <c r="W368" s="53" t="n"/>
      <c r="X368" s="53" t="n"/>
      <c r="Y368" s="53" t="n"/>
      <c r="Z368" s="53" t="n"/>
      <c r="AA368" s="53" t="n"/>
      <c r="AB368" s="14" t="n"/>
    </row>
    <row r="369" ht="15" customHeight="1">
      <c r="A369" s="51">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52">
        <f>IF(C369="","",COUNTIFS(tbl_Finance[Job Number],C369&amp;"",tbl_Finance[Ex GST],"&lt;&gt;"))</f>
        <v/>
      </c>
      <c r="H369" s="17">
        <f>IF(C369="","",SUMIFS(tbl_Finance[Ex GST],tbl_Finance[Job Number],C369&amp;""))</f>
        <v/>
      </c>
      <c r="I369" s="15">
        <f>IF(C369="","",IFERROR(INDEX(tbl_Finance[Cost Centre],MATCH(C369&amp;"",tbl_Finance[Job Number],0)),"not invoiced yet"))</f>
        <v/>
      </c>
      <c r="J369" s="12" t="n"/>
      <c r="K369" s="14" t="n"/>
      <c r="L369" s="15">
        <f>IF(OR(K369="",set_RMSBase=""),"",HYPERLINK(set_RMSBase&amp;K369,"Open "&amp;K369))</f>
        <v/>
      </c>
      <c r="M369" s="15">
        <f>IF(C369="","",C369)</f>
        <v/>
      </c>
      <c r="N369" s="14" t="n"/>
      <c r="O369" s="16" t="n"/>
      <c r="P369" s="17">
        <f>IF(C369="","",H369+N(O369))</f>
        <v/>
      </c>
      <c r="Q369" s="54">
        <f>IFERROR(O369/P369,"")</f>
        <v/>
      </c>
      <c r="R369" s="16" t="n"/>
      <c r="S369" s="16" t="n"/>
      <c r="T369" s="17">
        <f>IF(C369="","",N(R369)+N(S369))</f>
        <v/>
      </c>
      <c r="U369" s="17">
        <f>IF(C369="","",H369-T369)</f>
        <v/>
      </c>
      <c r="V369" s="54">
        <f>IFERROR(U369/H369,"")</f>
        <v/>
      </c>
      <c r="W369" s="53" t="n"/>
      <c r="X369" s="53" t="n"/>
      <c r="Y369" s="53" t="n"/>
      <c r="Z369" s="53" t="n"/>
      <c r="AA369" s="53" t="n"/>
      <c r="AB369" s="14" t="n"/>
    </row>
    <row r="370" ht="15" customHeight="1">
      <c r="A370" s="51">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52">
        <f>IF(C370="","",COUNTIFS(tbl_Finance[Job Number],C370&amp;"",tbl_Finance[Ex GST],"&lt;&gt;"))</f>
        <v/>
      </c>
      <c r="H370" s="17">
        <f>IF(C370="","",SUMIFS(tbl_Finance[Ex GST],tbl_Finance[Job Number],C370&amp;""))</f>
        <v/>
      </c>
      <c r="I370" s="15">
        <f>IF(C370="","",IFERROR(INDEX(tbl_Finance[Cost Centre],MATCH(C370&amp;"",tbl_Finance[Job Number],0)),"not invoiced yet"))</f>
        <v/>
      </c>
      <c r="J370" s="12" t="n"/>
      <c r="K370" s="14" t="n"/>
      <c r="L370" s="15">
        <f>IF(OR(K370="",set_RMSBase=""),"",HYPERLINK(set_RMSBase&amp;K370,"Open "&amp;K370))</f>
        <v/>
      </c>
      <c r="M370" s="15">
        <f>IF(C370="","",C370)</f>
        <v/>
      </c>
      <c r="N370" s="14" t="n"/>
      <c r="O370" s="16" t="n"/>
      <c r="P370" s="17">
        <f>IF(C370="","",H370+N(O370))</f>
        <v/>
      </c>
      <c r="Q370" s="54">
        <f>IFERROR(O370/P370,"")</f>
        <v/>
      </c>
      <c r="R370" s="16" t="n"/>
      <c r="S370" s="16" t="n"/>
      <c r="T370" s="17">
        <f>IF(C370="","",N(R370)+N(S370))</f>
        <v/>
      </c>
      <c r="U370" s="17">
        <f>IF(C370="","",H370-T370)</f>
        <v/>
      </c>
      <c r="V370" s="54">
        <f>IFERROR(U370/H370,"")</f>
        <v/>
      </c>
      <c r="W370" s="53" t="n"/>
      <c r="X370" s="53" t="n"/>
      <c r="Y370" s="53" t="n"/>
      <c r="Z370" s="53" t="n"/>
      <c r="AA370" s="53" t="n"/>
      <c r="AB370" s="14" t="n"/>
    </row>
    <row r="371" ht="15" customHeight="1">
      <c r="A371" s="51">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52">
        <f>IF(C371="","",COUNTIFS(tbl_Finance[Job Number],C371&amp;"",tbl_Finance[Ex GST],"&lt;&gt;"))</f>
        <v/>
      </c>
      <c r="H371" s="17">
        <f>IF(C371="","",SUMIFS(tbl_Finance[Ex GST],tbl_Finance[Job Number],C371&amp;""))</f>
        <v/>
      </c>
      <c r="I371" s="15">
        <f>IF(C371="","",IFERROR(INDEX(tbl_Finance[Cost Centre],MATCH(C371&amp;"",tbl_Finance[Job Number],0)),"not invoiced yet"))</f>
        <v/>
      </c>
      <c r="J371" s="12" t="n"/>
      <c r="K371" s="14" t="n"/>
      <c r="L371" s="15">
        <f>IF(OR(K371="",set_RMSBase=""),"",HYPERLINK(set_RMSBase&amp;K371,"Open "&amp;K371))</f>
        <v/>
      </c>
      <c r="M371" s="15">
        <f>IF(C371="","",C371)</f>
        <v/>
      </c>
      <c r="N371" s="14" t="n"/>
      <c r="O371" s="16" t="n"/>
      <c r="P371" s="17">
        <f>IF(C371="","",H371+N(O371))</f>
        <v/>
      </c>
      <c r="Q371" s="54">
        <f>IFERROR(O371/P371,"")</f>
        <v/>
      </c>
      <c r="R371" s="16" t="n"/>
      <c r="S371" s="16" t="n"/>
      <c r="T371" s="17">
        <f>IF(C371="","",N(R371)+N(S371))</f>
        <v/>
      </c>
      <c r="U371" s="17">
        <f>IF(C371="","",H371-T371)</f>
        <v/>
      </c>
      <c r="V371" s="54">
        <f>IFERROR(U371/H371,"")</f>
        <v/>
      </c>
      <c r="W371" s="53" t="n"/>
      <c r="X371" s="53" t="n"/>
      <c r="Y371" s="53" t="n"/>
      <c r="Z371" s="53" t="n"/>
      <c r="AA371" s="53" t="n"/>
      <c r="AB371" s="14" t="n"/>
    </row>
    <row r="372" ht="15" customHeight="1">
      <c r="A372" s="51">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52">
        <f>IF(C372="","",COUNTIFS(tbl_Finance[Job Number],C372&amp;"",tbl_Finance[Ex GST],"&lt;&gt;"))</f>
        <v/>
      </c>
      <c r="H372" s="17">
        <f>IF(C372="","",SUMIFS(tbl_Finance[Ex GST],tbl_Finance[Job Number],C372&amp;""))</f>
        <v/>
      </c>
      <c r="I372" s="15">
        <f>IF(C372="","",IFERROR(INDEX(tbl_Finance[Cost Centre],MATCH(C372&amp;"",tbl_Finance[Job Number],0)),"not invoiced yet"))</f>
        <v/>
      </c>
      <c r="J372" s="12" t="n"/>
      <c r="K372" s="14" t="n"/>
      <c r="L372" s="15">
        <f>IF(OR(K372="",set_RMSBase=""),"",HYPERLINK(set_RMSBase&amp;K372,"Open "&amp;K372))</f>
        <v/>
      </c>
      <c r="M372" s="15">
        <f>IF(C372="","",C372)</f>
        <v/>
      </c>
      <c r="N372" s="14" t="n"/>
      <c r="O372" s="16" t="n"/>
      <c r="P372" s="17">
        <f>IF(C372="","",H372+N(O372))</f>
        <v/>
      </c>
      <c r="Q372" s="54">
        <f>IFERROR(O372/P372,"")</f>
        <v/>
      </c>
      <c r="R372" s="16" t="n"/>
      <c r="S372" s="16" t="n"/>
      <c r="T372" s="17">
        <f>IF(C372="","",N(R372)+N(S372))</f>
        <v/>
      </c>
      <c r="U372" s="17">
        <f>IF(C372="","",H372-T372)</f>
        <v/>
      </c>
      <c r="V372" s="54">
        <f>IFERROR(U372/H372,"")</f>
        <v/>
      </c>
      <c r="W372" s="53" t="n"/>
      <c r="X372" s="53" t="n"/>
      <c r="Y372" s="53" t="n"/>
      <c r="Z372" s="53" t="n"/>
      <c r="AA372" s="53" t="n"/>
      <c r="AB372" s="14" t="n"/>
    </row>
    <row r="373" ht="15" customHeight="1">
      <c r="A373" s="51">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52">
        <f>IF(C373="","",COUNTIFS(tbl_Finance[Job Number],C373&amp;"",tbl_Finance[Ex GST],"&lt;&gt;"))</f>
        <v/>
      </c>
      <c r="H373" s="17">
        <f>IF(C373="","",SUMIFS(tbl_Finance[Ex GST],tbl_Finance[Job Number],C373&amp;""))</f>
        <v/>
      </c>
      <c r="I373" s="15">
        <f>IF(C373="","",IFERROR(INDEX(tbl_Finance[Cost Centre],MATCH(C373&amp;"",tbl_Finance[Job Number],0)),"not invoiced yet"))</f>
        <v/>
      </c>
      <c r="J373" s="12" t="n"/>
      <c r="K373" s="14" t="n"/>
      <c r="L373" s="15">
        <f>IF(OR(K373="",set_RMSBase=""),"",HYPERLINK(set_RMSBase&amp;K373,"Open "&amp;K373))</f>
        <v/>
      </c>
      <c r="M373" s="15">
        <f>IF(C373="","",C373)</f>
        <v/>
      </c>
      <c r="N373" s="14" t="n"/>
      <c r="O373" s="16" t="n"/>
      <c r="P373" s="17">
        <f>IF(C373="","",H373+N(O373))</f>
        <v/>
      </c>
      <c r="Q373" s="54">
        <f>IFERROR(O373/P373,"")</f>
        <v/>
      </c>
      <c r="R373" s="16" t="n"/>
      <c r="S373" s="16" t="n"/>
      <c r="T373" s="17">
        <f>IF(C373="","",N(R373)+N(S373))</f>
        <v/>
      </c>
      <c r="U373" s="17">
        <f>IF(C373="","",H373-T373)</f>
        <v/>
      </c>
      <c r="V373" s="54">
        <f>IFERROR(U373/H373,"")</f>
        <v/>
      </c>
      <c r="W373" s="53" t="n"/>
      <c r="X373" s="53" t="n"/>
      <c r="Y373" s="53" t="n"/>
      <c r="Z373" s="53" t="n"/>
      <c r="AA373" s="53" t="n"/>
      <c r="AB373" s="14" t="n"/>
    </row>
    <row r="374" ht="15" customHeight="1">
      <c r="A374" s="51">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52">
        <f>IF(C374="","",COUNTIFS(tbl_Finance[Job Number],C374&amp;"",tbl_Finance[Ex GST],"&lt;&gt;"))</f>
        <v/>
      </c>
      <c r="H374" s="17">
        <f>IF(C374="","",SUMIFS(tbl_Finance[Ex GST],tbl_Finance[Job Number],C374&amp;""))</f>
        <v/>
      </c>
      <c r="I374" s="15">
        <f>IF(C374="","",IFERROR(INDEX(tbl_Finance[Cost Centre],MATCH(C374&amp;"",tbl_Finance[Job Number],0)),"not invoiced yet"))</f>
        <v/>
      </c>
      <c r="J374" s="12" t="n"/>
      <c r="K374" s="14" t="n"/>
      <c r="L374" s="15">
        <f>IF(OR(K374="",set_RMSBase=""),"",HYPERLINK(set_RMSBase&amp;K374,"Open "&amp;K374))</f>
        <v/>
      </c>
      <c r="M374" s="15">
        <f>IF(C374="","",C374)</f>
        <v/>
      </c>
      <c r="N374" s="14" t="n"/>
      <c r="O374" s="16" t="n"/>
      <c r="P374" s="17">
        <f>IF(C374="","",H374+N(O374))</f>
        <v/>
      </c>
      <c r="Q374" s="54">
        <f>IFERROR(O374/P374,"")</f>
        <v/>
      </c>
      <c r="R374" s="16" t="n"/>
      <c r="S374" s="16" t="n"/>
      <c r="T374" s="17">
        <f>IF(C374="","",N(R374)+N(S374))</f>
        <v/>
      </c>
      <c r="U374" s="17">
        <f>IF(C374="","",H374-T374)</f>
        <v/>
      </c>
      <c r="V374" s="54">
        <f>IFERROR(U374/H374,"")</f>
        <v/>
      </c>
      <c r="W374" s="53" t="n"/>
      <c r="X374" s="53" t="n"/>
      <c r="Y374" s="53" t="n"/>
      <c r="Z374" s="53" t="n"/>
      <c r="AA374" s="53" t="n"/>
      <c r="AB374" s="14" t="n"/>
    </row>
    <row r="375" ht="15" customHeight="1">
      <c r="A375" s="51">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52">
        <f>IF(C375="","",COUNTIFS(tbl_Finance[Job Number],C375&amp;"",tbl_Finance[Ex GST],"&lt;&gt;"))</f>
        <v/>
      </c>
      <c r="H375" s="17">
        <f>IF(C375="","",SUMIFS(tbl_Finance[Ex GST],tbl_Finance[Job Number],C375&amp;""))</f>
        <v/>
      </c>
      <c r="I375" s="15">
        <f>IF(C375="","",IFERROR(INDEX(tbl_Finance[Cost Centre],MATCH(C375&amp;"",tbl_Finance[Job Number],0)),"not invoiced yet"))</f>
        <v/>
      </c>
      <c r="J375" s="12" t="n"/>
      <c r="K375" s="14" t="n"/>
      <c r="L375" s="15">
        <f>IF(OR(K375="",set_RMSBase=""),"",HYPERLINK(set_RMSBase&amp;K375,"Open "&amp;K375))</f>
        <v/>
      </c>
      <c r="M375" s="15">
        <f>IF(C375="","",C375)</f>
        <v/>
      </c>
      <c r="N375" s="14" t="n"/>
      <c r="O375" s="16" t="n"/>
      <c r="P375" s="17">
        <f>IF(C375="","",H375+N(O375))</f>
        <v/>
      </c>
      <c r="Q375" s="54">
        <f>IFERROR(O375/P375,"")</f>
        <v/>
      </c>
      <c r="R375" s="16" t="n"/>
      <c r="S375" s="16" t="n"/>
      <c r="T375" s="17">
        <f>IF(C375="","",N(R375)+N(S375))</f>
        <v/>
      </c>
      <c r="U375" s="17">
        <f>IF(C375="","",H375-T375)</f>
        <v/>
      </c>
      <c r="V375" s="54">
        <f>IFERROR(U375/H375,"")</f>
        <v/>
      </c>
      <c r="W375" s="53" t="n"/>
      <c r="X375" s="53" t="n"/>
      <c r="Y375" s="53" t="n"/>
      <c r="Z375" s="53" t="n"/>
      <c r="AA375" s="53" t="n"/>
      <c r="AB375" s="14" t="n"/>
    </row>
    <row r="376" ht="15" customHeight="1">
      <c r="A376" s="51">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52">
        <f>IF(C376="","",COUNTIFS(tbl_Finance[Job Number],C376&amp;"",tbl_Finance[Ex GST],"&lt;&gt;"))</f>
        <v/>
      </c>
      <c r="H376" s="17">
        <f>IF(C376="","",SUMIFS(tbl_Finance[Ex GST],tbl_Finance[Job Number],C376&amp;""))</f>
        <v/>
      </c>
      <c r="I376" s="15">
        <f>IF(C376="","",IFERROR(INDEX(tbl_Finance[Cost Centre],MATCH(C376&amp;"",tbl_Finance[Job Number],0)),"not invoiced yet"))</f>
        <v/>
      </c>
      <c r="J376" s="12" t="n"/>
      <c r="K376" s="14" t="n"/>
      <c r="L376" s="15">
        <f>IF(OR(K376="",set_RMSBase=""),"",HYPERLINK(set_RMSBase&amp;K376,"Open "&amp;K376))</f>
        <v/>
      </c>
      <c r="M376" s="15">
        <f>IF(C376="","",C376)</f>
        <v/>
      </c>
      <c r="N376" s="14" t="n"/>
      <c r="O376" s="16" t="n"/>
      <c r="P376" s="17">
        <f>IF(C376="","",H376+N(O376))</f>
        <v/>
      </c>
      <c r="Q376" s="54">
        <f>IFERROR(O376/P376,"")</f>
        <v/>
      </c>
      <c r="R376" s="16" t="n"/>
      <c r="S376" s="16" t="n"/>
      <c r="T376" s="17">
        <f>IF(C376="","",N(R376)+N(S376))</f>
        <v/>
      </c>
      <c r="U376" s="17">
        <f>IF(C376="","",H376-T376)</f>
        <v/>
      </c>
      <c r="V376" s="54">
        <f>IFERROR(U376/H376,"")</f>
        <v/>
      </c>
      <c r="W376" s="53" t="n"/>
      <c r="X376" s="53" t="n"/>
      <c r="Y376" s="53" t="n"/>
      <c r="Z376" s="53" t="n"/>
      <c r="AA376" s="53" t="n"/>
      <c r="AB376" s="14" t="n"/>
    </row>
    <row r="377" ht="15" customHeight="1">
      <c r="A377" s="51">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52">
        <f>IF(C377="","",COUNTIFS(tbl_Finance[Job Number],C377&amp;"",tbl_Finance[Ex GST],"&lt;&gt;"))</f>
        <v/>
      </c>
      <c r="H377" s="17">
        <f>IF(C377="","",SUMIFS(tbl_Finance[Ex GST],tbl_Finance[Job Number],C377&amp;""))</f>
        <v/>
      </c>
      <c r="I377" s="15">
        <f>IF(C377="","",IFERROR(INDEX(tbl_Finance[Cost Centre],MATCH(C377&amp;"",tbl_Finance[Job Number],0)),"not invoiced yet"))</f>
        <v/>
      </c>
      <c r="J377" s="12" t="n"/>
      <c r="K377" s="14" t="n"/>
      <c r="L377" s="15">
        <f>IF(OR(K377="",set_RMSBase=""),"",HYPERLINK(set_RMSBase&amp;K377,"Open "&amp;K377))</f>
        <v/>
      </c>
      <c r="M377" s="15">
        <f>IF(C377="","",C377)</f>
        <v/>
      </c>
      <c r="N377" s="14" t="n"/>
      <c r="O377" s="16" t="n"/>
      <c r="P377" s="17">
        <f>IF(C377="","",H377+N(O377))</f>
        <v/>
      </c>
      <c r="Q377" s="54">
        <f>IFERROR(O377/P377,"")</f>
        <v/>
      </c>
      <c r="R377" s="16" t="n"/>
      <c r="S377" s="16" t="n"/>
      <c r="T377" s="17">
        <f>IF(C377="","",N(R377)+N(S377))</f>
        <v/>
      </c>
      <c r="U377" s="17">
        <f>IF(C377="","",H377-T377)</f>
        <v/>
      </c>
      <c r="V377" s="54">
        <f>IFERROR(U377/H377,"")</f>
        <v/>
      </c>
      <c r="W377" s="53" t="n"/>
      <c r="X377" s="53" t="n"/>
      <c r="Y377" s="53" t="n"/>
      <c r="Z377" s="53" t="n"/>
      <c r="AA377" s="53" t="n"/>
      <c r="AB377" s="14" t="n"/>
    </row>
    <row r="378" ht="15" customHeight="1">
      <c r="A378" s="51">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52">
        <f>IF(C378="","",COUNTIFS(tbl_Finance[Job Number],C378&amp;"",tbl_Finance[Ex GST],"&lt;&gt;"))</f>
        <v/>
      </c>
      <c r="H378" s="17">
        <f>IF(C378="","",SUMIFS(tbl_Finance[Ex GST],tbl_Finance[Job Number],C378&amp;""))</f>
        <v/>
      </c>
      <c r="I378" s="15">
        <f>IF(C378="","",IFERROR(INDEX(tbl_Finance[Cost Centre],MATCH(C378&amp;"",tbl_Finance[Job Number],0)),"not invoiced yet"))</f>
        <v/>
      </c>
      <c r="J378" s="12" t="n"/>
      <c r="K378" s="14" t="n"/>
      <c r="L378" s="15">
        <f>IF(OR(K378="",set_RMSBase=""),"",HYPERLINK(set_RMSBase&amp;K378,"Open "&amp;K378))</f>
        <v/>
      </c>
      <c r="M378" s="15">
        <f>IF(C378="","",C378)</f>
        <v/>
      </c>
      <c r="N378" s="14" t="n"/>
      <c r="O378" s="16" t="n"/>
      <c r="P378" s="17">
        <f>IF(C378="","",H378+N(O378))</f>
        <v/>
      </c>
      <c r="Q378" s="54">
        <f>IFERROR(O378/P378,"")</f>
        <v/>
      </c>
      <c r="R378" s="16" t="n"/>
      <c r="S378" s="16" t="n"/>
      <c r="T378" s="17">
        <f>IF(C378="","",N(R378)+N(S378))</f>
        <v/>
      </c>
      <c r="U378" s="17">
        <f>IF(C378="","",H378-T378)</f>
        <v/>
      </c>
      <c r="V378" s="54">
        <f>IFERROR(U378/H378,"")</f>
        <v/>
      </c>
      <c r="W378" s="53" t="n"/>
      <c r="X378" s="53" t="n"/>
      <c r="Y378" s="53" t="n"/>
      <c r="Z378" s="53" t="n"/>
      <c r="AA378" s="53" t="n"/>
      <c r="AB378" s="14" t="n"/>
    </row>
    <row r="379" ht="15" customHeight="1">
      <c r="A379" s="51">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52">
        <f>IF(C379="","",COUNTIFS(tbl_Finance[Job Number],C379&amp;"",tbl_Finance[Ex GST],"&lt;&gt;"))</f>
        <v/>
      </c>
      <c r="H379" s="17">
        <f>IF(C379="","",SUMIFS(tbl_Finance[Ex GST],tbl_Finance[Job Number],C379&amp;""))</f>
        <v/>
      </c>
      <c r="I379" s="15">
        <f>IF(C379="","",IFERROR(INDEX(tbl_Finance[Cost Centre],MATCH(C379&amp;"",tbl_Finance[Job Number],0)),"not invoiced yet"))</f>
        <v/>
      </c>
      <c r="J379" s="12" t="n"/>
      <c r="K379" s="14" t="n"/>
      <c r="L379" s="15">
        <f>IF(OR(K379="",set_RMSBase=""),"",HYPERLINK(set_RMSBase&amp;K379,"Open "&amp;K379))</f>
        <v/>
      </c>
      <c r="M379" s="15">
        <f>IF(C379="","",C379)</f>
        <v/>
      </c>
      <c r="N379" s="14" t="n"/>
      <c r="O379" s="16" t="n"/>
      <c r="P379" s="17">
        <f>IF(C379="","",H379+N(O379))</f>
        <v/>
      </c>
      <c r="Q379" s="54">
        <f>IFERROR(O379/P379,"")</f>
        <v/>
      </c>
      <c r="R379" s="16" t="n"/>
      <c r="S379" s="16" t="n"/>
      <c r="T379" s="17">
        <f>IF(C379="","",N(R379)+N(S379))</f>
        <v/>
      </c>
      <c r="U379" s="17">
        <f>IF(C379="","",H379-T379)</f>
        <v/>
      </c>
      <c r="V379" s="54">
        <f>IFERROR(U379/H379,"")</f>
        <v/>
      </c>
      <c r="W379" s="53" t="n"/>
      <c r="X379" s="53" t="n"/>
      <c r="Y379" s="53" t="n"/>
      <c r="Z379" s="53" t="n"/>
      <c r="AA379" s="53" t="n"/>
      <c r="AB379" s="14" t="n"/>
    </row>
    <row r="380" ht="15" customHeight="1">
      <c r="A380" s="51">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52">
        <f>IF(C380="","",COUNTIFS(tbl_Finance[Job Number],C380&amp;"",tbl_Finance[Ex GST],"&lt;&gt;"))</f>
        <v/>
      </c>
      <c r="H380" s="17">
        <f>IF(C380="","",SUMIFS(tbl_Finance[Ex GST],tbl_Finance[Job Number],C380&amp;""))</f>
        <v/>
      </c>
      <c r="I380" s="15">
        <f>IF(C380="","",IFERROR(INDEX(tbl_Finance[Cost Centre],MATCH(C380&amp;"",tbl_Finance[Job Number],0)),"not invoiced yet"))</f>
        <v/>
      </c>
      <c r="J380" s="12" t="n"/>
      <c r="K380" s="14" t="n"/>
      <c r="L380" s="15">
        <f>IF(OR(K380="",set_RMSBase=""),"",HYPERLINK(set_RMSBase&amp;K380,"Open "&amp;K380))</f>
        <v/>
      </c>
      <c r="M380" s="15">
        <f>IF(C380="","",C380)</f>
        <v/>
      </c>
      <c r="N380" s="14" t="n"/>
      <c r="O380" s="16" t="n"/>
      <c r="P380" s="17">
        <f>IF(C380="","",H380+N(O380))</f>
        <v/>
      </c>
      <c r="Q380" s="54">
        <f>IFERROR(O380/P380,"")</f>
        <v/>
      </c>
      <c r="R380" s="16" t="n"/>
      <c r="S380" s="16" t="n"/>
      <c r="T380" s="17">
        <f>IF(C380="","",N(R380)+N(S380))</f>
        <v/>
      </c>
      <c r="U380" s="17">
        <f>IF(C380="","",H380-T380)</f>
        <v/>
      </c>
      <c r="V380" s="54">
        <f>IFERROR(U380/H380,"")</f>
        <v/>
      </c>
      <c r="W380" s="53" t="n"/>
      <c r="X380" s="53" t="n"/>
      <c r="Y380" s="53" t="n"/>
      <c r="Z380" s="53" t="n"/>
      <c r="AA380" s="53" t="n"/>
      <c r="AB380" s="14" t="n"/>
    </row>
    <row r="381" ht="15" customHeight="1">
      <c r="A381" s="51">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52">
        <f>IF(C381="","",COUNTIFS(tbl_Finance[Job Number],C381&amp;"",tbl_Finance[Ex GST],"&lt;&gt;"))</f>
        <v/>
      </c>
      <c r="H381" s="17">
        <f>IF(C381="","",SUMIFS(tbl_Finance[Ex GST],tbl_Finance[Job Number],C381&amp;""))</f>
        <v/>
      </c>
      <c r="I381" s="15">
        <f>IF(C381="","",IFERROR(INDEX(tbl_Finance[Cost Centre],MATCH(C381&amp;"",tbl_Finance[Job Number],0)),"not invoiced yet"))</f>
        <v/>
      </c>
      <c r="J381" s="12" t="n"/>
      <c r="K381" s="14" t="n"/>
      <c r="L381" s="15">
        <f>IF(OR(K381="",set_RMSBase=""),"",HYPERLINK(set_RMSBase&amp;K381,"Open "&amp;K381))</f>
        <v/>
      </c>
      <c r="M381" s="15">
        <f>IF(C381="","",C381)</f>
        <v/>
      </c>
      <c r="N381" s="14" t="n"/>
      <c r="O381" s="16" t="n"/>
      <c r="P381" s="17">
        <f>IF(C381="","",H381+N(O381))</f>
        <v/>
      </c>
      <c r="Q381" s="54">
        <f>IFERROR(O381/P381,"")</f>
        <v/>
      </c>
      <c r="R381" s="16" t="n"/>
      <c r="S381" s="16" t="n"/>
      <c r="T381" s="17">
        <f>IF(C381="","",N(R381)+N(S381))</f>
        <v/>
      </c>
      <c r="U381" s="17">
        <f>IF(C381="","",H381-T381)</f>
        <v/>
      </c>
      <c r="V381" s="54">
        <f>IFERROR(U381/H381,"")</f>
        <v/>
      </c>
      <c r="W381" s="53" t="n"/>
      <c r="X381" s="53" t="n"/>
      <c r="Y381" s="53" t="n"/>
      <c r="Z381" s="53" t="n"/>
      <c r="AA381" s="53" t="n"/>
      <c r="AB381" s="14" t="n"/>
    </row>
    <row r="382" ht="15" customHeight="1">
      <c r="A382" s="51">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52">
        <f>IF(C382="","",COUNTIFS(tbl_Finance[Job Number],C382&amp;"",tbl_Finance[Ex GST],"&lt;&gt;"))</f>
        <v/>
      </c>
      <c r="H382" s="17">
        <f>IF(C382="","",SUMIFS(tbl_Finance[Ex GST],tbl_Finance[Job Number],C382&amp;""))</f>
        <v/>
      </c>
      <c r="I382" s="15">
        <f>IF(C382="","",IFERROR(INDEX(tbl_Finance[Cost Centre],MATCH(C382&amp;"",tbl_Finance[Job Number],0)),"not invoiced yet"))</f>
        <v/>
      </c>
      <c r="J382" s="12" t="n"/>
      <c r="K382" s="14" t="n"/>
      <c r="L382" s="15">
        <f>IF(OR(K382="",set_RMSBase=""),"",HYPERLINK(set_RMSBase&amp;K382,"Open "&amp;K382))</f>
        <v/>
      </c>
      <c r="M382" s="15">
        <f>IF(C382="","",C382)</f>
        <v/>
      </c>
      <c r="N382" s="14" t="n"/>
      <c r="O382" s="16" t="n"/>
      <c r="P382" s="17">
        <f>IF(C382="","",H382+N(O382))</f>
        <v/>
      </c>
      <c r="Q382" s="54">
        <f>IFERROR(O382/P382,"")</f>
        <v/>
      </c>
      <c r="R382" s="16" t="n"/>
      <c r="S382" s="16" t="n"/>
      <c r="T382" s="17">
        <f>IF(C382="","",N(R382)+N(S382))</f>
        <v/>
      </c>
      <c r="U382" s="17">
        <f>IF(C382="","",H382-T382)</f>
        <v/>
      </c>
      <c r="V382" s="54">
        <f>IFERROR(U382/H382,"")</f>
        <v/>
      </c>
      <c r="W382" s="53" t="n"/>
      <c r="X382" s="53" t="n"/>
      <c r="Y382" s="53" t="n"/>
      <c r="Z382" s="53" t="n"/>
      <c r="AA382" s="53" t="n"/>
      <c r="AB382" s="14" t="n"/>
    </row>
    <row r="383" ht="15" customHeight="1">
      <c r="A383" s="51">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52">
        <f>IF(C383="","",COUNTIFS(tbl_Finance[Job Number],C383&amp;"",tbl_Finance[Ex GST],"&lt;&gt;"))</f>
        <v/>
      </c>
      <c r="H383" s="17">
        <f>IF(C383="","",SUMIFS(tbl_Finance[Ex GST],tbl_Finance[Job Number],C383&amp;""))</f>
        <v/>
      </c>
      <c r="I383" s="15">
        <f>IF(C383="","",IFERROR(INDEX(tbl_Finance[Cost Centre],MATCH(C383&amp;"",tbl_Finance[Job Number],0)),"not invoiced yet"))</f>
        <v/>
      </c>
      <c r="J383" s="12" t="n"/>
      <c r="K383" s="14" t="n"/>
      <c r="L383" s="15">
        <f>IF(OR(K383="",set_RMSBase=""),"",HYPERLINK(set_RMSBase&amp;K383,"Open "&amp;K383))</f>
        <v/>
      </c>
      <c r="M383" s="15">
        <f>IF(C383="","",C383)</f>
        <v/>
      </c>
      <c r="N383" s="14" t="n"/>
      <c r="O383" s="16" t="n"/>
      <c r="P383" s="17">
        <f>IF(C383="","",H383+N(O383))</f>
        <v/>
      </c>
      <c r="Q383" s="54">
        <f>IFERROR(O383/P383,"")</f>
        <v/>
      </c>
      <c r="R383" s="16" t="n"/>
      <c r="S383" s="16" t="n"/>
      <c r="T383" s="17">
        <f>IF(C383="","",N(R383)+N(S383))</f>
        <v/>
      </c>
      <c r="U383" s="17">
        <f>IF(C383="","",H383-T383)</f>
        <v/>
      </c>
      <c r="V383" s="54">
        <f>IFERROR(U383/H383,"")</f>
        <v/>
      </c>
      <c r="W383" s="53" t="n"/>
      <c r="X383" s="53" t="n"/>
      <c r="Y383" s="53" t="n"/>
      <c r="Z383" s="53" t="n"/>
      <c r="AA383" s="53" t="n"/>
      <c r="AB383" s="14" t="n"/>
    </row>
    <row r="384" ht="15" customHeight="1">
      <c r="A384" s="51">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52">
        <f>IF(C384="","",COUNTIFS(tbl_Finance[Job Number],C384&amp;"",tbl_Finance[Ex GST],"&lt;&gt;"))</f>
        <v/>
      </c>
      <c r="H384" s="17">
        <f>IF(C384="","",SUMIFS(tbl_Finance[Ex GST],tbl_Finance[Job Number],C384&amp;""))</f>
        <v/>
      </c>
      <c r="I384" s="15">
        <f>IF(C384="","",IFERROR(INDEX(tbl_Finance[Cost Centre],MATCH(C384&amp;"",tbl_Finance[Job Number],0)),"not invoiced yet"))</f>
        <v/>
      </c>
      <c r="J384" s="12" t="n"/>
      <c r="K384" s="14" t="n"/>
      <c r="L384" s="15">
        <f>IF(OR(K384="",set_RMSBase=""),"",HYPERLINK(set_RMSBase&amp;K384,"Open "&amp;K384))</f>
        <v/>
      </c>
      <c r="M384" s="15">
        <f>IF(C384="","",C384)</f>
        <v/>
      </c>
      <c r="N384" s="14" t="n"/>
      <c r="O384" s="16" t="n"/>
      <c r="P384" s="17">
        <f>IF(C384="","",H384+N(O384))</f>
        <v/>
      </c>
      <c r="Q384" s="54">
        <f>IFERROR(O384/P384,"")</f>
        <v/>
      </c>
      <c r="R384" s="16" t="n"/>
      <c r="S384" s="16" t="n"/>
      <c r="T384" s="17">
        <f>IF(C384="","",N(R384)+N(S384))</f>
        <v/>
      </c>
      <c r="U384" s="17">
        <f>IF(C384="","",H384-T384)</f>
        <v/>
      </c>
      <c r="V384" s="54">
        <f>IFERROR(U384/H384,"")</f>
        <v/>
      </c>
      <c r="W384" s="53" t="n"/>
      <c r="X384" s="53" t="n"/>
      <c r="Y384" s="53" t="n"/>
      <c r="Z384" s="53" t="n"/>
      <c r="AA384" s="53" t="n"/>
      <c r="AB384" s="14" t="n"/>
    </row>
    <row r="385" ht="15" customHeight="1">
      <c r="A385" s="51">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52">
        <f>IF(C385="","",COUNTIFS(tbl_Finance[Job Number],C385&amp;"",tbl_Finance[Ex GST],"&lt;&gt;"))</f>
        <v/>
      </c>
      <c r="H385" s="17">
        <f>IF(C385="","",SUMIFS(tbl_Finance[Ex GST],tbl_Finance[Job Number],C385&amp;""))</f>
        <v/>
      </c>
      <c r="I385" s="15">
        <f>IF(C385="","",IFERROR(INDEX(tbl_Finance[Cost Centre],MATCH(C385&amp;"",tbl_Finance[Job Number],0)),"not invoiced yet"))</f>
        <v/>
      </c>
      <c r="J385" s="12" t="n"/>
      <c r="K385" s="14" t="n"/>
      <c r="L385" s="15">
        <f>IF(OR(K385="",set_RMSBase=""),"",HYPERLINK(set_RMSBase&amp;K385,"Open "&amp;K385))</f>
        <v/>
      </c>
      <c r="M385" s="15">
        <f>IF(C385="","",C385)</f>
        <v/>
      </c>
      <c r="N385" s="14" t="n"/>
      <c r="O385" s="16" t="n"/>
      <c r="P385" s="17">
        <f>IF(C385="","",H385+N(O385))</f>
        <v/>
      </c>
      <c r="Q385" s="54">
        <f>IFERROR(O385/P385,"")</f>
        <v/>
      </c>
      <c r="R385" s="16" t="n"/>
      <c r="S385" s="16" t="n"/>
      <c r="T385" s="17">
        <f>IF(C385="","",N(R385)+N(S385))</f>
        <v/>
      </c>
      <c r="U385" s="17">
        <f>IF(C385="","",H385-T385)</f>
        <v/>
      </c>
      <c r="V385" s="54">
        <f>IFERROR(U385/H385,"")</f>
        <v/>
      </c>
      <c r="W385" s="53" t="n"/>
      <c r="X385" s="53" t="n"/>
      <c r="Y385" s="53" t="n"/>
      <c r="Z385" s="53" t="n"/>
      <c r="AA385" s="53" t="n"/>
      <c r="AB385" s="14" t="n"/>
    </row>
    <row r="386" ht="15" customHeight="1">
      <c r="A386" s="51">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52">
        <f>IF(C386="","",COUNTIFS(tbl_Finance[Job Number],C386&amp;"",tbl_Finance[Ex GST],"&lt;&gt;"))</f>
        <v/>
      </c>
      <c r="H386" s="17">
        <f>IF(C386="","",SUMIFS(tbl_Finance[Ex GST],tbl_Finance[Job Number],C386&amp;""))</f>
        <v/>
      </c>
      <c r="I386" s="15">
        <f>IF(C386="","",IFERROR(INDEX(tbl_Finance[Cost Centre],MATCH(C386&amp;"",tbl_Finance[Job Number],0)),"not invoiced yet"))</f>
        <v/>
      </c>
      <c r="J386" s="12" t="n"/>
      <c r="K386" s="14" t="n"/>
      <c r="L386" s="15">
        <f>IF(OR(K386="",set_RMSBase=""),"",HYPERLINK(set_RMSBase&amp;K386,"Open "&amp;K386))</f>
        <v/>
      </c>
      <c r="M386" s="15">
        <f>IF(C386="","",C386)</f>
        <v/>
      </c>
      <c r="N386" s="14" t="n"/>
      <c r="O386" s="16" t="n"/>
      <c r="P386" s="17">
        <f>IF(C386="","",H386+N(O386))</f>
        <v/>
      </c>
      <c r="Q386" s="54">
        <f>IFERROR(O386/P386,"")</f>
        <v/>
      </c>
      <c r="R386" s="16" t="n"/>
      <c r="S386" s="16" t="n"/>
      <c r="T386" s="17">
        <f>IF(C386="","",N(R386)+N(S386))</f>
        <v/>
      </c>
      <c r="U386" s="17">
        <f>IF(C386="","",H386-T386)</f>
        <v/>
      </c>
      <c r="V386" s="54">
        <f>IFERROR(U386/H386,"")</f>
        <v/>
      </c>
      <c r="W386" s="53" t="n"/>
      <c r="X386" s="53" t="n"/>
      <c r="Y386" s="53" t="n"/>
      <c r="Z386" s="53" t="n"/>
      <c r="AA386" s="53" t="n"/>
      <c r="AB386" s="14" t="n"/>
    </row>
    <row r="387" ht="15" customHeight="1">
      <c r="A387" s="51">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52">
        <f>IF(C387="","",COUNTIFS(tbl_Finance[Job Number],C387&amp;"",tbl_Finance[Ex GST],"&lt;&gt;"))</f>
        <v/>
      </c>
      <c r="H387" s="17">
        <f>IF(C387="","",SUMIFS(tbl_Finance[Ex GST],tbl_Finance[Job Number],C387&amp;""))</f>
        <v/>
      </c>
      <c r="I387" s="15">
        <f>IF(C387="","",IFERROR(INDEX(tbl_Finance[Cost Centre],MATCH(C387&amp;"",tbl_Finance[Job Number],0)),"not invoiced yet"))</f>
        <v/>
      </c>
      <c r="J387" s="12" t="n"/>
      <c r="K387" s="14" t="n"/>
      <c r="L387" s="15">
        <f>IF(OR(K387="",set_RMSBase=""),"",HYPERLINK(set_RMSBase&amp;K387,"Open "&amp;K387))</f>
        <v/>
      </c>
      <c r="M387" s="15">
        <f>IF(C387="","",C387)</f>
        <v/>
      </c>
      <c r="N387" s="14" t="n"/>
      <c r="O387" s="16" t="n"/>
      <c r="P387" s="17">
        <f>IF(C387="","",H387+N(O387))</f>
        <v/>
      </c>
      <c r="Q387" s="54">
        <f>IFERROR(O387/P387,"")</f>
        <v/>
      </c>
      <c r="R387" s="16" t="n"/>
      <c r="S387" s="16" t="n"/>
      <c r="T387" s="17">
        <f>IF(C387="","",N(R387)+N(S387))</f>
        <v/>
      </c>
      <c r="U387" s="17">
        <f>IF(C387="","",H387-T387)</f>
        <v/>
      </c>
      <c r="V387" s="54">
        <f>IFERROR(U387/H387,"")</f>
        <v/>
      </c>
      <c r="W387" s="53" t="n"/>
      <c r="X387" s="53" t="n"/>
      <c r="Y387" s="53" t="n"/>
      <c r="Z387" s="53" t="n"/>
      <c r="AA387" s="53" t="n"/>
      <c r="AB387" s="14" t="n"/>
    </row>
    <row r="388" ht="15" customHeight="1">
      <c r="A388" s="51">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52">
        <f>IF(C388="","",COUNTIFS(tbl_Finance[Job Number],C388&amp;"",tbl_Finance[Ex GST],"&lt;&gt;"))</f>
        <v/>
      </c>
      <c r="H388" s="17">
        <f>IF(C388="","",SUMIFS(tbl_Finance[Ex GST],tbl_Finance[Job Number],C388&amp;""))</f>
        <v/>
      </c>
      <c r="I388" s="15">
        <f>IF(C388="","",IFERROR(INDEX(tbl_Finance[Cost Centre],MATCH(C388&amp;"",tbl_Finance[Job Number],0)),"not invoiced yet"))</f>
        <v/>
      </c>
      <c r="J388" s="12" t="n"/>
      <c r="K388" s="14" t="n"/>
      <c r="L388" s="15">
        <f>IF(OR(K388="",set_RMSBase=""),"",HYPERLINK(set_RMSBase&amp;K388,"Open "&amp;K388))</f>
        <v/>
      </c>
      <c r="M388" s="15">
        <f>IF(C388="","",C388)</f>
        <v/>
      </c>
      <c r="N388" s="14" t="n"/>
      <c r="O388" s="16" t="n"/>
      <c r="P388" s="17">
        <f>IF(C388="","",H388+N(O388))</f>
        <v/>
      </c>
      <c r="Q388" s="54">
        <f>IFERROR(O388/P388,"")</f>
        <v/>
      </c>
      <c r="R388" s="16" t="n"/>
      <c r="S388" s="16" t="n"/>
      <c r="T388" s="17">
        <f>IF(C388="","",N(R388)+N(S388))</f>
        <v/>
      </c>
      <c r="U388" s="17">
        <f>IF(C388="","",H388-T388)</f>
        <v/>
      </c>
      <c r="V388" s="54">
        <f>IFERROR(U388/H388,"")</f>
        <v/>
      </c>
      <c r="W388" s="53" t="n"/>
      <c r="X388" s="53" t="n"/>
      <c r="Y388" s="53" t="n"/>
      <c r="Z388" s="53" t="n"/>
      <c r="AA388" s="53" t="n"/>
      <c r="AB388" s="14" t="n"/>
    </row>
    <row r="389" ht="15" customHeight="1">
      <c r="A389" s="51">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52">
        <f>IF(C389="","",COUNTIFS(tbl_Finance[Job Number],C389&amp;"",tbl_Finance[Ex GST],"&lt;&gt;"))</f>
        <v/>
      </c>
      <c r="H389" s="17">
        <f>IF(C389="","",SUMIFS(tbl_Finance[Ex GST],tbl_Finance[Job Number],C389&amp;""))</f>
        <v/>
      </c>
      <c r="I389" s="15">
        <f>IF(C389="","",IFERROR(INDEX(tbl_Finance[Cost Centre],MATCH(C389&amp;"",tbl_Finance[Job Number],0)),"not invoiced yet"))</f>
        <v/>
      </c>
      <c r="J389" s="12" t="n"/>
      <c r="K389" s="14" t="n"/>
      <c r="L389" s="15">
        <f>IF(OR(K389="",set_RMSBase=""),"",HYPERLINK(set_RMSBase&amp;K389,"Open "&amp;K389))</f>
        <v/>
      </c>
      <c r="M389" s="15">
        <f>IF(C389="","",C389)</f>
        <v/>
      </c>
      <c r="N389" s="14" t="n"/>
      <c r="O389" s="16" t="n"/>
      <c r="P389" s="17">
        <f>IF(C389="","",H389+N(O389))</f>
        <v/>
      </c>
      <c r="Q389" s="54">
        <f>IFERROR(O389/P389,"")</f>
        <v/>
      </c>
      <c r="R389" s="16" t="n"/>
      <c r="S389" s="16" t="n"/>
      <c r="T389" s="17">
        <f>IF(C389="","",N(R389)+N(S389))</f>
        <v/>
      </c>
      <c r="U389" s="17">
        <f>IF(C389="","",H389-T389)</f>
        <v/>
      </c>
      <c r="V389" s="54">
        <f>IFERROR(U389/H389,"")</f>
        <v/>
      </c>
      <c r="W389" s="53" t="n"/>
      <c r="X389" s="53" t="n"/>
      <c r="Y389" s="53" t="n"/>
      <c r="Z389" s="53" t="n"/>
      <c r="AA389" s="53" t="n"/>
      <c r="AB389" s="14" t="n"/>
    </row>
    <row r="390" ht="15" customHeight="1">
      <c r="A390" s="51">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52">
        <f>IF(C390="","",COUNTIFS(tbl_Finance[Job Number],C390&amp;"",tbl_Finance[Ex GST],"&lt;&gt;"))</f>
        <v/>
      </c>
      <c r="H390" s="17">
        <f>IF(C390="","",SUMIFS(tbl_Finance[Ex GST],tbl_Finance[Job Number],C390&amp;""))</f>
        <v/>
      </c>
      <c r="I390" s="15">
        <f>IF(C390="","",IFERROR(INDEX(tbl_Finance[Cost Centre],MATCH(C390&amp;"",tbl_Finance[Job Number],0)),"not invoiced yet"))</f>
        <v/>
      </c>
      <c r="J390" s="12" t="n"/>
      <c r="K390" s="14" t="n"/>
      <c r="L390" s="15">
        <f>IF(OR(K390="",set_RMSBase=""),"",HYPERLINK(set_RMSBase&amp;K390,"Open "&amp;K390))</f>
        <v/>
      </c>
      <c r="M390" s="15">
        <f>IF(C390="","",C390)</f>
        <v/>
      </c>
      <c r="N390" s="14" t="n"/>
      <c r="O390" s="16" t="n"/>
      <c r="P390" s="17">
        <f>IF(C390="","",H390+N(O390))</f>
        <v/>
      </c>
      <c r="Q390" s="54">
        <f>IFERROR(O390/P390,"")</f>
        <v/>
      </c>
      <c r="R390" s="16" t="n"/>
      <c r="S390" s="16" t="n"/>
      <c r="T390" s="17">
        <f>IF(C390="","",N(R390)+N(S390))</f>
        <v/>
      </c>
      <c r="U390" s="17">
        <f>IF(C390="","",H390-T390)</f>
        <v/>
      </c>
      <c r="V390" s="54">
        <f>IFERROR(U390/H390,"")</f>
        <v/>
      </c>
      <c r="W390" s="53" t="n"/>
      <c r="X390" s="53" t="n"/>
      <c r="Y390" s="53" t="n"/>
      <c r="Z390" s="53" t="n"/>
      <c r="AA390" s="53" t="n"/>
      <c r="AB390" s="14" t="n"/>
    </row>
    <row r="391" ht="15" customHeight="1">
      <c r="A391" s="51">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52">
        <f>IF(C391="","",COUNTIFS(tbl_Finance[Job Number],C391&amp;"",tbl_Finance[Ex GST],"&lt;&gt;"))</f>
        <v/>
      </c>
      <c r="H391" s="17">
        <f>IF(C391="","",SUMIFS(tbl_Finance[Ex GST],tbl_Finance[Job Number],C391&amp;""))</f>
        <v/>
      </c>
      <c r="I391" s="15">
        <f>IF(C391="","",IFERROR(INDEX(tbl_Finance[Cost Centre],MATCH(C391&amp;"",tbl_Finance[Job Number],0)),"not invoiced yet"))</f>
        <v/>
      </c>
      <c r="J391" s="12" t="n"/>
      <c r="K391" s="14" t="n"/>
      <c r="L391" s="15">
        <f>IF(OR(K391="",set_RMSBase=""),"",HYPERLINK(set_RMSBase&amp;K391,"Open "&amp;K391))</f>
        <v/>
      </c>
      <c r="M391" s="15">
        <f>IF(C391="","",C391)</f>
        <v/>
      </c>
      <c r="N391" s="14" t="n"/>
      <c r="O391" s="16" t="n"/>
      <c r="P391" s="17">
        <f>IF(C391="","",H391+N(O391))</f>
        <v/>
      </c>
      <c r="Q391" s="54">
        <f>IFERROR(O391/P391,"")</f>
        <v/>
      </c>
      <c r="R391" s="16" t="n"/>
      <c r="S391" s="16" t="n"/>
      <c r="T391" s="17">
        <f>IF(C391="","",N(R391)+N(S391))</f>
        <v/>
      </c>
      <c r="U391" s="17">
        <f>IF(C391="","",H391-T391)</f>
        <v/>
      </c>
      <c r="V391" s="54">
        <f>IFERROR(U391/H391,"")</f>
        <v/>
      </c>
      <c r="W391" s="53" t="n"/>
      <c r="X391" s="53" t="n"/>
      <c r="Y391" s="53" t="n"/>
      <c r="Z391" s="53" t="n"/>
      <c r="AA391" s="53" t="n"/>
      <c r="AB391" s="14" t="n"/>
    </row>
    <row r="392" ht="15" customHeight="1">
      <c r="A392" s="51">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52">
        <f>IF(C392="","",COUNTIFS(tbl_Finance[Job Number],C392&amp;"",tbl_Finance[Ex GST],"&lt;&gt;"))</f>
        <v/>
      </c>
      <c r="H392" s="17">
        <f>IF(C392="","",SUMIFS(tbl_Finance[Ex GST],tbl_Finance[Job Number],C392&amp;""))</f>
        <v/>
      </c>
      <c r="I392" s="15">
        <f>IF(C392="","",IFERROR(INDEX(tbl_Finance[Cost Centre],MATCH(C392&amp;"",tbl_Finance[Job Number],0)),"not invoiced yet"))</f>
        <v/>
      </c>
      <c r="J392" s="12" t="n"/>
      <c r="K392" s="14" t="n"/>
      <c r="L392" s="15">
        <f>IF(OR(K392="",set_RMSBase=""),"",HYPERLINK(set_RMSBase&amp;K392,"Open "&amp;K392))</f>
        <v/>
      </c>
      <c r="M392" s="15">
        <f>IF(C392="","",C392)</f>
        <v/>
      </c>
      <c r="N392" s="14" t="n"/>
      <c r="O392" s="16" t="n"/>
      <c r="P392" s="17">
        <f>IF(C392="","",H392+N(O392))</f>
        <v/>
      </c>
      <c r="Q392" s="54">
        <f>IFERROR(O392/P392,"")</f>
        <v/>
      </c>
      <c r="R392" s="16" t="n"/>
      <c r="S392" s="16" t="n"/>
      <c r="T392" s="17">
        <f>IF(C392="","",N(R392)+N(S392))</f>
        <v/>
      </c>
      <c r="U392" s="17">
        <f>IF(C392="","",H392-T392)</f>
        <v/>
      </c>
      <c r="V392" s="54">
        <f>IFERROR(U392/H392,"")</f>
        <v/>
      </c>
      <c r="W392" s="53" t="n"/>
      <c r="X392" s="53" t="n"/>
      <c r="Y392" s="53" t="n"/>
      <c r="Z392" s="53" t="n"/>
      <c r="AA392" s="53" t="n"/>
      <c r="AB392" s="14" t="n"/>
    </row>
    <row r="393" ht="15" customHeight="1">
      <c r="A393" s="51">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52">
        <f>IF(C393="","",COUNTIFS(tbl_Finance[Job Number],C393&amp;"",tbl_Finance[Ex GST],"&lt;&gt;"))</f>
        <v/>
      </c>
      <c r="H393" s="17">
        <f>IF(C393="","",SUMIFS(tbl_Finance[Ex GST],tbl_Finance[Job Number],C393&amp;""))</f>
        <v/>
      </c>
      <c r="I393" s="15">
        <f>IF(C393="","",IFERROR(INDEX(tbl_Finance[Cost Centre],MATCH(C393&amp;"",tbl_Finance[Job Number],0)),"not invoiced yet"))</f>
        <v/>
      </c>
      <c r="J393" s="12" t="n"/>
      <c r="K393" s="14" t="n"/>
      <c r="L393" s="15">
        <f>IF(OR(K393="",set_RMSBase=""),"",HYPERLINK(set_RMSBase&amp;K393,"Open "&amp;K393))</f>
        <v/>
      </c>
      <c r="M393" s="15">
        <f>IF(C393="","",C393)</f>
        <v/>
      </c>
      <c r="N393" s="14" t="n"/>
      <c r="O393" s="16" t="n"/>
      <c r="P393" s="17">
        <f>IF(C393="","",H393+N(O393))</f>
        <v/>
      </c>
      <c r="Q393" s="54">
        <f>IFERROR(O393/P393,"")</f>
        <v/>
      </c>
      <c r="R393" s="16" t="n"/>
      <c r="S393" s="16" t="n"/>
      <c r="T393" s="17">
        <f>IF(C393="","",N(R393)+N(S393))</f>
        <v/>
      </c>
      <c r="U393" s="17">
        <f>IF(C393="","",H393-T393)</f>
        <v/>
      </c>
      <c r="V393" s="54">
        <f>IFERROR(U393/H393,"")</f>
        <v/>
      </c>
      <c r="W393" s="53" t="n"/>
      <c r="X393" s="53" t="n"/>
      <c r="Y393" s="53" t="n"/>
      <c r="Z393" s="53" t="n"/>
      <c r="AA393" s="53" t="n"/>
      <c r="AB393" s="14" t="n"/>
    </row>
    <row r="394" ht="15" customHeight="1">
      <c r="A394" s="51">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52">
        <f>IF(C394="","",COUNTIFS(tbl_Finance[Job Number],C394&amp;"",tbl_Finance[Ex GST],"&lt;&gt;"))</f>
        <v/>
      </c>
      <c r="H394" s="17">
        <f>IF(C394="","",SUMIFS(tbl_Finance[Ex GST],tbl_Finance[Job Number],C394&amp;""))</f>
        <v/>
      </c>
      <c r="I394" s="15">
        <f>IF(C394="","",IFERROR(INDEX(tbl_Finance[Cost Centre],MATCH(C394&amp;"",tbl_Finance[Job Number],0)),"not invoiced yet"))</f>
        <v/>
      </c>
      <c r="J394" s="12" t="n"/>
      <c r="K394" s="14" t="n"/>
      <c r="L394" s="15">
        <f>IF(OR(K394="",set_RMSBase=""),"",HYPERLINK(set_RMSBase&amp;K394,"Open "&amp;K394))</f>
        <v/>
      </c>
      <c r="M394" s="15">
        <f>IF(C394="","",C394)</f>
        <v/>
      </c>
      <c r="N394" s="14" t="n"/>
      <c r="O394" s="16" t="n"/>
      <c r="P394" s="17">
        <f>IF(C394="","",H394+N(O394))</f>
        <v/>
      </c>
      <c r="Q394" s="54">
        <f>IFERROR(O394/P394,"")</f>
        <v/>
      </c>
      <c r="R394" s="16" t="n"/>
      <c r="S394" s="16" t="n"/>
      <c r="T394" s="17">
        <f>IF(C394="","",N(R394)+N(S394))</f>
        <v/>
      </c>
      <c r="U394" s="17">
        <f>IF(C394="","",H394-T394)</f>
        <v/>
      </c>
      <c r="V394" s="54">
        <f>IFERROR(U394/H394,"")</f>
        <v/>
      </c>
      <c r="W394" s="53" t="n"/>
      <c r="X394" s="53" t="n"/>
      <c r="Y394" s="53" t="n"/>
      <c r="Z394" s="53" t="n"/>
      <c r="AA394" s="53" t="n"/>
      <c r="AB394" s="14" t="n"/>
    </row>
    <row r="395" ht="15" customHeight="1">
      <c r="A395" s="51">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52">
        <f>IF(C395="","",COUNTIFS(tbl_Finance[Job Number],C395&amp;"",tbl_Finance[Ex GST],"&lt;&gt;"))</f>
        <v/>
      </c>
      <c r="H395" s="17">
        <f>IF(C395="","",SUMIFS(tbl_Finance[Ex GST],tbl_Finance[Job Number],C395&amp;""))</f>
        <v/>
      </c>
      <c r="I395" s="15">
        <f>IF(C395="","",IFERROR(INDEX(tbl_Finance[Cost Centre],MATCH(C395&amp;"",tbl_Finance[Job Number],0)),"not invoiced yet"))</f>
        <v/>
      </c>
      <c r="J395" s="12" t="n"/>
      <c r="K395" s="14" t="n"/>
      <c r="L395" s="15">
        <f>IF(OR(K395="",set_RMSBase=""),"",HYPERLINK(set_RMSBase&amp;K395,"Open "&amp;K395))</f>
        <v/>
      </c>
      <c r="M395" s="15">
        <f>IF(C395="","",C395)</f>
        <v/>
      </c>
      <c r="N395" s="14" t="n"/>
      <c r="O395" s="16" t="n"/>
      <c r="P395" s="17">
        <f>IF(C395="","",H395+N(O395))</f>
        <v/>
      </c>
      <c r="Q395" s="54">
        <f>IFERROR(O395/P395,"")</f>
        <v/>
      </c>
      <c r="R395" s="16" t="n"/>
      <c r="S395" s="16" t="n"/>
      <c r="T395" s="17">
        <f>IF(C395="","",N(R395)+N(S395))</f>
        <v/>
      </c>
      <c r="U395" s="17">
        <f>IF(C395="","",H395-T395)</f>
        <v/>
      </c>
      <c r="V395" s="54">
        <f>IFERROR(U395/H395,"")</f>
        <v/>
      </c>
      <c r="W395" s="53" t="n"/>
      <c r="X395" s="53" t="n"/>
      <c r="Y395" s="53" t="n"/>
      <c r="Z395" s="53" t="n"/>
      <c r="AA395" s="53" t="n"/>
      <c r="AB395" s="14" t="n"/>
    </row>
    <row r="396" ht="15" customHeight="1">
      <c r="A396" s="51">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52">
        <f>IF(C396="","",COUNTIFS(tbl_Finance[Job Number],C396&amp;"",tbl_Finance[Ex GST],"&lt;&gt;"))</f>
        <v/>
      </c>
      <c r="H396" s="17">
        <f>IF(C396="","",SUMIFS(tbl_Finance[Ex GST],tbl_Finance[Job Number],C396&amp;""))</f>
        <v/>
      </c>
      <c r="I396" s="15">
        <f>IF(C396="","",IFERROR(INDEX(tbl_Finance[Cost Centre],MATCH(C396&amp;"",tbl_Finance[Job Number],0)),"not invoiced yet"))</f>
        <v/>
      </c>
      <c r="J396" s="12" t="n"/>
      <c r="K396" s="14" t="n"/>
      <c r="L396" s="15">
        <f>IF(OR(K396="",set_RMSBase=""),"",HYPERLINK(set_RMSBase&amp;K396,"Open "&amp;K396))</f>
        <v/>
      </c>
      <c r="M396" s="15">
        <f>IF(C396="","",C396)</f>
        <v/>
      </c>
      <c r="N396" s="14" t="n"/>
      <c r="O396" s="16" t="n"/>
      <c r="P396" s="17">
        <f>IF(C396="","",H396+N(O396))</f>
        <v/>
      </c>
      <c r="Q396" s="54">
        <f>IFERROR(O396/P396,"")</f>
        <v/>
      </c>
      <c r="R396" s="16" t="n"/>
      <c r="S396" s="16" t="n"/>
      <c r="T396" s="17">
        <f>IF(C396="","",N(R396)+N(S396))</f>
        <v/>
      </c>
      <c r="U396" s="17">
        <f>IF(C396="","",H396-T396)</f>
        <v/>
      </c>
      <c r="V396" s="54">
        <f>IFERROR(U396/H396,"")</f>
        <v/>
      </c>
      <c r="W396" s="53" t="n"/>
      <c r="X396" s="53" t="n"/>
      <c r="Y396" s="53" t="n"/>
      <c r="Z396" s="53" t="n"/>
      <c r="AA396" s="53" t="n"/>
      <c r="AB396" s="14" t="n"/>
    </row>
    <row r="397" ht="15" customHeight="1">
      <c r="A397" s="51">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52">
        <f>IF(C397="","",COUNTIFS(tbl_Finance[Job Number],C397&amp;"",tbl_Finance[Ex GST],"&lt;&gt;"))</f>
        <v/>
      </c>
      <c r="H397" s="17">
        <f>IF(C397="","",SUMIFS(tbl_Finance[Ex GST],tbl_Finance[Job Number],C397&amp;""))</f>
        <v/>
      </c>
      <c r="I397" s="15">
        <f>IF(C397="","",IFERROR(INDEX(tbl_Finance[Cost Centre],MATCH(C397&amp;"",tbl_Finance[Job Number],0)),"not invoiced yet"))</f>
        <v/>
      </c>
      <c r="J397" s="12" t="n"/>
      <c r="K397" s="14" t="n"/>
      <c r="L397" s="15">
        <f>IF(OR(K397="",set_RMSBase=""),"",HYPERLINK(set_RMSBase&amp;K397,"Open "&amp;K397))</f>
        <v/>
      </c>
      <c r="M397" s="15">
        <f>IF(C397="","",C397)</f>
        <v/>
      </c>
      <c r="N397" s="14" t="n"/>
      <c r="O397" s="16" t="n"/>
      <c r="P397" s="17">
        <f>IF(C397="","",H397+N(O397))</f>
        <v/>
      </c>
      <c r="Q397" s="54">
        <f>IFERROR(O397/P397,"")</f>
        <v/>
      </c>
      <c r="R397" s="16" t="n"/>
      <c r="S397" s="16" t="n"/>
      <c r="T397" s="17">
        <f>IF(C397="","",N(R397)+N(S397))</f>
        <v/>
      </c>
      <c r="U397" s="17">
        <f>IF(C397="","",H397-T397)</f>
        <v/>
      </c>
      <c r="V397" s="54">
        <f>IFERROR(U397/H397,"")</f>
        <v/>
      </c>
      <c r="W397" s="53" t="n"/>
      <c r="X397" s="53" t="n"/>
      <c r="Y397" s="53" t="n"/>
      <c r="Z397" s="53" t="n"/>
      <c r="AA397" s="53" t="n"/>
      <c r="AB397" s="14" t="n"/>
    </row>
    <row r="398" ht="15" customHeight="1">
      <c r="A398" s="51">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52">
        <f>IF(C398="","",COUNTIFS(tbl_Finance[Job Number],C398&amp;"",tbl_Finance[Ex GST],"&lt;&gt;"))</f>
        <v/>
      </c>
      <c r="H398" s="17">
        <f>IF(C398="","",SUMIFS(tbl_Finance[Ex GST],tbl_Finance[Job Number],C398&amp;""))</f>
        <v/>
      </c>
      <c r="I398" s="15">
        <f>IF(C398="","",IFERROR(INDEX(tbl_Finance[Cost Centre],MATCH(C398&amp;"",tbl_Finance[Job Number],0)),"not invoiced yet"))</f>
        <v/>
      </c>
      <c r="J398" s="12" t="n"/>
      <c r="K398" s="14" t="n"/>
      <c r="L398" s="15">
        <f>IF(OR(K398="",set_RMSBase=""),"",HYPERLINK(set_RMSBase&amp;K398,"Open "&amp;K398))</f>
        <v/>
      </c>
      <c r="M398" s="15">
        <f>IF(C398="","",C398)</f>
        <v/>
      </c>
      <c r="N398" s="14" t="n"/>
      <c r="O398" s="16" t="n"/>
      <c r="P398" s="17">
        <f>IF(C398="","",H398+N(O398))</f>
        <v/>
      </c>
      <c r="Q398" s="54">
        <f>IFERROR(O398/P398,"")</f>
        <v/>
      </c>
      <c r="R398" s="16" t="n"/>
      <c r="S398" s="16" t="n"/>
      <c r="T398" s="17">
        <f>IF(C398="","",N(R398)+N(S398))</f>
        <v/>
      </c>
      <c r="U398" s="17">
        <f>IF(C398="","",H398-T398)</f>
        <v/>
      </c>
      <c r="V398" s="54">
        <f>IFERROR(U398/H398,"")</f>
        <v/>
      </c>
      <c r="W398" s="53" t="n"/>
      <c r="X398" s="53" t="n"/>
      <c r="Y398" s="53" t="n"/>
      <c r="Z398" s="53" t="n"/>
      <c r="AA398" s="53" t="n"/>
      <c r="AB398" s="14" t="n"/>
    </row>
    <row r="399" ht="15" customHeight="1">
      <c r="A399" s="51">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52">
        <f>IF(C399="","",COUNTIFS(tbl_Finance[Job Number],C399&amp;"",tbl_Finance[Ex GST],"&lt;&gt;"))</f>
        <v/>
      </c>
      <c r="H399" s="17">
        <f>IF(C399="","",SUMIFS(tbl_Finance[Ex GST],tbl_Finance[Job Number],C399&amp;""))</f>
        <v/>
      </c>
      <c r="I399" s="15">
        <f>IF(C399="","",IFERROR(INDEX(tbl_Finance[Cost Centre],MATCH(C399&amp;"",tbl_Finance[Job Number],0)),"not invoiced yet"))</f>
        <v/>
      </c>
      <c r="J399" s="12" t="n"/>
      <c r="K399" s="14" t="n"/>
      <c r="L399" s="15">
        <f>IF(OR(K399="",set_RMSBase=""),"",HYPERLINK(set_RMSBase&amp;K399,"Open "&amp;K399))</f>
        <v/>
      </c>
      <c r="M399" s="15">
        <f>IF(C399="","",C399)</f>
        <v/>
      </c>
      <c r="N399" s="14" t="n"/>
      <c r="O399" s="16" t="n"/>
      <c r="P399" s="17">
        <f>IF(C399="","",H399+N(O399))</f>
        <v/>
      </c>
      <c r="Q399" s="54">
        <f>IFERROR(O399/P399,"")</f>
        <v/>
      </c>
      <c r="R399" s="16" t="n"/>
      <c r="S399" s="16" t="n"/>
      <c r="T399" s="17">
        <f>IF(C399="","",N(R399)+N(S399))</f>
        <v/>
      </c>
      <c r="U399" s="17">
        <f>IF(C399="","",H399-T399)</f>
        <v/>
      </c>
      <c r="V399" s="54">
        <f>IFERROR(U399/H399,"")</f>
        <v/>
      </c>
      <c r="W399" s="53" t="n"/>
      <c r="X399" s="53" t="n"/>
      <c r="Y399" s="53" t="n"/>
      <c r="Z399" s="53" t="n"/>
      <c r="AA399" s="53" t="n"/>
      <c r="AB399" s="14" t="n"/>
    </row>
    <row r="400" ht="15" customHeight="1">
      <c r="A400" s="51">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52">
        <f>IF(C400="","",COUNTIFS(tbl_Finance[Job Number],C400&amp;"",tbl_Finance[Ex GST],"&lt;&gt;"))</f>
        <v/>
      </c>
      <c r="H400" s="17">
        <f>IF(C400="","",SUMIFS(tbl_Finance[Ex GST],tbl_Finance[Job Number],C400&amp;""))</f>
        <v/>
      </c>
      <c r="I400" s="15">
        <f>IF(C400="","",IFERROR(INDEX(tbl_Finance[Cost Centre],MATCH(C400&amp;"",tbl_Finance[Job Number],0)),"not invoiced yet"))</f>
        <v/>
      </c>
      <c r="J400" s="12" t="n"/>
      <c r="K400" s="14" t="n"/>
      <c r="L400" s="15">
        <f>IF(OR(K400="",set_RMSBase=""),"",HYPERLINK(set_RMSBase&amp;K400,"Open "&amp;K400))</f>
        <v/>
      </c>
      <c r="M400" s="15">
        <f>IF(C400="","",C400)</f>
        <v/>
      </c>
      <c r="N400" s="14" t="n"/>
      <c r="O400" s="16" t="n"/>
      <c r="P400" s="17">
        <f>IF(C400="","",H400+N(O400))</f>
        <v/>
      </c>
      <c r="Q400" s="54">
        <f>IFERROR(O400/P400,"")</f>
        <v/>
      </c>
      <c r="R400" s="16" t="n"/>
      <c r="S400" s="16" t="n"/>
      <c r="T400" s="17">
        <f>IF(C400="","",N(R400)+N(S400))</f>
        <v/>
      </c>
      <c r="U400" s="17">
        <f>IF(C400="","",H400-T400)</f>
        <v/>
      </c>
      <c r="V400" s="54">
        <f>IFERROR(U400/H400,"")</f>
        <v/>
      </c>
      <c r="W400" s="53" t="n"/>
      <c r="X400" s="53" t="n"/>
      <c r="Y400" s="53" t="n"/>
      <c r="Z400" s="53" t="n"/>
      <c r="AA400" s="53" t="n"/>
      <c r="AB400" s="14" t="n"/>
    </row>
    <row r="401" ht="15" customHeight="1">
      <c r="A401" s="51">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52">
        <f>IF(C401="","",COUNTIFS(tbl_Finance[Job Number],C401&amp;"",tbl_Finance[Ex GST],"&lt;&gt;"))</f>
        <v/>
      </c>
      <c r="H401" s="17">
        <f>IF(C401="","",SUMIFS(tbl_Finance[Ex GST],tbl_Finance[Job Number],C401&amp;""))</f>
        <v/>
      </c>
      <c r="I401" s="15">
        <f>IF(C401="","",IFERROR(INDEX(tbl_Finance[Cost Centre],MATCH(C401&amp;"",tbl_Finance[Job Number],0)),"not invoiced yet"))</f>
        <v/>
      </c>
      <c r="J401" s="12" t="n"/>
      <c r="K401" s="14" t="n"/>
      <c r="L401" s="15">
        <f>IF(OR(K401="",set_RMSBase=""),"",HYPERLINK(set_RMSBase&amp;K401,"Open "&amp;K401))</f>
        <v/>
      </c>
      <c r="M401" s="15">
        <f>IF(C401="","",C401)</f>
        <v/>
      </c>
      <c r="N401" s="14" t="n"/>
      <c r="O401" s="16" t="n"/>
      <c r="P401" s="17">
        <f>IF(C401="","",H401+N(O401))</f>
        <v/>
      </c>
      <c r="Q401" s="54">
        <f>IFERROR(O401/P401,"")</f>
        <v/>
      </c>
      <c r="R401" s="16" t="n"/>
      <c r="S401" s="16" t="n"/>
      <c r="T401" s="17">
        <f>IF(C401="","",N(R401)+N(S401))</f>
        <v/>
      </c>
      <c r="U401" s="17">
        <f>IF(C401="","",H401-T401)</f>
        <v/>
      </c>
      <c r="V401" s="54">
        <f>IFERROR(U401/H401,"")</f>
        <v/>
      </c>
      <c r="W401" s="53" t="n"/>
      <c r="X401" s="53" t="n"/>
      <c r="Y401" s="53" t="n"/>
      <c r="Z401" s="53" t="n"/>
      <c r="AA401" s="53" t="n"/>
      <c r="AB401" s="14" t="n"/>
    </row>
    <row r="402" ht="15" customHeight="1">
      <c r="A402" s="51">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52">
        <f>IF(C402="","",COUNTIFS(tbl_Finance[Job Number],C402&amp;"",tbl_Finance[Ex GST],"&lt;&gt;"))</f>
        <v/>
      </c>
      <c r="H402" s="17">
        <f>IF(C402="","",SUMIFS(tbl_Finance[Ex GST],tbl_Finance[Job Number],C402&amp;""))</f>
        <v/>
      </c>
      <c r="I402" s="15">
        <f>IF(C402="","",IFERROR(INDEX(tbl_Finance[Cost Centre],MATCH(C402&amp;"",tbl_Finance[Job Number],0)),"not invoiced yet"))</f>
        <v/>
      </c>
      <c r="J402" s="12" t="n"/>
      <c r="K402" s="14" t="n"/>
      <c r="L402" s="15">
        <f>IF(OR(K402="",set_RMSBase=""),"",HYPERLINK(set_RMSBase&amp;K402,"Open "&amp;K402))</f>
        <v/>
      </c>
      <c r="M402" s="15">
        <f>IF(C402="","",C402)</f>
        <v/>
      </c>
      <c r="N402" s="14" t="n"/>
      <c r="O402" s="16" t="n"/>
      <c r="P402" s="17">
        <f>IF(C402="","",H402+N(O402))</f>
        <v/>
      </c>
      <c r="Q402" s="54">
        <f>IFERROR(O402/P402,"")</f>
        <v/>
      </c>
      <c r="R402" s="16" t="n"/>
      <c r="S402" s="16" t="n"/>
      <c r="T402" s="17">
        <f>IF(C402="","",N(R402)+N(S402))</f>
        <v/>
      </c>
      <c r="U402" s="17">
        <f>IF(C402="","",H402-T402)</f>
        <v/>
      </c>
      <c r="V402" s="54">
        <f>IFERROR(U402/H402,"")</f>
        <v/>
      </c>
      <c r="W402" s="53" t="n"/>
      <c r="X402" s="53" t="n"/>
      <c r="Y402" s="53" t="n"/>
      <c r="Z402" s="53" t="n"/>
      <c r="AA402" s="53" t="n"/>
      <c r="AB402" s="14" t="n"/>
    </row>
    <row r="403" ht="15" customHeight="1">
      <c r="A403" s="51">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52">
        <f>IF(C403="","",COUNTIFS(tbl_Finance[Job Number],C403&amp;"",tbl_Finance[Ex GST],"&lt;&gt;"))</f>
        <v/>
      </c>
      <c r="H403" s="17">
        <f>IF(C403="","",SUMIFS(tbl_Finance[Ex GST],tbl_Finance[Job Number],C403&amp;""))</f>
        <v/>
      </c>
      <c r="I403" s="15">
        <f>IF(C403="","",IFERROR(INDEX(tbl_Finance[Cost Centre],MATCH(C403&amp;"",tbl_Finance[Job Number],0)),"not invoiced yet"))</f>
        <v/>
      </c>
      <c r="J403" s="12" t="n"/>
      <c r="K403" s="14" t="n"/>
      <c r="L403" s="15">
        <f>IF(OR(K403="",set_RMSBase=""),"",HYPERLINK(set_RMSBase&amp;K403,"Open "&amp;K403))</f>
        <v/>
      </c>
      <c r="M403" s="15">
        <f>IF(C403="","",C403)</f>
        <v/>
      </c>
      <c r="N403" s="14" t="n"/>
      <c r="O403" s="16" t="n"/>
      <c r="P403" s="17">
        <f>IF(C403="","",H403+N(O403))</f>
        <v/>
      </c>
      <c r="Q403" s="54">
        <f>IFERROR(O403/P403,"")</f>
        <v/>
      </c>
      <c r="R403" s="16" t="n"/>
      <c r="S403" s="16" t="n"/>
      <c r="T403" s="17">
        <f>IF(C403="","",N(R403)+N(S403))</f>
        <v/>
      </c>
      <c r="U403" s="17">
        <f>IF(C403="","",H403-T403)</f>
        <v/>
      </c>
      <c r="V403" s="54">
        <f>IFERROR(U403/H403,"")</f>
        <v/>
      </c>
      <c r="W403" s="53" t="n"/>
      <c r="X403" s="53" t="n"/>
      <c r="Y403" s="53" t="n"/>
      <c r="Z403" s="53" t="n"/>
      <c r="AA403" s="53" t="n"/>
      <c r="AB403" s="14" t="n"/>
    </row>
    <row r="404" ht="15" customHeight="1">
      <c r="A404" s="51">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52">
        <f>IF(C404="","",COUNTIFS(tbl_Finance[Job Number],C404&amp;"",tbl_Finance[Ex GST],"&lt;&gt;"))</f>
        <v/>
      </c>
      <c r="H404" s="17">
        <f>IF(C404="","",SUMIFS(tbl_Finance[Ex GST],tbl_Finance[Job Number],C404&amp;""))</f>
        <v/>
      </c>
      <c r="I404" s="15">
        <f>IF(C404="","",IFERROR(INDEX(tbl_Finance[Cost Centre],MATCH(C404&amp;"",tbl_Finance[Job Number],0)),"not invoiced yet"))</f>
        <v/>
      </c>
      <c r="J404" s="12" t="n"/>
      <c r="K404" s="14" t="n"/>
      <c r="L404" s="15">
        <f>IF(OR(K404="",set_RMSBase=""),"",HYPERLINK(set_RMSBase&amp;K404,"Open "&amp;K404))</f>
        <v/>
      </c>
      <c r="M404" s="15">
        <f>IF(C404="","",C404)</f>
        <v/>
      </c>
      <c r="N404" s="14" t="n"/>
      <c r="O404" s="16" t="n"/>
      <c r="P404" s="17">
        <f>IF(C404="","",H404+N(O404))</f>
        <v/>
      </c>
      <c r="Q404" s="54">
        <f>IFERROR(O404/P404,"")</f>
        <v/>
      </c>
      <c r="R404" s="16" t="n"/>
      <c r="S404" s="16" t="n"/>
      <c r="T404" s="17">
        <f>IF(C404="","",N(R404)+N(S404))</f>
        <v/>
      </c>
      <c r="U404" s="17">
        <f>IF(C404="","",H404-T404)</f>
        <v/>
      </c>
      <c r="V404" s="54">
        <f>IFERROR(U404/H404,"")</f>
        <v/>
      </c>
      <c r="W404" s="53" t="n"/>
      <c r="X404" s="53" t="n"/>
      <c r="Y404" s="53" t="n"/>
      <c r="Z404" s="53" t="n"/>
      <c r="AA404" s="53" t="n"/>
      <c r="AB404" s="14" t="n"/>
    </row>
    <row r="405" ht="15" customHeight="1">
      <c r="A405" s="51">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52">
        <f>IF(C405="","",COUNTIFS(tbl_Finance[Job Number],C405&amp;"",tbl_Finance[Ex GST],"&lt;&gt;"))</f>
        <v/>
      </c>
      <c r="H405" s="17">
        <f>IF(C405="","",SUMIFS(tbl_Finance[Ex GST],tbl_Finance[Job Number],C405&amp;""))</f>
        <v/>
      </c>
      <c r="I405" s="15">
        <f>IF(C405="","",IFERROR(INDEX(tbl_Finance[Cost Centre],MATCH(C405&amp;"",tbl_Finance[Job Number],0)),"not invoiced yet"))</f>
        <v/>
      </c>
      <c r="J405" s="12" t="n"/>
      <c r="K405" s="14" t="n"/>
      <c r="L405" s="15">
        <f>IF(OR(K405="",set_RMSBase=""),"",HYPERLINK(set_RMSBase&amp;K405,"Open "&amp;K405))</f>
        <v/>
      </c>
      <c r="M405" s="15">
        <f>IF(C405="","",C405)</f>
        <v/>
      </c>
      <c r="N405" s="14" t="n"/>
      <c r="O405" s="16" t="n"/>
      <c r="P405" s="17">
        <f>IF(C405="","",H405+N(O405))</f>
        <v/>
      </c>
      <c r="Q405" s="54">
        <f>IFERROR(O405/P405,"")</f>
        <v/>
      </c>
      <c r="R405" s="16" t="n"/>
      <c r="S405" s="16" t="n"/>
      <c r="T405" s="17">
        <f>IF(C405="","",N(R405)+N(S405))</f>
        <v/>
      </c>
      <c r="U405" s="17">
        <f>IF(C405="","",H405-T405)</f>
        <v/>
      </c>
      <c r="V405" s="54">
        <f>IFERROR(U405/H405,"")</f>
        <v/>
      </c>
      <c r="W405" s="53" t="n"/>
      <c r="X405" s="53" t="n"/>
      <c r="Y405" s="53" t="n"/>
      <c r="Z405" s="53" t="n"/>
      <c r="AA405" s="53" t="n"/>
      <c r="AB405" s="14" t="n"/>
    </row>
    <row r="406" ht="15" customHeight="1">
      <c r="A406" s="51">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52">
        <f>IF(C406="","",COUNTIFS(tbl_Finance[Job Number],C406&amp;"",tbl_Finance[Ex GST],"&lt;&gt;"))</f>
        <v/>
      </c>
      <c r="H406" s="17">
        <f>IF(C406="","",SUMIFS(tbl_Finance[Ex GST],tbl_Finance[Job Number],C406&amp;""))</f>
        <v/>
      </c>
      <c r="I406" s="15">
        <f>IF(C406="","",IFERROR(INDEX(tbl_Finance[Cost Centre],MATCH(C406&amp;"",tbl_Finance[Job Number],0)),"not invoiced yet"))</f>
        <v/>
      </c>
      <c r="J406" s="12" t="n"/>
      <c r="K406" s="14" t="n"/>
      <c r="L406" s="15">
        <f>IF(OR(K406="",set_RMSBase=""),"",HYPERLINK(set_RMSBase&amp;K406,"Open "&amp;K406))</f>
        <v/>
      </c>
      <c r="M406" s="15">
        <f>IF(C406="","",C406)</f>
        <v/>
      </c>
      <c r="N406" s="14" t="n"/>
      <c r="O406" s="16" t="n"/>
      <c r="P406" s="17">
        <f>IF(C406="","",H406+N(O406))</f>
        <v/>
      </c>
      <c r="Q406" s="54">
        <f>IFERROR(O406/P406,"")</f>
        <v/>
      </c>
      <c r="R406" s="16" t="n"/>
      <c r="S406" s="16" t="n"/>
      <c r="T406" s="17">
        <f>IF(C406="","",N(R406)+N(S406))</f>
        <v/>
      </c>
      <c r="U406" s="17">
        <f>IF(C406="","",H406-T406)</f>
        <v/>
      </c>
      <c r="V406" s="54">
        <f>IFERROR(U406/H406,"")</f>
        <v/>
      </c>
      <c r="W406" s="53" t="n"/>
      <c r="X406" s="53" t="n"/>
      <c r="Y406" s="53" t="n"/>
      <c r="Z406" s="53" t="n"/>
      <c r="AA406" s="53" t="n"/>
      <c r="AB406" s="14" t="n"/>
    </row>
    <row r="407" ht="15" customHeight="1">
      <c r="A407" s="51">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52">
        <f>IF(C407="","",COUNTIFS(tbl_Finance[Job Number],C407&amp;"",tbl_Finance[Ex GST],"&lt;&gt;"))</f>
        <v/>
      </c>
      <c r="H407" s="17">
        <f>IF(C407="","",SUMIFS(tbl_Finance[Ex GST],tbl_Finance[Job Number],C407&amp;""))</f>
        <v/>
      </c>
      <c r="I407" s="15">
        <f>IF(C407="","",IFERROR(INDEX(tbl_Finance[Cost Centre],MATCH(C407&amp;"",tbl_Finance[Job Number],0)),"not invoiced yet"))</f>
        <v/>
      </c>
      <c r="J407" s="12" t="n"/>
      <c r="K407" s="14" t="n"/>
      <c r="L407" s="15">
        <f>IF(OR(K407="",set_RMSBase=""),"",HYPERLINK(set_RMSBase&amp;K407,"Open "&amp;K407))</f>
        <v/>
      </c>
      <c r="M407" s="15">
        <f>IF(C407="","",C407)</f>
        <v/>
      </c>
      <c r="N407" s="14" t="n"/>
      <c r="O407" s="16" t="n"/>
      <c r="P407" s="17">
        <f>IF(C407="","",H407+N(O407))</f>
        <v/>
      </c>
      <c r="Q407" s="54">
        <f>IFERROR(O407/P407,"")</f>
        <v/>
      </c>
      <c r="R407" s="16" t="n"/>
      <c r="S407" s="16" t="n"/>
      <c r="T407" s="17">
        <f>IF(C407="","",N(R407)+N(S407))</f>
        <v/>
      </c>
      <c r="U407" s="17">
        <f>IF(C407="","",H407-T407)</f>
        <v/>
      </c>
      <c r="V407" s="54">
        <f>IFERROR(U407/H407,"")</f>
        <v/>
      </c>
      <c r="W407" s="53" t="n"/>
      <c r="X407" s="53" t="n"/>
      <c r="Y407" s="53" t="n"/>
      <c r="Z407" s="53" t="n"/>
      <c r="AA407" s="53" t="n"/>
      <c r="AB407" s="14" t="n"/>
    </row>
    <row r="408" ht="15" customHeight="1">
      <c r="A408" s="51">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52">
        <f>IF(C408="","",COUNTIFS(tbl_Finance[Job Number],C408&amp;"",tbl_Finance[Ex GST],"&lt;&gt;"))</f>
        <v/>
      </c>
      <c r="H408" s="17">
        <f>IF(C408="","",SUMIFS(tbl_Finance[Ex GST],tbl_Finance[Job Number],C408&amp;""))</f>
        <v/>
      </c>
      <c r="I408" s="15">
        <f>IF(C408="","",IFERROR(INDEX(tbl_Finance[Cost Centre],MATCH(C408&amp;"",tbl_Finance[Job Number],0)),"not invoiced yet"))</f>
        <v/>
      </c>
      <c r="J408" s="12" t="n"/>
      <c r="K408" s="14" t="n"/>
      <c r="L408" s="15">
        <f>IF(OR(K408="",set_RMSBase=""),"",HYPERLINK(set_RMSBase&amp;K408,"Open "&amp;K408))</f>
        <v/>
      </c>
      <c r="M408" s="15">
        <f>IF(C408="","",C408)</f>
        <v/>
      </c>
      <c r="N408" s="14" t="n"/>
      <c r="O408" s="16" t="n"/>
      <c r="P408" s="17">
        <f>IF(C408="","",H408+N(O408))</f>
        <v/>
      </c>
      <c r="Q408" s="54">
        <f>IFERROR(O408/P408,"")</f>
        <v/>
      </c>
      <c r="R408" s="16" t="n"/>
      <c r="S408" s="16" t="n"/>
      <c r="T408" s="17">
        <f>IF(C408="","",N(R408)+N(S408))</f>
        <v/>
      </c>
      <c r="U408" s="17">
        <f>IF(C408="","",H408-T408)</f>
        <v/>
      </c>
      <c r="V408" s="54">
        <f>IFERROR(U408/H408,"")</f>
        <v/>
      </c>
      <c r="W408" s="53" t="n"/>
      <c r="X408" s="53" t="n"/>
      <c r="Y408" s="53" t="n"/>
      <c r="Z408" s="53" t="n"/>
      <c r="AA408" s="53" t="n"/>
      <c r="AB408" s="14" t="n"/>
    </row>
    <row r="409" ht="15" customHeight="1">
      <c r="A409" s="51">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52">
        <f>IF(C409="","",COUNTIFS(tbl_Finance[Job Number],C409&amp;"",tbl_Finance[Ex GST],"&lt;&gt;"))</f>
        <v/>
      </c>
      <c r="H409" s="17">
        <f>IF(C409="","",SUMIFS(tbl_Finance[Ex GST],tbl_Finance[Job Number],C409&amp;""))</f>
        <v/>
      </c>
      <c r="I409" s="15">
        <f>IF(C409="","",IFERROR(INDEX(tbl_Finance[Cost Centre],MATCH(C409&amp;"",tbl_Finance[Job Number],0)),"not invoiced yet"))</f>
        <v/>
      </c>
      <c r="J409" s="12" t="n"/>
      <c r="K409" s="14" t="n"/>
      <c r="L409" s="15">
        <f>IF(OR(K409="",set_RMSBase=""),"",HYPERLINK(set_RMSBase&amp;K409,"Open "&amp;K409))</f>
        <v/>
      </c>
      <c r="M409" s="15">
        <f>IF(C409="","",C409)</f>
        <v/>
      </c>
      <c r="N409" s="14" t="n"/>
      <c r="O409" s="16" t="n"/>
      <c r="P409" s="17">
        <f>IF(C409="","",H409+N(O409))</f>
        <v/>
      </c>
      <c r="Q409" s="54">
        <f>IFERROR(O409/P409,"")</f>
        <v/>
      </c>
      <c r="R409" s="16" t="n"/>
      <c r="S409" s="16" t="n"/>
      <c r="T409" s="17">
        <f>IF(C409="","",N(R409)+N(S409))</f>
        <v/>
      </c>
      <c r="U409" s="17">
        <f>IF(C409="","",H409-T409)</f>
        <v/>
      </c>
      <c r="V409" s="54">
        <f>IFERROR(U409/H409,"")</f>
        <v/>
      </c>
      <c r="W409" s="53" t="n"/>
      <c r="X409" s="53" t="n"/>
      <c r="Y409" s="53" t="n"/>
      <c r="Z409" s="53" t="n"/>
      <c r="AA409" s="53" t="n"/>
      <c r="AB409" s="14" t="n"/>
    </row>
    <row r="410" ht="15" customHeight="1">
      <c r="A410" s="51">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52">
        <f>IF(C410="","",COUNTIFS(tbl_Finance[Job Number],C410&amp;"",tbl_Finance[Ex GST],"&lt;&gt;"))</f>
        <v/>
      </c>
      <c r="H410" s="17">
        <f>IF(C410="","",SUMIFS(tbl_Finance[Ex GST],tbl_Finance[Job Number],C410&amp;""))</f>
        <v/>
      </c>
      <c r="I410" s="15">
        <f>IF(C410="","",IFERROR(INDEX(tbl_Finance[Cost Centre],MATCH(C410&amp;"",tbl_Finance[Job Number],0)),"not invoiced yet"))</f>
        <v/>
      </c>
      <c r="J410" s="12" t="n"/>
      <c r="K410" s="14" t="n"/>
      <c r="L410" s="15">
        <f>IF(OR(K410="",set_RMSBase=""),"",HYPERLINK(set_RMSBase&amp;K410,"Open "&amp;K410))</f>
        <v/>
      </c>
      <c r="M410" s="15">
        <f>IF(C410="","",C410)</f>
        <v/>
      </c>
      <c r="N410" s="14" t="n"/>
      <c r="O410" s="16" t="n"/>
      <c r="P410" s="17">
        <f>IF(C410="","",H410+N(O410))</f>
        <v/>
      </c>
      <c r="Q410" s="54">
        <f>IFERROR(O410/P410,"")</f>
        <v/>
      </c>
      <c r="R410" s="16" t="n"/>
      <c r="S410" s="16" t="n"/>
      <c r="T410" s="17">
        <f>IF(C410="","",N(R410)+N(S410))</f>
        <v/>
      </c>
      <c r="U410" s="17">
        <f>IF(C410="","",H410-T410)</f>
        <v/>
      </c>
      <c r="V410" s="54">
        <f>IFERROR(U410/H410,"")</f>
        <v/>
      </c>
      <c r="W410" s="53" t="n"/>
      <c r="X410" s="53" t="n"/>
      <c r="Y410" s="53" t="n"/>
      <c r="Z410" s="53" t="n"/>
      <c r="AA410" s="53" t="n"/>
      <c r="AB410" s="14" t="n"/>
    </row>
    <row r="411" ht="15" customHeight="1">
      <c r="A411" s="51">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52">
        <f>IF(C411="","",COUNTIFS(tbl_Finance[Job Number],C411&amp;"",tbl_Finance[Ex GST],"&lt;&gt;"))</f>
        <v/>
      </c>
      <c r="H411" s="17">
        <f>IF(C411="","",SUMIFS(tbl_Finance[Ex GST],tbl_Finance[Job Number],C411&amp;""))</f>
        <v/>
      </c>
      <c r="I411" s="15">
        <f>IF(C411="","",IFERROR(INDEX(tbl_Finance[Cost Centre],MATCH(C411&amp;"",tbl_Finance[Job Number],0)),"not invoiced yet"))</f>
        <v/>
      </c>
      <c r="J411" s="12" t="n"/>
      <c r="K411" s="14" t="n"/>
      <c r="L411" s="15">
        <f>IF(OR(K411="",set_RMSBase=""),"",HYPERLINK(set_RMSBase&amp;K411,"Open "&amp;K411))</f>
        <v/>
      </c>
      <c r="M411" s="15">
        <f>IF(C411="","",C411)</f>
        <v/>
      </c>
      <c r="N411" s="14" t="n"/>
      <c r="O411" s="16" t="n"/>
      <c r="P411" s="17">
        <f>IF(C411="","",H411+N(O411))</f>
        <v/>
      </c>
      <c r="Q411" s="54">
        <f>IFERROR(O411/P411,"")</f>
        <v/>
      </c>
      <c r="R411" s="16" t="n"/>
      <c r="S411" s="16" t="n"/>
      <c r="T411" s="17">
        <f>IF(C411="","",N(R411)+N(S411))</f>
        <v/>
      </c>
      <c r="U411" s="17">
        <f>IF(C411="","",H411-T411)</f>
        <v/>
      </c>
      <c r="V411" s="54">
        <f>IFERROR(U411/H411,"")</f>
        <v/>
      </c>
      <c r="W411" s="53" t="n"/>
      <c r="X411" s="53" t="n"/>
      <c r="Y411" s="53" t="n"/>
      <c r="Z411" s="53" t="n"/>
      <c r="AA411" s="53" t="n"/>
      <c r="AB411" s="14" t="n"/>
    </row>
    <row r="412" ht="15" customHeight="1">
      <c r="A412" s="51">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52">
        <f>IF(C412="","",COUNTIFS(tbl_Finance[Job Number],C412&amp;"",tbl_Finance[Ex GST],"&lt;&gt;"))</f>
        <v/>
      </c>
      <c r="H412" s="17">
        <f>IF(C412="","",SUMIFS(tbl_Finance[Ex GST],tbl_Finance[Job Number],C412&amp;""))</f>
        <v/>
      </c>
      <c r="I412" s="15">
        <f>IF(C412="","",IFERROR(INDEX(tbl_Finance[Cost Centre],MATCH(C412&amp;"",tbl_Finance[Job Number],0)),"not invoiced yet"))</f>
        <v/>
      </c>
      <c r="J412" s="12" t="n"/>
      <c r="K412" s="14" t="n"/>
      <c r="L412" s="15">
        <f>IF(OR(K412="",set_RMSBase=""),"",HYPERLINK(set_RMSBase&amp;K412,"Open "&amp;K412))</f>
        <v/>
      </c>
      <c r="M412" s="15">
        <f>IF(C412="","",C412)</f>
        <v/>
      </c>
      <c r="N412" s="14" t="n"/>
      <c r="O412" s="16" t="n"/>
      <c r="P412" s="17">
        <f>IF(C412="","",H412+N(O412))</f>
        <v/>
      </c>
      <c r="Q412" s="54">
        <f>IFERROR(O412/P412,"")</f>
        <v/>
      </c>
      <c r="R412" s="16" t="n"/>
      <c r="S412" s="16" t="n"/>
      <c r="T412" s="17">
        <f>IF(C412="","",N(R412)+N(S412))</f>
        <v/>
      </c>
      <c r="U412" s="17">
        <f>IF(C412="","",H412-T412)</f>
        <v/>
      </c>
      <c r="V412" s="54">
        <f>IFERROR(U412/H412,"")</f>
        <v/>
      </c>
      <c r="W412" s="53" t="n"/>
      <c r="X412" s="53" t="n"/>
      <c r="Y412" s="53" t="n"/>
      <c r="Z412" s="53" t="n"/>
      <c r="AA412" s="53" t="n"/>
      <c r="AB412" s="14" t="n"/>
    </row>
    <row r="413" ht="15" customHeight="1">
      <c r="A413" s="51">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52">
        <f>IF(C413="","",COUNTIFS(tbl_Finance[Job Number],C413&amp;"",tbl_Finance[Ex GST],"&lt;&gt;"))</f>
        <v/>
      </c>
      <c r="H413" s="17">
        <f>IF(C413="","",SUMIFS(tbl_Finance[Ex GST],tbl_Finance[Job Number],C413&amp;""))</f>
        <v/>
      </c>
      <c r="I413" s="15">
        <f>IF(C413="","",IFERROR(INDEX(tbl_Finance[Cost Centre],MATCH(C413&amp;"",tbl_Finance[Job Number],0)),"not invoiced yet"))</f>
        <v/>
      </c>
      <c r="J413" s="12" t="n"/>
      <c r="K413" s="14" t="n"/>
      <c r="L413" s="15">
        <f>IF(OR(K413="",set_RMSBase=""),"",HYPERLINK(set_RMSBase&amp;K413,"Open "&amp;K413))</f>
        <v/>
      </c>
      <c r="M413" s="15">
        <f>IF(C413="","",C413)</f>
        <v/>
      </c>
      <c r="N413" s="14" t="n"/>
      <c r="O413" s="16" t="n"/>
      <c r="P413" s="17">
        <f>IF(C413="","",H413+N(O413))</f>
        <v/>
      </c>
      <c r="Q413" s="54">
        <f>IFERROR(O413/P413,"")</f>
        <v/>
      </c>
      <c r="R413" s="16" t="n"/>
      <c r="S413" s="16" t="n"/>
      <c r="T413" s="17">
        <f>IF(C413="","",N(R413)+N(S413))</f>
        <v/>
      </c>
      <c r="U413" s="17">
        <f>IF(C413="","",H413-T413)</f>
        <v/>
      </c>
      <c r="V413" s="54">
        <f>IFERROR(U413/H413,"")</f>
        <v/>
      </c>
      <c r="W413" s="53" t="n"/>
      <c r="X413" s="53" t="n"/>
      <c r="Y413" s="53" t="n"/>
      <c r="Z413" s="53" t="n"/>
      <c r="AA413" s="53" t="n"/>
      <c r="AB413" s="14" t="n"/>
    </row>
    <row r="414" ht="15" customHeight="1">
      <c r="A414" s="51">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52">
        <f>IF(C414="","",COUNTIFS(tbl_Finance[Job Number],C414&amp;"",tbl_Finance[Ex GST],"&lt;&gt;"))</f>
        <v/>
      </c>
      <c r="H414" s="17">
        <f>IF(C414="","",SUMIFS(tbl_Finance[Ex GST],tbl_Finance[Job Number],C414&amp;""))</f>
        <v/>
      </c>
      <c r="I414" s="15">
        <f>IF(C414="","",IFERROR(INDEX(tbl_Finance[Cost Centre],MATCH(C414&amp;"",tbl_Finance[Job Number],0)),"not invoiced yet"))</f>
        <v/>
      </c>
      <c r="J414" s="12" t="n"/>
      <c r="K414" s="14" t="n"/>
      <c r="L414" s="15">
        <f>IF(OR(K414="",set_RMSBase=""),"",HYPERLINK(set_RMSBase&amp;K414,"Open "&amp;K414))</f>
        <v/>
      </c>
      <c r="M414" s="15">
        <f>IF(C414="","",C414)</f>
        <v/>
      </c>
      <c r="N414" s="14" t="n"/>
      <c r="O414" s="16" t="n"/>
      <c r="P414" s="17">
        <f>IF(C414="","",H414+N(O414))</f>
        <v/>
      </c>
      <c r="Q414" s="54">
        <f>IFERROR(O414/P414,"")</f>
        <v/>
      </c>
      <c r="R414" s="16" t="n"/>
      <c r="S414" s="16" t="n"/>
      <c r="T414" s="17">
        <f>IF(C414="","",N(R414)+N(S414))</f>
        <v/>
      </c>
      <c r="U414" s="17">
        <f>IF(C414="","",H414-T414)</f>
        <v/>
      </c>
      <c r="V414" s="54">
        <f>IFERROR(U414/H414,"")</f>
        <v/>
      </c>
      <c r="W414" s="53" t="n"/>
      <c r="X414" s="53" t="n"/>
      <c r="Y414" s="53" t="n"/>
      <c r="Z414" s="53" t="n"/>
      <c r="AA414" s="53" t="n"/>
      <c r="AB414" s="14" t="n"/>
    </row>
    <row r="415" ht="15" customHeight="1">
      <c r="A415" s="51">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52">
        <f>IF(C415="","",COUNTIFS(tbl_Finance[Job Number],C415&amp;"",tbl_Finance[Ex GST],"&lt;&gt;"))</f>
        <v/>
      </c>
      <c r="H415" s="17">
        <f>IF(C415="","",SUMIFS(tbl_Finance[Ex GST],tbl_Finance[Job Number],C415&amp;""))</f>
        <v/>
      </c>
      <c r="I415" s="15">
        <f>IF(C415="","",IFERROR(INDEX(tbl_Finance[Cost Centre],MATCH(C415&amp;"",tbl_Finance[Job Number],0)),"not invoiced yet"))</f>
        <v/>
      </c>
      <c r="J415" s="12" t="n"/>
      <c r="K415" s="14" t="n"/>
      <c r="L415" s="15">
        <f>IF(OR(K415="",set_RMSBase=""),"",HYPERLINK(set_RMSBase&amp;K415,"Open "&amp;K415))</f>
        <v/>
      </c>
      <c r="M415" s="15">
        <f>IF(C415="","",C415)</f>
        <v/>
      </c>
      <c r="N415" s="14" t="n"/>
      <c r="O415" s="16" t="n"/>
      <c r="P415" s="17">
        <f>IF(C415="","",H415+N(O415))</f>
        <v/>
      </c>
      <c r="Q415" s="54">
        <f>IFERROR(O415/P415,"")</f>
        <v/>
      </c>
      <c r="R415" s="16" t="n"/>
      <c r="S415" s="16" t="n"/>
      <c r="T415" s="17">
        <f>IF(C415="","",N(R415)+N(S415))</f>
        <v/>
      </c>
      <c r="U415" s="17">
        <f>IF(C415="","",H415-T415)</f>
        <v/>
      </c>
      <c r="V415" s="54">
        <f>IFERROR(U415/H415,"")</f>
        <v/>
      </c>
      <c r="W415" s="53" t="n"/>
      <c r="X415" s="53" t="n"/>
      <c r="Y415" s="53" t="n"/>
      <c r="Z415" s="53" t="n"/>
      <c r="AA415" s="53" t="n"/>
      <c r="AB415" s="14" t="n"/>
    </row>
    <row r="416" ht="15" customHeight="1">
      <c r="A416" s="51">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52">
        <f>IF(C416="","",COUNTIFS(tbl_Finance[Job Number],C416&amp;"",tbl_Finance[Ex GST],"&lt;&gt;"))</f>
        <v/>
      </c>
      <c r="H416" s="17">
        <f>IF(C416="","",SUMIFS(tbl_Finance[Ex GST],tbl_Finance[Job Number],C416&amp;""))</f>
        <v/>
      </c>
      <c r="I416" s="15">
        <f>IF(C416="","",IFERROR(INDEX(tbl_Finance[Cost Centre],MATCH(C416&amp;"",tbl_Finance[Job Number],0)),"not invoiced yet"))</f>
        <v/>
      </c>
      <c r="J416" s="12" t="n"/>
      <c r="K416" s="14" t="n"/>
      <c r="L416" s="15">
        <f>IF(OR(K416="",set_RMSBase=""),"",HYPERLINK(set_RMSBase&amp;K416,"Open "&amp;K416))</f>
        <v/>
      </c>
      <c r="M416" s="15">
        <f>IF(C416="","",C416)</f>
        <v/>
      </c>
      <c r="N416" s="14" t="n"/>
      <c r="O416" s="16" t="n"/>
      <c r="P416" s="17">
        <f>IF(C416="","",H416+N(O416))</f>
        <v/>
      </c>
      <c r="Q416" s="54">
        <f>IFERROR(O416/P416,"")</f>
        <v/>
      </c>
      <c r="R416" s="16" t="n"/>
      <c r="S416" s="16" t="n"/>
      <c r="T416" s="17">
        <f>IF(C416="","",N(R416)+N(S416))</f>
        <v/>
      </c>
      <c r="U416" s="17">
        <f>IF(C416="","",H416-T416)</f>
        <v/>
      </c>
      <c r="V416" s="54">
        <f>IFERROR(U416/H416,"")</f>
        <v/>
      </c>
      <c r="W416" s="53" t="n"/>
      <c r="X416" s="53" t="n"/>
      <c r="Y416" s="53" t="n"/>
      <c r="Z416" s="53" t="n"/>
      <c r="AA416" s="53" t="n"/>
      <c r="AB416" s="14" t="n"/>
    </row>
    <row r="417" ht="15" customHeight="1">
      <c r="A417" s="51">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52">
        <f>IF(C417="","",COUNTIFS(tbl_Finance[Job Number],C417&amp;"",tbl_Finance[Ex GST],"&lt;&gt;"))</f>
        <v/>
      </c>
      <c r="H417" s="17">
        <f>IF(C417="","",SUMIFS(tbl_Finance[Ex GST],tbl_Finance[Job Number],C417&amp;""))</f>
        <v/>
      </c>
      <c r="I417" s="15">
        <f>IF(C417="","",IFERROR(INDEX(tbl_Finance[Cost Centre],MATCH(C417&amp;"",tbl_Finance[Job Number],0)),"not invoiced yet"))</f>
        <v/>
      </c>
      <c r="J417" s="12" t="n"/>
      <c r="K417" s="14" t="n"/>
      <c r="L417" s="15">
        <f>IF(OR(K417="",set_RMSBase=""),"",HYPERLINK(set_RMSBase&amp;K417,"Open "&amp;K417))</f>
        <v/>
      </c>
      <c r="M417" s="15">
        <f>IF(C417="","",C417)</f>
        <v/>
      </c>
      <c r="N417" s="14" t="n"/>
      <c r="O417" s="16" t="n"/>
      <c r="P417" s="17">
        <f>IF(C417="","",H417+N(O417))</f>
        <v/>
      </c>
      <c r="Q417" s="54">
        <f>IFERROR(O417/P417,"")</f>
        <v/>
      </c>
      <c r="R417" s="16" t="n"/>
      <c r="S417" s="16" t="n"/>
      <c r="T417" s="17">
        <f>IF(C417="","",N(R417)+N(S417))</f>
        <v/>
      </c>
      <c r="U417" s="17">
        <f>IF(C417="","",H417-T417)</f>
        <v/>
      </c>
      <c r="V417" s="54">
        <f>IFERROR(U417/H417,"")</f>
        <v/>
      </c>
      <c r="W417" s="53" t="n"/>
      <c r="X417" s="53" t="n"/>
      <c r="Y417" s="53" t="n"/>
      <c r="Z417" s="53" t="n"/>
      <c r="AA417" s="53" t="n"/>
      <c r="AB417" s="14" t="n"/>
    </row>
    <row r="418" ht="15" customHeight="1">
      <c r="A418" s="51">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52">
        <f>IF(C418="","",COUNTIFS(tbl_Finance[Job Number],C418&amp;"",tbl_Finance[Ex GST],"&lt;&gt;"))</f>
        <v/>
      </c>
      <c r="H418" s="17">
        <f>IF(C418="","",SUMIFS(tbl_Finance[Ex GST],tbl_Finance[Job Number],C418&amp;""))</f>
        <v/>
      </c>
      <c r="I418" s="15">
        <f>IF(C418="","",IFERROR(INDEX(tbl_Finance[Cost Centre],MATCH(C418&amp;"",tbl_Finance[Job Number],0)),"not invoiced yet"))</f>
        <v/>
      </c>
      <c r="J418" s="12" t="n"/>
      <c r="K418" s="14" t="n"/>
      <c r="L418" s="15">
        <f>IF(OR(K418="",set_RMSBase=""),"",HYPERLINK(set_RMSBase&amp;K418,"Open "&amp;K418))</f>
        <v/>
      </c>
      <c r="M418" s="15">
        <f>IF(C418="","",C418)</f>
        <v/>
      </c>
      <c r="N418" s="14" t="n"/>
      <c r="O418" s="16" t="n"/>
      <c r="P418" s="17">
        <f>IF(C418="","",H418+N(O418))</f>
        <v/>
      </c>
      <c r="Q418" s="54">
        <f>IFERROR(O418/P418,"")</f>
        <v/>
      </c>
      <c r="R418" s="16" t="n"/>
      <c r="S418" s="16" t="n"/>
      <c r="T418" s="17">
        <f>IF(C418="","",N(R418)+N(S418))</f>
        <v/>
      </c>
      <c r="U418" s="17">
        <f>IF(C418="","",H418-T418)</f>
        <v/>
      </c>
      <c r="V418" s="54">
        <f>IFERROR(U418/H418,"")</f>
        <v/>
      </c>
      <c r="W418" s="53" t="n"/>
      <c r="X418" s="53" t="n"/>
      <c r="Y418" s="53" t="n"/>
      <c r="Z418" s="53" t="n"/>
      <c r="AA418" s="53" t="n"/>
      <c r="AB418" s="14" t="n"/>
    </row>
    <row r="419" ht="15" customHeight="1">
      <c r="A419" s="51">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52">
        <f>IF(C419="","",COUNTIFS(tbl_Finance[Job Number],C419&amp;"",tbl_Finance[Ex GST],"&lt;&gt;"))</f>
        <v/>
      </c>
      <c r="H419" s="17">
        <f>IF(C419="","",SUMIFS(tbl_Finance[Ex GST],tbl_Finance[Job Number],C419&amp;""))</f>
        <v/>
      </c>
      <c r="I419" s="15">
        <f>IF(C419="","",IFERROR(INDEX(tbl_Finance[Cost Centre],MATCH(C419&amp;"",tbl_Finance[Job Number],0)),"not invoiced yet"))</f>
        <v/>
      </c>
      <c r="J419" s="12" t="n"/>
      <c r="K419" s="14" t="n"/>
      <c r="L419" s="15">
        <f>IF(OR(K419="",set_RMSBase=""),"",HYPERLINK(set_RMSBase&amp;K419,"Open "&amp;K419))</f>
        <v/>
      </c>
      <c r="M419" s="15">
        <f>IF(C419="","",C419)</f>
        <v/>
      </c>
      <c r="N419" s="14" t="n"/>
      <c r="O419" s="16" t="n"/>
      <c r="P419" s="17">
        <f>IF(C419="","",H419+N(O419))</f>
        <v/>
      </c>
      <c r="Q419" s="54">
        <f>IFERROR(O419/P419,"")</f>
        <v/>
      </c>
      <c r="R419" s="16" t="n"/>
      <c r="S419" s="16" t="n"/>
      <c r="T419" s="17">
        <f>IF(C419="","",N(R419)+N(S419))</f>
        <v/>
      </c>
      <c r="U419" s="17">
        <f>IF(C419="","",H419-T419)</f>
        <v/>
      </c>
      <c r="V419" s="54">
        <f>IFERROR(U419/H419,"")</f>
        <v/>
      </c>
      <c r="W419" s="53" t="n"/>
      <c r="X419" s="53" t="n"/>
      <c r="Y419" s="53" t="n"/>
      <c r="Z419" s="53" t="n"/>
      <c r="AA419" s="53" t="n"/>
      <c r="AB419" s="14" t="n"/>
    </row>
    <row r="420" ht="15" customHeight="1">
      <c r="A420" s="51">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52">
        <f>IF(C420="","",COUNTIFS(tbl_Finance[Job Number],C420&amp;"",tbl_Finance[Ex GST],"&lt;&gt;"))</f>
        <v/>
      </c>
      <c r="H420" s="17">
        <f>IF(C420="","",SUMIFS(tbl_Finance[Ex GST],tbl_Finance[Job Number],C420&amp;""))</f>
        <v/>
      </c>
      <c r="I420" s="15">
        <f>IF(C420="","",IFERROR(INDEX(tbl_Finance[Cost Centre],MATCH(C420&amp;"",tbl_Finance[Job Number],0)),"not invoiced yet"))</f>
        <v/>
      </c>
      <c r="J420" s="12" t="n"/>
      <c r="K420" s="14" t="n"/>
      <c r="L420" s="15">
        <f>IF(OR(K420="",set_RMSBase=""),"",HYPERLINK(set_RMSBase&amp;K420,"Open "&amp;K420))</f>
        <v/>
      </c>
      <c r="M420" s="15">
        <f>IF(C420="","",C420)</f>
        <v/>
      </c>
      <c r="N420" s="14" t="n"/>
      <c r="O420" s="16" t="n"/>
      <c r="P420" s="17">
        <f>IF(C420="","",H420+N(O420))</f>
        <v/>
      </c>
      <c r="Q420" s="54">
        <f>IFERROR(O420/P420,"")</f>
        <v/>
      </c>
      <c r="R420" s="16" t="n"/>
      <c r="S420" s="16" t="n"/>
      <c r="T420" s="17">
        <f>IF(C420="","",N(R420)+N(S420))</f>
        <v/>
      </c>
      <c r="U420" s="17">
        <f>IF(C420="","",H420-T420)</f>
        <v/>
      </c>
      <c r="V420" s="54">
        <f>IFERROR(U420/H420,"")</f>
        <v/>
      </c>
      <c r="W420" s="53" t="n"/>
      <c r="X420" s="53" t="n"/>
      <c r="Y420" s="53" t="n"/>
      <c r="Z420" s="53" t="n"/>
      <c r="AA420" s="53" t="n"/>
      <c r="AB420" s="14" t="n"/>
    </row>
    <row r="421" ht="15" customHeight="1">
      <c r="A421" s="51">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52">
        <f>IF(C421="","",COUNTIFS(tbl_Finance[Job Number],C421&amp;"",tbl_Finance[Ex GST],"&lt;&gt;"))</f>
        <v/>
      </c>
      <c r="H421" s="17">
        <f>IF(C421="","",SUMIFS(tbl_Finance[Ex GST],tbl_Finance[Job Number],C421&amp;""))</f>
        <v/>
      </c>
      <c r="I421" s="15">
        <f>IF(C421="","",IFERROR(INDEX(tbl_Finance[Cost Centre],MATCH(C421&amp;"",tbl_Finance[Job Number],0)),"not invoiced yet"))</f>
        <v/>
      </c>
      <c r="J421" s="12" t="n"/>
      <c r="K421" s="14" t="n"/>
      <c r="L421" s="15">
        <f>IF(OR(K421="",set_RMSBase=""),"",HYPERLINK(set_RMSBase&amp;K421,"Open "&amp;K421))</f>
        <v/>
      </c>
      <c r="M421" s="15">
        <f>IF(C421="","",C421)</f>
        <v/>
      </c>
      <c r="N421" s="14" t="n"/>
      <c r="O421" s="16" t="n"/>
      <c r="P421" s="17">
        <f>IF(C421="","",H421+N(O421))</f>
        <v/>
      </c>
      <c r="Q421" s="54">
        <f>IFERROR(O421/P421,"")</f>
        <v/>
      </c>
      <c r="R421" s="16" t="n"/>
      <c r="S421" s="16" t="n"/>
      <c r="T421" s="17">
        <f>IF(C421="","",N(R421)+N(S421))</f>
        <v/>
      </c>
      <c r="U421" s="17">
        <f>IF(C421="","",H421-T421)</f>
        <v/>
      </c>
      <c r="V421" s="54">
        <f>IFERROR(U421/H421,"")</f>
        <v/>
      </c>
      <c r="W421" s="53" t="n"/>
      <c r="X421" s="53" t="n"/>
      <c r="Y421" s="53" t="n"/>
      <c r="Z421" s="53" t="n"/>
      <c r="AA421" s="53" t="n"/>
      <c r="AB421" s="14" t="n"/>
    </row>
    <row r="422" ht="15" customHeight="1">
      <c r="A422" s="51">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52">
        <f>IF(C422="","",COUNTIFS(tbl_Finance[Job Number],C422&amp;"",tbl_Finance[Ex GST],"&lt;&gt;"))</f>
        <v/>
      </c>
      <c r="H422" s="17">
        <f>IF(C422="","",SUMIFS(tbl_Finance[Ex GST],tbl_Finance[Job Number],C422&amp;""))</f>
        <v/>
      </c>
      <c r="I422" s="15">
        <f>IF(C422="","",IFERROR(INDEX(tbl_Finance[Cost Centre],MATCH(C422&amp;"",tbl_Finance[Job Number],0)),"not invoiced yet"))</f>
        <v/>
      </c>
      <c r="J422" s="12" t="n"/>
      <c r="K422" s="14" t="n"/>
      <c r="L422" s="15">
        <f>IF(OR(K422="",set_RMSBase=""),"",HYPERLINK(set_RMSBase&amp;K422,"Open "&amp;K422))</f>
        <v/>
      </c>
      <c r="M422" s="15">
        <f>IF(C422="","",C422)</f>
        <v/>
      </c>
      <c r="N422" s="14" t="n"/>
      <c r="O422" s="16" t="n"/>
      <c r="P422" s="17">
        <f>IF(C422="","",H422+N(O422))</f>
        <v/>
      </c>
      <c r="Q422" s="54">
        <f>IFERROR(O422/P422,"")</f>
        <v/>
      </c>
      <c r="R422" s="16" t="n"/>
      <c r="S422" s="16" t="n"/>
      <c r="T422" s="17">
        <f>IF(C422="","",N(R422)+N(S422))</f>
        <v/>
      </c>
      <c r="U422" s="17">
        <f>IF(C422="","",H422-T422)</f>
        <v/>
      </c>
      <c r="V422" s="54">
        <f>IFERROR(U422/H422,"")</f>
        <v/>
      </c>
      <c r="W422" s="53" t="n"/>
      <c r="X422" s="53" t="n"/>
      <c r="Y422" s="53" t="n"/>
      <c r="Z422" s="53" t="n"/>
      <c r="AA422" s="53" t="n"/>
      <c r="AB422" s="14" t="n"/>
    </row>
    <row r="423" ht="15" customHeight="1">
      <c r="A423" s="51">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52">
        <f>IF(C423="","",COUNTIFS(tbl_Finance[Job Number],C423&amp;"",tbl_Finance[Ex GST],"&lt;&gt;"))</f>
        <v/>
      </c>
      <c r="H423" s="17">
        <f>IF(C423="","",SUMIFS(tbl_Finance[Ex GST],tbl_Finance[Job Number],C423&amp;""))</f>
        <v/>
      </c>
      <c r="I423" s="15">
        <f>IF(C423="","",IFERROR(INDEX(tbl_Finance[Cost Centre],MATCH(C423&amp;"",tbl_Finance[Job Number],0)),"not invoiced yet"))</f>
        <v/>
      </c>
      <c r="J423" s="12" t="n"/>
      <c r="K423" s="14" t="n"/>
      <c r="L423" s="15">
        <f>IF(OR(K423="",set_RMSBase=""),"",HYPERLINK(set_RMSBase&amp;K423,"Open "&amp;K423))</f>
        <v/>
      </c>
      <c r="M423" s="15">
        <f>IF(C423="","",C423)</f>
        <v/>
      </c>
      <c r="N423" s="14" t="n"/>
      <c r="O423" s="16" t="n"/>
      <c r="P423" s="17">
        <f>IF(C423="","",H423+N(O423))</f>
        <v/>
      </c>
      <c r="Q423" s="54">
        <f>IFERROR(O423/P423,"")</f>
        <v/>
      </c>
      <c r="R423" s="16" t="n"/>
      <c r="S423" s="16" t="n"/>
      <c r="T423" s="17">
        <f>IF(C423="","",N(R423)+N(S423))</f>
        <v/>
      </c>
      <c r="U423" s="17">
        <f>IF(C423="","",H423-T423)</f>
        <v/>
      </c>
      <c r="V423" s="54">
        <f>IFERROR(U423/H423,"")</f>
        <v/>
      </c>
      <c r="W423" s="53" t="n"/>
      <c r="X423" s="53" t="n"/>
      <c r="Y423" s="53" t="n"/>
      <c r="Z423" s="53" t="n"/>
      <c r="AA423" s="53" t="n"/>
      <c r="AB423" s="14" t="n"/>
    </row>
    <row r="424" ht="15" customHeight="1">
      <c r="A424" s="51">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52">
        <f>IF(C424="","",COUNTIFS(tbl_Finance[Job Number],C424&amp;"",tbl_Finance[Ex GST],"&lt;&gt;"))</f>
        <v/>
      </c>
      <c r="H424" s="17">
        <f>IF(C424="","",SUMIFS(tbl_Finance[Ex GST],tbl_Finance[Job Number],C424&amp;""))</f>
        <v/>
      </c>
      <c r="I424" s="15">
        <f>IF(C424="","",IFERROR(INDEX(tbl_Finance[Cost Centre],MATCH(C424&amp;"",tbl_Finance[Job Number],0)),"not invoiced yet"))</f>
        <v/>
      </c>
      <c r="J424" s="12" t="n"/>
      <c r="K424" s="14" t="n"/>
      <c r="L424" s="15">
        <f>IF(OR(K424="",set_RMSBase=""),"",HYPERLINK(set_RMSBase&amp;K424,"Open "&amp;K424))</f>
        <v/>
      </c>
      <c r="M424" s="15">
        <f>IF(C424="","",C424)</f>
        <v/>
      </c>
      <c r="N424" s="14" t="n"/>
      <c r="O424" s="16" t="n"/>
      <c r="P424" s="17">
        <f>IF(C424="","",H424+N(O424))</f>
        <v/>
      </c>
      <c r="Q424" s="54">
        <f>IFERROR(O424/P424,"")</f>
        <v/>
      </c>
      <c r="R424" s="16" t="n"/>
      <c r="S424" s="16" t="n"/>
      <c r="T424" s="17">
        <f>IF(C424="","",N(R424)+N(S424))</f>
        <v/>
      </c>
      <c r="U424" s="17">
        <f>IF(C424="","",H424-T424)</f>
        <v/>
      </c>
      <c r="V424" s="54">
        <f>IFERROR(U424/H424,"")</f>
        <v/>
      </c>
      <c r="W424" s="53" t="n"/>
      <c r="X424" s="53" t="n"/>
      <c r="Y424" s="53" t="n"/>
      <c r="Z424" s="53" t="n"/>
      <c r="AA424" s="53" t="n"/>
      <c r="AB424" s="14" t="n"/>
    </row>
    <row r="425" ht="15" customHeight="1">
      <c r="A425" s="51">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52">
        <f>IF(C425="","",COUNTIFS(tbl_Finance[Job Number],C425&amp;"",tbl_Finance[Ex GST],"&lt;&gt;"))</f>
        <v/>
      </c>
      <c r="H425" s="17">
        <f>IF(C425="","",SUMIFS(tbl_Finance[Ex GST],tbl_Finance[Job Number],C425&amp;""))</f>
        <v/>
      </c>
      <c r="I425" s="15">
        <f>IF(C425="","",IFERROR(INDEX(tbl_Finance[Cost Centre],MATCH(C425&amp;"",tbl_Finance[Job Number],0)),"not invoiced yet"))</f>
        <v/>
      </c>
      <c r="J425" s="12" t="n"/>
      <c r="K425" s="14" t="n"/>
      <c r="L425" s="15">
        <f>IF(OR(K425="",set_RMSBase=""),"",HYPERLINK(set_RMSBase&amp;K425,"Open "&amp;K425))</f>
        <v/>
      </c>
      <c r="M425" s="15">
        <f>IF(C425="","",C425)</f>
        <v/>
      </c>
      <c r="N425" s="14" t="n"/>
      <c r="O425" s="16" t="n"/>
      <c r="P425" s="17">
        <f>IF(C425="","",H425+N(O425))</f>
        <v/>
      </c>
      <c r="Q425" s="54">
        <f>IFERROR(O425/P425,"")</f>
        <v/>
      </c>
      <c r="R425" s="16" t="n"/>
      <c r="S425" s="16" t="n"/>
      <c r="T425" s="17">
        <f>IF(C425="","",N(R425)+N(S425))</f>
        <v/>
      </c>
      <c r="U425" s="17">
        <f>IF(C425="","",H425-T425)</f>
        <v/>
      </c>
      <c r="V425" s="54">
        <f>IFERROR(U425/H425,"")</f>
        <v/>
      </c>
      <c r="W425" s="53" t="n"/>
      <c r="X425" s="53" t="n"/>
      <c r="Y425" s="53" t="n"/>
      <c r="Z425" s="53" t="n"/>
      <c r="AA425" s="53" t="n"/>
      <c r="AB425" s="14" t="n"/>
    </row>
    <row r="426" ht="15" customHeight="1">
      <c r="A426" s="51">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52">
        <f>IF(C426="","",COUNTIFS(tbl_Finance[Job Number],C426&amp;"",tbl_Finance[Ex GST],"&lt;&gt;"))</f>
        <v/>
      </c>
      <c r="H426" s="17">
        <f>IF(C426="","",SUMIFS(tbl_Finance[Ex GST],tbl_Finance[Job Number],C426&amp;""))</f>
        <v/>
      </c>
      <c r="I426" s="15">
        <f>IF(C426="","",IFERROR(INDEX(tbl_Finance[Cost Centre],MATCH(C426&amp;"",tbl_Finance[Job Number],0)),"not invoiced yet"))</f>
        <v/>
      </c>
      <c r="J426" s="12" t="n"/>
      <c r="K426" s="14" t="n"/>
      <c r="L426" s="15">
        <f>IF(OR(K426="",set_RMSBase=""),"",HYPERLINK(set_RMSBase&amp;K426,"Open "&amp;K426))</f>
        <v/>
      </c>
      <c r="M426" s="15">
        <f>IF(C426="","",C426)</f>
        <v/>
      </c>
      <c r="N426" s="14" t="n"/>
      <c r="O426" s="16" t="n"/>
      <c r="P426" s="17">
        <f>IF(C426="","",H426+N(O426))</f>
        <v/>
      </c>
      <c r="Q426" s="54">
        <f>IFERROR(O426/P426,"")</f>
        <v/>
      </c>
      <c r="R426" s="16" t="n"/>
      <c r="S426" s="16" t="n"/>
      <c r="T426" s="17">
        <f>IF(C426="","",N(R426)+N(S426))</f>
        <v/>
      </c>
      <c r="U426" s="17">
        <f>IF(C426="","",H426-T426)</f>
        <v/>
      </c>
      <c r="V426" s="54">
        <f>IFERROR(U426/H426,"")</f>
        <v/>
      </c>
      <c r="W426" s="53" t="n"/>
      <c r="X426" s="53" t="n"/>
      <c r="Y426" s="53" t="n"/>
      <c r="Z426" s="53" t="n"/>
      <c r="AA426" s="53" t="n"/>
      <c r="AB426" s="14" t="n"/>
    </row>
    <row r="427" ht="15" customHeight="1">
      <c r="A427" s="51">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52">
        <f>IF(C427="","",COUNTIFS(tbl_Finance[Job Number],C427&amp;"",tbl_Finance[Ex GST],"&lt;&gt;"))</f>
        <v/>
      </c>
      <c r="H427" s="17">
        <f>IF(C427="","",SUMIFS(tbl_Finance[Ex GST],tbl_Finance[Job Number],C427&amp;""))</f>
        <v/>
      </c>
      <c r="I427" s="15">
        <f>IF(C427="","",IFERROR(INDEX(tbl_Finance[Cost Centre],MATCH(C427&amp;"",tbl_Finance[Job Number],0)),"not invoiced yet"))</f>
        <v/>
      </c>
      <c r="J427" s="12" t="n"/>
      <c r="K427" s="14" t="n"/>
      <c r="L427" s="15">
        <f>IF(OR(K427="",set_RMSBase=""),"",HYPERLINK(set_RMSBase&amp;K427,"Open "&amp;K427))</f>
        <v/>
      </c>
      <c r="M427" s="15">
        <f>IF(C427="","",C427)</f>
        <v/>
      </c>
      <c r="N427" s="14" t="n"/>
      <c r="O427" s="16" t="n"/>
      <c r="P427" s="17">
        <f>IF(C427="","",H427+N(O427))</f>
        <v/>
      </c>
      <c r="Q427" s="54">
        <f>IFERROR(O427/P427,"")</f>
        <v/>
      </c>
      <c r="R427" s="16" t="n"/>
      <c r="S427" s="16" t="n"/>
      <c r="T427" s="17">
        <f>IF(C427="","",N(R427)+N(S427))</f>
        <v/>
      </c>
      <c r="U427" s="17">
        <f>IF(C427="","",H427-T427)</f>
        <v/>
      </c>
      <c r="V427" s="54">
        <f>IFERROR(U427/H427,"")</f>
        <v/>
      </c>
      <c r="W427" s="53" t="n"/>
      <c r="X427" s="53" t="n"/>
      <c r="Y427" s="53" t="n"/>
      <c r="Z427" s="53" t="n"/>
      <c r="AA427" s="53" t="n"/>
      <c r="AB427" s="14" t="n"/>
    </row>
    <row r="428" ht="15" customHeight="1">
      <c r="A428" s="51">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52">
        <f>IF(C428="","",COUNTIFS(tbl_Finance[Job Number],C428&amp;"",tbl_Finance[Ex GST],"&lt;&gt;"))</f>
        <v/>
      </c>
      <c r="H428" s="17">
        <f>IF(C428="","",SUMIFS(tbl_Finance[Ex GST],tbl_Finance[Job Number],C428&amp;""))</f>
        <v/>
      </c>
      <c r="I428" s="15">
        <f>IF(C428="","",IFERROR(INDEX(tbl_Finance[Cost Centre],MATCH(C428&amp;"",tbl_Finance[Job Number],0)),"not invoiced yet"))</f>
        <v/>
      </c>
      <c r="J428" s="12" t="n"/>
      <c r="K428" s="14" t="n"/>
      <c r="L428" s="15">
        <f>IF(OR(K428="",set_RMSBase=""),"",HYPERLINK(set_RMSBase&amp;K428,"Open "&amp;K428))</f>
        <v/>
      </c>
      <c r="M428" s="15">
        <f>IF(C428="","",C428)</f>
        <v/>
      </c>
      <c r="N428" s="14" t="n"/>
      <c r="O428" s="16" t="n"/>
      <c r="P428" s="17">
        <f>IF(C428="","",H428+N(O428))</f>
        <v/>
      </c>
      <c r="Q428" s="54">
        <f>IFERROR(O428/P428,"")</f>
        <v/>
      </c>
      <c r="R428" s="16" t="n"/>
      <c r="S428" s="16" t="n"/>
      <c r="T428" s="17">
        <f>IF(C428="","",N(R428)+N(S428))</f>
        <v/>
      </c>
      <c r="U428" s="17">
        <f>IF(C428="","",H428-T428)</f>
        <v/>
      </c>
      <c r="V428" s="54">
        <f>IFERROR(U428/H428,"")</f>
        <v/>
      </c>
      <c r="W428" s="53" t="n"/>
      <c r="X428" s="53" t="n"/>
      <c r="Y428" s="53" t="n"/>
      <c r="Z428" s="53" t="n"/>
      <c r="AA428" s="53" t="n"/>
      <c r="AB428" s="14" t="n"/>
    </row>
    <row r="429" ht="15" customHeight="1">
      <c r="A429" s="51">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52">
        <f>IF(C429="","",COUNTIFS(tbl_Finance[Job Number],C429&amp;"",tbl_Finance[Ex GST],"&lt;&gt;"))</f>
        <v/>
      </c>
      <c r="H429" s="17">
        <f>IF(C429="","",SUMIFS(tbl_Finance[Ex GST],tbl_Finance[Job Number],C429&amp;""))</f>
        <v/>
      </c>
      <c r="I429" s="15">
        <f>IF(C429="","",IFERROR(INDEX(tbl_Finance[Cost Centre],MATCH(C429&amp;"",tbl_Finance[Job Number],0)),"not invoiced yet"))</f>
        <v/>
      </c>
      <c r="J429" s="12" t="n"/>
      <c r="K429" s="14" t="n"/>
      <c r="L429" s="15">
        <f>IF(OR(K429="",set_RMSBase=""),"",HYPERLINK(set_RMSBase&amp;K429,"Open "&amp;K429))</f>
        <v/>
      </c>
      <c r="M429" s="15">
        <f>IF(C429="","",C429)</f>
        <v/>
      </c>
      <c r="N429" s="14" t="n"/>
      <c r="O429" s="16" t="n"/>
      <c r="P429" s="17">
        <f>IF(C429="","",H429+N(O429))</f>
        <v/>
      </c>
      <c r="Q429" s="54">
        <f>IFERROR(O429/P429,"")</f>
        <v/>
      </c>
      <c r="R429" s="16" t="n"/>
      <c r="S429" s="16" t="n"/>
      <c r="T429" s="17">
        <f>IF(C429="","",N(R429)+N(S429))</f>
        <v/>
      </c>
      <c r="U429" s="17">
        <f>IF(C429="","",H429-T429)</f>
        <v/>
      </c>
      <c r="V429" s="54">
        <f>IFERROR(U429/H429,"")</f>
        <v/>
      </c>
      <c r="W429" s="53" t="n"/>
      <c r="X429" s="53" t="n"/>
      <c r="Y429" s="53" t="n"/>
      <c r="Z429" s="53" t="n"/>
      <c r="AA429" s="53" t="n"/>
      <c r="AB429" s="14" t="n"/>
    </row>
    <row r="430" ht="15" customHeight="1">
      <c r="A430" s="51">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52">
        <f>IF(C430="","",COUNTIFS(tbl_Finance[Job Number],C430&amp;"",tbl_Finance[Ex GST],"&lt;&gt;"))</f>
        <v/>
      </c>
      <c r="H430" s="17">
        <f>IF(C430="","",SUMIFS(tbl_Finance[Ex GST],tbl_Finance[Job Number],C430&amp;""))</f>
        <v/>
      </c>
      <c r="I430" s="15">
        <f>IF(C430="","",IFERROR(INDEX(tbl_Finance[Cost Centre],MATCH(C430&amp;"",tbl_Finance[Job Number],0)),"not invoiced yet"))</f>
        <v/>
      </c>
      <c r="J430" s="12" t="n"/>
      <c r="K430" s="14" t="n"/>
      <c r="L430" s="15">
        <f>IF(OR(K430="",set_RMSBase=""),"",HYPERLINK(set_RMSBase&amp;K430,"Open "&amp;K430))</f>
        <v/>
      </c>
      <c r="M430" s="15">
        <f>IF(C430="","",C430)</f>
        <v/>
      </c>
      <c r="N430" s="14" t="n"/>
      <c r="O430" s="16" t="n"/>
      <c r="P430" s="17">
        <f>IF(C430="","",H430+N(O430))</f>
        <v/>
      </c>
      <c r="Q430" s="54">
        <f>IFERROR(O430/P430,"")</f>
        <v/>
      </c>
      <c r="R430" s="16" t="n"/>
      <c r="S430" s="16" t="n"/>
      <c r="T430" s="17">
        <f>IF(C430="","",N(R430)+N(S430))</f>
        <v/>
      </c>
      <c r="U430" s="17">
        <f>IF(C430="","",H430-T430)</f>
        <v/>
      </c>
      <c r="V430" s="54">
        <f>IFERROR(U430/H430,"")</f>
        <v/>
      </c>
      <c r="W430" s="53" t="n"/>
      <c r="X430" s="53" t="n"/>
      <c r="Y430" s="53" t="n"/>
      <c r="Z430" s="53" t="n"/>
      <c r="AA430" s="53" t="n"/>
      <c r="AB430" s="14" t="n"/>
    </row>
    <row r="431" ht="15" customHeight="1">
      <c r="A431" s="51">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52">
        <f>IF(C431="","",COUNTIFS(tbl_Finance[Job Number],C431&amp;"",tbl_Finance[Ex GST],"&lt;&gt;"))</f>
        <v/>
      </c>
      <c r="H431" s="17">
        <f>IF(C431="","",SUMIFS(tbl_Finance[Ex GST],tbl_Finance[Job Number],C431&amp;""))</f>
        <v/>
      </c>
      <c r="I431" s="15">
        <f>IF(C431="","",IFERROR(INDEX(tbl_Finance[Cost Centre],MATCH(C431&amp;"",tbl_Finance[Job Number],0)),"not invoiced yet"))</f>
        <v/>
      </c>
      <c r="J431" s="12" t="n"/>
      <c r="K431" s="14" t="n"/>
      <c r="L431" s="15">
        <f>IF(OR(K431="",set_RMSBase=""),"",HYPERLINK(set_RMSBase&amp;K431,"Open "&amp;K431))</f>
        <v/>
      </c>
      <c r="M431" s="15">
        <f>IF(C431="","",C431)</f>
        <v/>
      </c>
      <c r="N431" s="14" t="n"/>
      <c r="O431" s="16" t="n"/>
      <c r="P431" s="17">
        <f>IF(C431="","",H431+N(O431))</f>
        <v/>
      </c>
      <c r="Q431" s="54">
        <f>IFERROR(O431/P431,"")</f>
        <v/>
      </c>
      <c r="R431" s="16" t="n"/>
      <c r="S431" s="16" t="n"/>
      <c r="T431" s="17">
        <f>IF(C431="","",N(R431)+N(S431))</f>
        <v/>
      </c>
      <c r="U431" s="17">
        <f>IF(C431="","",H431-T431)</f>
        <v/>
      </c>
      <c r="V431" s="54">
        <f>IFERROR(U431/H431,"")</f>
        <v/>
      </c>
      <c r="W431" s="53" t="n"/>
      <c r="X431" s="53" t="n"/>
      <c r="Y431" s="53" t="n"/>
      <c r="Z431" s="53" t="n"/>
      <c r="AA431" s="53" t="n"/>
      <c r="AB431" s="14" t="n"/>
    </row>
    <row r="432" ht="15" customHeight="1">
      <c r="A432" s="51">
        <f>IF(C432="","",IFERROR(IF(SUMPRODUCT(MAX((tbl_Finance[Job Number]=C432&amp;"")*tbl_Finance[Date]))=0,"",SUMPRODUCT(MAX((tbl_Finance[Job Number]=C432&amp;"")*tbl_Finance[Date]))),""))</f>
        <v/>
      </c>
      <c r="B432" s="15">
        <f>IF(A432="","",IFERROR(LOOKUP(2,1/((tbl_Finance[Job Number]=C432&amp;"")*(tbl_Finance[Date]=A432)),tbl_Finance[Xero Invoice No]),""))</f>
        <v/>
      </c>
      <c r="C432" s="14" t="n"/>
      <c r="D432" s="15">
        <f>IF(C432="","",IF(COUNTIF(lst_Jobs,C432&amp;"")&gt;0,"OK","CHECK"))</f>
        <v/>
      </c>
      <c r="E432" s="15">
        <f>IF(C432="","",IFERROR(INDEX(lst_JobName,MATCH(C432&amp;"",lst_Jobs,0)),""))</f>
        <v/>
      </c>
      <c r="F432" s="15">
        <f>IF(C432="","",IFERROR(INDEX(tbl_Finance[Client],MATCH(C432&amp;"",tbl_Finance[Job Number],0)),""))</f>
        <v/>
      </c>
      <c r="G432" s="52">
        <f>IF(C432="","",COUNTIFS(tbl_Finance[Job Number],C432&amp;"",tbl_Finance[Ex GST],"&lt;&gt;"))</f>
        <v/>
      </c>
      <c r="H432" s="17">
        <f>IF(C432="","",SUMIFS(tbl_Finance[Ex GST],tbl_Finance[Job Number],C432&amp;""))</f>
        <v/>
      </c>
      <c r="I432" s="15">
        <f>IF(C432="","",IFERROR(INDEX(tbl_Finance[Cost Centre],MATCH(C432&amp;"",tbl_Finance[Job Number],0)),"not invoiced yet"))</f>
        <v/>
      </c>
      <c r="J432" s="12" t="n"/>
      <c r="K432" s="14" t="n"/>
      <c r="L432" s="15">
        <f>IF(OR(K432="",set_RMSBase=""),"",HYPERLINK(set_RMSBase&amp;K432,"Open "&amp;K432))</f>
        <v/>
      </c>
      <c r="M432" s="15">
        <f>IF(C432="","",C432)</f>
        <v/>
      </c>
      <c r="N432" s="14" t="n"/>
      <c r="O432" s="16" t="n"/>
      <c r="P432" s="17">
        <f>IF(C432="","",H432+N(O432))</f>
        <v/>
      </c>
      <c r="Q432" s="54">
        <f>IFERROR(O432/P432,"")</f>
        <v/>
      </c>
      <c r="R432" s="16" t="n"/>
      <c r="S432" s="16" t="n"/>
      <c r="T432" s="17">
        <f>IF(C432="","",N(R432)+N(S432))</f>
        <v/>
      </c>
      <c r="U432" s="17">
        <f>IF(C432="","",H432-T432)</f>
        <v/>
      </c>
      <c r="V432" s="54">
        <f>IFERROR(U432/H432,"")</f>
        <v/>
      </c>
      <c r="W432" s="53" t="n"/>
      <c r="X432" s="53" t="n"/>
      <c r="Y432" s="53" t="n"/>
      <c r="Z432" s="53" t="n"/>
      <c r="AA432" s="53" t="n"/>
      <c r="AB432" s="14" t="n"/>
    </row>
    <row r="433" ht="15" customHeight="1">
      <c r="A433" s="51">
        <f>IF(C433="","",IFERROR(IF(SUMPRODUCT(MAX((tbl_Finance[Job Number]=C433&amp;"")*tbl_Finance[Date]))=0,"",SUMPRODUCT(MAX((tbl_Finance[Job Number]=C433&amp;"")*tbl_Finance[Date]))),""))</f>
        <v/>
      </c>
      <c r="B433" s="15">
        <f>IF(A433="","",IFERROR(LOOKUP(2,1/((tbl_Finance[Job Number]=C433&amp;"")*(tbl_Finance[Date]=A433)),tbl_Finance[Xero Invoice No]),""))</f>
        <v/>
      </c>
      <c r="C433" s="14" t="n"/>
      <c r="D433" s="15">
        <f>IF(C433="","",IF(COUNTIF(lst_Jobs,C433&amp;"")&gt;0,"OK","CHECK"))</f>
        <v/>
      </c>
      <c r="E433" s="15">
        <f>IF(C433="","",IFERROR(INDEX(lst_JobName,MATCH(C433&amp;"",lst_Jobs,0)),""))</f>
        <v/>
      </c>
      <c r="F433" s="15">
        <f>IF(C433="","",IFERROR(INDEX(tbl_Finance[Client],MATCH(C433&amp;"",tbl_Finance[Job Number],0)),""))</f>
        <v/>
      </c>
      <c r="G433" s="52">
        <f>IF(C433="","",COUNTIFS(tbl_Finance[Job Number],C433&amp;"",tbl_Finance[Ex GST],"&lt;&gt;"))</f>
        <v/>
      </c>
      <c r="H433" s="17">
        <f>IF(C433="","",SUMIFS(tbl_Finance[Ex GST],tbl_Finance[Job Number],C433&amp;""))</f>
        <v/>
      </c>
      <c r="I433" s="15">
        <f>IF(C433="","",IFERROR(INDEX(tbl_Finance[Cost Centre],MATCH(C433&amp;"",tbl_Finance[Job Number],0)),"not invoiced yet"))</f>
        <v/>
      </c>
      <c r="J433" s="12" t="n"/>
      <c r="K433" s="14" t="n"/>
      <c r="L433" s="15">
        <f>IF(OR(K433="",set_RMSBase=""),"",HYPERLINK(set_RMSBase&amp;K433,"Open "&amp;K433))</f>
        <v/>
      </c>
      <c r="M433" s="15">
        <f>IF(C433="","",C433)</f>
        <v/>
      </c>
      <c r="N433" s="14" t="n"/>
      <c r="O433" s="16" t="n"/>
      <c r="P433" s="17">
        <f>IF(C433="","",H433+N(O433))</f>
        <v/>
      </c>
      <c r="Q433" s="54">
        <f>IFERROR(O433/P433,"")</f>
        <v/>
      </c>
      <c r="R433" s="16" t="n"/>
      <c r="S433" s="16" t="n"/>
      <c r="T433" s="17">
        <f>IF(C433="","",N(R433)+N(S433))</f>
        <v/>
      </c>
      <c r="U433" s="17">
        <f>IF(C433="","",H433-T433)</f>
        <v/>
      </c>
      <c r="V433" s="54">
        <f>IFERROR(U433/H433,"")</f>
        <v/>
      </c>
      <c r="W433" s="53" t="n"/>
      <c r="X433" s="53" t="n"/>
      <c r="Y433" s="53" t="n"/>
      <c r="Z433" s="53" t="n"/>
      <c r="AA433" s="53" t="n"/>
      <c r="AB433" s="14" t="n"/>
    </row>
    <row r="434" ht="15" customHeight="1">
      <c r="A434" s="51">
        <f>IF(C434="","",IFERROR(IF(SUMPRODUCT(MAX((tbl_Finance[Job Number]=C434&amp;"")*tbl_Finance[Date]))=0,"",SUMPRODUCT(MAX((tbl_Finance[Job Number]=C434&amp;"")*tbl_Finance[Date]))),""))</f>
        <v/>
      </c>
      <c r="B434" s="15">
        <f>IF(A434="","",IFERROR(LOOKUP(2,1/((tbl_Finance[Job Number]=C434&amp;"")*(tbl_Finance[Date]=A434)),tbl_Finance[Xero Invoice No]),""))</f>
        <v/>
      </c>
      <c r="C434" s="14" t="n"/>
      <c r="D434" s="15">
        <f>IF(C434="","",IF(COUNTIF(lst_Jobs,C434&amp;"")&gt;0,"OK","CHECK"))</f>
        <v/>
      </c>
      <c r="E434" s="15">
        <f>IF(C434="","",IFERROR(INDEX(lst_JobName,MATCH(C434&amp;"",lst_Jobs,0)),""))</f>
        <v/>
      </c>
      <c r="F434" s="15">
        <f>IF(C434="","",IFERROR(INDEX(tbl_Finance[Client],MATCH(C434&amp;"",tbl_Finance[Job Number],0)),""))</f>
        <v/>
      </c>
      <c r="G434" s="52">
        <f>IF(C434="","",COUNTIFS(tbl_Finance[Job Number],C434&amp;"",tbl_Finance[Ex GST],"&lt;&gt;"))</f>
        <v/>
      </c>
      <c r="H434" s="17">
        <f>IF(C434="","",SUMIFS(tbl_Finance[Ex GST],tbl_Finance[Job Number],C434&amp;""))</f>
        <v/>
      </c>
      <c r="I434" s="15">
        <f>IF(C434="","",IFERROR(INDEX(tbl_Finance[Cost Centre],MATCH(C434&amp;"",tbl_Finance[Job Number],0)),"not invoiced yet"))</f>
        <v/>
      </c>
      <c r="J434" s="12" t="n"/>
      <c r="K434" s="14" t="n"/>
      <c r="L434" s="15">
        <f>IF(OR(K434="",set_RMSBase=""),"",HYPERLINK(set_RMSBase&amp;K434,"Open "&amp;K434))</f>
        <v/>
      </c>
      <c r="M434" s="15">
        <f>IF(C434="","",C434)</f>
        <v/>
      </c>
      <c r="N434" s="14" t="n"/>
      <c r="O434" s="16" t="n"/>
      <c r="P434" s="17">
        <f>IF(C434="","",H434+N(O434))</f>
        <v/>
      </c>
      <c r="Q434" s="54">
        <f>IFERROR(O434/P434,"")</f>
        <v/>
      </c>
      <c r="R434" s="16" t="n"/>
      <c r="S434" s="16" t="n"/>
      <c r="T434" s="17">
        <f>IF(C434="","",N(R434)+N(S434))</f>
        <v/>
      </c>
      <c r="U434" s="17">
        <f>IF(C434="","",H434-T434)</f>
        <v/>
      </c>
      <c r="V434" s="54">
        <f>IFERROR(U434/H434,"")</f>
        <v/>
      </c>
      <c r="W434" s="53" t="n"/>
      <c r="X434" s="53" t="n"/>
      <c r="Y434" s="53" t="n"/>
      <c r="Z434" s="53" t="n"/>
      <c r="AA434" s="53" t="n"/>
      <c r="AB434" s="14" t="n"/>
    </row>
    <row r="435" ht="15" customHeight="1">
      <c r="A435" s="51">
        <f>IF(C435="","",IFERROR(IF(SUMPRODUCT(MAX((tbl_Finance[Job Number]=C435&amp;"")*tbl_Finance[Date]))=0,"",SUMPRODUCT(MAX((tbl_Finance[Job Number]=C435&amp;"")*tbl_Finance[Date]))),""))</f>
        <v/>
      </c>
      <c r="B435" s="15">
        <f>IF(A435="","",IFERROR(LOOKUP(2,1/((tbl_Finance[Job Number]=C435&amp;"")*(tbl_Finance[Date]=A435)),tbl_Finance[Xero Invoice No]),""))</f>
        <v/>
      </c>
      <c r="C435" s="14" t="n"/>
      <c r="D435" s="15">
        <f>IF(C435="","",IF(COUNTIF(lst_Jobs,C435&amp;"")&gt;0,"OK","CHECK"))</f>
        <v/>
      </c>
      <c r="E435" s="15">
        <f>IF(C435="","",IFERROR(INDEX(lst_JobName,MATCH(C435&amp;"",lst_Jobs,0)),""))</f>
        <v/>
      </c>
      <c r="F435" s="15">
        <f>IF(C435="","",IFERROR(INDEX(tbl_Finance[Client],MATCH(C435&amp;"",tbl_Finance[Job Number],0)),""))</f>
        <v/>
      </c>
      <c r="G435" s="52">
        <f>IF(C435="","",COUNTIFS(tbl_Finance[Job Number],C435&amp;"",tbl_Finance[Ex GST],"&lt;&gt;"))</f>
        <v/>
      </c>
      <c r="H435" s="17">
        <f>IF(C435="","",SUMIFS(tbl_Finance[Ex GST],tbl_Finance[Job Number],C435&amp;""))</f>
        <v/>
      </c>
      <c r="I435" s="15">
        <f>IF(C435="","",IFERROR(INDEX(tbl_Finance[Cost Centre],MATCH(C435&amp;"",tbl_Finance[Job Number],0)),"not invoiced yet"))</f>
        <v/>
      </c>
      <c r="J435" s="12" t="n"/>
      <c r="K435" s="14" t="n"/>
      <c r="L435" s="15">
        <f>IF(OR(K435="",set_RMSBase=""),"",HYPERLINK(set_RMSBase&amp;K435,"Open "&amp;K435))</f>
        <v/>
      </c>
      <c r="M435" s="15">
        <f>IF(C435="","",C435)</f>
        <v/>
      </c>
      <c r="N435" s="14" t="n"/>
      <c r="O435" s="16" t="n"/>
      <c r="P435" s="17">
        <f>IF(C435="","",H435+N(O435))</f>
        <v/>
      </c>
      <c r="Q435" s="54">
        <f>IFERROR(O435/P435,"")</f>
        <v/>
      </c>
      <c r="R435" s="16" t="n"/>
      <c r="S435" s="16" t="n"/>
      <c r="T435" s="17">
        <f>IF(C435="","",N(R435)+N(S435))</f>
        <v/>
      </c>
      <c r="U435" s="17">
        <f>IF(C435="","",H435-T435)</f>
        <v/>
      </c>
      <c r="V435" s="54">
        <f>IFERROR(U435/H435,"")</f>
        <v/>
      </c>
      <c r="W435" s="53" t="n"/>
      <c r="X435" s="53" t="n"/>
      <c r="Y435" s="53" t="n"/>
      <c r="Z435" s="53" t="n"/>
      <c r="AA435" s="53" t="n"/>
      <c r="AB435" s="14" t="n"/>
    </row>
    <row r="436" ht="15" customHeight="1">
      <c r="A436" s="51">
        <f>IF(C436="","",IFERROR(IF(SUMPRODUCT(MAX((tbl_Finance[Job Number]=C436&amp;"")*tbl_Finance[Date]))=0,"",SUMPRODUCT(MAX((tbl_Finance[Job Number]=C436&amp;"")*tbl_Finance[Date]))),""))</f>
        <v/>
      </c>
      <c r="B436" s="15">
        <f>IF(A436="","",IFERROR(LOOKUP(2,1/((tbl_Finance[Job Number]=C436&amp;"")*(tbl_Finance[Date]=A436)),tbl_Finance[Xero Invoice No]),""))</f>
        <v/>
      </c>
      <c r="C436" s="14" t="n"/>
      <c r="D436" s="15">
        <f>IF(C436="","",IF(COUNTIF(lst_Jobs,C436&amp;"")&gt;0,"OK","CHECK"))</f>
        <v/>
      </c>
      <c r="E436" s="15">
        <f>IF(C436="","",IFERROR(INDEX(lst_JobName,MATCH(C436&amp;"",lst_Jobs,0)),""))</f>
        <v/>
      </c>
      <c r="F436" s="15">
        <f>IF(C436="","",IFERROR(INDEX(tbl_Finance[Client],MATCH(C436&amp;"",tbl_Finance[Job Number],0)),""))</f>
        <v/>
      </c>
      <c r="G436" s="52">
        <f>IF(C436="","",COUNTIFS(tbl_Finance[Job Number],C436&amp;"",tbl_Finance[Ex GST],"&lt;&gt;"))</f>
        <v/>
      </c>
      <c r="H436" s="17">
        <f>IF(C436="","",SUMIFS(tbl_Finance[Ex GST],tbl_Finance[Job Number],C436&amp;""))</f>
        <v/>
      </c>
      <c r="I436" s="15">
        <f>IF(C436="","",IFERROR(INDEX(tbl_Finance[Cost Centre],MATCH(C436&amp;"",tbl_Finance[Job Number],0)),"not invoiced yet"))</f>
        <v/>
      </c>
      <c r="J436" s="12" t="n"/>
      <c r="K436" s="14" t="n"/>
      <c r="L436" s="15">
        <f>IF(OR(K436="",set_RMSBase=""),"",HYPERLINK(set_RMSBase&amp;K436,"Open "&amp;K436))</f>
        <v/>
      </c>
      <c r="M436" s="15">
        <f>IF(C436="","",C436)</f>
        <v/>
      </c>
      <c r="N436" s="14" t="n"/>
      <c r="O436" s="16" t="n"/>
      <c r="P436" s="17">
        <f>IF(C436="","",H436+N(O436))</f>
        <v/>
      </c>
      <c r="Q436" s="54">
        <f>IFERROR(O436/P436,"")</f>
        <v/>
      </c>
      <c r="R436" s="16" t="n"/>
      <c r="S436" s="16" t="n"/>
      <c r="T436" s="17">
        <f>IF(C436="","",N(R436)+N(S436))</f>
        <v/>
      </c>
      <c r="U436" s="17">
        <f>IF(C436="","",H436-T436)</f>
        <v/>
      </c>
      <c r="V436" s="54">
        <f>IFERROR(U436/H436,"")</f>
        <v/>
      </c>
      <c r="W436" s="53" t="n"/>
      <c r="X436" s="53" t="n"/>
      <c r="Y436" s="53" t="n"/>
      <c r="Z436" s="53" t="n"/>
      <c r="AA436" s="53" t="n"/>
      <c r="AB436" s="14" t="n"/>
    </row>
    <row r="437" ht="15" customHeight="1">
      <c r="A437" s="51">
        <f>IF(C437="","",IFERROR(IF(SUMPRODUCT(MAX((tbl_Finance[Job Number]=C437&amp;"")*tbl_Finance[Date]))=0,"",SUMPRODUCT(MAX((tbl_Finance[Job Number]=C437&amp;"")*tbl_Finance[Date]))),""))</f>
        <v/>
      </c>
      <c r="B437" s="15">
        <f>IF(A437="","",IFERROR(LOOKUP(2,1/((tbl_Finance[Job Number]=C437&amp;"")*(tbl_Finance[Date]=A437)),tbl_Finance[Xero Invoice No]),""))</f>
        <v/>
      </c>
      <c r="C437" s="14" t="n"/>
      <c r="D437" s="15">
        <f>IF(C437="","",IF(COUNTIF(lst_Jobs,C437&amp;"")&gt;0,"OK","CHECK"))</f>
        <v/>
      </c>
      <c r="E437" s="15">
        <f>IF(C437="","",IFERROR(INDEX(lst_JobName,MATCH(C437&amp;"",lst_Jobs,0)),""))</f>
        <v/>
      </c>
      <c r="F437" s="15">
        <f>IF(C437="","",IFERROR(INDEX(tbl_Finance[Client],MATCH(C437&amp;"",tbl_Finance[Job Number],0)),""))</f>
        <v/>
      </c>
      <c r="G437" s="52">
        <f>IF(C437="","",COUNTIFS(tbl_Finance[Job Number],C437&amp;"",tbl_Finance[Ex GST],"&lt;&gt;"))</f>
        <v/>
      </c>
      <c r="H437" s="17">
        <f>IF(C437="","",SUMIFS(tbl_Finance[Ex GST],tbl_Finance[Job Number],C437&amp;""))</f>
        <v/>
      </c>
      <c r="I437" s="15">
        <f>IF(C437="","",IFERROR(INDEX(tbl_Finance[Cost Centre],MATCH(C437&amp;"",tbl_Finance[Job Number],0)),"not invoiced yet"))</f>
        <v/>
      </c>
      <c r="J437" s="12" t="n"/>
      <c r="K437" s="14" t="n"/>
      <c r="L437" s="15">
        <f>IF(OR(K437="",set_RMSBase=""),"",HYPERLINK(set_RMSBase&amp;K437,"Open "&amp;K437))</f>
        <v/>
      </c>
      <c r="M437" s="15">
        <f>IF(C437="","",C437)</f>
        <v/>
      </c>
      <c r="N437" s="14" t="n"/>
      <c r="O437" s="16" t="n"/>
      <c r="P437" s="17">
        <f>IF(C437="","",H437+N(O437))</f>
        <v/>
      </c>
      <c r="Q437" s="54">
        <f>IFERROR(O437/P437,"")</f>
        <v/>
      </c>
      <c r="R437" s="16" t="n"/>
      <c r="S437" s="16" t="n"/>
      <c r="T437" s="17">
        <f>IF(C437="","",N(R437)+N(S437))</f>
        <v/>
      </c>
      <c r="U437" s="17">
        <f>IF(C437="","",H437-T437)</f>
        <v/>
      </c>
      <c r="V437" s="54">
        <f>IFERROR(U437/H437,"")</f>
        <v/>
      </c>
      <c r="W437" s="53" t="n"/>
      <c r="X437" s="53" t="n"/>
      <c r="Y437" s="53" t="n"/>
      <c r="Z437" s="53" t="n"/>
      <c r="AA437" s="53" t="n"/>
      <c r="AB437" s="14" t="n"/>
    </row>
    <row r="438" ht="15" customHeight="1">
      <c r="A438" s="51">
        <f>IF(C438="","",IFERROR(IF(SUMPRODUCT(MAX((tbl_Finance[Job Number]=C438&amp;"")*tbl_Finance[Date]))=0,"",SUMPRODUCT(MAX((tbl_Finance[Job Number]=C438&amp;"")*tbl_Finance[Date]))),""))</f>
        <v/>
      </c>
      <c r="B438" s="15">
        <f>IF(A438="","",IFERROR(LOOKUP(2,1/((tbl_Finance[Job Number]=C438&amp;"")*(tbl_Finance[Date]=A438)),tbl_Finance[Xero Invoice No]),""))</f>
        <v/>
      </c>
      <c r="C438" s="14" t="n"/>
      <c r="D438" s="15">
        <f>IF(C438="","",IF(COUNTIF(lst_Jobs,C438&amp;"")&gt;0,"OK","CHECK"))</f>
        <v/>
      </c>
      <c r="E438" s="15">
        <f>IF(C438="","",IFERROR(INDEX(lst_JobName,MATCH(C438&amp;"",lst_Jobs,0)),""))</f>
        <v/>
      </c>
      <c r="F438" s="15">
        <f>IF(C438="","",IFERROR(INDEX(tbl_Finance[Client],MATCH(C438&amp;"",tbl_Finance[Job Number],0)),""))</f>
        <v/>
      </c>
      <c r="G438" s="52">
        <f>IF(C438="","",COUNTIFS(tbl_Finance[Job Number],C438&amp;"",tbl_Finance[Ex GST],"&lt;&gt;"))</f>
        <v/>
      </c>
      <c r="H438" s="17">
        <f>IF(C438="","",SUMIFS(tbl_Finance[Ex GST],tbl_Finance[Job Number],C438&amp;""))</f>
        <v/>
      </c>
      <c r="I438" s="15">
        <f>IF(C438="","",IFERROR(INDEX(tbl_Finance[Cost Centre],MATCH(C438&amp;"",tbl_Finance[Job Number],0)),"not invoiced yet"))</f>
        <v/>
      </c>
      <c r="J438" s="12" t="n"/>
      <c r="K438" s="14" t="n"/>
      <c r="L438" s="15">
        <f>IF(OR(K438="",set_RMSBase=""),"",HYPERLINK(set_RMSBase&amp;K438,"Open "&amp;K438))</f>
        <v/>
      </c>
      <c r="M438" s="15">
        <f>IF(C438="","",C438)</f>
        <v/>
      </c>
      <c r="N438" s="14" t="n"/>
      <c r="O438" s="16" t="n"/>
      <c r="P438" s="17">
        <f>IF(C438="","",H438+N(O438))</f>
        <v/>
      </c>
      <c r="Q438" s="54">
        <f>IFERROR(O438/P438,"")</f>
        <v/>
      </c>
      <c r="R438" s="16" t="n"/>
      <c r="S438" s="16" t="n"/>
      <c r="T438" s="17">
        <f>IF(C438="","",N(R438)+N(S438))</f>
        <v/>
      </c>
      <c r="U438" s="17">
        <f>IF(C438="","",H438-T438)</f>
        <v/>
      </c>
      <c r="V438" s="54">
        <f>IFERROR(U438/H438,"")</f>
        <v/>
      </c>
      <c r="W438" s="53" t="n"/>
      <c r="X438" s="53" t="n"/>
      <c r="Y438" s="53" t="n"/>
      <c r="Z438" s="53" t="n"/>
      <c r="AA438" s="53" t="n"/>
      <c r="AB438" s="14" t="n"/>
    </row>
    <row r="439" ht="15" customHeight="1">
      <c r="A439" s="51">
        <f>IF(C439="","",IFERROR(IF(SUMPRODUCT(MAX((tbl_Finance[Job Number]=C439&amp;"")*tbl_Finance[Date]))=0,"",SUMPRODUCT(MAX((tbl_Finance[Job Number]=C439&amp;"")*tbl_Finance[Date]))),""))</f>
        <v/>
      </c>
      <c r="B439" s="15">
        <f>IF(A439="","",IFERROR(LOOKUP(2,1/((tbl_Finance[Job Number]=C439&amp;"")*(tbl_Finance[Date]=A439)),tbl_Finance[Xero Invoice No]),""))</f>
        <v/>
      </c>
      <c r="C439" s="14" t="n"/>
      <c r="D439" s="15">
        <f>IF(C439="","",IF(COUNTIF(lst_Jobs,C439&amp;"")&gt;0,"OK","CHECK"))</f>
        <v/>
      </c>
      <c r="E439" s="15">
        <f>IF(C439="","",IFERROR(INDEX(lst_JobName,MATCH(C439&amp;"",lst_Jobs,0)),""))</f>
        <v/>
      </c>
      <c r="F439" s="15">
        <f>IF(C439="","",IFERROR(INDEX(tbl_Finance[Client],MATCH(C439&amp;"",tbl_Finance[Job Number],0)),""))</f>
        <v/>
      </c>
      <c r="G439" s="52">
        <f>IF(C439="","",COUNTIFS(tbl_Finance[Job Number],C439&amp;"",tbl_Finance[Ex GST],"&lt;&gt;"))</f>
        <v/>
      </c>
      <c r="H439" s="17">
        <f>IF(C439="","",SUMIFS(tbl_Finance[Ex GST],tbl_Finance[Job Number],C439&amp;""))</f>
        <v/>
      </c>
      <c r="I439" s="15">
        <f>IF(C439="","",IFERROR(INDEX(tbl_Finance[Cost Centre],MATCH(C439&amp;"",tbl_Finance[Job Number],0)),"not invoiced yet"))</f>
        <v/>
      </c>
      <c r="J439" s="12" t="n"/>
      <c r="K439" s="14" t="n"/>
      <c r="L439" s="15">
        <f>IF(OR(K439="",set_RMSBase=""),"",HYPERLINK(set_RMSBase&amp;K439,"Open "&amp;K439))</f>
        <v/>
      </c>
      <c r="M439" s="15">
        <f>IF(C439="","",C439)</f>
        <v/>
      </c>
      <c r="N439" s="14" t="n"/>
      <c r="O439" s="16" t="n"/>
      <c r="P439" s="17">
        <f>IF(C439="","",H439+N(O439))</f>
        <v/>
      </c>
      <c r="Q439" s="54">
        <f>IFERROR(O439/P439,"")</f>
        <v/>
      </c>
      <c r="R439" s="16" t="n"/>
      <c r="S439" s="16" t="n"/>
      <c r="T439" s="17">
        <f>IF(C439="","",N(R439)+N(S439))</f>
        <v/>
      </c>
      <c r="U439" s="17">
        <f>IF(C439="","",H439-T439)</f>
        <v/>
      </c>
      <c r="V439" s="54">
        <f>IFERROR(U439/H439,"")</f>
        <v/>
      </c>
      <c r="W439" s="53" t="n"/>
      <c r="X439" s="53" t="n"/>
      <c r="Y439" s="53" t="n"/>
      <c r="Z439" s="53" t="n"/>
      <c r="AA439" s="53" t="n"/>
      <c r="AB439" s="14" t="n"/>
    </row>
    <row r="440" ht="15" customHeight="1">
      <c r="A440" s="51">
        <f>IF(C440="","",IFERROR(IF(SUMPRODUCT(MAX((tbl_Finance[Job Number]=C440&amp;"")*tbl_Finance[Date]))=0,"",SUMPRODUCT(MAX((tbl_Finance[Job Number]=C440&amp;"")*tbl_Finance[Date]))),""))</f>
        <v/>
      </c>
      <c r="B440" s="15">
        <f>IF(A440="","",IFERROR(LOOKUP(2,1/((tbl_Finance[Job Number]=C440&amp;"")*(tbl_Finance[Date]=A440)),tbl_Finance[Xero Invoice No]),""))</f>
        <v/>
      </c>
      <c r="C440" s="14" t="n"/>
      <c r="D440" s="15">
        <f>IF(C440="","",IF(COUNTIF(lst_Jobs,C440&amp;"")&gt;0,"OK","CHECK"))</f>
        <v/>
      </c>
      <c r="E440" s="15">
        <f>IF(C440="","",IFERROR(INDEX(lst_JobName,MATCH(C440&amp;"",lst_Jobs,0)),""))</f>
        <v/>
      </c>
      <c r="F440" s="15">
        <f>IF(C440="","",IFERROR(INDEX(tbl_Finance[Client],MATCH(C440&amp;"",tbl_Finance[Job Number],0)),""))</f>
        <v/>
      </c>
      <c r="G440" s="52">
        <f>IF(C440="","",COUNTIFS(tbl_Finance[Job Number],C440&amp;"",tbl_Finance[Ex GST],"&lt;&gt;"))</f>
        <v/>
      </c>
      <c r="H440" s="17">
        <f>IF(C440="","",SUMIFS(tbl_Finance[Ex GST],tbl_Finance[Job Number],C440&amp;""))</f>
        <v/>
      </c>
      <c r="I440" s="15">
        <f>IF(C440="","",IFERROR(INDEX(tbl_Finance[Cost Centre],MATCH(C440&amp;"",tbl_Finance[Job Number],0)),"not invoiced yet"))</f>
        <v/>
      </c>
      <c r="J440" s="12" t="n"/>
      <c r="K440" s="14" t="n"/>
      <c r="L440" s="15">
        <f>IF(OR(K440="",set_RMSBase=""),"",HYPERLINK(set_RMSBase&amp;K440,"Open "&amp;K440))</f>
        <v/>
      </c>
      <c r="M440" s="15">
        <f>IF(C440="","",C440)</f>
        <v/>
      </c>
      <c r="N440" s="14" t="n"/>
      <c r="O440" s="16" t="n"/>
      <c r="P440" s="17">
        <f>IF(C440="","",H440+N(O440))</f>
        <v/>
      </c>
      <c r="Q440" s="54">
        <f>IFERROR(O440/P440,"")</f>
        <v/>
      </c>
      <c r="R440" s="16" t="n"/>
      <c r="S440" s="16" t="n"/>
      <c r="T440" s="17">
        <f>IF(C440="","",N(R440)+N(S440))</f>
        <v/>
      </c>
      <c r="U440" s="17">
        <f>IF(C440="","",H440-T440)</f>
        <v/>
      </c>
      <c r="V440" s="54">
        <f>IFERROR(U440/H440,"")</f>
        <v/>
      </c>
      <c r="W440" s="53" t="n"/>
      <c r="X440" s="53" t="n"/>
      <c r="Y440" s="53" t="n"/>
      <c r="Z440" s="53" t="n"/>
      <c r="AA440" s="53" t="n"/>
      <c r="AB440" s="14" t="n"/>
    </row>
    <row r="441" ht="15" customHeight="1">
      <c r="A441" s="51">
        <f>IF(C441="","",IFERROR(IF(SUMPRODUCT(MAX((tbl_Finance[Job Number]=C441&amp;"")*tbl_Finance[Date]))=0,"",SUMPRODUCT(MAX((tbl_Finance[Job Number]=C441&amp;"")*tbl_Finance[Date]))),""))</f>
        <v/>
      </c>
      <c r="B441" s="15">
        <f>IF(A441="","",IFERROR(LOOKUP(2,1/((tbl_Finance[Job Number]=C441&amp;"")*(tbl_Finance[Date]=A441)),tbl_Finance[Xero Invoice No]),""))</f>
        <v/>
      </c>
      <c r="C441" s="14" t="n"/>
      <c r="D441" s="15">
        <f>IF(C441="","",IF(COUNTIF(lst_Jobs,C441&amp;"")&gt;0,"OK","CHECK"))</f>
        <v/>
      </c>
      <c r="E441" s="15">
        <f>IF(C441="","",IFERROR(INDEX(lst_JobName,MATCH(C441&amp;"",lst_Jobs,0)),""))</f>
        <v/>
      </c>
      <c r="F441" s="15">
        <f>IF(C441="","",IFERROR(INDEX(tbl_Finance[Client],MATCH(C441&amp;"",tbl_Finance[Job Number],0)),""))</f>
        <v/>
      </c>
      <c r="G441" s="52">
        <f>IF(C441="","",COUNTIFS(tbl_Finance[Job Number],C441&amp;"",tbl_Finance[Ex GST],"&lt;&gt;"))</f>
        <v/>
      </c>
      <c r="H441" s="17">
        <f>IF(C441="","",SUMIFS(tbl_Finance[Ex GST],tbl_Finance[Job Number],C441&amp;""))</f>
        <v/>
      </c>
      <c r="I441" s="15">
        <f>IF(C441="","",IFERROR(INDEX(tbl_Finance[Cost Centre],MATCH(C441&amp;"",tbl_Finance[Job Number],0)),"not invoiced yet"))</f>
        <v/>
      </c>
      <c r="J441" s="12" t="n"/>
      <c r="K441" s="14" t="n"/>
      <c r="L441" s="15">
        <f>IF(OR(K441="",set_RMSBase=""),"",HYPERLINK(set_RMSBase&amp;K441,"Open "&amp;K441))</f>
        <v/>
      </c>
      <c r="M441" s="15">
        <f>IF(C441="","",C441)</f>
        <v/>
      </c>
      <c r="N441" s="14" t="n"/>
      <c r="O441" s="16" t="n"/>
      <c r="P441" s="17">
        <f>IF(C441="","",H441+N(O441))</f>
        <v/>
      </c>
      <c r="Q441" s="54">
        <f>IFERROR(O441/P441,"")</f>
        <v/>
      </c>
      <c r="R441" s="16" t="n"/>
      <c r="S441" s="16" t="n"/>
      <c r="T441" s="17">
        <f>IF(C441="","",N(R441)+N(S441))</f>
        <v/>
      </c>
      <c r="U441" s="17">
        <f>IF(C441="","",H441-T441)</f>
        <v/>
      </c>
      <c r="V441" s="54">
        <f>IFERROR(U441/H441,"")</f>
        <v/>
      </c>
      <c r="W441" s="53" t="n"/>
      <c r="X441" s="53" t="n"/>
      <c r="Y441" s="53" t="n"/>
      <c r="Z441" s="53" t="n"/>
      <c r="AA441" s="53" t="n"/>
      <c r="AB441" s="14" t="n"/>
    </row>
    <row r="442" ht="15" customHeight="1">
      <c r="A442" s="51">
        <f>IF(C442="","",IFERROR(IF(SUMPRODUCT(MAX((tbl_Finance[Job Number]=C442&amp;"")*tbl_Finance[Date]))=0,"",SUMPRODUCT(MAX((tbl_Finance[Job Number]=C442&amp;"")*tbl_Finance[Date]))),""))</f>
        <v/>
      </c>
      <c r="B442" s="15">
        <f>IF(A442="","",IFERROR(LOOKUP(2,1/((tbl_Finance[Job Number]=C442&amp;"")*(tbl_Finance[Date]=A442)),tbl_Finance[Xero Invoice No]),""))</f>
        <v/>
      </c>
      <c r="C442" s="14" t="n"/>
      <c r="D442" s="15">
        <f>IF(C442="","",IF(COUNTIF(lst_Jobs,C442&amp;"")&gt;0,"OK","CHECK"))</f>
        <v/>
      </c>
      <c r="E442" s="15">
        <f>IF(C442="","",IFERROR(INDEX(lst_JobName,MATCH(C442&amp;"",lst_Jobs,0)),""))</f>
        <v/>
      </c>
      <c r="F442" s="15">
        <f>IF(C442="","",IFERROR(INDEX(tbl_Finance[Client],MATCH(C442&amp;"",tbl_Finance[Job Number],0)),""))</f>
        <v/>
      </c>
      <c r="G442" s="52">
        <f>IF(C442="","",COUNTIFS(tbl_Finance[Job Number],C442&amp;"",tbl_Finance[Ex GST],"&lt;&gt;"))</f>
        <v/>
      </c>
      <c r="H442" s="17">
        <f>IF(C442="","",SUMIFS(tbl_Finance[Ex GST],tbl_Finance[Job Number],C442&amp;""))</f>
        <v/>
      </c>
      <c r="I442" s="15">
        <f>IF(C442="","",IFERROR(INDEX(tbl_Finance[Cost Centre],MATCH(C442&amp;"",tbl_Finance[Job Number],0)),"not invoiced yet"))</f>
        <v/>
      </c>
      <c r="J442" s="12" t="n"/>
      <c r="K442" s="14" t="n"/>
      <c r="L442" s="15">
        <f>IF(OR(K442="",set_RMSBase=""),"",HYPERLINK(set_RMSBase&amp;K442,"Open "&amp;K442))</f>
        <v/>
      </c>
      <c r="M442" s="15">
        <f>IF(C442="","",C442)</f>
        <v/>
      </c>
      <c r="N442" s="14" t="n"/>
      <c r="O442" s="16" t="n"/>
      <c r="P442" s="17">
        <f>IF(C442="","",H442+N(O442))</f>
        <v/>
      </c>
      <c r="Q442" s="54">
        <f>IFERROR(O442/P442,"")</f>
        <v/>
      </c>
      <c r="R442" s="16" t="n"/>
      <c r="S442" s="16" t="n"/>
      <c r="T442" s="17">
        <f>IF(C442="","",N(R442)+N(S442))</f>
        <v/>
      </c>
      <c r="U442" s="17">
        <f>IF(C442="","",H442-T442)</f>
        <v/>
      </c>
      <c r="V442" s="54">
        <f>IFERROR(U442/H442,"")</f>
        <v/>
      </c>
      <c r="W442" s="53" t="n"/>
      <c r="X442" s="53" t="n"/>
      <c r="Y442" s="53" t="n"/>
      <c r="Z442" s="53" t="n"/>
      <c r="AA442" s="53" t="n"/>
      <c r="AB442" s="14" t="n"/>
    </row>
    <row r="443" ht="15" customHeight="1">
      <c r="A443" s="51">
        <f>IF(C443="","",IFERROR(IF(SUMPRODUCT(MAX((tbl_Finance[Job Number]=C443&amp;"")*tbl_Finance[Date]))=0,"",SUMPRODUCT(MAX((tbl_Finance[Job Number]=C443&amp;"")*tbl_Finance[Date]))),""))</f>
        <v/>
      </c>
      <c r="B443" s="15">
        <f>IF(A443="","",IFERROR(LOOKUP(2,1/((tbl_Finance[Job Number]=C443&amp;"")*(tbl_Finance[Date]=A443)),tbl_Finance[Xero Invoice No]),""))</f>
        <v/>
      </c>
      <c r="C443" s="14" t="n"/>
      <c r="D443" s="15">
        <f>IF(C443="","",IF(COUNTIF(lst_Jobs,C443&amp;"")&gt;0,"OK","CHECK"))</f>
        <v/>
      </c>
      <c r="E443" s="15">
        <f>IF(C443="","",IFERROR(INDEX(lst_JobName,MATCH(C443&amp;"",lst_Jobs,0)),""))</f>
        <v/>
      </c>
      <c r="F443" s="15">
        <f>IF(C443="","",IFERROR(INDEX(tbl_Finance[Client],MATCH(C443&amp;"",tbl_Finance[Job Number],0)),""))</f>
        <v/>
      </c>
      <c r="G443" s="52">
        <f>IF(C443="","",COUNTIFS(tbl_Finance[Job Number],C443&amp;"",tbl_Finance[Ex GST],"&lt;&gt;"))</f>
        <v/>
      </c>
      <c r="H443" s="17">
        <f>IF(C443="","",SUMIFS(tbl_Finance[Ex GST],tbl_Finance[Job Number],C443&amp;""))</f>
        <v/>
      </c>
      <c r="I443" s="15">
        <f>IF(C443="","",IFERROR(INDEX(tbl_Finance[Cost Centre],MATCH(C443&amp;"",tbl_Finance[Job Number],0)),"not invoiced yet"))</f>
        <v/>
      </c>
      <c r="J443" s="12" t="n"/>
      <c r="K443" s="14" t="n"/>
      <c r="L443" s="15">
        <f>IF(OR(K443="",set_RMSBase=""),"",HYPERLINK(set_RMSBase&amp;K443,"Open "&amp;K443))</f>
        <v/>
      </c>
      <c r="M443" s="15">
        <f>IF(C443="","",C443)</f>
        <v/>
      </c>
      <c r="N443" s="14" t="n"/>
      <c r="O443" s="16" t="n"/>
      <c r="P443" s="17">
        <f>IF(C443="","",H443+N(O443))</f>
        <v/>
      </c>
      <c r="Q443" s="54">
        <f>IFERROR(O443/P443,"")</f>
        <v/>
      </c>
      <c r="R443" s="16" t="n"/>
      <c r="S443" s="16" t="n"/>
      <c r="T443" s="17">
        <f>IF(C443="","",N(R443)+N(S443))</f>
        <v/>
      </c>
      <c r="U443" s="17">
        <f>IF(C443="","",H443-T443)</f>
        <v/>
      </c>
      <c r="V443" s="54">
        <f>IFERROR(U443/H443,"")</f>
        <v/>
      </c>
      <c r="W443" s="53" t="n"/>
      <c r="X443" s="53" t="n"/>
      <c r="Y443" s="53" t="n"/>
      <c r="Z443" s="53" t="n"/>
      <c r="AA443" s="53" t="n"/>
      <c r="AB443" s="14" t="n"/>
    </row>
    <row r="444" ht="15" customHeight="1">
      <c r="A444" s="51">
        <f>IF(C444="","",IFERROR(IF(SUMPRODUCT(MAX((tbl_Finance[Job Number]=C444&amp;"")*tbl_Finance[Date]))=0,"",SUMPRODUCT(MAX((tbl_Finance[Job Number]=C444&amp;"")*tbl_Finance[Date]))),""))</f>
        <v/>
      </c>
      <c r="B444" s="15">
        <f>IF(A444="","",IFERROR(LOOKUP(2,1/((tbl_Finance[Job Number]=C444&amp;"")*(tbl_Finance[Date]=A444)),tbl_Finance[Xero Invoice No]),""))</f>
        <v/>
      </c>
      <c r="C444" s="14" t="n"/>
      <c r="D444" s="15">
        <f>IF(C444="","",IF(COUNTIF(lst_Jobs,C444&amp;"")&gt;0,"OK","CHECK"))</f>
        <v/>
      </c>
      <c r="E444" s="15">
        <f>IF(C444="","",IFERROR(INDEX(lst_JobName,MATCH(C444&amp;"",lst_Jobs,0)),""))</f>
        <v/>
      </c>
      <c r="F444" s="15">
        <f>IF(C444="","",IFERROR(INDEX(tbl_Finance[Client],MATCH(C444&amp;"",tbl_Finance[Job Number],0)),""))</f>
        <v/>
      </c>
      <c r="G444" s="52">
        <f>IF(C444="","",COUNTIFS(tbl_Finance[Job Number],C444&amp;"",tbl_Finance[Ex GST],"&lt;&gt;"))</f>
        <v/>
      </c>
      <c r="H444" s="17">
        <f>IF(C444="","",SUMIFS(tbl_Finance[Ex GST],tbl_Finance[Job Number],C444&amp;""))</f>
        <v/>
      </c>
      <c r="I444" s="15">
        <f>IF(C444="","",IFERROR(INDEX(tbl_Finance[Cost Centre],MATCH(C444&amp;"",tbl_Finance[Job Number],0)),"not invoiced yet"))</f>
        <v/>
      </c>
      <c r="J444" s="12" t="n"/>
      <c r="K444" s="14" t="n"/>
      <c r="L444" s="15">
        <f>IF(OR(K444="",set_RMSBase=""),"",HYPERLINK(set_RMSBase&amp;K444,"Open "&amp;K444))</f>
        <v/>
      </c>
      <c r="M444" s="15">
        <f>IF(C444="","",C444)</f>
        <v/>
      </c>
      <c r="N444" s="14" t="n"/>
      <c r="O444" s="16" t="n"/>
      <c r="P444" s="17">
        <f>IF(C444="","",H444+N(O444))</f>
        <v/>
      </c>
      <c r="Q444" s="54">
        <f>IFERROR(O444/P444,"")</f>
        <v/>
      </c>
      <c r="R444" s="16" t="n"/>
      <c r="S444" s="16" t="n"/>
      <c r="T444" s="17">
        <f>IF(C444="","",N(R444)+N(S444))</f>
        <v/>
      </c>
      <c r="U444" s="17">
        <f>IF(C444="","",H444-T444)</f>
        <v/>
      </c>
      <c r="V444" s="54">
        <f>IFERROR(U444/H444,"")</f>
        <v/>
      </c>
      <c r="W444" s="53" t="n"/>
      <c r="X444" s="53" t="n"/>
      <c r="Y444" s="53" t="n"/>
      <c r="Z444" s="53" t="n"/>
      <c r="AA444" s="53" t="n"/>
      <c r="AB444" s="14" t="n"/>
    </row>
    <row r="445" ht="15" customHeight="1">
      <c r="A445" s="51">
        <f>IF(C445="","",IFERROR(IF(SUMPRODUCT(MAX((tbl_Finance[Job Number]=C445&amp;"")*tbl_Finance[Date]))=0,"",SUMPRODUCT(MAX((tbl_Finance[Job Number]=C445&amp;"")*tbl_Finance[Date]))),""))</f>
        <v/>
      </c>
      <c r="B445" s="15">
        <f>IF(A445="","",IFERROR(LOOKUP(2,1/((tbl_Finance[Job Number]=C445&amp;"")*(tbl_Finance[Date]=A445)),tbl_Finance[Xero Invoice No]),""))</f>
        <v/>
      </c>
      <c r="C445" s="14" t="n"/>
      <c r="D445" s="15">
        <f>IF(C445="","",IF(COUNTIF(lst_Jobs,C445&amp;"")&gt;0,"OK","CHECK"))</f>
        <v/>
      </c>
      <c r="E445" s="15">
        <f>IF(C445="","",IFERROR(INDEX(lst_JobName,MATCH(C445&amp;"",lst_Jobs,0)),""))</f>
        <v/>
      </c>
      <c r="F445" s="15">
        <f>IF(C445="","",IFERROR(INDEX(tbl_Finance[Client],MATCH(C445&amp;"",tbl_Finance[Job Number],0)),""))</f>
        <v/>
      </c>
      <c r="G445" s="52">
        <f>IF(C445="","",COUNTIFS(tbl_Finance[Job Number],C445&amp;"",tbl_Finance[Ex GST],"&lt;&gt;"))</f>
        <v/>
      </c>
      <c r="H445" s="17">
        <f>IF(C445="","",SUMIFS(tbl_Finance[Ex GST],tbl_Finance[Job Number],C445&amp;""))</f>
        <v/>
      </c>
      <c r="I445" s="15">
        <f>IF(C445="","",IFERROR(INDEX(tbl_Finance[Cost Centre],MATCH(C445&amp;"",tbl_Finance[Job Number],0)),"not invoiced yet"))</f>
        <v/>
      </c>
      <c r="J445" s="12" t="n"/>
      <c r="K445" s="14" t="n"/>
      <c r="L445" s="15">
        <f>IF(OR(K445="",set_RMSBase=""),"",HYPERLINK(set_RMSBase&amp;K445,"Open "&amp;K445))</f>
        <v/>
      </c>
      <c r="M445" s="15">
        <f>IF(C445="","",C445)</f>
        <v/>
      </c>
      <c r="N445" s="14" t="n"/>
      <c r="O445" s="16" t="n"/>
      <c r="P445" s="17">
        <f>IF(C445="","",H445+N(O445))</f>
        <v/>
      </c>
      <c r="Q445" s="54">
        <f>IFERROR(O445/P445,"")</f>
        <v/>
      </c>
      <c r="R445" s="16" t="n"/>
      <c r="S445" s="16" t="n"/>
      <c r="T445" s="17">
        <f>IF(C445="","",N(R445)+N(S445))</f>
        <v/>
      </c>
      <c r="U445" s="17">
        <f>IF(C445="","",H445-T445)</f>
        <v/>
      </c>
      <c r="V445" s="54">
        <f>IFERROR(U445/H445,"")</f>
        <v/>
      </c>
      <c r="W445" s="53" t="n"/>
      <c r="X445" s="53" t="n"/>
      <c r="Y445" s="53" t="n"/>
      <c r="Z445" s="53" t="n"/>
      <c r="AA445" s="53" t="n"/>
      <c r="AB445" s="14" t="n"/>
    </row>
    <row r="446" ht="15" customHeight="1">
      <c r="A446" s="51">
        <f>IF(C446="","",IFERROR(IF(SUMPRODUCT(MAX((tbl_Finance[Job Number]=C446&amp;"")*tbl_Finance[Date]))=0,"",SUMPRODUCT(MAX((tbl_Finance[Job Number]=C446&amp;"")*tbl_Finance[Date]))),""))</f>
        <v/>
      </c>
      <c r="B446" s="15">
        <f>IF(A446="","",IFERROR(LOOKUP(2,1/((tbl_Finance[Job Number]=C446&amp;"")*(tbl_Finance[Date]=A446)),tbl_Finance[Xero Invoice No]),""))</f>
        <v/>
      </c>
      <c r="C446" s="14" t="n"/>
      <c r="D446" s="15">
        <f>IF(C446="","",IF(COUNTIF(lst_Jobs,C446&amp;"")&gt;0,"OK","CHECK"))</f>
        <v/>
      </c>
      <c r="E446" s="15">
        <f>IF(C446="","",IFERROR(INDEX(lst_JobName,MATCH(C446&amp;"",lst_Jobs,0)),""))</f>
        <v/>
      </c>
      <c r="F446" s="15">
        <f>IF(C446="","",IFERROR(INDEX(tbl_Finance[Client],MATCH(C446&amp;"",tbl_Finance[Job Number],0)),""))</f>
        <v/>
      </c>
      <c r="G446" s="52">
        <f>IF(C446="","",COUNTIFS(tbl_Finance[Job Number],C446&amp;"",tbl_Finance[Ex GST],"&lt;&gt;"))</f>
        <v/>
      </c>
      <c r="H446" s="17">
        <f>IF(C446="","",SUMIFS(tbl_Finance[Ex GST],tbl_Finance[Job Number],C446&amp;""))</f>
        <v/>
      </c>
      <c r="I446" s="15">
        <f>IF(C446="","",IFERROR(INDEX(tbl_Finance[Cost Centre],MATCH(C446&amp;"",tbl_Finance[Job Number],0)),"not invoiced yet"))</f>
        <v/>
      </c>
      <c r="J446" s="12" t="n"/>
      <c r="K446" s="14" t="n"/>
      <c r="L446" s="15">
        <f>IF(OR(K446="",set_RMSBase=""),"",HYPERLINK(set_RMSBase&amp;K446,"Open "&amp;K446))</f>
        <v/>
      </c>
      <c r="M446" s="15">
        <f>IF(C446="","",C446)</f>
        <v/>
      </c>
      <c r="N446" s="14" t="n"/>
      <c r="O446" s="16" t="n"/>
      <c r="P446" s="17">
        <f>IF(C446="","",H446+N(O446))</f>
        <v/>
      </c>
      <c r="Q446" s="54">
        <f>IFERROR(O446/P446,"")</f>
        <v/>
      </c>
      <c r="R446" s="16" t="n"/>
      <c r="S446" s="16" t="n"/>
      <c r="T446" s="17">
        <f>IF(C446="","",N(R446)+N(S446))</f>
        <v/>
      </c>
      <c r="U446" s="17">
        <f>IF(C446="","",H446-T446)</f>
        <v/>
      </c>
      <c r="V446" s="54">
        <f>IFERROR(U446/H446,"")</f>
        <v/>
      </c>
      <c r="W446" s="53" t="n"/>
      <c r="X446" s="53" t="n"/>
      <c r="Y446" s="53" t="n"/>
      <c r="Z446" s="53" t="n"/>
      <c r="AA446" s="53" t="n"/>
      <c r="AB446" s="14" t="n"/>
    </row>
    <row r="447" ht="15" customHeight="1">
      <c r="A447" s="51">
        <f>IF(C447="","",IFERROR(IF(SUMPRODUCT(MAX((tbl_Finance[Job Number]=C447&amp;"")*tbl_Finance[Date]))=0,"",SUMPRODUCT(MAX((tbl_Finance[Job Number]=C447&amp;"")*tbl_Finance[Date]))),""))</f>
        <v/>
      </c>
      <c r="B447" s="15">
        <f>IF(A447="","",IFERROR(LOOKUP(2,1/((tbl_Finance[Job Number]=C447&amp;"")*(tbl_Finance[Date]=A447)),tbl_Finance[Xero Invoice No]),""))</f>
        <v/>
      </c>
      <c r="C447" s="14" t="n"/>
      <c r="D447" s="15">
        <f>IF(C447="","",IF(COUNTIF(lst_Jobs,C447&amp;"")&gt;0,"OK","CHECK"))</f>
        <v/>
      </c>
      <c r="E447" s="15">
        <f>IF(C447="","",IFERROR(INDEX(lst_JobName,MATCH(C447&amp;"",lst_Jobs,0)),""))</f>
        <v/>
      </c>
      <c r="F447" s="15">
        <f>IF(C447="","",IFERROR(INDEX(tbl_Finance[Client],MATCH(C447&amp;"",tbl_Finance[Job Number],0)),""))</f>
        <v/>
      </c>
      <c r="G447" s="52">
        <f>IF(C447="","",COUNTIFS(tbl_Finance[Job Number],C447&amp;"",tbl_Finance[Ex GST],"&lt;&gt;"))</f>
        <v/>
      </c>
      <c r="H447" s="17">
        <f>IF(C447="","",SUMIFS(tbl_Finance[Ex GST],tbl_Finance[Job Number],C447&amp;""))</f>
        <v/>
      </c>
      <c r="I447" s="15">
        <f>IF(C447="","",IFERROR(INDEX(tbl_Finance[Cost Centre],MATCH(C447&amp;"",tbl_Finance[Job Number],0)),"not invoiced yet"))</f>
        <v/>
      </c>
      <c r="J447" s="12" t="n"/>
      <c r="K447" s="14" t="n"/>
      <c r="L447" s="15">
        <f>IF(OR(K447="",set_RMSBase=""),"",HYPERLINK(set_RMSBase&amp;K447,"Open "&amp;K447))</f>
        <v/>
      </c>
      <c r="M447" s="15">
        <f>IF(C447="","",C447)</f>
        <v/>
      </c>
      <c r="N447" s="14" t="n"/>
      <c r="O447" s="16" t="n"/>
      <c r="P447" s="17">
        <f>IF(C447="","",H447+N(O447))</f>
        <v/>
      </c>
      <c r="Q447" s="54">
        <f>IFERROR(O447/P447,"")</f>
        <v/>
      </c>
      <c r="R447" s="16" t="n"/>
      <c r="S447" s="16" t="n"/>
      <c r="T447" s="17">
        <f>IF(C447="","",N(R447)+N(S447))</f>
        <v/>
      </c>
      <c r="U447" s="17">
        <f>IF(C447="","",H447-T447)</f>
        <v/>
      </c>
      <c r="V447" s="54">
        <f>IFERROR(U447/H447,"")</f>
        <v/>
      </c>
      <c r="W447" s="53" t="n"/>
      <c r="X447" s="53" t="n"/>
      <c r="Y447" s="53" t="n"/>
      <c r="Z447" s="53" t="n"/>
      <c r="AA447" s="53" t="n"/>
      <c r="AB447" s="14" t="n"/>
    </row>
    <row r="448" ht="15" customHeight="1">
      <c r="A448" s="51">
        <f>IF(C448="","",IFERROR(IF(SUMPRODUCT(MAX((tbl_Finance[Job Number]=C448&amp;"")*tbl_Finance[Date]))=0,"",SUMPRODUCT(MAX((tbl_Finance[Job Number]=C448&amp;"")*tbl_Finance[Date]))),""))</f>
        <v/>
      </c>
      <c r="B448" s="15">
        <f>IF(A448="","",IFERROR(LOOKUP(2,1/((tbl_Finance[Job Number]=C448&amp;"")*(tbl_Finance[Date]=A448)),tbl_Finance[Xero Invoice No]),""))</f>
        <v/>
      </c>
      <c r="C448" s="14" t="n"/>
      <c r="D448" s="15">
        <f>IF(C448="","",IF(COUNTIF(lst_Jobs,C448&amp;"")&gt;0,"OK","CHECK"))</f>
        <v/>
      </c>
      <c r="E448" s="15">
        <f>IF(C448="","",IFERROR(INDEX(lst_JobName,MATCH(C448&amp;"",lst_Jobs,0)),""))</f>
        <v/>
      </c>
      <c r="F448" s="15">
        <f>IF(C448="","",IFERROR(INDEX(tbl_Finance[Client],MATCH(C448&amp;"",tbl_Finance[Job Number],0)),""))</f>
        <v/>
      </c>
      <c r="G448" s="52">
        <f>IF(C448="","",COUNTIFS(tbl_Finance[Job Number],C448&amp;"",tbl_Finance[Ex GST],"&lt;&gt;"))</f>
        <v/>
      </c>
      <c r="H448" s="17">
        <f>IF(C448="","",SUMIFS(tbl_Finance[Ex GST],tbl_Finance[Job Number],C448&amp;""))</f>
        <v/>
      </c>
      <c r="I448" s="15">
        <f>IF(C448="","",IFERROR(INDEX(tbl_Finance[Cost Centre],MATCH(C448&amp;"",tbl_Finance[Job Number],0)),"not invoiced yet"))</f>
        <v/>
      </c>
      <c r="J448" s="12" t="n"/>
      <c r="K448" s="14" t="n"/>
      <c r="L448" s="15">
        <f>IF(OR(K448="",set_RMSBase=""),"",HYPERLINK(set_RMSBase&amp;K448,"Open "&amp;K448))</f>
        <v/>
      </c>
      <c r="M448" s="15">
        <f>IF(C448="","",C448)</f>
        <v/>
      </c>
      <c r="N448" s="14" t="n"/>
      <c r="O448" s="16" t="n"/>
      <c r="P448" s="17">
        <f>IF(C448="","",H448+N(O448))</f>
        <v/>
      </c>
      <c r="Q448" s="54">
        <f>IFERROR(O448/P448,"")</f>
        <v/>
      </c>
      <c r="R448" s="16" t="n"/>
      <c r="S448" s="16" t="n"/>
      <c r="T448" s="17">
        <f>IF(C448="","",N(R448)+N(S448))</f>
        <v/>
      </c>
      <c r="U448" s="17">
        <f>IF(C448="","",H448-T448)</f>
        <v/>
      </c>
      <c r="V448" s="54">
        <f>IFERROR(U448/H448,"")</f>
        <v/>
      </c>
      <c r="W448" s="53" t="n"/>
      <c r="X448" s="53" t="n"/>
      <c r="Y448" s="53" t="n"/>
      <c r="Z448" s="53" t="n"/>
      <c r="AA448" s="53" t="n"/>
      <c r="AB448" s="14" t="n"/>
    </row>
    <row r="449" ht="15" customHeight="1">
      <c r="A449" s="51">
        <f>IF(C449="","",IFERROR(IF(SUMPRODUCT(MAX((tbl_Finance[Job Number]=C449&amp;"")*tbl_Finance[Date]))=0,"",SUMPRODUCT(MAX((tbl_Finance[Job Number]=C449&amp;"")*tbl_Finance[Date]))),""))</f>
        <v/>
      </c>
      <c r="B449" s="15">
        <f>IF(A449="","",IFERROR(LOOKUP(2,1/((tbl_Finance[Job Number]=C449&amp;"")*(tbl_Finance[Date]=A449)),tbl_Finance[Xero Invoice No]),""))</f>
        <v/>
      </c>
      <c r="C449" s="14" t="n"/>
      <c r="D449" s="15">
        <f>IF(C449="","",IF(COUNTIF(lst_Jobs,C449&amp;"")&gt;0,"OK","CHECK"))</f>
        <v/>
      </c>
      <c r="E449" s="15">
        <f>IF(C449="","",IFERROR(INDEX(lst_JobName,MATCH(C449&amp;"",lst_Jobs,0)),""))</f>
        <v/>
      </c>
      <c r="F449" s="15">
        <f>IF(C449="","",IFERROR(INDEX(tbl_Finance[Client],MATCH(C449&amp;"",tbl_Finance[Job Number],0)),""))</f>
        <v/>
      </c>
      <c r="G449" s="52">
        <f>IF(C449="","",COUNTIFS(tbl_Finance[Job Number],C449&amp;"",tbl_Finance[Ex GST],"&lt;&gt;"))</f>
        <v/>
      </c>
      <c r="H449" s="17">
        <f>IF(C449="","",SUMIFS(tbl_Finance[Ex GST],tbl_Finance[Job Number],C449&amp;""))</f>
        <v/>
      </c>
      <c r="I449" s="15">
        <f>IF(C449="","",IFERROR(INDEX(tbl_Finance[Cost Centre],MATCH(C449&amp;"",tbl_Finance[Job Number],0)),"not invoiced yet"))</f>
        <v/>
      </c>
      <c r="J449" s="12" t="n"/>
      <c r="K449" s="14" t="n"/>
      <c r="L449" s="15">
        <f>IF(OR(K449="",set_RMSBase=""),"",HYPERLINK(set_RMSBase&amp;K449,"Open "&amp;K449))</f>
        <v/>
      </c>
      <c r="M449" s="15">
        <f>IF(C449="","",C449)</f>
        <v/>
      </c>
      <c r="N449" s="14" t="n"/>
      <c r="O449" s="16" t="n"/>
      <c r="P449" s="17">
        <f>IF(C449="","",H449+N(O449))</f>
        <v/>
      </c>
      <c r="Q449" s="54">
        <f>IFERROR(O449/P449,"")</f>
        <v/>
      </c>
      <c r="R449" s="16" t="n"/>
      <c r="S449" s="16" t="n"/>
      <c r="T449" s="17">
        <f>IF(C449="","",N(R449)+N(S449))</f>
        <v/>
      </c>
      <c r="U449" s="17">
        <f>IF(C449="","",H449-T449)</f>
        <v/>
      </c>
      <c r="V449" s="54">
        <f>IFERROR(U449/H449,"")</f>
        <v/>
      </c>
      <c r="W449" s="53" t="n"/>
      <c r="X449" s="53" t="n"/>
      <c r="Y449" s="53" t="n"/>
      <c r="Z449" s="53" t="n"/>
      <c r="AA449" s="53" t="n"/>
      <c r="AB449" s="14" t="n"/>
    </row>
    <row r="450" ht="15" customHeight="1">
      <c r="A450" s="51">
        <f>IF(C450="","",IFERROR(IF(SUMPRODUCT(MAX((tbl_Finance[Job Number]=C450&amp;"")*tbl_Finance[Date]))=0,"",SUMPRODUCT(MAX((tbl_Finance[Job Number]=C450&amp;"")*tbl_Finance[Date]))),""))</f>
        <v/>
      </c>
      <c r="B450" s="15">
        <f>IF(A450="","",IFERROR(LOOKUP(2,1/((tbl_Finance[Job Number]=C450&amp;"")*(tbl_Finance[Date]=A450)),tbl_Finance[Xero Invoice No]),""))</f>
        <v/>
      </c>
      <c r="C450" s="14" t="n"/>
      <c r="D450" s="15">
        <f>IF(C450="","",IF(COUNTIF(lst_Jobs,C450&amp;"")&gt;0,"OK","CHECK"))</f>
        <v/>
      </c>
      <c r="E450" s="15">
        <f>IF(C450="","",IFERROR(INDEX(lst_JobName,MATCH(C450&amp;"",lst_Jobs,0)),""))</f>
        <v/>
      </c>
      <c r="F450" s="15">
        <f>IF(C450="","",IFERROR(INDEX(tbl_Finance[Client],MATCH(C450&amp;"",tbl_Finance[Job Number],0)),""))</f>
        <v/>
      </c>
      <c r="G450" s="52">
        <f>IF(C450="","",COUNTIFS(tbl_Finance[Job Number],C450&amp;"",tbl_Finance[Ex GST],"&lt;&gt;"))</f>
        <v/>
      </c>
      <c r="H450" s="17">
        <f>IF(C450="","",SUMIFS(tbl_Finance[Ex GST],tbl_Finance[Job Number],C450&amp;""))</f>
        <v/>
      </c>
      <c r="I450" s="15">
        <f>IF(C450="","",IFERROR(INDEX(tbl_Finance[Cost Centre],MATCH(C450&amp;"",tbl_Finance[Job Number],0)),"not invoiced yet"))</f>
        <v/>
      </c>
      <c r="J450" s="12" t="n"/>
      <c r="K450" s="14" t="n"/>
      <c r="L450" s="15">
        <f>IF(OR(K450="",set_RMSBase=""),"",HYPERLINK(set_RMSBase&amp;K450,"Open "&amp;K450))</f>
        <v/>
      </c>
      <c r="M450" s="15">
        <f>IF(C450="","",C450)</f>
        <v/>
      </c>
      <c r="N450" s="14" t="n"/>
      <c r="O450" s="16" t="n"/>
      <c r="P450" s="17">
        <f>IF(C450="","",H450+N(O450))</f>
        <v/>
      </c>
      <c r="Q450" s="54">
        <f>IFERROR(O450/P450,"")</f>
        <v/>
      </c>
      <c r="R450" s="16" t="n"/>
      <c r="S450" s="16" t="n"/>
      <c r="T450" s="17">
        <f>IF(C450="","",N(R450)+N(S450))</f>
        <v/>
      </c>
      <c r="U450" s="17">
        <f>IF(C450="","",H450-T450)</f>
        <v/>
      </c>
      <c r="V450" s="54">
        <f>IFERROR(U450/H450,"")</f>
        <v/>
      </c>
      <c r="W450" s="53" t="n"/>
      <c r="X450" s="53" t="n"/>
      <c r="Y450" s="53" t="n"/>
      <c r="Z450" s="53" t="n"/>
      <c r="AA450" s="53" t="n"/>
      <c r="AB450" s="14" t="n"/>
    </row>
    <row r="451" ht="15" customHeight="1">
      <c r="A451" s="51">
        <f>IF(C451="","",IFERROR(IF(SUMPRODUCT(MAX((tbl_Finance[Job Number]=C451&amp;"")*tbl_Finance[Date]))=0,"",SUMPRODUCT(MAX((tbl_Finance[Job Number]=C451&amp;"")*tbl_Finance[Date]))),""))</f>
        <v/>
      </c>
      <c r="B451" s="15">
        <f>IF(A451="","",IFERROR(LOOKUP(2,1/((tbl_Finance[Job Number]=C451&amp;"")*(tbl_Finance[Date]=A451)),tbl_Finance[Xero Invoice No]),""))</f>
        <v/>
      </c>
      <c r="C451" s="14" t="n"/>
      <c r="D451" s="15">
        <f>IF(C451="","",IF(COUNTIF(lst_Jobs,C451&amp;"")&gt;0,"OK","CHECK"))</f>
        <v/>
      </c>
      <c r="E451" s="15">
        <f>IF(C451="","",IFERROR(INDEX(lst_JobName,MATCH(C451&amp;"",lst_Jobs,0)),""))</f>
        <v/>
      </c>
      <c r="F451" s="15">
        <f>IF(C451="","",IFERROR(INDEX(tbl_Finance[Client],MATCH(C451&amp;"",tbl_Finance[Job Number],0)),""))</f>
        <v/>
      </c>
      <c r="G451" s="52">
        <f>IF(C451="","",COUNTIFS(tbl_Finance[Job Number],C451&amp;"",tbl_Finance[Ex GST],"&lt;&gt;"))</f>
        <v/>
      </c>
      <c r="H451" s="17">
        <f>IF(C451="","",SUMIFS(tbl_Finance[Ex GST],tbl_Finance[Job Number],C451&amp;""))</f>
        <v/>
      </c>
      <c r="I451" s="15">
        <f>IF(C451="","",IFERROR(INDEX(tbl_Finance[Cost Centre],MATCH(C451&amp;"",tbl_Finance[Job Number],0)),"not invoiced yet"))</f>
        <v/>
      </c>
      <c r="J451" s="12" t="n"/>
      <c r="K451" s="14" t="n"/>
      <c r="L451" s="15">
        <f>IF(OR(K451="",set_RMSBase=""),"",HYPERLINK(set_RMSBase&amp;K451,"Open "&amp;K451))</f>
        <v/>
      </c>
      <c r="M451" s="15">
        <f>IF(C451="","",C451)</f>
        <v/>
      </c>
      <c r="N451" s="14" t="n"/>
      <c r="O451" s="16" t="n"/>
      <c r="P451" s="17">
        <f>IF(C451="","",H451+N(O451))</f>
        <v/>
      </c>
      <c r="Q451" s="54">
        <f>IFERROR(O451/P451,"")</f>
        <v/>
      </c>
      <c r="R451" s="16" t="n"/>
      <c r="S451" s="16" t="n"/>
      <c r="T451" s="17">
        <f>IF(C451="","",N(R451)+N(S451))</f>
        <v/>
      </c>
      <c r="U451" s="17">
        <f>IF(C451="","",H451-T451)</f>
        <v/>
      </c>
      <c r="V451" s="54">
        <f>IFERROR(U451/H451,"")</f>
        <v/>
      </c>
      <c r="W451" s="53" t="n"/>
      <c r="X451" s="53" t="n"/>
      <c r="Y451" s="53" t="n"/>
      <c r="Z451" s="53" t="n"/>
      <c r="AA451" s="53" t="n"/>
      <c r="AB451" s="14" t="n"/>
    </row>
    <row r="452" ht="15" customHeight="1">
      <c r="A452" s="51">
        <f>IF(C452="","",IFERROR(IF(SUMPRODUCT(MAX((tbl_Finance[Job Number]=C452&amp;"")*tbl_Finance[Date]))=0,"",SUMPRODUCT(MAX((tbl_Finance[Job Number]=C452&amp;"")*tbl_Finance[Date]))),""))</f>
        <v/>
      </c>
      <c r="B452" s="15">
        <f>IF(A452="","",IFERROR(LOOKUP(2,1/((tbl_Finance[Job Number]=C452&amp;"")*(tbl_Finance[Date]=A452)),tbl_Finance[Xero Invoice No]),""))</f>
        <v/>
      </c>
      <c r="C452" s="14" t="n"/>
      <c r="D452" s="15">
        <f>IF(C452="","",IF(COUNTIF(lst_Jobs,C452&amp;"")&gt;0,"OK","CHECK"))</f>
        <v/>
      </c>
      <c r="E452" s="15">
        <f>IF(C452="","",IFERROR(INDEX(lst_JobName,MATCH(C452&amp;"",lst_Jobs,0)),""))</f>
        <v/>
      </c>
      <c r="F452" s="15">
        <f>IF(C452="","",IFERROR(INDEX(tbl_Finance[Client],MATCH(C452&amp;"",tbl_Finance[Job Number],0)),""))</f>
        <v/>
      </c>
      <c r="G452" s="52">
        <f>IF(C452="","",COUNTIFS(tbl_Finance[Job Number],C452&amp;"",tbl_Finance[Ex GST],"&lt;&gt;"))</f>
        <v/>
      </c>
      <c r="H452" s="17">
        <f>IF(C452="","",SUMIFS(tbl_Finance[Ex GST],tbl_Finance[Job Number],C452&amp;""))</f>
        <v/>
      </c>
      <c r="I452" s="15">
        <f>IF(C452="","",IFERROR(INDEX(tbl_Finance[Cost Centre],MATCH(C452&amp;"",tbl_Finance[Job Number],0)),"not invoiced yet"))</f>
        <v/>
      </c>
      <c r="J452" s="12" t="n"/>
      <c r="K452" s="14" t="n"/>
      <c r="L452" s="15">
        <f>IF(OR(K452="",set_RMSBase=""),"",HYPERLINK(set_RMSBase&amp;K452,"Open "&amp;K452))</f>
        <v/>
      </c>
      <c r="M452" s="15">
        <f>IF(C452="","",C452)</f>
        <v/>
      </c>
      <c r="N452" s="14" t="n"/>
      <c r="O452" s="16" t="n"/>
      <c r="P452" s="17">
        <f>IF(C452="","",H452+N(O452))</f>
        <v/>
      </c>
      <c r="Q452" s="54">
        <f>IFERROR(O452/P452,"")</f>
        <v/>
      </c>
      <c r="R452" s="16" t="n"/>
      <c r="S452" s="16" t="n"/>
      <c r="T452" s="17">
        <f>IF(C452="","",N(R452)+N(S452))</f>
        <v/>
      </c>
      <c r="U452" s="17">
        <f>IF(C452="","",H452-T452)</f>
        <v/>
      </c>
      <c r="V452" s="54">
        <f>IFERROR(U452/H452,"")</f>
        <v/>
      </c>
      <c r="W452" s="53" t="n"/>
      <c r="X452" s="53" t="n"/>
      <c r="Y452" s="53" t="n"/>
      <c r="Z452" s="53" t="n"/>
      <c r="AA452" s="53" t="n"/>
      <c r="AB452" s="14" t="n"/>
    </row>
    <row r="453" ht="15" customHeight="1">
      <c r="A453" s="51">
        <f>IF(C453="","",IFERROR(IF(SUMPRODUCT(MAX((tbl_Finance[Job Number]=C453&amp;"")*tbl_Finance[Date]))=0,"",SUMPRODUCT(MAX((tbl_Finance[Job Number]=C453&amp;"")*tbl_Finance[Date]))),""))</f>
        <v/>
      </c>
      <c r="B453" s="15">
        <f>IF(A453="","",IFERROR(LOOKUP(2,1/((tbl_Finance[Job Number]=C453&amp;"")*(tbl_Finance[Date]=A453)),tbl_Finance[Xero Invoice No]),""))</f>
        <v/>
      </c>
      <c r="C453" s="14" t="n"/>
      <c r="D453" s="15">
        <f>IF(C453="","",IF(COUNTIF(lst_Jobs,C453&amp;"")&gt;0,"OK","CHECK"))</f>
        <v/>
      </c>
      <c r="E453" s="15">
        <f>IF(C453="","",IFERROR(INDEX(lst_JobName,MATCH(C453&amp;"",lst_Jobs,0)),""))</f>
        <v/>
      </c>
      <c r="F453" s="15">
        <f>IF(C453="","",IFERROR(INDEX(tbl_Finance[Client],MATCH(C453&amp;"",tbl_Finance[Job Number],0)),""))</f>
        <v/>
      </c>
      <c r="G453" s="52">
        <f>IF(C453="","",COUNTIFS(tbl_Finance[Job Number],C453&amp;"",tbl_Finance[Ex GST],"&lt;&gt;"))</f>
        <v/>
      </c>
      <c r="H453" s="17">
        <f>IF(C453="","",SUMIFS(tbl_Finance[Ex GST],tbl_Finance[Job Number],C453&amp;""))</f>
        <v/>
      </c>
      <c r="I453" s="15">
        <f>IF(C453="","",IFERROR(INDEX(tbl_Finance[Cost Centre],MATCH(C453&amp;"",tbl_Finance[Job Number],0)),"not invoiced yet"))</f>
        <v/>
      </c>
      <c r="J453" s="12" t="n"/>
      <c r="K453" s="14" t="n"/>
      <c r="L453" s="15">
        <f>IF(OR(K453="",set_RMSBase=""),"",HYPERLINK(set_RMSBase&amp;K453,"Open "&amp;K453))</f>
        <v/>
      </c>
      <c r="M453" s="15">
        <f>IF(C453="","",C453)</f>
        <v/>
      </c>
      <c r="N453" s="14" t="n"/>
      <c r="O453" s="16" t="n"/>
      <c r="P453" s="17">
        <f>IF(C453="","",H453+N(O453))</f>
        <v/>
      </c>
      <c r="Q453" s="54">
        <f>IFERROR(O453/P453,"")</f>
        <v/>
      </c>
      <c r="R453" s="16" t="n"/>
      <c r="S453" s="16" t="n"/>
      <c r="T453" s="17">
        <f>IF(C453="","",N(R453)+N(S453))</f>
        <v/>
      </c>
      <c r="U453" s="17">
        <f>IF(C453="","",H453-T453)</f>
        <v/>
      </c>
      <c r="V453" s="54">
        <f>IFERROR(U453/H453,"")</f>
        <v/>
      </c>
      <c r="W453" s="53" t="n"/>
      <c r="X453" s="53" t="n"/>
      <c r="Y453" s="53" t="n"/>
      <c r="Z453" s="53" t="n"/>
      <c r="AA453" s="53" t="n"/>
      <c r="AB453" s="14" t="n"/>
    </row>
    <row r="454" ht="15" customHeight="1">
      <c r="A454" s="51">
        <f>IF(C454="","",IFERROR(IF(SUMPRODUCT(MAX((tbl_Finance[Job Number]=C454&amp;"")*tbl_Finance[Date]))=0,"",SUMPRODUCT(MAX((tbl_Finance[Job Number]=C454&amp;"")*tbl_Finance[Date]))),""))</f>
        <v/>
      </c>
      <c r="B454" s="15">
        <f>IF(A454="","",IFERROR(LOOKUP(2,1/((tbl_Finance[Job Number]=C454&amp;"")*(tbl_Finance[Date]=A454)),tbl_Finance[Xero Invoice No]),""))</f>
        <v/>
      </c>
      <c r="C454" s="14" t="n"/>
      <c r="D454" s="15">
        <f>IF(C454="","",IF(COUNTIF(lst_Jobs,C454&amp;"")&gt;0,"OK","CHECK"))</f>
        <v/>
      </c>
      <c r="E454" s="15">
        <f>IF(C454="","",IFERROR(INDEX(lst_JobName,MATCH(C454&amp;"",lst_Jobs,0)),""))</f>
        <v/>
      </c>
      <c r="F454" s="15">
        <f>IF(C454="","",IFERROR(INDEX(tbl_Finance[Client],MATCH(C454&amp;"",tbl_Finance[Job Number],0)),""))</f>
        <v/>
      </c>
      <c r="G454" s="52">
        <f>IF(C454="","",COUNTIFS(tbl_Finance[Job Number],C454&amp;"",tbl_Finance[Ex GST],"&lt;&gt;"))</f>
        <v/>
      </c>
      <c r="H454" s="17">
        <f>IF(C454="","",SUMIFS(tbl_Finance[Ex GST],tbl_Finance[Job Number],C454&amp;""))</f>
        <v/>
      </c>
      <c r="I454" s="15">
        <f>IF(C454="","",IFERROR(INDEX(tbl_Finance[Cost Centre],MATCH(C454&amp;"",tbl_Finance[Job Number],0)),"not invoiced yet"))</f>
        <v/>
      </c>
      <c r="J454" s="12" t="n"/>
      <c r="K454" s="14" t="n"/>
      <c r="L454" s="15">
        <f>IF(OR(K454="",set_RMSBase=""),"",HYPERLINK(set_RMSBase&amp;K454,"Open "&amp;K454))</f>
        <v/>
      </c>
      <c r="M454" s="15">
        <f>IF(C454="","",C454)</f>
        <v/>
      </c>
      <c r="N454" s="14" t="n"/>
      <c r="O454" s="16" t="n"/>
      <c r="P454" s="17">
        <f>IF(C454="","",H454+N(O454))</f>
        <v/>
      </c>
      <c r="Q454" s="54">
        <f>IFERROR(O454/P454,"")</f>
        <v/>
      </c>
      <c r="R454" s="16" t="n"/>
      <c r="S454" s="16" t="n"/>
      <c r="T454" s="17">
        <f>IF(C454="","",N(R454)+N(S454))</f>
        <v/>
      </c>
      <c r="U454" s="17">
        <f>IF(C454="","",H454-T454)</f>
        <v/>
      </c>
      <c r="V454" s="54">
        <f>IFERROR(U454/H454,"")</f>
        <v/>
      </c>
      <c r="W454" s="53" t="n"/>
      <c r="X454" s="53" t="n"/>
      <c r="Y454" s="53" t="n"/>
      <c r="Z454" s="53" t="n"/>
      <c r="AA454" s="53" t="n"/>
      <c r="AB454" s="14" t="n"/>
    </row>
    <row r="455" ht="15" customHeight="1">
      <c r="A455" s="51">
        <f>IF(C455="","",IFERROR(IF(SUMPRODUCT(MAX((tbl_Finance[Job Number]=C455&amp;"")*tbl_Finance[Date]))=0,"",SUMPRODUCT(MAX((tbl_Finance[Job Number]=C455&amp;"")*tbl_Finance[Date]))),""))</f>
        <v/>
      </c>
      <c r="B455" s="15">
        <f>IF(A455="","",IFERROR(LOOKUP(2,1/((tbl_Finance[Job Number]=C455&amp;"")*(tbl_Finance[Date]=A455)),tbl_Finance[Xero Invoice No]),""))</f>
        <v/>
      </c>
      <c r="C455" s="14" t="n"/>
      <c r="D455" s="15">
        <f>IF(C455="","",IF(COUNTIF(lst_Jobs,C455&amp;"")&gt;0,"OK","CHECK"))</f>
        <v/>
      </c>
      <c r="E455" s="15">
        <f>IF(C455="","",IFERROR(INDEX(lst_JobName,MATCH(C455&amp;"",lst_Jobs,0)),""))</f>
        <v/>
      </c>
      <c r="F455" s="15">
        <f>IF(C455="","",IFERROR(INDEX(tbl_Finance[Client],MATCH(C455&amp;"",tbl_Finance[Job Number],0)),""))</f>
        <v/>
      </c>
      <c r="G455" s="52">
        <f>IF(C455="","",COUNTIFS(tbl_Finance[Job Number],C455&amp;"",tbl_Finance[Ex GST],"&lt;&gt;"))</f>
        <v/>
      </c>
      <c r="H455" s="17">
        <f>IF(C455="","",SUMIFS(tbl_Finance[Ex GST],tbl_Finance[Job Number],C455&amp;""))</f>
        <v/>
      </c>
      <c r="I455" s="15">
        <f>IF(C455="","",IFERROR(INDEX(tbl_Finance[Cost Centre],MATCH(C455&amp;"",tbl_Finance[Job Number],0)),"not invoiced yet"))</f>
        <v/>
      </c>
      <c r="J455" s="12" t="n"/>
      <c r="K455" s="14" t="n"/>
      <c r="L455" s="15">
        <f>IF(OR(K455="",set_RMSBase=""),"",HYPERLINK(set_RMSBase&amp;K455,"Open "&amp;K455))</f>
        <v/>
      </c>
      <c r="M455" s="15">
        <f>IF(C455="","",C455)</f>
        <v/>
      </c>
      <c r="N455" s="14" t="n"/>
      <c r="O455" s="16" t="n"/>
      <c r="P455" s="17">
        <f>IF(C455="","",H455+N(O455))</f>
        <v/>
      </c>
      <c r="Q455" s="54">
        <f>IFERROR(O455/P455,"")</f>
        <v/>
      </c>
      <c r="R455" s="16" t="n"/>
      <c r="S455" s="16" t="n"/>
      <c r="T455" s="17">
        <f>IF(C455="","",N(R455)+N(S455))</f>
        <v/>
      </c>
      <c r="U455" s="17">
        <f>IF(C455="","",H455-T455)</f>
        <v/>
      </c>
      <c r="V455" s="54">
        <f>IFERROR(U455/H455,"")</f>
        <v/>
      </c>
      <c r="W455" s="53" t="n"/>
      <c r="X455" s="53" t="n"/>
      <c r="Y455" s="53" t="n"/>
      <c r="Z455" s="53" t="n"/>
      <c r="AA455" s="53" t="n"/>
      <c r="AB455" s="14" t="n"/>
    </row>
    <row r="456" ht="15" customHeight="1">
      <c r="A456" s="51">
        <f>IF(C456="","",IFERROR(IF(SUMPRODUCT(MAX((tbl_Finance[Job Number]=C456&amp;"")*tbl_Finance[Date]))=0,"",SUMPRODUCT(MAX((tbl_Finance[Job Number]=C456&amp;"")*tbl_Finance[Date]))),""))</f>
        <v/>
      </c>
      <c r="B456" s="15">
        <f>IF(A456="","",IFERROR(LOOKUP(2,1/((tbl_Finance[Job Number]=C456&amp;"")*(tbl_Finance[Date]=A456)),tbl_Finance[Xero Invoice No]),""))</f>
        <v/>
      </c>
      <c r="C456" s="14" t="n"/>
      <c r="D456" s="15">
        <f>IF(C456="","",IF(COUNTIF(lst_Jobs,C456&amp;"")&gt;0,"OK","CHECK"))</f>
        <v/>
      </c>
      <c r="E456" s="15">
        <f>IF(C456="","",IFERROR(INDEX(lst_JobName,MATCH(C456&amp;"",lst_Jobs,0)),""))</f>
        <v/>
      </c>
      <c r="F456" s="15">
        <f>IF(C456="","",IFERROR(INDEX(tbl_Finance[Client],MATCH(C456&amp;"",tbl_Finance[Job Number],0)),""))</f>
        <v/>
      </c>
      <c r="G456" s="52">
        <f>IF(C456="","",COUNTIFS(tbl_Finance[Job Number],C456&amp;"",tbl_Finance[Ex GST],"&lt;&gt;"))</f>
        <v/>
      </c>
      <c r="H456" s="17">
        <f>IF(C456="","",SUMIFS(tbl_Finance[Ex GST],tbl_Finance[Job Number],C456&amp;""))</f>
        <v/>
      </c>
      <c r="I456" s="15">
        <f>IF(C456="","",IFERROR(INDEX(tbl_Finance[Cost Centre],MATCH(C456&amp;"",tbl_Finance[Job Number],0)),"not invoiced yet"))</f>
        <v/>
      </c>
      <c r="J456" s="12" t="n"/>
      <c r="K456" s="14" t="n"/>
      <c r="L456" s="15">
        <f>IF(OR(K456="",set_RMSBase=""),"",HYPERLINK(set_RMSBase&amp;K456,"Open "&amp;K456))</f>
        <v/>
      </c>
      <c r="M456" s="15">
        <f>IF(C456="","",C456)</f>
        <v/>
      </c>
      <c r="N456" s="14" t="n"/>
      <c r="O456" s="16" t="n"/>
      <c r="P456" s="17">
        <f>IF(C456="","",H456+N(O456))</f>
        <v/>
      </c>
      <c r="Q456" s="54">
        <f>IFERROR(O456/P456,"")</f>
        <v/>
      </c>
      <c r="R456" s="16" t="n"/>
      <c r="S456" s="16" t="n"/>
      <c r="T456" s="17">
        <f>IF(C456="","",N(R456)+N(S456))</f>
        <v/>
      </c>
      <c r="U456" s="17">
        <f>IF(C456="","",H456-T456)</f>
        <v/>
      </c>
      <c r="V456" s="54">
        <f>IFERROR(U456/H456,"")</f>
        <v/>
      </c>
      <c r="W456" s="53" t="n"/>
      <c r="X456" s="53" t="n"/>
      <c r="Y456" s="53" t="n"/>
      <c r="Z456" s="53" t="n"/>
      <c r="AA456" s="53" t="n"/>
      <c r="AB456" s="14" t="n"/>
    </row>
    <row r="457" ht="15" customHeight="1">
      <c r="A457" s="51">
        <f>IF(C457="","",IFERROR(IF(SUMPRODUCT(MAX((tbl_Finance[Job Number]=C457&amp;"")*tbl_Finance[Date]))=0,"",SUMPRODUCT(MAX((tbl_Finance[Job Number]=C457&amp;"")*tbl_Finance[Date]))),""))</f>
        <v/>
      </c>
      <c r="B457" s="15">
        <f>IF(A457="","",IFERROR(LOOKUP(2,1/((tbl_Finance[Job Number]=C457&amp;"")*(tbl_Finance[Date]=A457)),tbl_Finance[Xero Invoice No]),""))</f>
        <v/>
      </c>
      <c r="C457" s="14" t="n"/>
      <c r="D457" s="15">
        <f>IF(C457="","",IF(COUNTIF(lst_Jobs,C457&amp;"")&gt;0,"OK","CHECK"))</f>
        <v/>
      </c>
      <c r="E457" s="15">
        <f>IF(C457="","",IFERROR(INDEX(lst_JobName,MATCH(C457&amp;"",lst_Jobs,0)),""))</f>
        <v/>
      </c>
      <c r="F457" s="15">
        <f>IF(C457="","",IFERROR(INDEX(tbl_Finance[Client],MATCH(C457&amp;"",tbl_Finance[Job Number],0)),""))</f>
        <v/>
      </c>
      <c r="G457" s="52">
        <f>IF(C457="","",COUNTIFS(tbl_Finance[Job Number],C457&amp;"",tbl_Finance[Ex GST],"&lt;&gt;"))</f>
        <v/>
      </c>
      <c r="H457" s="17">
        <f>IF(C457="","",SUMIFS(tbl_Finance[Ex GST],tbl_Finance[Job Number],C457&amp;""))</f>
        <v/>
      </c>
      <c r="I457" s="15">
        <f>IF(C457="","",IFERROR(INDEX(tbl_Finance[Cost Centre],MATCH(C457&amp;"",tbl_Finance[Job Number],0)),"not invoiced yet"))</f>
        <v/>
      </c>
      <c r="J457" s="12" t="n"/>
      <c r="K457" s="14" t="n"/>
      <c r="L457" s="15">
        <f>IF(OR(K457="",set_RMSBase=""),"",HYPERLINK(set_RMSBase&amp;K457,"Open "&amp;K457))</f>
        <v/>
      </c>
      <c r="M457" s="15">
        <f>IF(C457="","",C457)</f>
        <v/>
      </c>
      <c r="N457" s="14" t="n"/>
      <c r="O457" s="16" t="n"/>
      <c r="P457" s="17">
        <f>IF(C457="","",H457+N(O457))</f>
        <v/>
      </c>
      <c r="Q457" s="54">
        <f>IFERROR(O457/P457,"")</f>
        <v/>
      </c>
      <c r="R457" s="16" t="n"/>
      <c r="S457" s="16" t="n"/>
      <c r="T457" s="17">
        <f>IF(C457="","",N(R457)+N(S457))</f>
        <v/>
      </c>
      <c r="U457" s="17">
        <f>IF(C457="","",H457-T457)</f>
        <v/>
      </c>
      <c r="V457" s="54">
        <f>IFERROR(U457/H457,"")</f>
        <v/>
      </c>
      <c r="W457" s="53" t="n"/>
      <c r="X457" s="53" t="n"/>
      <c r="Y457" s="53" t="n"/>
      <c r="Z457" s="53" t="n"/>
      <c r="AA457" s="53" t="n"/>
      <c r="AB457" s="14" t="n"/>
    </row>
    <row r="458" ht="15" customHeight="1">
      <c r="A458" s="51">
        <f>IF(C458="","",IFERROR(IF(SUMPRODUCT(MAX((tbl_Finance[Job Number]=C458&amp;"")*tbl_Finance[Date]))=0,"",SUMPRODUCT(MAX((tbl_Finance[Job Number]=C458&amp;"")*tbl_Finance[Date]))),""))</f>
        <v/>
      </c>
      <c r="B458" s="15">
        <f>IF(A458="","",IFERROR(LOOKUP(2,1/((tbl_Finance[Job Number]=C458&amp;"")*(tbl_Finance[Date]=A458)),tbl_Finance[Xero Invoice No]),""))</f>
        <v/>
      </c>
      <c r="C458" s="14" t="n"/>
      <c r="D458" s="15">
        <f>IF(C458="","",IF(COUNTIF(lst_Jobs,C458&amp;"")&gt;0,"OK","CHECK"))</f>
        <v/>
      </c>
      <c r="E458" s="15">
        <f>IF(C458="","",IFERROR(INDEX(lst_JobName,MATCH(C458&amp;"",lst_Jobs,0)),""))</f>
        <v/>
      </c>
      <c r="F458" s="15">
        <f>IF(C458="","",IFERROR(INDEX(tbl_Finance[Client],MATCH(C458&amp;"",tbl_Finance[Job Number],0)),""))</f>
        <v/>
      </c>
      <c r="G458" s="52">
        <f>IF(C458="","",COUNTIFS(tbl_Finance[Job Number],C458&amp;"",tbl_Finance[Ex GST],"&lt;&gt;"))</f>
        <v/>
      </c>
      <c r="H458" s="17">
        <f>IF(C458="","",SUMIFS(tbl_Finance[Ex GST],tbl_Finance[Job Number],C458&amp;""))</f>
        <v/>
      </c>
      <c r="I458" s="15">
        <f>IF(C458="","",IFERROR(INDEX(tbl_Finance[Cost Centre],MATCH(C458&amp;"",tbl_Finance[Job Number],0)),"not invoiced yet"))</f>
        <v/>
      </c>
      <c r="J458" s="12" t="n"/>
      <c r="K458" s="14" t="n"/>
      <c r="L458" s="15">
        <f>IF(OR(K458="",set_RMSBase=""),"",HYPERLINK(set_RMSBase&amp;K458,"Open "&amp;K458))</f>
        <v/>
      </c>
      <c r="M458" s="15">
        <f>IF(C458="","",C458)</f>
        <v/>
      </c>
      <c r="N458" s="14" t="n"/>
      <c r="O458" s="16" t="n"/>
      <c r="P458" s="17">
        <f>IF(C458="","",H458+N(O458))</f>
        <v/>
      </c>
      <c r="Q458" s="54">
        <f>IFERROR(O458/P458,"")</f>
        <v/>
      </c>
      <c r="R458" s="16" t="n"/>
      <c r="S458" s="16" t="n"/>
      <c r="T458" s="17">
        <f>IF(C458="","",N(R458)+N(S458))</f>
        <v/>
      </c>
      <c r="U458" s="17">
        <f>IF(C458="","",H458-T458)</f>
        <v/>
      </c>
      <c r="V458" s="54">
        <f>IFERROR(U458/H458,"")</f>
        <v/>
      </c>
      <c r="W458" s="53" t="n"/>
      <c r="X458" s="53" t="n"/>
      <c r="Y458" s="53" t="n"/>
      <c r="Z458" s="53" t="n"/>
      <c r="AA458" s="53" t="n"/>
      <c r="AB458" s="14" t="n"/>
    </row>
    <row r="459" ht="15" customHeight="1">
      <c r="A459" s="51">
        <f>IF(C459="","",IFERROR(IF(SUMPRODUCT(MAX((tbl_Finance[Job Number]=C459&amp;"")*tbl_Finance[Date]))=0,"",SUMPRODUCT(MAX((tbl_Finance[Job Number]=C459&amp;"")*tbl_Finance[Date]))),""))</f>
        <v/>
      </c>
      <c r="B459" s="15">
        <f>IF(A459="","",IFERROR(LOOKUP(2,1/((tbl_Finance[Job Number]=C459&amp;"")*(tbl_Finance[Date]=A459)),tbl_Finance[Xero Invoice No]),""))</f>
        <v/>
      </c>
      <c r="C459" s="14" t="n"/>
      <c r="D459" s="15">
        <f>IF(C459="","",IF(COUNTIF(lst_Jobs,C459&amp;"")&gt;0,"OK","CHECK"))</f>
        <v/>
      </c>
      <c r="E459" s="15">
        <f>IF(C459="","",IFERROR(INDEX(lst_JobName,MATCH(C459&amp;"",lst_Jobs,0)),""))</f>
        <v/>
      </c>
      <c r="F459" s="15">
        <f>IF(C459="","",IFERROR(INDEX(tbl_Finance[Client],MATCH(C459&amp;"",tbl_Finance[Job Number],0)),""))</f>
        <v/>
      </c>
      <c r="G459" s="52">
        <f>IF(C459="","",COUNTIFS(tbl_Finance[Job Number],C459&amp;"",tbl_Finance[Ex GST],"&lt;&gt;"))</f>
        <v/>
      </c>
      <c r="H459" s="17">
        <f>IF(C459="","",SUMIFS(tbl_Finance[Ex GST],tbl_Finance[Job Number],C459&amp;""))</f>
        <v/>
      </c>
      <c r="I459" s="15">
        <f>IF(C459="","",IFERROR(INDEX(tbl_Finance[Cost Centre],MATCH(C459&amp;"",tbl_Finance[Job Number],0)),"not invoiced yet"))</f>
        <v/>
      </c>
      <c r="J459" s="12" t="n"/>
      <c r="K459" s="14" t="n"/>
      <c r="L459" s="15">
        <f>IF(OR(K459="",set_RMSBase=""),"",HYPERLINK(set_RMSBase&amp;K459,"Open "&amp;K459))</f>
        <v/>
      </c>
      <c r="M459" s="15">
        <f>IF(C459="","",C459)</f>
        <v/>
      </c>
      <c r="N459" s="14" t="n"/>
      <c r="O459" s="16" t="n"/>
      <c r="P459" s="17">
        <f>IF(C459="","",H459+N(O459))</f>
        <v/>
      </c>
      <c r="Q459" s="54">
        <f>IFERROR(O459/P459,"")</f>
        <v/>
      </c>
      <c r="R459" s="16" t="n"/>
      <c r="S459" s="16" t="n"/>
      <c r="T459" s="17">
        <f>IF(C459="","",N(R459)+N(S459))</f>
        <v/>
      </c>
      <c r="U459" s="17">
        <f>IF(C459="","",H459-T459)</f>
        <v/>
      </c>
      <c r="V459" s="54">
        <f>IFERROR(U459/H459,"")</f>
        <v/>
      </c>
      <c r="W459" s="53" t="n"/>
      <c r="X459" s="53" t="n"/>
      <c r="Y459" s="53" t="n"/>
      <c r="Z459" s="53" t="n"/>
      <c r="AA459" s="53" t="n"/>
      <c r="AB459" s="14" t="n"/>
    </row>
    <row r="460" ht="15" customHeight="1">
      <c r="A460" s="51">
        <f>IF(C460="","",IFERROR(IF(SUMPRODUCT(MAX((tbl_Finance[Job Number]=C460&amp;"")*tbl_Finance[Date]))=0,"",SUMPRODUCT(MAX((tbl_Finance[Job Number]=C460&amp;"")*tbl_Finance[Date]))),""))</f>
        <v/>
      </c>
      <c r="B460" s="15">
        <f>IF(A460="","",IFERROR(LOOKUP(2,1/((tbl_Finance[Job Number]=C460&amp;"")*(tbl_Finance[Date]=A460)),tbl_Finance[Xero Invoice No]),""))</f>
        <v/>
      </c>
      <c r="C460" s="14" t="n"/>
      <c r="D460" s="15">
        <f>IF(C460="","",IF(COUNTIF(lst_Jobs,C460&amp;"")&gt;0,"OK","CHECK"))</f>
        <v/>
      </c>
      <c r="E460" s="15">
        <f>IF(C460="","",IFERROR(INDEX(lst_JobName,MATCH(C460&amp;"",lst_Jobs,0)),""))</f>
        <v/>
      </c>
      <c r="F460" s="15">
        <f>IF(C460="","",IFERROR(INDEX(tbl_Finance[Client],MATCH(C460&amp;"",tbl_Finance[Job Number],0)),""))</f>
        <v/>
      </c>
      <c r="G460" s="52">
        <f>IF(C460="","",COUNTIFS(tbl_Finance[Job Number],C460&amp;"",tbl_Finance[Ex GST],"&lt;&gt;"))</f>
        <v/>
      </c>
      <c r="H460" s="17">
        <f>IF(C460="","",SUMIFS(tbl_Finance[Ex GST],tbl_Finance[Job Number],C460&amp;""))</f>
        <v/>
      </c>
      <c r="I460" s="15">
        <f>IF(C460="","",IFERROR(INDEX(tbl_Finance[Cost Centre],MATCH(C460&amp;"",tbl_Finance[Job Number],0)),"not invoiced yet"))</f>
        <v/>
      </c>
      <c r="J460" s="12" t="n"/>
      <c r="K460" s="14" t="n"/>
      <c r="L460" s="15">
        <f>IF(OR(K460="",set_RMSBase=""),"",HYPERLINK(set_RMSBase&amp;K460,"Open "&amp;K460))</f>
        <v/>
      </c>
      <c r="M460" s="15">
        <f>IF(C460="","",C460)</f>
        <v/>
      </c>
      <c r="N460" s="14" t="n"/>
      <c r="O460" s="16" t="n"/>
      <c r="P460" s="17">
        <f>IF(C460="","",H460+N(O460))</f>
        <v/>
      </c>
      <c r="Q460" s="54">
        <f>IFERROR(O460/P460,"")</f>
        <v/>
      </c>
      <c r="R460" s="16" t="n"/>
      <c r="S460" s="16" t="n"/>
      <c r="T460" s="17">
        <f>IF(C460="","",N(R460)+N(S460))</f>
        <v/>
      </c>
      <c r="U460" s="17">
        <f>IF(C460="","",H460-T460)</f>
        <v/>
      </c>
      <c r="V460" s="54">
        <f>IFERROR(U460/H460,"")</f>
        <v/>
      </c>
      <c r="W460" s="53" t="n"/>
      <c r="X460" s="53" t="n"/>
      <c r="Y460" s="53" t="n"/>
      <c r="Z460" s="53" t="n"/>
      <c r="AA460" s="53" t="n"/>
      <c r="AB460" s="14" t="n"/>
    </row>
    <row r="461" ht="15" customHeight="1">
      <c r="A461" s="51">
        <f>IF(C461="","",IFERROR(IF(SUMPRODUCT(MAX((tbl_Finance[Job Number]=C461&amp;"")*tbl_Finance[Date]))=0,"",SUMPRODUCT(MAX((tbl_Finance[Job Number]=C461&amp;"")*tbl_Finance[Date]))),""))</f>
        <v/>
      </c>
      <c r="B461" s="15">
        <f>IF(A461="","",IFERROR(LOOKUP(2,1/((tbl_Finance[Job Number]=C461&amp;"")*(tbl_Finance[Date]=A461)),tbl_Finance[Xero Invoice No]),""))</f>
        <v/>
      </c>
      <c r="C461" s="14" t="n"/>
      <c r="D461" s="15">
        <f>IF(C461="","",IF(COUNTIF(lst_Jobs,C461&amp;"")&gt;0,"OK","CHECK"))</f>
        <v/>
      </c>
      <c r="E461" s="15">
        <f>IF(C461="","",IFERROR(INDEX(lst_JobName,MATCH(C461&amp;"",lst_Jobs,0)),""))</f>
        <v/>
      </c>
      <c r="F461" s="15">
        <f>IF(C461="","",IFERROR(INDEX(tbl_Finance[Client],MATCH(C461&amp;"",tbl_Finance[Job Number],0)),""))</f>
        <v/>
      </c>
      <c r="G461" s="52">
        <f>IF(C461="","",COUNTIFS(tbl_Finance[Job Number],C461&amp;"",tbl_Finance[Ex GST],"&lt;&gt;"))</f>
        <v/>
      </c>
      <c r="H461" s="17">
        <f>IF(C461="","",SUMIFS(tbl_Finance[Ex GST],tbl_Finance[Job Number],C461&amp;""))</f>
        <v/>
      </c>
      <c r="I461" s="15">
        <f>IF(C461="","",IFERROR(INDEX(tbl_Finance[Cost Centre],MATCH(C461&amp;"",tbl_Finance[Job Number],0)),"not invoiced yet"))</f>
        <v/>
      </c>
      <c r="J461" s="12" t="n"/>
      <c r="K461" s="14" t="n"/>
      <c r="L461" s="15">
        <f>IF(OR(K461="",set_RMSBase=""),"",HYPERLINK(set_RMSBase&amp;K461,"Open "&amp;K461))</f>
        <v/>
      </c>
      <c r="M461" s="15">
        <f>IF(C461="","",C461)</f>
        <v/>
      </c>
      <c r="N461" s="14" t="n"/>
      <c r="O461" s="16" t="n"/>
      <c r="P461" s="17">
        <f>IF(C461="","",H461+N(O461))</f>
        <v/>
      </c>
      <c r="Q461" s="54">
        <f>IFERROR(O461/P461,"")</f>
        <v/>
      </c>
      <c r="R461" s="16" t="n"/>
      <c r="S461" s="16" t="n"/>
      <c r="T461" s="17">
        <f>IF(C461="","",N(R461)+N(S461))</f>
        <v/>
      </c>
      <c r="U461" s="17">
        <f>IF(C461="","",H461-T461)</f>
        <v/>
      </c>
      <c r="V461" s="54">
        <f>IFERROR(U461/H461,"")</f>
        <v/>
      </c>
      <c r="W461" s="53" t="n"/>
      <c r="X461" s="53" t="n"/>
      <c r="Y461" s="53" t="n"/>
      <c r="Z461" s="53" t="n"/>
      <c r="AA461" s="53" t="n"/>
      <c r="AB461" s="14" t="n"/>
    </row>
    <row r="462" ht="15" customHeight="1">
      <c r="A462" s="51">
        <f>IF(C462="","",IFERROR(IF(SUMPRODUCT(MAX((tbl_Finance[Job Number]=C462&amp;"")*tbl_Finance[Date]))=0,"",SUMPRODUCT(MAX((tbl_Finance[Job Number]=C462&amp;"")*tbl_Finance[Date]))),""))</f>
        <v/>
      </c>
      <c r="B462" s="15">
        <f>IF(A462="","",IFERROR(LOOKUP(2,1/((tbl_Finance[Job Number]=C462&amp;"")*(tbl_Finance[Date]=A462)),tbl_Finance[Xero Invoice No]),""))</f>
        <v/>
      </c>
      <c r="C462" s="14" t="n"/>
      <c r="D462" s="15">
        <f>IF(C462="","",IF(COUNTIF(lst_Jobs,C462&amp;"")&gt;0,"OK","CHECK"))</f>
        <v/>
      </c>
      <c r="E462" s="15">
        <f>IF(C462="","",IFERROR(INDEX(lst_JobName,MATCH(C462&amp;"",lst_Jobs,0)),""))</f>
        <v/>
      </c>
      <c r="F462" s="15">
        <f>IF(C462="","",IFERROR(INDEX(tbl_Finance[Client],MATCH(C462&amp;"",tbl_Finance[Job Number],0)),""))</f>
        <v/>
      </c>
      <c r="G462" s="52">
        <f>IF(C462="","",COUNTIFS(tbl_Finance[Job Number],C462&amp;"",tbl_Finance[Ex GST],"&lt;&gt;"))</f>
        <v/>
      </c>
      <c r="H462" s="17">
        <f>IF(C462="","",SUMIFS(tbl_Finance[Ex GST],tbl_Finance[Job Number],C462&amp;""))</f>
        <v/>
      </c>
      <c r="I462" s="15">
        <f>IF(C462="","",IFERROR(INDEX(tbl_Finance[Cost Centre],MATCH(C462&amp;"",tbl_Finance[Job Number],0)),"not invoiced yet"))</f>
        <v/>
      </c>
      <c r="J462" s="12" t="n"/>
      <c r="K462" s="14" t="n"/>
      <c r="L462" s="15">
        <f>IF(OR(K462="",set_RMSBase=""),"",HYPERLINK(set_RMSBase&amp;K462,"Open "&amp;K462))</f>
        <v/>
      </c>
      <c r="M462" s="15">
        <f>IF(C462="","",C462)</f>
        <v/>
      </c>
      <c r="N462" s="14" t="n"/>
      <c r="O462" s="16" t="n"/>
      <c r="P462" s="17">
        <f>IF(C462="","",H462+N(O462))</f>
        <v/>
      </c>
      <c r="Q462" s="54">
        <f>IFERROR(O462/P462,"")</f>
        <v/>
      </c>
      <c r="R462" s="16" t="n"/>
      <c r="S462" s="16" t="n"/>
      <c r="T462" s="17">
        <f>IF(C462="","",N(R462)+N(S462))</f>
        <v/>
      </c>
      <c r="U462" s="17">
        <f>IF(C462="","",H462-T462)</f>
        <v/>
      </c>
      <c r="V462" s="54">
        <f>IFERROR(U462/H462,"")</f>
        <v/>
      </c>
      <c r="W462" s="53" t="n"/>
      <c r="X462" s="53" t="n"/>
      <c r="Y462" s="53" t="n"/>
      <c r="Z462" s="53" t="n"/>
      <c r="AA462" s="53" t="n"/>
      <c r="AB46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dataValidations count="1">
    <dataValidation sqref="N5:N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V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40" customWidth="1" min="10" max="10"/>
    <col width="14" customWidth="1" min="11" max="11"/>
    <col width="15" customWidth="1" min="12" max="12"/>
    <col width="17" customWidth="1" min="13" max="13"/>
    <col width="19" customWidth="1" min="14" max="14"/>
    <col width="18" customWidth="1" min="15" max="15"/>
    <col width="22" customWidth="1" min="16" max="16"/>
    <col width="26" customWidth="1" min="17" max="17"/>
    <col width="28" customWidth="1" min="18" max="18"/>
    <col width="14" customWidth="1" min="19" max="19"/>
    <col width="14" customWidth="1" min="20" max="20"/>
    <col width="10" customWidth="1" min="21" max="21"/>
    <col width="38" customWidth="1" min="22" max="22"/>
  </cols>
  <sheetData>
    <row r="1" ht="24" customHeight="1">
      <c r="A1" s="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9">
        <f>"Revenue Ex GST  "&amp;TEXT(SUBTOTAL(109,tbl_Consulting[Revenue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Qwilr Quote</t>
        </is>
      </c>
      <c r="K4" s="11" t="inlineStr">
        <is>
          <t>Open Qwilr</t>
        </is>
      </c>
      <c r="L4" s="10" t="inlineStr">
        <is>
          <t>Labour Revenue</t>
        </is>
      </c>
      <c r="M4" s="10" t="inlineStr">
        <is>
          <t>Equipment Revenue</t>
        </is>
      </c>
      <c r="N4" s="10" t="inlineStr">
        <is>
          <t>Subscription Revenue</t>
        </is>
      </c>
      <c r="O4" s="11" t="inlineStr">
        <is>
          <t>Revenue Split Check</t>
        </is>
      </c>
      <c r="P4" s="10" t="inlineStr">
        <is>
          <t>Labour Expense (External)</t>
        </is>
      </c>
      <c r="Q4" s="10" t="inlineStr">
        <is>
          <t>Equipment Expense (Internal)</t>
        </is>
      </c>
      <c r="R4" s="10" t="inlineStr">
        <is>
          <t>Subscription &amp; Licences Expense</t>
        </is>
      </c>
      <c r="S4" s="11" t="inlineStr">
        <is>
          <t>Total Expense</t>
        </is>
      </c>
      <c r="T4" s="11" t="inlineStr">
        <is>
          <t>Margin</t>
        </is>
      </c>
      <c r="U4" s="11" t="inlineStr">
        <is>
          <t>Margin %</t>
        </is>
      </c>
      <c r="V4" s="10" t="inlineStr">
        <is>
          <t>Notes</t>
        </is>
      </c>
    </row>
    <row r="5" ht="15" customHeight="1">
      <c r="A5" s="51">
        <f>IF(C5="","",IFERROR(IF(SUMPRODUCT(MAX((tbl_Finance[Job Number]=C5&amp;"")*tbl_Finance[Date]))=0,"",SUMPRODUCT(MAX((tbl_Finance[Job Number]=C5&amp;"")*tbl_Finance[Date]))),""))</f>
        <v/>
      </c>
      <c r="B5" s="15">
        <f>IF(A5="","",IFERROR(LOOKUP(2,1/((tbl_Finance[Job Number]=C5&amp;"")*(tbl_Finance[Date]=A5)),tbl_Finance[Xero Invoice No]),""))</f>
        <v/>
      </c>
      <c r="C5" s="14" t="inlineStr">
        <is>
          <t>25021901</t>
        </is>
      </c>
      <c r="D5" s="15">
        <f>IF(C5="","",IF(COUNTIF(lst_Jobs,C5&amp;"")&gt;0,"OK","CHECK"))</f>
        <v/>
      </c>
      <c r="E5" s="15">
        <f>IF(C5="","",IFERROR(INDEX(lst_JobName,MATCH(C5&amp;"",lst_Jobs,0)),""))</f>
        <v/>
      </c>
      <c r="F5" s="15">
        <f>IF(C5="","",IFERROR(INDEX(tbl_Finance[Client],MATCH(C5&amp;"",tbl_Finance[Job Number],0)),""))</f>
        <v/>
      </c>
      <c r="G5" s="52">
        <f>IF(C5="","",COUNTIFS(tbl_Finance[Job Number],C5&amp;"",tbl_Finance[Ex GST],"&lt;&gt;"))</f>
        <v/>
      </c>
      <c r="H5" s="17">
        <f>IF(C5="","",SUMIFS(tbl_Finance[Ex GST],tbl_Finance[Job Number],C5&amp;""))</f>
        <v/>
      </c>
      <c r="I5" s="15">
        <f>IF(C5="","",IFERROR(INDEX(tbl_Finance[Cost Centre],MATCH(C5&amp;"",tbl_Finance[Job Number],0)),"not invoiced yet"))</f>
        <v/>
      </c>
      <c r="J5" s="14" t="inlineStr">
        <is>
          <t>https://cts.qwilr.com/25021901-DAFF-Technology-Standards-Evaluation-A7PRmNNwQ5Wn</t>
        </is>
      </c>
      <c r="K5" s="15">
        <f>IF(J5="","",HYPERLINK(IF(LEFT(J5,4)="http",J5,set_QwilrBase&amp;J5),"Open quote"))</f>
        <v/>
      </c>
      <c r="L5" s="16" t="n">
        <v>9875</v>
      </c>
      <c r="M5" s="16" t="n"/>
      <c r="N5" s="16" t="n"/>
      <c r="O5" s="15">
        <f>IF(C5="","",IF(N(L5)+N(M5)+N(N5)=0,"Not split",IF(ROUND(N(L5)+N(M5)+N(N5),2)=ROUND(H5,2),"OK","MISMATCH")))</f>
        <v/>
      </c>
      <c r="P5" s="16" t="n"/>
      <c r="Q5" s="16" t="n"/>
      <c r="R5" s="16" t="n"/>
      <c r="S5" s="17">
        <f>IF(C5="","",N(P5)+N(Q5)+N(R5))</f>
        <v/>
      </c>
      <c r="T5" s="17">
        <f>IF(C5="","",H5-S5)</f>
        <v/>
      </c>
      <c r="U5" s="54">
        <f>IFERROR(T5/H5,"")</f>
        <v/>
      </c>
      <c r="V5" s="14" t="inlineStr">
        <is>
          <t>Revenue still in WIP</t>
        </is>
      </c>
    </row>
    <row r="6" ht="15" customHeight="1">
      <c r="A6" s="51">
        <f>IF(C6="","",IFERROR(IF(SUMPRODUCT(MAX((tbl_Finance[Job Number]=C6&amp;"")*tbl_Finance[Date]))=0,"",SUMPRODUCT(MAX((tbl_Finance[Job Number]=C6&amp;"")*tbl_Finance[Date]))),""))</f>
        <v/>
      </c>
      <c r="B6" s="15">
        <f>IF(A6="","",IFERROR(LOOKUP(2,1/((tbl_Finance[Job Number]=C6&amp;"")*(tbl_Finance[Date]=A6)),tbl_Finance[Xero Invoice No]),""))</f>
        <v/>
      </c>
      <c r="C6" s="14" t="inlineStr">
        <is>
          <t>25102701</t>
        </is>
      </c>
      <c r="D6" s="15">
        <f>IF(C6="","",IF(COUNTIF(lst_Jobs,C6&amp;"")&gt;0,"OK","CHECK"))</f>
        <v/>
      </c>
      <c r="E6" s="15">
        <f>IF(C6="","",IFERROR(INDEX(lst_JobName,MATCH(C6&amp;"",lst_Jobs,0)),""))</f>
        <v/>
      </c>
      <c r="F6" s="15">
        <f>IF(C6="","",IFERROR(INDEX(tbl_Finance[Client],MATCH(C6&amp;"",tbl_Finance[Job Number],0)),""))</f>
        <v/>
      </c>
      <c r="G6" s="52">
        <f>IF(C6="","",COUNTIFS(tbl_Finance[Job Number],C6&amp;"",tbl_Finance[Ex GST],"&lt;&gt;"))</f>
        <v/>
      </c>
      <c r="H6" s="17">
        <f>IF(C6="","",SUMIFS(tbl_Finance[Ex GST],tbl_Finance[Job Number],C6&amp;""))</f>
        <v/>
      </c>
      <c r="I6" s="15">
        <f>IF(C6="","",IFERROR(INDEX(tbl_Finance[Cost Centre],MATCH(C6&amp;"",tbl_Finance[Job Number],0)),"not invoiced yet"))</f>
        <v/>
      </c>
      <c r="J6" s="14" t="inlineStr">
        <is>
          <t>https://cts.qwilr.com/25102701-DEWR-Studio-Upgrade-ESE25-143997-Rev-4-KTqWXx2QQz6f</t>
        </is>
      </c>
      <c r="K6" s="15">
        <f>IF(J6="","",HYPERLINK(IF(LEFT(J6,4)="http",J6,set_QwilrBase&amp;J6),"Open quote"))</f>
        <v/>
      </c>
      <c r="L6" s="16" t="n">
        <v>68273</v>
      </c>
      <c r="M6" s="16" t="n"/>
      <c r="N6" s="16" t="n"/>
      <c r="O6" s="15">
        <f>IF(C6="","",IF(N(L6)+N(M6)+N(N6)=0,"Not split",IF(ROUND(N(L6)+N(M6)+N(N6),2)=ROUND(H6,2),"OK","MISMATCH")))</f>
        <v/>
      </c>
      <c r="P6" s="16" t="n"/>
      <c r="Q6" s="16" t="n">
        <v>149604.26</v>
      </c>
      <c r="R6" s="16" t="n"/>
      <c r="S6" s="17">
        <f>IF(C6="","",N(P6)+N(Q6)+N(R6))</f>
        <v/>
      </c>
      <c r="T6" s="17">
        <f>IF(C6="","",H6-S6)</f>
        <v/>
      </c>
      <c r="U6" s="54">
        <f>IFERROR(T6/H6,"")</f>
        <v/>
      </c>
      <c r="V6" s="14" t="inlineStr">
        <is>
          <t>Progress Claim 01</t>
        </is>
      </c>
    </row>
    <row r="7" ht="15" customHeight="1">
      <c r="A7" s="51">
        <f>IF(C7="","",IFERROR(IF(SUMPRODUCT(MAX((tbl_Finance[Job Number]=C7&amp;"")*tbl_Finance[Date]))=0,"",SUMPRODUCT(MAX((tbl_Finance[Job Number]=C7&amp;"")*tbl_Finance[Date]))),""))</f>
        <v/>
      </c>
      <c r="B7" s="15">
        <f>IF(A7="","",IFERROR(LOOKUP(2,1/((tbl_Finance[Job Number]=C7&amp;"")*(tbl_Finance[Date]=A7)),tbl_Finance[Xero Invoice No]),""))</f>
        <v/>
      </c>
      <c r="C7" s="14" t="inlineStr">
        <is>
          <t>26052002</t>
        </is>
      </c>
      <c r="D7" s="15">
        <f>IF(C7="","",IF(COUNTIF(lst_Jobs,C7&amp;"")&gt;0,"OK","CHECK"))</f>
        <v/>
      </c>
      <c r="E7" s="15">
        <f>IF(C7="","",IFERROR(INDEX(lst_JobName,MATCH(C7&amp;"",lst_Jobs,0)),""))</f>
        <v/>
      </c>
      <c r="F7" s="15">
        <f>IF(C7="","",IFERROR(INDEX(tbl_Finance[Client],MATCH(C7&amp;"",tbl_Finance[Job Number],0)),""))</f>
        <v/>
      </c>
      <c r="G7" s="52">
        <f>IF(C7="","",COUNTIFS(tbl_Finance[Job Number],C7&amp;"",tbl_Finance[Ex GST],"&lt;&gt;"))</f>
        <v/>
      </c>
      <c r="H7" s="17">
        <f>IF(C7="","",SUMIFS(tbl_Finance[Ex GST],tbl_Finance[Job Number],C7&amp;""))</f>
        <v/>
      </c>
      <c r="I7" s="15">
        <f>IF(C7="","",IFERROR(INDEX(tbl_Finance[Cost Centre],MATCH(C7&amp;"",tbl_Finance[Job Number],0)),"not invoiced yet"))</f>
        <v/>
      </c>
      <c r="J7" s="14" t="inlineStr">
        <is>
          <t>https://cts.qwilr.com/26052002-DeloitteBNE-Proposal-v1-0-Agx8wV5qTcax</t>
        </is>
      </c>
      <c r="K7" s="15">
        <f>IF(J7="","",HYPERLINK(IF(LEFT(J7,4)="http",J7,set_QwilrBase&amp;J7),"Open quote"))</f>
        <v/>
      </c>
      <c r="L7" s="16" t="n">
        <v>18262</v>
      </c>
      <c r="M7" s="16" t="n">
        <v>39444</v>
      </c>
      <c r="N7" s="16" t="n"/>
      <c r="O7" s="15">
        <f>IF(C7="","",IF(N(L7)+N(M7)+N(N7)=0,"Not split",IF(ROUND(N(L7)+N(M7)+N(N7),2)=ROUND(H7,2),"OK","MISMATCH")))</f>
        <v/>
      </c>
      <c r="P7" s="16" t="n">
        <v>15600</v>
      </c>
      <c r="Q7" s="16" t="n">
        <v>36400</v>
      </c>
      <c r="R7" s="16" t="n"/>
      <c r="S7" s="17">
        <f>IF(C7="","",N(P7)+N(Q7)+N(R7))</f>
        <v/>
      </c>
      <c r="T7" s="17">
        <f>IF(C7="","",H7-S7)</f>
        <v/>
      </c>
      <c r="U7" s="54">
        <f>IFERROR(T7/H7,"")</f>
        <v/>
      </c>
      <c r="V7" s="14" t="n"/>
    </row>
    <row r="8" ht="15" customHeight="1">
      <c r="A8" s="51">
        <f>IF(C8="","",IFERROR(IF(SUMPRODUCT(MAX((tbl_Finance[Job Number]=C8&amp;"")*tbl_Finance[Date]))=0,"",SUMPRODUCT(MAX((tbl_Finance[Job Number]=C8&amp;"")*tbl_Finance[Date]))),""))</f>
        <v/>
      </c>
      <c r="B8" s="15">
        <f>IF(A8="","",IFERROR(LOOKUP(2,1/((tbl_Finance[Job Number]=C8&amp;"")*(tbl_Finance[Date]=A8)),tbl_Finance[Xero Invoice No]),""))</f>
        <v/>
      </c>
      <c r="C8" s="14" t="inlineStr">
        <is>
          <t>26052003</t>
        </is>
      </c>
      <c r="D8" s="15">
        <f>IF(C8="","",IF(COUNTIF(lst_Jobs,C8&amp;"")&gt;0,"OK","CHECK"))</f>
        <v/>
      </c>
      <c r="E8" s="15">
        <f>IF(C8="","",IFERROR(INDEX(lst_JobName,MATCH(C8&amp;"",lst_Jobs,0)),""))</f>
        <v/>
      </c>
      <c r="F8" s="15">
        <f>IF(C8="","",IFERROR(INDEX(tbl_Finance[Client],MATCH(C8&amp;"",tbl_Finance[Job Number],0)),""))</f>
        <v/>
      </c>
      <c r="G8" s="52">
        <f>IF(C8="","",COUNTIFS(tbl_Finance[Job Number],C8&amp;"",tbl_Finance[Ex GST],"&lt;&gt;"))</f>
        <v/>
      </c>
      <c r="H8" s="17">
        <f>IF(C8="","",SUMIFS(tbl_Finance[Ex GST],tbl_Finance[Job Number],C8&amp;""))</f>
        <v/>
      </c>
      <c r="I8" s="15">
        <f>IF(C8="","",IFERROR(INDEX(tbl_Finance[Cost Centre],MATCH(C8&amp;"",tbl_Finance[Job Number],0)),"not invoiced yet"))</f>
        <v/>
      </c>
      <c r="J8" s="14" t="inlineStr">
        <is>
          <t>https://cts.qwilr.com/26052003-DTTL-Costing-v1-0-0mJlWQroQJWo</t>
        </is>
      </c>
      <c r="K8" s="15">
        <f>IF(J8="","",HYPERLINK(IF(LEFT(J8,4)="http",J8,set_QwilrBase&amp;J8),"Open quote"))</f>
        <v/>
      </c>
      <c r="L8" s="16" t="n">
        <v>3054</v>
      </c>
      <c r="M8" s="16" t="n">
        <v>30885</v>
      </c>
      <c r="N8" s="16" t="n"/>
      <c r="O8" s="15">
        <f>IF(C8="","",IF(N(L8)+N(M8)+N(N8)=0,"Not split",IF(ROUND(N(L8)+N(M8)+N(N8),2)=ROUND(H8,2),"OK","MISMATCH")))</f>
        <v/>
      </c>
      <c r="P8" s="16" t="n">
        <v>659.27</v>
      </c>
      <c r="Q8" s="16" t="n">
        <v>24821.31</v>
      </c>
      <c r="R8" s="16" t="n"/>
      <c r="S8" s="17">
        <f>IF(C8="","",N(P8)+N(Q8)+N(R8))</f>
        <v/>
      </c>
      <c r="T8" s="17">
        <f>IF(C8="","",H8-S8)</f>
        <v/>
      </c>
      <c r="U8" s="54">
        <f>IFERROR(T8/H8,"")</f>
        <v/>
      </c>
      <c r="V8" s="14" t="inlineStr">
        <is>
          <t>Variation for slot in PC's</t>
        </is>
      </c>
    </row>
    <row r="9" ht="15" customHeight="1">
      <c r="A9" s="51">
        <f>IF(C9="","",IFERROR(IF(SUMPRODUCT(MAX((tbl_Finance[Job Number]=C9&amp;"")*tbl_Finance[Date]))=0,"",SUMPRODUCT(MAX((tbl_Finance[Job Number]=C9&amp;"")*tbl_Finance[Date]))),""))</f>
        <v/>
      </c>
      <c r="B9" s="15">
        <f>IF(A9="","",IFERROR(LOOKUP(2,1/((tbl_Finance[Job Number]=C9&amp;"")*(tbl_Finance[Date]=A9)),tbl_Finance[Xero Invoice No]),""))</f>
        <v/>
      </c>
      <c r="C9" s="14" t="inlineStr">
        <is>
          <t>26051801</t>
        </is>
      </c>
      <c r="D9" s="15">
        <f>IF(C9="","",IF(COUNTIF(lst_Jobs,C9&amp;"")&gt;0,"OK","CHECK"))</f>
        <v/>
      </c>
      <c r="E9" s="15">
        <f>IF(C9="","",IFERROR(INDEX(lst_JobName,MATCH(C9&amp;"",lst_Jobs,0)),""))</f>
        <v/>
      </c>
      <c r="F9" s="15">
        <f>IF(C9="","",IFERROR(INDEX(tbl_Finance[Client],MATCH(C9&amp;"",tbl_Finance[Job Number],0)),""))</f>
        <v/>
      </c>
      <c r="G9" s="52">
        <f>IF(C9="","",COUNTIFS(tbl_Finance[Job Number],C9&amp;"",tbl_Finance[Ex GST],"&lt;&gt;"))</f>
        <v/>
      </c>
      <c r="H9" s="17">
        <f>IF(C9="","",SUMIFS(tbl_Finance[Ex GST],tbl_Finance[Job Number],C9&amp;""))</f>
        <v/>
      </c>
      <c r="I9" s="15">
        <f>IF(C9="","",IFERROR(INDEX(tbl_Finance[Cost Centre],MATCH(C9&amp;"",tbl_Finance[Job Number],0)),"not invoiced yet"))</f>
        <v/>
      </c>
      <c r="J9" s="14" t="inlineStr">
        <is>
          <t>https://cts.qwilr.com/26051801-PwC-Costing-v3-0-HUL2JaYQCO39</t>
        </is>
      </c>
      <c r="K9" s="15">
        <f>IF(J9="","",HYPERLINK(IF(LEFT(J9,4)="http",J9,set_QwilrBase&amp;J9),"Open quote"))</f>
        <v/>
      </c>
      <c r="L9" s="16" t="n">
        <v>289</v>
      </c>
      <c r="M9" s="16" t="n">
        <v>11750</v>
      </c>
      <c r="N9" s="16" t="n"/>
      <c r="O9" s="15">
        <f>IF(C9="","",IF(N(L9)+N(M9)+N(N9)=0,"Not split",IF(ROUND(N(L9)+N(M9)+N(N9),2)=ROUND(H9,2),"OK","MISMATCH")))</f>
        <v/>
      </c>
      <c r="P9" s="16" t="n">
        <v>237</v>
      </c>
      <c r="Q9" s="16" t="n">
        <v>8810</v>
      </c>
      <c r="R9" s="16" t="n"/>
      <c r="S9" s="17">
        <f>IF(C9="","",N(P9)+N(Q9)+N(R9))</f>
        <v/>
      </c>
      <c r="T9" s="17">
        <f>IF(C9="","",H9-S9)</f>
        <v/>
      </c>
      <c r="U9" s="54">
        <f>IFERROR(T9/H9,"")</f>
        <v/>
      </c>
      <c r="V9" s="14" t="n"/>
    </row>
    <row r="10" ht="15" customHeight="1">
      <c r="A10" s="51">
        <f>IF(C10="","",IFERROR(IF(SUMPRODUCT(MAX((tbl_Finance[Job Number]=C10&amp;"")*tbl_Finance[Date]))=0,"",SUMPRODUCT(MAX((tbl_Finance[Job Number]=C10&amp;"")*tbl_Finance[Date]))),""))</f>
        <v/>
      </c>
      <c r="B10" s="15">
        <f>IF(A10="","",IFERROR(LOOKUP(2,1/((tbl_Finance[Job Number]=C10&amp;"")*(tbl_Finance[Date]=A10)),tbl_Finance[Xero Invoice No]),""))</f>
        <v/>
      </c>
      <c r="C10" s="14" t="inlineStr">
        <is>
          <t>26043003</t>
        </is>
      </c>
      <c r="D10" s="15">
        <f>IF(C10="","",IF(COUNTIF(lst_Jobs,C10&amp;"")&gt;0,"OK","CHECK"))</f>
        <v/>
      </c>
      <c r="E10" s="15">
        <f>IF(C10="","",IFERROR(INDEX(lst_JobName,MATCH(C10&amp;"",lst_Jobs,0)),""))</f>
        <v/>
      </c>
      <c r="F10" s="15">
        <f>IF(C10="","",IFERROR(INDEX(tbl_Finance[Client],MATCH(C10&amp;"",tbl_Finance[Job Number],0)),""))</f>
        <v/>
      </c>
      <c r="G10" s="52">
        <f>IF(C10="","",COUNTIFS(tbl_Finance[Job Number],C10&amp;"",tbl_Finance[Ex GST],"&lt;&gt;"))</f>
        <v/>
      </c>
      <c r="H10" s="17">
        <f>IF(C10="","",SUMIFS(tbl_Finance[Ex GST],tbl_Finance[Job Number],C10&amp;""))</f>
        <v/>
      </c>
      <c r="I10" s="15">
        <f>IF(C10="","",IFERROR(INDEX(tbl_Finance[Cost Centre],MATCH(C10&amp;"",tbl_Finance[Job Number],0)),"not invoiced yet"))</f>
        <v/>
      </c>
      <c r="J10" s="14" t="inlineStr">
        <is>
          <t>https://cts.qwilr.com/26043003-PwC-Costing-v1-0-LoPgcYilSIWh</t>
        </is>
      </c>
      <c r="K10" s="15">
        <f>IF(J10="","",HYPERLINK(IF(LEFT(J10,4)="http",J10,set_QwilrBase&amp;J10),"Open quote"))</f>
        <v/>
      </c>
      <c r="L10" s="16" t="n">
        <v>17766</v>
      </c>
      <c r="M10" s="16" t="n">
        <v>78301</v>
      </c>
      <c r="N10" s="16" t="n"/>
      <c r="O10" s="15">
        <f>IF(C10="","",IF(N(L10)+N(M10)+N(N10)=0,"Not split",IF(ROUND(N(L10)+N(M10)+N(N10),2)=ROUND(H10,2),"OK","MISMATCH")))</f>
        <v/>
      </c>
      <c r="P10" s="16" t="n">
        <v>13439</v>
      </c>
      <c r="Q10" s="16" t="n">
        <v>74537</v>
      </c>
      <c r="R10" s="16" t="n"/>
      <c r="S10" s="17">
        <f>IF(C10="","",N(P10)+N(Q10)+N(R10))</f>
        <v/>
      </c>
      <c r="T10" s="17">
        <f>IF(C10="","",H10-S10)</f>
        <v/>
      </c>
      <c r="U10" s="54">
        <f>IFERROR(T10/H10,"")</f>
        <v/>
      </c>
      <c r="V10" s="14" t="n"/>
    </row>
    <row r="11" ht="15" customHeight="1">
      <c r="A11" s="51">
        <f>IF(C11="","",IFERROR(IF(SUMPRODUCT(MAX((tbl_Finance[Job Number]=C11&amp;"")*tbl_Finance[Date]))=0,"",SUMPRODUCT(MAX((tbl_Finance[Job Number]=C11&amp;"")*tbl_Finance[Date]))),""))</f>
        <v/>
      </c>
      <c r="B11" s="15">
        <f>IF(A11="","",IFERROR(LOOKUP(2,1/((tbl_Finance[Job Number]=C11&amp;"")*(tbl_Finance[Date]=A11)),tbl_Finance[Xero Invoice No]),""))</f>
        <v/>
      </c>
      <c r="C11" s="14" t="inlineStr">
        <is>
          <t>2606901</t>
        </is>
      </c>
      <c r="D11" s="15">
        <f>IF(C11="","",IF(COUNTIF(lst_Jobs,C11&amp;"")&gt;0,"OK","CHECK"))</f>
        <v/>
      </c>
      <c r="E11" s="15">
        <f>IF(C11="","",IFERROR(INDEX(lst_JobName,MATCH(C11&amp;"",lst_Jobs,0)),""))</f>
        <v/>
      </c>
      <c r="F11" s="15">
        <f>IF(C11="","",IFERROR(INDEX(tbl_Finance[Client],MATCH(C11&amp;"",tbl_Finance[Job Number],0)),""))</f>
        <v/>
      </c>
      <c r="G11" s="52">
        <f>IF(C11="","",COUNTIFS(tbl_Finance[Job Number],C11&amp;"",tbl_Finance[Ex GST],"&lt;&gt;"))</f>
        <v/>
      </c>
      <c r="H11" s="17">
        <f>IF(C11="","",SUMIFS(tbl_Finance[Ex GST],tbl_Finance[Job Number],C11&amp;""))</f>
        <v/>
      </c>
      <c r="I11" s="15">
        <f>IF(C11="","",IFERROR(INDEX(tbl_Finance[Cost Centre],MATCH(C11&amp;"",tbl_Finance[Job Number],0)),"not invoiced yet"))</f>
        <v/>
      </c>
      <c r="J11" s="14" t="inlineStr">
        <is>
          <t>https://app.qwilr.com/#/page-view/6a336995d5bfec1e1c7a08ed</t>
        </is>
      </c>
      <c r="K11" s="15">
        <f>IF(J11="","",HYPERLINK(IF(LEFT(J11,4)="http",J11,set_QwilrBase&amp;J11),"Open quote"))</f>
        <v/>
      </c>
      <c r="L11" s="16" t="n">
        <v>41</v>
      </c>
      <c r="M11" s="16" t="n">
        <v>520</v>
      </c>
      <c r="N11" s="16" t="n"/>
      <c r="O11" s="15">
        <f>IF(C11="","",IF(N(L11)+N(M11)+N(N11)=0,"Not split",IF(ROUND(N(L11)+N(M11)+N(N11),2)=ROUND(H11,2),"OK","MISMATCH")))</f>
        <v/>
      </c>
      <c r="P11" s="16" t="n">
        <v>30.98</v>
      </c>
      <c r="Q11" s="16" t="n">
        <v>389</v>
      </c>
      <c r="R11" s="16" t="n"/>
      <c r="S11" s="17">
        <f>IF(C11="","",N(P11)+N(Q11)+N(R11))</f>
        <v/>
      </c>
      <c r="T11" s="17">
        <f>IF(C11="","",H11-S11)</f>
        <v/>
      </c>
      <c r="U11" s="54">
        <f>IFERROR(T11/H11,"")</f>
        <v/>
      </c>
      <c r="V11" s="14" t="n"/>
    </row>
    <row r="12" ht="15" customHeight="1">
      <c r="A12" s="51">
        <f>IF(C12="","",IFERROR(IF(SUMPRODUCT(MAX((tbl_Finance[Job Number]=C12&amp;"")*tbl_Finance[Date]))=0,"",SUMPRODUCT(MAX((tbl_Finance[Job Number]=C12&amp;"")*tbl_Finance[Date]))),""))</f>
        <v/>
      </c>
      <c r="B12" s="15">
        <f>IF(A12="","",IFERROR(LOOKUP(2,1/((tbl_Finance[Job Number]=C12&amp;"")*(tbl_Finance[Date]=A12)),tbl_Finance[Xero Invoice No]),""))</f>
        <v/>
      </c>
      <c r="C12" s="14" t="inlineStr">
        <is>
          <t>2602203</t>
        </is>
      </c>
      <c r="D12" s="15">
        <f>IF(C12="","",IF(COUNTIF(lst_Jobs,C12&amp;"")&gt;0,"OK","CHECK"))</f>
        <v/>
      </c>
      <c r="E12" s="15">
        <f>IF(C12="","",IFERROR(INDEX(lst_JobName,MATCH(C12&amp;"",lst_Jobs,0)),""))</f>
        <v/>
      </c>
      <c r="F12" s="15">
        <f>IF(C12="","",IFERROR(INDEX(tbl_Finance[Client],MATCH(C12&amp;"",tbl_Finance[Job Number],0)),""))</f>
        <v/>
      </c>
      <c r="G12" s="52">
        <f>IF(C12="","",COUNTIFS(tbl_Finance[Job Number],C12&amp;"",tbl_Finance[Ex GST],"&lt;&gt;"))</f>
        <v/>
      </c>
      <c r="H12" s="17">
        <f>IF(C12="","",SUMIFS(tbl_Finance[Ex GST],tbl_Finance[Job Number],C12&amp;""))</f>
        <v/>
      </c>
      <c r="I12" s="15">
        <f>IF(C12="","",IFERROR(INDEX(tbl_Finance[Cost Centre],MATCH(C12&amp;"",tbl_Finance[Job Number],0)),"not invoiced yet"))</f>
        <v/>
      </c>
      <c r="J12" s="14" t="inlineStr">
        <is>
          <t>https://cts.qwilr.com/2602203-YSGStudio-Proposal-A-Yw8447MlTUK7</t>
        </is>
      </c>
      <c r="K12" s="15">
        <f>IF(J12="","",HYPERLINK(IF(LEFT(J12,4)="http",J12,set_QwilrBase&amp;J12),"Open quote"))</f>
        <v/>
      </c>
      <c r="L12" s="16" t="n">
        <v>2247.5</v>
      </c>
      <c r="M12" s="16" t="n"/>
      <c r="N12" s="16" t="n"/>
      <c r="O12" s="15">
        <f>IF(C12="","",IF(N(L12)+N(M12)+N(N12)=0,"Not split",IF(ROUND(N(L12)+N(M12)+N(N12),2)=ROUND(H12,2),"OK","MISMATCH")))</f>
        <v/>
      </c>
      <c r="P12" s="16" t="n">
        <v>4840.96</v>
      </c>
      <c r="Q12" s="16" t="n">
        <v>17621.33</v>
      </c>
      <c r="R12" s="16" t="n"/>
      <c r="S12" s="17">
        <f>IF(C12="","",N(P12)+N(Q12)+N(R12))</f>
        <v/>
      </c>
      <c r="T12" s="17">
        <f>IF(C12="","",H12-S12)</f>
        <v/>
      </c>
      <c r="U12" s="54">
        <f>IFERROR(T12/H12,"")</f>
        <v/>
      </c>
      <c r="V12" s="14" t="inlineStr">
        <is>
          <t>Progress Claim 03</t>
        </is>
      </c>
    </row>
    <row r="13" ht="15" customHeight="1">
      <c r="A13" s="51">
        <f>IF(C13="","",IFERROR(IF(SUMPRODUCT(MAX((tbl_Finance[Job Number]=C13&amp;"")*tbl_Finance[Date]))=0,"",SUMPRODUCT(MAX((tbl_Finance[Job Number]=C13&amp;"")*tbl_Finance[Date]))),""))</f>
        <v/>
      </c>
      <c r="B13" s="15">
        <f>IF(A13="","",IFERROR(LOOKUP(2,1/((tbl_Finance[Job Number]=C13&amp;"")*(tbl_Finance[Date]=A13)),tbl_Finance[Xero Invoice No]),""))</f>
        <v/>
      </c>
      <c r="C13" s="14" t="inlineStr">
        <is>
          <t>25111203</t>
        </is>
      </c>
      <c r="D13" s="15">
        <f>IF(C13="","",IF(COUNTIF(lst_Jobs,C13&amp;"")&gt;0,"OK","CHECK"))</f>
        <v/>
      </c>
      <c r="E13" s="15">
        <f>IF(C13="","",IFERROR(INDEX(lst_JobName,MATCH(C13&amp;"",lst_Jobs,0)),""))</f>
        <v/>
      </c>
      <c r="F13" s="15">
        <f>IF(C13="","",IFERROR(INDEX(tbl_Finance[Client],MATCH(C13&amp;"",tbl_Finance[Job Number],0)),""))</f>
        <v/>
      </c>
      <c r="G13" s="52">
        <f>IF(C13="","",COUNTIFS(tbl_Finance[Job Number],C13&amp;"",tbl_Finance[Ex GST],"&lt;&gt;"))</f>
        <v/>
      </c>
      <c r="H13" s="17">
        <f>IF(C13="","",SUMIFS(tbl_Finance[Ex GST],tbl_Finance[Job Number],C13&amp;""))</f>
        <v/>
      </c>
      <c r="I13" s="15">
        <f>IF(C13="","",IFERROR(INDEX(tbl_Finance[Cost Centre],MATCH(C13&amp;"",tbl_Finance[Job Number],0)),"not invoiced yet"))</f>
        <v/>
      </c>
      <c r="J13" s="14" t="inlineStr">
        <is>
          <t>https://cts.qwilr.com/25111203-CoS-Proposal-v3-0-SyP1MwQ2TcKi</t>
        </is>
      </c>
      <c r="K13" s="15">
        <f>IF(J13="","",HYPERLINK(IF(LEFT(J13,4)="http",J13,set_QwilrBase&amp;J13),"Open quote"))</f>
        <v/>
      </c>
      <c r="L13" s="16" t="n"/>
      <c r="M13" s="16" t="n">
        <v>159150</v>
      </c>
      <c r="N13" s="16" t="n"/>
      <c r="O13" s="15">
        <f>IF(C13="","",IF(N(L13)+N(M13)+N(N13)=0,"Not split",IF(ROUND(N(L13)+N(M13)+N(N13),2)=ROUND(H13,2),"OK","MISMATCH")))</f>
        <v/>
      </c>
      <c r="P13" s="16" t="n"/>
      <c r="Q13" s="16" t="n">
        <v>149604.26</v>
      </c>
      <c r="R13" s="16" t="n"/>
      <c r="S13" s="17">
        <f>IF(C13="","",N(P13)+N(Q13)+N(R13))</f>
        <v/>
      </c>
      <c r="T13" s="17">
        <f>IF(C13="","",H13-S13)</f>
        <v/>
      </c>
      <c r="U13" s="54">
        <f>IFERROR(T13/H13,"")</f>
        <v/>
      </c>
      <c r="V13" s="14" t="n"/>
    </row>
    <row r="14" ht="15" customHeight="1">
      <c r="A14" s="51">
        <f>IF(C14="","",IFERROR(IF(SUMPRODUCT(MAX((tbl_Finance[Job Number]=C14&amp;"")*tbl_Finance[Date]))=0,"",SUMPRODUCT(MAX((tbl_Finance[Job Number]=C14&amp;"")*tbl_Finance[Date]))),""))</f>
        <v/>
      </c>
      <c r="B14" s="15">
        <f>IF(A14="","",IFERROR(LOOKUP(2,1/((tbl_Finance[Job Number]=C14&amp;"")*(tbl_Finance[Date]=A14)),tbl_Finance[Xero Invoice No]),""))</f>
        <v/>
      </c>
      <c r="C14" s="14" t="inlineStr">
        <is>
          <t>26033003</t>
        </is>
      </c>
      <c r="D14" s="15">
        <f>IF(C14="","",IF(COUNTIF(lst_Jobs,C14&amp;"")&gt;0,"OK","CHECK"))</f>
        <v/>
      </c>
      <c r="E14" s="15">
        <f>IF(C14="","",IFERROR(INDEX(lst_JobName,MATCH(C14&amp;"",lst_Jobs,0)),""))</f>
        <v/>
      </c>
      <c r="F14" s="15">
        <f>IF(C14="","",IFERROR(INDEX(tbl_Finance[Client],MATCH(C14&amp;"",tbl_Finance[Job Number],0)),""))</f>
        <v/>
      </c>
      <c r="G14" s="52">
        <f>IF(C14="","",COUNTIFS(tbl_Finance[Job Number],C14&amp;"",tbl_Finance[Ex GST],"&lt;&gt;"))</f>
        <v/>
      </c>
      <c r="H14" s="17">
        <f>IF(C14="","",SUMIFS(tbl_Finance[Ex GST],tbl_Finance[Job Number],C14&amp;""))</f>
        <v/>
      </c>
      <c r="I14" s="15">
        <f>IF(C14="","",IFERROR(INDEX(tbl_Finance[Cost Centre],MATCH(C14&amp;"",tbl_Finance[Job Number],0)),"not invoiced yet"))</f>
        <v/>
      </c>
      <c r="J14" s="14" t="inlineStr">
        <is>
          <t>26033003-Deloitte-8PSQ-Dream-Big-Microphones-v1-0-E9jd4w9T62Y1</t>
        </is>
      </c>
      <c r="K14" s="15">
        <f>IF(J14="","",HYPERLINK(IF(LEFT(J14,4)="http",J14,set_QwilrBase&amp;J14),"Open quote"))</f>
        <v/>
      </c>
      <c r="L14" s="16" t="n">
        <v>5904</v>
      </c>
      <c r="M14" s="16" t="n">
        <v>21504</v>
      </c>
      <c r="N14" s="16" t="n"/>
      <c r="O14" s="15">
        <f>IF(C14="","",IF(N(L14)+N(M14)+N(N14)=0,"Not split",IF(ROUND(N(L14)+N(M14)+N(N14),2)=ROUND(H14,2),"OK","MISMATCH")))</f>
        <v/>
      </c>
      <c r="P14" s="16" t="n">
        <v>4840.8</v>
      </c>
      <c r="Q14" s="16" t="n">
        <v>17621.2</v>
      </c>
      <c r="R14" s="16" t="n"/>
      <c r="S14" s="17">
        <f>IF(C14="","",N(P14)+N(Q14)+N(R14))</f>
        <v/>
      </c>
      <c r="T14" s="17">
        <f>IF(C14="","",H14-S14)</f>
        <v/>
      </c>
      <c r="U14" s="54">
        <f>IFERROR(T14/H14,"")</f>
        <v/>
      </c>
      <c r="V14" s="14" t="inlineStr">
        <is>
          <t>Invoiced in DTTL Additionals</t>
        </is>
      </c>
    </row>
    <row r="15" ht="15" customHeight="1">
      <c r="A15" s="51">
        <f>IF(C15="","",IFERROR(IF(SUMPRODUCT(MAX((tbl_Finance[Job Number]=C15&amp;"")*tbl_Finance[Date]))=0,"",SUMPRODUCT(MAX((tbl_Finance[Job Number]=C15&amp;"")*tbl_Finance[Date]))),""))</f>
        <v/>
      </c>
      <c r="B15" s="15">
        <f>IF(A15="","",IFERROR(LOOKUP(2,1/((tbl_Finance[Job Number]=C15&amp;"")*(tbl_Finance[Date]=A15)),tbl_Finance[Xero Invoice No]),""))</f>
        <v/>
      </c>
      <c r="C15" s="14" t="inlineStr">
        <is>
          <t>26033005</t>
        </is>
      </c>
      <c r="D15" s="15">
        <f>IF(C15="","",IF(COUNTIF(lst_Jobs,C15&amp;"")&gt;0,"OK","CHECK"))</f>
        <v/>
      </c>
      <c r="E15" s="15">
        <f>IF(C15="","",IFERROR(INDEX(lst_JobName,MATCH(C15&amp;"",lst_Jobs,0)),""))</f>
        <v/>
      </c>
      <c r="F15" s="15">
        <f>IF(C15="","",IFERROR(INDEX(tbl_Finance[Client],MATCH(C15&amp;"",tbl_Finance[Job Number],0)),""))</f>
        <v/>
      </c>
      <c r="G15" s="52">
        <f>IF(C15="","",COUNTIFS(tbl_Finance[Job Number],C15&amp;"",tbl_Finance[Ex GST],"&lt;&gt;"))</f>
        <v/>
      </c>
      <c r="H15" s="17">
        <f>IF(C15="","",SUMIFS(tbl_Finance[Ex GST],tbl_Finance[Job Number],C15&amp;""))</f>
        <v/>
      </c>
      <c r="I15" s="15">
        <f>IF(C15="","",IFERROR(INDEX(tbl_Finance[Cost Centre],MATCH(C15&amp;"",tbl_Finance[Job Number],0)),"not invoiced yet"))</f>
        <v/>
      </c>
      <c r="J15" s="14" t="inlineStr">
        <is>
          <t>26033005_Deloitte QQT &amp; 8PSQ_Crestron Connect Adaptor_v1.0</t>
        </is>
      </c>
      <c r="K15" s="15">
        <f>IF(J15="","",HYPERLINK(IF(LEFT(J15,4)="http",J15,set_QwilrBase&amp;J15),"Open quote"))</f>
        <v/>
      </c>
      <c r="L15" s="16" t="n">
        <v>4105</v>
      </c>
      <c r="M15" s="16" t="n">
        <v>16023</v>
      </c>
      <c r="N15" s="16" t="n"/>
      <c r="O15" s="15">
        <f>IF(C15="","",IF(N(L15)+N(M15)+N(N15)=0,"Not split",IF(ROUND(N(L15)+N(M15)+N(N15),2)=ROUND(H15,2),"OK","MISMATCH")))</f>
        <v/>
      </c>
      <c r="P15" s="16" t="n">
        <v>3013.72</v>
      </c>
      <c r="Q15" s="16" t="n">
        <v>13493.15</v>
      </c>
      <c r="R15" s="16" t="n"/>
      <c r="S15" s="17">
        <f>IF(C15="","",N(P15)+N(Q15)+N(R15))</f>
        <v/>
      </c>
      <c r="T15" s="17">
        <f>IF(C15="","",H15-S15)</f>
        <v/>
      </c>
      <c r="U15" s="54">
        <f>IFERROR(T15/H15,"")</f>
        <v/>
      </c>
      <c r="V15" s="14" t="n"/>
    </row>
    <row r="16" ht="15" customHeight="1">
      <c r="A16" s="51">
        <f>IF(C16="","",IFERROR(IF(SUMPRODUCT(MAX((tbl_Finance[Job Number]=C16&amp;"")*tbl_Finance[Date]))=0,"",SUMPRODUCT(MAX((tbl_Finance[Job Number]=C16&amp;"")*tbl_Finance[Date]))),""))</f>
        <v/>
      </c>
      <c r="B16" s="15">
        <f>IF(A16="","",IFERROR(LOOKUP(2,1/((tbl_Finance[Job Number]=C16&amp;"")*(tbl_Finance[Date]=A16)),tbl_Finance[Xero Invoice No]),""))</f>
        <v/>
      </c>
      <c r="C16" s="14" t="inlineStr">
        <is>
          <t>26033006</t>
        </is>
      </c>
      <c r="D16" s="15">
        <f>IF(C16="","",IF(COUNTIF(lst_Jobs,C16&amp;"")&gt;0,"OK","CHECK"))</f>
        <v/>
      </c>
      <c r="E16" s="15">
        <f>IF(C16="","",IFERROR(INDEX(lst_JobName,MATCH(C16&amp;"",lst_Jobs,0)),""))</f>
        <v/>
      </c>
      <c r="F16" s="15">
        <f>IF(C16="","",IFERROR(INDEX(tbl_Finance[Client],MATCH(C16&amp;"",tbl_Finance[Job Number],0)),""))</f>
        <v/>
      </c>
      <c r="G16" s="52">
        <f>IF(C16="","",COUNTIFS(tbl_Finance[Job Number],C16&amp;"",tbl_Finance[Ex GST],"&lt;&gt;"))</f>
        <v/>
      </c>
      <c r="H16" s="17">
        <f>IF(C16="","",SUMIFS(tbl_Finance[Ex GST],tbl_Finance[Job Number],C16&amp;""))</f>
        <v/>
      </c>
      <c r="I16" s="15">
        <f>IF(C16="","",IFERROR(INDEX(tbl_Finance[Cost Centre],MATCH(C16&amp;"",tbl_Finance[Job Number],0)),"not invoiced yet"))</f>
        <v/>
      </c>
      <c r="J16" s="14" t="inlineStr">
        <is>
          <t>26033006_Deloitte 8PSQ_Bluetooth Audio_v1.0</t>
        </is>
      </c>
      <c r="K16" s="15">
        <f>IF(J16="","",HYPERLINK(IF(LEFT(J16,4)="http",J16,set_QwilrBase&amp;J16),"Open quote"))</f>
        <v/>
      </c>
      <c r="L16" s="16" t="n">
        <v>2578</v>
      </c>
      <c r="M16" s="16" t="n">
        <v>2487</v>
      </c>
      <c r="N16" s="16" t="n"/>
      <c r="O16" s="15">
        <f>IF(C16="","",IF(N(L16)+N(M16)+N(N16)=0,"Not split",IF(ROUND(N(L16)+N(M16)+N(N16),2)=ROUND(H16,2),"OK","MISMATCH")))</f>
        <v/>
      </c>
      <c r="P16" s="16" t="n">
        <v>2114</v>
      </c>
      <c r="Q16" s="16" t="n">
        <v>2110</v>
      </c>
      <c r="R16" s="16" t="n"/>
      <c r="S16" s="17">
        <f>IF(C16="","",N(P16)+N(Q16)+N(R16))</f>
        <v/>
      </c>
      <c r="T16" s="17">
        <f>IF(C16="","",H16-S16)</f>
        <v/>
      </c>
      <c r="U16" s="54">
        <f>IFERROR(T16/H16,"")</f>
        <v/>
      </c>
      <c r="V16" s="14" t="n"/>
    </row>
    <row r="17" ht="15" customHeight="1">
      <c r="A17" s="51">
        <f>IF(C17="","",IFERROR(IF(SUMPRODUCT(MAX((tbl_Finance[Job Number]=C17&amp;"")*tbl_Finance[Date]))=0,"",SUMPRODUCT(MAX((tbl_Finance[Job Number]=C17&amp;"")*tbl_Finance[Date]))),""))</f>
        <v/>
      </c>
      <c r="B17" s="15">
        <f>IF(A17="","",IFERROR(LOOKUP(2,1/((tbl_Finance[Job Number]=C17&amp;"")*(tbl_Finance[Date]=A17)),tbl_Finance[Xero Invoice No]),""))</f>
        <v/>
      </c>
      <c r="C17" s="14" t="inlineStr">
        <is>
          <t>26033007</t>
        </is>
      </c>
      <c r="D17" s="15">
        <f>IF(C17="","",IF(COUNTIF(lst_Jobs,C17&amp;"")&gt;0,"OK","CHECK"))</f>
        <v/>
      </c>
      <c r="E17" s="15">
        <f>IF(C17="","",IFERROR(INDEX(lst_JobName,MATCH(C17&amp;"",lst_Jobs,0)),""))</f>
        <v/>
      </c>
      <c r="F17" s="15">
        <f>IF(C17="","",IFERROR(INDEX(tbl_Finance[Client],MATCH(C17&amp;"",tbl_Finance[Job Number],0)),""))</f>
        <v/>
      </c>
      <c r="G17" s="52">
        <f>IF(C17="","",COUNTIFS(tbl_Finance[Job Number],C17&amp;"",tbl_Finance[Ex GST],"&lt;&gt;"))</f>
        <v/>
      </c>
      <c r="H17" s="17">
        <f>IF(C17="","",SUMIFS(tbl_Finance[Ex GST],tbl_Finance[Job Number],C17&amp;""))</f>
        <v/>
      </c>
      <c r="I17" s="15">
        <f>IF(C17="","",IFERROR(INDEX(tbl_Finance[Cost Centre],MATCH(C17&amp;"",tbl_Finance[Job Number],0)),"not invoiced yet"))</f>
        <v/>
      </c>
      <c r="J17" s="14" t="inlineStr">
        <is>
          <t>26033007_Deloitte QQT_Lv45 Seminar-Wheels repair_v1.0</t>
        </is>
      </c>
      <c r="K17" s="15">
        <f>IF(J17="","",HYPERLINK(IF(LEFT(J17,4)="http",J17,set_QwilrBase&amp;J17),"Open quote"))</f>
        <v/>
      </c>
      <c r="L17" s="16" t="n"/>
      <c r="M17" s="16" t="n">
        <v>354</v>
      </c>
      <c r="N17" s="16" t="n"/>
      <c r="O17" s="15">
        <f>IF(C17="","",IF(N(L17)+N(M17)+N(N17)=0,"Not split",IF(ROUND(N(L17)+N(M17)+N(N17),2)=ROUND(H17,2),"OK","MISMATCH")))</f>
        <v/>
      </c>
      <c r="P17" s="16" t="n"/>
      <c r="Q17" s="16" t="n">
        <v>289.42</v>
      </c>
      <c r="R17" s="16" t="n"/>
      <c r="S17" s="17">
        <f>IF(C17="","",N(P17)+N(Q17)+N(R17))</f>
        <v/>
      </c>
      <c r="T17" s="17">
        <f>IF(C17="","",H17-S17)</f>
        <v/>
      </c>
      <c r="U17" s="54">
        <f>IFERROR(T17/H17,"")</f>
        <v/>
      </c>
      <c r="V17" s="14" t="n"/>
    </row>
    <row r="18" ht="15" customHeight="1">
      <c r="A18" s="51">
        <f>IF(C18="","",IFERROR(IF(SUMPRODUCT(MAX((tbl_Finance[Job Number]=C18&amp;"")*tbl_Finance[Date]))=0,"",SUMPRODUCT(MAX((tbl_Finance[Job Number]=C18&amp;"")*tbl_Finance[Date]))),""))</f>
        <v/>
      </c>
      <c r="B18" s="15">
        <f>IF(A18="","",IFERROR(LOOKUP(2,1/((tbl_Finance[Job Number]=C18&amp;"")*(tbl_Finance[Date]=A18)),tbl_Finance[Xero Invoice No]),""))</f>
        <v/>
      </c>
      <c r="C18" s="14" t="inlineStr">
        <is>
          <t>26051301</t>
        </is>
      </c>
      <c r="D18" s="15">
        <f>IF(C18="","",IF(COUNTIF(lst_Jobs,C18&amp;"")&gt;0,"OK","CHECK"))</f>
        <v/>
      </c>
      <c r="E18" s="15">
        <f>IF(C18="","",IFERROR(INDEX(lst_JobName,MATCH(C18&amp;"",lst_Jobs,0)),""))</f>
        <v/>
      </c>
      <c r="F18" s="15">
        <f>IF(C18="","",IFERROR(INDEX(tbl_Finance[Client],MATCH(C18&amp;"",tbl_Finance[Job Number],0)),""))</f>
        <v/>
      </c>
      <c r="G18" s="52">
        <f>IF(C18="","",COUNTIFS(tbl_Finance[Job Number],C18&amp;"",tbl_Finance[Ex GST],"&lt;&gt;"))</f>
        <v/>
      </c>
      <c r="H18" s="17">
        <f>IF(C18="","",SUMIFS(tbl_Finance[Ex GST],tbl_Finance[Job Number],C18&amp;""))</f>
        <v/>
      </c>
      <c r="I18" s="15">
        <f>IF(C18="","",IFERROR(INDEX(tbl_Finance[Cost Centre],MATCH(C18&amp;"",tbl_Finance[Job Number],0)),"not invoiced yet"))</f>
        <v/>
      </c>
      <c r="J18" s="14" t="inlineStr">
        <is>
          <t>https://cts.qwilr.com/26051301-HP-BAE-PhoneMod-v1-0-nL48O1eQt25h</t>
        </is>
      </c>
      <c r="K18" s="15">
        <f>IF(J18="","",HYPERLINK(IF(LEFT(J18,4)="http",J18,set_QwilrBase&amp;J18),"Open quote"))</f>
        <v/>
      </c>
      <c r="L18" s="16" t="n">
        <v>552</v>
      </c>
      <c r="M18" s="16" t="n">
        <v>609</v>
      </c>
      <c r="N18" s="16" t="n"/>
      <c r="O18" s="15">
        <f>IF(C18="","",IF(N(L18)+N(M18)+N(N18)=0,"Not split",IF(ROUND(N(L18)+N(M18)+N(N18),2)=ROUND(H18,2),"OK","MISMATCH")))</f>
        <v/>
      </c>
      <c r="P18" s="16" t="n">
        <v>486</v>
      </c>
      <c r="Q18" s="16" t="n">
        <v>402</v>
      </c>
      <c r="R18" s="16" t="n"/>
      <c r="S18" s="17">
        <f>IF(C18="","",N(P18)+N(Q18)+N(R18))</f>
        <v/>
      </c>
      <c r="T18" s="17">
        <f>IF(C18="","",H18-S18)</f>
        <v/>
      </c>
      <c r="U18" s="54">
        <f>IFERROR(T18/H18,"")</f>
        <v/>
      </c>
      <c r="V18" s="14" t="n"/>
    </row>
    <row r="19" ht="15" customHeight="1">
      <c r="A19" s="51">
        <f>IF(C19="","",IFERROR(IF(SUMPRODUCT(MAX((tbl_Finance[Job Number]=C19&amp;"")*tbl_Finance[Date]))=0,"",SUMPRODUCT(MAX((tbl_Finance[Job Number]=C19&amp;"")*tbl_Finance[Date]))),""))</f>
        <v/>
      </c>
      <c r="B19" s="15">
        <f>IF(A19="","",IFERROR(LOOKUP(2,1/((tbl_Finance[Job Number]=C19&amp;"")*(tbl_Finance[Date]=A19)),tbl_Finance[Xero Invoice No]),""))</f>
        <v/>
      </c>
      <c r="C19" s="14" t="inlineStr">
        <is>
          <t>26061501</t>
        </is>
      </c>
      <c r="D19" s="15">
        <f>IF(C19="","",IF(COUNTIF(lst_Jobs,C19&amp;"")&gt;0,"OK","CHECK"))</f>
        <v/>
      </c>
      <c r="E19" s="15">
        <f>IF(C19="","",IFERROR(INDEX(lst_JobName,MATCH(C19&amp;"",lst_Jobs,0)),""))</f>
        <v/>
      </c>
      <c r="F19" s="15">
        <f>IF(C19="","",IFERROR(INDEX(tbl_Finance[Client],MATCH(C19&amp;"",tbl_Finance[Job Number],0)),""))</f>
        <v/>
      </c>
      <c r="G19" s="52">
        <f>IF(C19="","",COUNTIFS(tbl_Finance[Job Number],C19&amp;"",tbl_Finance[Ex GST],"&lt;&gt;"))</f>
        <v/>
      </c>
      <c r="H19" s="17">
        <f>IF(C19="","",SUMIFS(tbl_Finance[Ex GST],tbl_Finance[Job Number],C19&amp;""))</f>
        <v/>
      </c>
      <c r="I19" s="15">
        <f>IF(C19="","",IFERROR(INDEX(tbl_Finance[Cost Centre],MATCH(C19&amp;"",tbl_Finance[Job Number],0)),"not invoiced yet"))</f>
        <v/>
      </c>
      <c r="J19" s="14" t="inlineStr">
        <is>
          <t>https://cts.qwilr.com/26061501-DTTL-Costing-v1-0-3HdQMOES9eDo</t>
        </is>
      </c>
      <c r="K19" s="15">
        <f>IF(J19="","",HYPERLINK(IF(LEFT(J19,4)="http",J19,set_QwilrBase&amp;J19),"Open quote"))</f>
        <v/>
      </c>
      <c r="L19" s="16" t="n">
        <v>1639</v>
      </c>
      <c r="M19" s="16" t="n">
        <v>2251</v>
      </c>
      <c r="N19" s="16" t="n"/>
      <c r="O19" s="15">
        <f>IF(C19="","",IF(N(L19)+N(M19)+N(N19)=0,"Not split",IF(ROUND(N(L19)+N(M19)+N(N19),2)=ROUND(H19,2),"OK","MISMATCH")))</f>
        <v/>
      </c>
      <c r="P19" s="16" t="n">
        <v>1344.2</v>
      </c>
      <c r="Q19" s="16" t="n">
        <v>1688.07</v>
      </c>
      <c r="R19" s="16" t="n"/>
      <c r="S19" s="17">
        <f>IF(C19="","",N(P19)+N(Q19)+N(R19))</f>
        <v/>
      </c>
      <c r="T19" s="17">
        <f>IF(C19="","",H19-S19)</f>
        <v/>
      </c>
      <c r="U19" s="54">
        <f>IFERROR(T19/H19,"")</f>
        <v/>
      </c>
      <c r="V19" s="14" t="n"/>
    </row>
    <row r="20" ht="15" customHeight="1">
      <c r="A20" s="51">
        <f>IF(C20="","",IFERROR(IF(SUMPRODUCT(MAX((tbl_Finance[Job Number]=C20&amp;"")*tbl_Finance[Date]))=0,"",SUMPRODUCT(MAX((tbl_Finance[Job Number]=C20&amp;"")*tbl_Finance[Date]))),""))</f>
        <v/>
      </c>
      <c r="B20" s="15">
        <f>IF(A20="","",IFERROR(LOOKUP(2,1/((tbl_Finance[Job Number]=C20&amp;"")*(tbl_Finance[Date]=A20)),tbl_Finance[Xero Invoice No]),""))</f>
        <v/>
      </c>
      <c r="C20" s="14" t="inlineStr">
        <is>
          <t>2605605</t>
        </is>
      </c>
      <c r="D20" s="15">
        <f>IF(C20="","",IF(COUNTIF(lst_Jobs,C20&amp;"")&gt;0,"OK","CHECK"))</f>
        <v/>
      </c>
      <c r="E20" s="15">
        <f>IF(C20="","",IFERROR(INDEX(lst_JobName,MATCH(C20&amp;"",lst_Jobs,0)),""))</f>
        <v/>
      </c>
      <c r="F20" s="15">
        <f>IF(C20="","",IFERROR(INDEX(tbl_Finance[Client],MATCH(C20&amp;"",tbl_Finance[Job Number],0)),""))</f>
        <v/>
      </c>
      <c r="G20" s="52">
        <f>IF(C20="","",COUNTIFS(tbl_Finance[Job Number],C20&amp;"",tbl_Finance[Ex GST],"&lt;&gt;"))</f>
        <v/>
      </c>
      <c r="H20" s="17">
        <f>IF(C20="","",SUMIFS(tbl_Finance[Ex GST],tbl_Finance[Job Number],C20&amp;""))</f>
        <v/>
      </c>
      <c r="I20" s="15">
        <f>IF(C20="","",IFERROR(INDEX(tbl_Finance[Cost Centre],MATCH(C20&amp;"",tbl_Finance[Job Number],0)),"not invoiced yet"))</f>
        <v/>
      </c>
      <c r="J20" s="14" t="inlineStr">
        <is>
          <t>https://cts.qwilr.com/2605605-DTTL-Hobart-v3-2-6eP2dgISRMec</t>
        </is>
      </c>
      <c r="K20" s="15">
        <f>IF(J20="","",HYPERLINK(IF(LEFT(J20,4)="http",J20,set_QwilrBase&amp;J20),"Open quote"))</f>
        <v/>
      </c>
      <c r="L20" s="16" t="n">
        <v>12985</v>
      </c>
      <c r="M20" s="16" t="n">
        <v>47362</v>
      </c>
      <c r="N20" s="16" t="n"/>
      <c r="O20" s="15">
        <f>IF(C20="","",IF(N(L20)+N(M20)+N(N20)=0,"Not split",IF(ROUND(N(L20)+N(M20)+N(N20),2)=ROUND(H20,2),"OK","MISMATCH")))</f>
        <v/>
      </c>
      <c r="P20" s="16" t="n">
        <v>10485</v>
      </c>
      <c r="Q20" s="16" t="n">
        <v>25392</v>
      </c>
      <c r="R20" s="16" t="n"/>
      <c r="S20" s="17">
        <f>IF(C20="","",N(P20)+N(Q20)+N(R20))</f>
        <v/>
      </c>
      <c r="T20" s="17">
        <f>IF(C20="","",H20-S20)</f>
        <v/>
      </c>
      <c r="U20" s="54">
        <f>IFERROR(T20/H20,"")</f>
        <v/>
      </c>
      <c r="V20" s="14" t="n"/>
    </row>
    <row r="21" ht="15" customHeight="1">
      <c r="A21" s="51">
        <f>IF(C21="","",IFERROR(IF(SUMPRODUCT(MAX((tbl_Finance[Job Number]=C21&amp;"")*tbl_Finance[Date]))=0,"",SUMPRODUCT(MAX((tbl_Finance[Job Number]=C21&amp;"")*tbl_Finance[Date]))),""))</f>
        <v/>
      </c>
      <c r="B21" s="15">
        <f>IF(A21="","",IFERROR(LOOKUP(2,1/((tbl_Finance[Job Number]=C21&amp;"")*(tbl_Finance[Date]=A21)),tbl_Finance[Xero Invoice No]),""))</f>
        <v/>
      </c>
      <c r="C21" s="14" t="inlineStr">
        <is>
          <t>26072101</t>
        </is>
      </c>
      <c r="D21" s="15">
        <f>IF(C21="","",IF(COUNTIF(lst_Jobs,C21&amp;"")&gt;0,"OK","CHECK"))</f>
        <v/>
      </c>
      <c r="E21" s="15">
        <f>IF(C21="","",IFERROR(INDEX(lst_JobName,MATCH(C21&amp;"",lst_Jobs,0)),""))</f>
        <v/>
      </c>
      <c r="F21" s="15">
        <f>IF(C21="","",IFERROR(INDEX(tbl_Finance[Client],MATCH(C21&amp;"",tbl_Finance[Job Number],0)),""))</f>
        <v/>
      </c>
      <c r="G21" s="52">
        <f>IF(C21="","",COUNTIFS(tbl_Finance[Job Number],C21&amp;"",tbl_Finance[Ex GST],"&lt;&gt;"))</f>
        <v/>
      </c>
      <c r="H21" s="17">
        <f>IF(C21="","",SUMIFS(tbl_Finance[Ex GST],tbl_Finance[Job Number],C21&amp;""))</f>
        <v/>
      </c>
      <c r="I21" s="15">
        <f>IF(C21="","",IFERROR(INDEX(tbl_Finance[Cost Centre],MATCH(C21&amp;"",tbl_Finance[Job Number],0)),"not invoiced yet"))</f>
        <v/>
      </c>
      <c r="J21" s="14" t="inlineStr">
        <is>
          <t>https://corptechservices.sharepoint.com/:b:/s/TeamIntegration/IQBagqp7IMy9QaQ1UUIv4eRPASus3A84m0lYjrSHFwHEyt0?e=9PLTPA</t>
        </is>
      </c>
      <c r="K21" s="15">
        <f>IF(J21="","",HYPERLINK(IF(LEFT(J21,4)="http",J21,set_QwilrBase&amp;J21),"Open quote"))</f>
        <v/>
      </c>
      <c r="L21" s="16" t="n">
        <v>920</v>
      </c>
      <c r="M21" s="16" t="n">
        <v>5217</v>
      </c>
      <c r="N21" s="16" t="n"/>
      <c r="O21" s="15">
        <f>IF(C21="","",IF(N(L21)+N(M21)+N(N21)=0,"Not split",IF(ROUND(N(L21)+N(M21)+N(N21),2)=ROUND(H21,2),"OK","MISMATCH")))</f>
        <v/>
      </c>
      <c r="P21" s="16" t="n">
        <v>549</v>
      </c>
      <c r="Q21" s="16" t="n">
        <v>3913</v>
      </c>
      <c r="R21" s="16" t="n"/>
      <c r="S21" s="17">
        <f>IF(C21="","",N(P21)+N(Q21)+N(R21))</f>
        <v/>
      </c>
      <c r="T21" s="17">
        <f>IF(C21="","",H21-S21)</f>
        <v/>
      </c>
      <c r="U21" s="54">
        <f>IFERROR(T21/H21,"")</f>
        <v/>
      </c>
      <c r="V21" s="14" t="n"/>
    </row>
    <row r="22" ht="15" customHeight="1">
      <c r="A22" s="51">
        <f>IF(C22="","",IFERROR(IF(SUMPRODUCT(MAX((tbl_Finance[Job Number]=C22&amp;"")*tbl_Finance[Date]))=0,"",SUMPRODUCT(MAX((tbl_Finance[Job Number]=C22&amp;"")*tbl_Finance[Date]))),""))</f>
        <v/>
      </c>
      <c r="B22" s="15">
        <f>IF(A22="","",IFERROR(LOOKUP(2,1/((tbl_Finance[Job Number]=C22&amp;"")*(tbl_Finance[Date]=A22)),tbl_Finance[Xero Invoice No]),""))</f>
        <v/>
      </c>
      <c r="C22" s="14" t="inlineStr">
        <is>
          <t>2606101</t>
        </is>
      </c>
      <c r="D22" s="15">
        <f>IF(C22="","",IF(COUNTIF(lst_Jobs,C22&amp;"")&gt;0,"OK","CHECK"))</f>
        <v/>
      </c>
      <c r="E22" s="15">
        <f>IF(C22="","",IFERROR(INDEX(lst_JobName,MATCH(C22&amp;"",lst_Jobs,0)),""))</f>
        <v/>
      </c>
      <c r="F22" s="15">
        <f>IF(C22="","",IFERROR(INDEX(tbl_Finance[Client],MATCH(C22&amp;"",tbl_Finance[Job Number],0)),""))</f>
        <v/>
      </c>
      <c r="G22" s="52">
        <f>IF(C22="","",COUNTIFS(tbl_Finance[Job Number],C22&amp;"",tbl_Finance[Ex GST],"&lt;&gt;"))</f>
        <v/>
      </c>
      <c r="H22" s="17">
        <f>IF(C22="","",SUMIFS(tbl_Finance[Ex GST],tbl_Finance[Job Number],C22&amp;""))</f>
        <v/>
      </c>
      <c r="I22" s="15">
        <f>IF(C22="","",IFERROR(INDEX(tbl_Finance[Cost Centre],MATCH(C22&amp;"",tbl_Finance[Job Number],0)),"not invoiced yet"))</f>
        <v/>
      </c>
      <c r="J22" s="14" t="inlineStr">
        <is>
          <t>https://cts.qwilr.com/2606101-APA-Quotation-v1-0-QyyRipuR5uzy</t>
        </is>
      </c>
      <c r="K22" s="15">
        <f>IF(J22="","",HYPERLINK(IF(LEFT(J22,4)="http",J22,set_QwilrBase&amp;J22),"Open quote"))</f>
        <v/>
      </c>
      <c r="L22" s="16" t="n"/>
      <c r="M22" s="16" t="n"/>
      <c r="N22" s="16" t="n">
        <v>4205</v>
      </c>
      <c r="O22" s="15">
        <f>IF(C22="","",IF(N(L22)+N(M22)+N(N22)=0,"Not split",IF(ROUND(N(L22)+N(M22)+N(N22),2)=ROUND(H22,2),"OK","MISMATCH")))</f>
        <v/>
      </c>
      <c r="P22" s="16" t="n"/>
      <c r="Q22" s="16" t="n"/>
      <c r="R22" s="16" t="n">
        <v>3364</v>
      </c>
      <c r="S22" s="17">
        <f>IF(C22="","",N(P22)+N(Q22)+N(R22))</f>
        <v/>
      </c>
      <c r="T22" s="17">
        <f>IF(C22="","",H22-S22)</f>
        <v/>
      </c>
      <c r="U22" s="54">
        <f>IFERROR(T22/H22,"")</f>
        <v/>
      </c>
      <c r="V22" s="14" t="inlineStr">
        <is>
          <t>01/03/2027 to 29/02/2028</t>
        </is>
      </c>
    </row>
    <row r="23" ht="15" customHeight="1">
      <c r="A23" s="51">
        <f>IF(C23="","",IFERROR(IF(SUMPRODUCT(MAX((tbl_Finance[Job Number]=C23&amp;"")*tbl_Finance[Date]))=0,"",SUMPRODUCT(MAX((tbl_Finance[Job Number]=C23&amp;"")*tbl_Finance[Date]))),""))</f>
        <v/>
      </c>
      <c r="B23" s="15">
        <f>IF(A23="","",IFERROR(LOOKUP(2,1/((tbl_Finance[Job Number]=C23&amp;"")*(tbl_Finance[Date]=A23)),tbl_Finance[Xero Invoice No]),""))</f>
        <v/>
      </c>
      <c r="C23" s="14" t="inlineStr">
        <is>
          <t>26071304</t>
        </is>
      </c>
      <c r="D23" s="15">
        <f>IF(C23="","",IF(COUNTIF(lst_Jobs,C23&amp;"")&gt;0,"OK","CHECK"))</f>
        <v/>
      </c>
      <c r="E23" s="15">
        <f>IF(C23="","",IFERROR(INDEX(lst_JobName,MATCH(C23&amp;"",lst_Jobs,0)),""))</f>
        <v/>
      </c>
      <c r="F23" s="15">
        <f>IF(C23="","",IFERROR(INDEX(tbl_Finance[Client],MATCH(C23&amp;"",tbl_Finance[Job Number],0)),""))</f>
        <v/>
      </c>
      <c r="G23" s="52">
        <f>IF(C23="","",COUNTIFS(tbl_Finance[Job Number],C23&amp;"",tbl_Finance[Ex GST],"&lt;&gt;"))</f>
        <v/>
      </c>
      <c r="H23" s="17">
        <f>IF(C23="","",SUMIFS(tbl_Finance[Ex GST],tbl_Finance[Job Number],C23&amp;""))</f>
        <v/>
      </c>
      <c r="I23" s="15">
        <f>IF(C23="","",IFERROR(INDEX(tbl_Finance[Cost Centre],MATCH(C23&amp;"",tbl_Finance[Job Number],0)),"not invoiced yet"))</f>
        <v/>
      </c>
      <c r="J23" s="14" t="inlineStr">
        <is>
          <t>https://cts.qwilr.com/26071304-YSG-Costing-v1-0-FTAgpF5RoWQK</t>
        </is>
      </c>
      <c r="K23" s="15">
        <f>IF(J23="","",HYPERLINK(IF(LEFT(J23,4)="http",J23,set_QwilrBase&amp;J23),"Open quote"))</f>
        <v/>
      </c>
      <c r="L23" s="16" t="n">
        <v>4462</v>
      </c>
      <c r="M23" s="16" t="n">
        <v>4702</v>
      </c>
      <c r="N23" s="16" t="n"/>
      <c r="O23" s="15">
        <f>IF(C23="","",IF(N(L23)+N(M23)+N(N23)=0,"Not split",IF(ROUND(N(L23)+N(M23)+N(N23),2)=ROUND(H23,2),"OK","MISMATCH")))</f>
        <v/>
      </c>
      <c r="P23" s="16" t="n">
        <v>3659</v>
      </c>
      <c r="Q23" s="16" t="n">
        <v>3327.49</v>
      </c>
      <c r="R23" s="16" t="n"/>
      <c r="S23" s="17">
        <f>IF(C23="","",N(P23)+N(Q23)+N(R23))</f>
        <v/>
      </c>
      <c r="T23" s="17">
        <f>IF(C23="","",H23-S23)</f>
        <v/>
      </c>
      <c r="U23" s="54">
        <f>IFERROR(T23/H23,"")</f>
        <v/>
      </c>
      <c r="V23" s="14" t="inlineStr">
        <is>
          <t>Invoice 1/2 Equipment only</t>
        </is>
      </c>
    </row>
    <row r="24" ht="15" customHeight="1">
      <c r="A24" s="51">
        <f>IF(C24="","",IFERROR(IF(SUMPRODUCT(MAX((tbl_Finance[Job Number]=C24&amp;"")*tbl_Finance[Date]))=0,"",SUMPRODUCT(MAX((tbl_Finance[Job Number]=C24&amp;"")*tbl_Finance[Date]))),""))</f>
        <v/>
      </c>
      <c r="B24" s="15">
        <f>IF(A24="","",IFERROR(LOOKUP(2,1/((tbl_Finance[Job Number]=C24&amp;"")*(tbl_Finance[Date]=A24)),tbl_Finance[Xero Invoice No]),""))</f>
        <v/>
      </c>
      <c r="C24" s="14" t="inlineStr">
        <is>
          <t>2604704</t>
        </is>
      </c>
      <c r="D24" s="15">
        <f>IF(C24="","",IF(COUNTIF(lst_Jobs,C24&amp;"")&gt;0,"OK","CHECK"))</f>
        <v/>
      </c>
      <c r="E24" s="15">
        <f>IF(C24="","",IFERROR(INDEX(lst_JobName,MATCH(C24&amp;"",lst_Jobs,0)),""))</f>
        <v/>
      </c>
      <c r="F24" s="15">
        <f>IF(C24="","",IFERROR(INDEX(tbl_Finance[Client],MATCH(C24&amp;"",tbl_Finance[Job Number],0)),""))</f>
        <v/>
      </c>
      <c r="G24" s="52">
        <f>IF(C24="","",COUNTIFS(tbl_Finance[Job Number],C24&amp;"",tbl_Finance[Ex GST],"&lt;&gt;"))</f>
        <v/>
      </c>
      <c r="H24" s="17">
        <f>IF(C24="","",SUMIFS(tbl_Finance[Ex GST],tbl_Finance[Job Number],C24&amp;""))</f>
        <v/>
      </c>
      <c r="I24" s="15">
        <f>IF(C24="","",IFERROR(INDEX(tbl_Finance[Cost Centre],MATCH(C24&amp;"",tbl_Finance[Job Number],0)),"not invoiced yet"))</f>
        <v/>
      </c>
      <c r="J24" s="14" t="inlineStr">
        <is>
          <t>https://cts.qwilr.com/2604704-AwareSuper-Proposal-v4-0-ilNUnNxKQIui</t>
        </is>
      </c>
      <c r="K24" s="15">
        <f>IF(J24="","",HYPERLINK(IF(LEFT(J24,4)="http",J24,set_QwilrBase&amp;J24),"Open quote"))</f>
        <v/>
      </c>
      <c r="L24" s="16" t="n"/>
      <c r="M24" s="16" t="n"/>
      <c r="N24" s="16" t="n"/>
      <c r="O24" s="15">
        <f>IF(C24="","",IF(N(L24)+N(M24)+N(N24)=0,"Not split",IF(ROUND(N(L24)+N(M24)+N(N24),2)=ROUND(H24,2),"OK","MISMATCH")))</f>
        <v/>
      </c>
      <c r="P24" s="16" t="n"/>
      <c r="Q24" s="16" t="n">
        <v>177457.98</v>
      </c>
      <c r="R24" s="16" t="n"/>
      <c r="S24" s="17">
        <f>IF(C24="","",N(P24)+N(Q24)+N(R24))</f>
        <v/>
      </c>
      <c r="T24" s="17">
        <f>IF(C24="","",H24-S24)</f>
        <v/>
      </c>
      <c r="U24" s="54">
        <f>IFERROR(T24/H24,"")</f>
        <v/>
      </c>
      <c r="V24" s="14" t="n"/>
    </row>
    <row r="25" ht="15" customHeight="1">
      <c r="A25" s="51">
        <f>IF(C25="","",IFERROR(IF(SUMPRODUCT(MAX((tbl_Finance[Job Number]=C25&amp;"")*tbl_Finance[Date]))=0,"",SUMPRODUCT(MAX((tbl_Finance[Job Number]=C25&amp;"")*tbl_Finance[Date]))),""))</f>
        <v/>
      </c>
      <c r="B25" s="15">
        <f>IF(A25="","",IFERROR(LOOKUP(2,1/((tbl_Finance[Job Number]=C25&amp;"")*(tbl_Finance[Date]=A25)),tbl_Finance[Xero Invoice No]),""))</f>
        <v/>
      </c>
      <c r="C25" s="14" t="inlineStr">
        <is>
          <t>26052102</t>
        </is>
      </c>
      <c r="D25" s="15">
        <f>IF(C25="","",IF(COUNTIF(lst_Jobs,C25&amp;"")&gt;0,"OK","CHECK"))</f>
        <v/>
      </c>
      <c r="E25" s="15">
        <f>IF(C25="","",IFERROR(INDEX(lst_JobName,MATCH(C25&amp;"",lst_Jobs,0)),""))</f>
        <v/>
      </c>
      <c r="F25" s="15">
        <f>IF(C25="","",IFERROR(INDEX(tbl_Finance[Client],MATCH(C25&amp;"",tbl_Finance[Job Number],0)),""))</f>
        <v/>
      </c>
      <c r="G25" s="52">
        <f>IF(C25="","",COUNTIFS(tbl_Finance[Job Number],C25&amp;"",tbl_Finance[Ex GST],"&lt;&gt;"))</f>
        <v/>
      </c>
      <c r="H25" s="17">
        <f>IF(C25="","",SUMIFS(tbl_Finance[Ex GST],tbl_Finance[Job Number],C25&amp;""))</f>
        <v/>
      </c>
      <c r="I25" s="15">
        <f>IF(C25="","",IFERROR(INDEX(tbl_Finance[Cost Centre],MATCH(C25&amp;"",tbl_Finance[Job Number],0)),"not invoiced yet"))</f>
        <v/>
      </c>
      <c r="J25" s="14" t="inlineStr">
        <is>
          <t>https://cts.qwilr.com/26052102-HP-D3-AustracPhoneMod-v3-0-PO-Received-4b9uvVwXSiqQ</t>
        </is>
      </c>
      <c r="K25" s="15">
        <f>IF(J25="","",HYPERLINK(IF(LEFT(J25,4)="http",J25,set_QwilrBase&amp;J25),"Open quote"))</f>
        <v/>
      </c>
      <c r="L25" s="16" t="n">
        <v>8009</v>
      </c>
      <c r="M25" s="16" t="n">
        <v>37900</v>
      </c>
      <c r="N25" s="16" t="n"/>
      <c r="O25" s="15">
        <f>IF(C25="","",IF(N(L25)+N(M25)+N(N25)=0,"Not split",IF(ROUND(N(L25)+N(M25)+N(N25),2)=ROUND(H25,2),"OK","MISMATCH")))</f>
        <v/>
      </c>
      <c r="P25" s="16" t="n">
        <v>6567</v>
      </c>
      <c r="Q25" s="16" t="n">
        <v>28409</v>
      </c>
      <c r="R25" s="16" t="n"/>
      <c r="S25" s="17">
        <f>IF(C25="","",N(P25)+N(Q25)+N(R25))</f>
        <v/>
      </c>
      <c r="T25" s="17">
        <f>IF(C25="","",H25-S25)</f>
        <v/>
      </c>
      <c r="U25" s="54">
        <f>IFERROR(T25/H25,"")</f>
        <v/>
      </c>
      <c r="V25" s="14" t="n"/>
    </row>
    <row r="26" ht="15" customHeight="1">
      <c r="A26" s="51">
        <f>IF(C26="","",IFERROR(IF(SUMPRODUCT(MAX((tbl_Finance[Job Number]=C26&amp;"")*tbl_Finance[Date]))=0,"",SUMPRODUCT(MAX((tbl_Finance[Job Number]=C26&amp;"")*tbl_Finance[Date]))),""))</f>
        <v/>
      </c>
      <c r="B26" s="15">
        <f>IF(A26="","",IFERROR(LOOKUP(2,1/((tbl_Finance[Job Number]=C26&amp;"")*(tbl_Finance[Date]=A26)),tbl_Finance[Xero Invoice No]),""))</f>
        <v/>
      </c>
      <c r="C26" s="14" t="inlineStr">
        <is>
          <t>26052701</t>
        </is>
      </c>
      <c r="D26" s="15">
        <f>IF(C26="","",IF(COUNTIF(lst_Jobs,C26&amp;"")&gt;0,"OK","CHECK"))</f>
        <v/>
      </c>
      <c r="E26" s="15">
        <f>IF(C26="","",IFERROR(INDEX(lst_JobName,MATCH(C26&amp;"",lst_Jobs,0)),""))</f>
        <v/>
      </c>
      <c r="F26" s="15">
        <f>IF(C26="","",IFERROR(INDEX(tbl_Finance[Client],MATCH(C26&amp;"",tbl_Finance[Job Number],0)),""))</f>
        <v/>
      </c>
      <c r="G26" s="52">
        <f>IF(C26="","",COUNTIFS(tbl_Finance[Job Number],C26&amp;"",tbl_Finance[Ex GST],"&lt;&gt;"))</f>
        <v/>
      </c>
      <c r="H26" s="17">
        <f>IF(C26="","",SUMIFS(tbl_Finance[Ex GST],tbl_Finance[Job Number],C26&amp;""))</f>
        <v/>
      </c>
      <c r="I26" s="15">
        <f>IF(C26="","",IFERROR(INDEX(tbl_Finance[Cost Centre],MATCH(C26&amp;"",tbl_Finance[Job Number],0)),"not invoiced yet"))</f>
        <v/>
      </c>
      <c r="J26" s="14" t="inlineStr">
        <is>
          <t>https://cts.qwilr.com/26052701-Aware-Costing-v5-0-CGHaKT8iSxmf</t>
        </is>
      </c>
      <c r="K26" s="15">
        <f>IF(J26="","",HYPERLINK(IF(LEFT(J26,4)="http",J26,set_QwilrBase&amp;J26),"Open quote"))</f>
        <v/>
      </c>
      <c r="L26" s="16" t="n"/>
      <c r="M26" s="16" t="n"/>
      <c r="N26" s="16" t="n"/>
      <c r="O26" s="15">
        <f>IF(C26="","",IF(N(L26)+N(M26)+N(N26)=0,"Not split",IF(ROUND(N(L26)+N(M26)+N(N26),2)=ROUND(H26,2),"OK","MISMATCH")))</f>
        <v/>
      </c>
      <c r="P26" s="16" t="n"/>
      <c r="Q26" s="16" t="n">
        <v>8184.26</v>
      </c>
      <c r="R26" s="16" t="n"/>
      <c r="S26" s="17">
        <f>IF(C26="","",N(P26)+N(Q26)+N(R26))</f>
        <v/>
      </c>
      <c r="T26" s="17">
        <f>IF(C26="","",H26-S26)</f>
        <v/>
      </c>
      <c r="U26" s="54">
        <f>IFERROR(T26/H26,"")</f>
        <v/>
      </c>
      <c r="V26" s="14" t="n"/>
    </row>
    <row r="27" ht="15" customHeight="1">
      <c r="A27" s="51">
        <f>IF(C27="","",IFERROR(IF(SUMPRODUCT(MAX((tbl_Finance[Job Number]=C27&amp;"")*tbl_Finance[Date]))=0,"",SUMPRODUCT(MAX((tbl_Finance[Job Number]=C27&amp;"")*tbl_Finance[Date]))),""))</f>
        <v/>
      </c>
      <c r="B27" s="15">
        <f>IF(A27="","",IFERROR(LOOKUP(2,1/((tbl_Finance[Job Number]=C27&amp;"")*(tbl_Finance[Date]=A27)),tbl_Finance[Xero Invoice No]),""))</f>
        <v/>
      </c>
      <c r="C27" s="14" t="inlineStr">
        <is>
          <t>26062902</t>
        </is>
      </c>
      <c r="D27" s="15">
        <f>IF(C27="","",IF(COUNTIF(lst_Jobs,C27&amp;"")&gt;0,"OK","CHECK"))</f>
        <v/>
      </c>
      <c r="E27" s="15">
        <f>IF(C27="","",IFERROR(INDEX(lst_JobName,MATCH(C27&amp;"",lst_Jobs,0)),""))</f>
        <v/>
      </c>
      <c r="F27" s="15">
        <f>IF(C27="","",IFERROR(INDEX(tbl_Finance[Client],MATCH(C27&amp;"",tbl_Finance[Job Number],0)),""))</f>
        <v/>
      </c>
      <c r="G27" s="52">
        <f>IF(C27="","",COUNTIFS(tbl_Finance[Job Number],C27&amp;"",tbl_Finance[Ex GST],"&lt;&gt;"))</f>
        <v/>
      </c>
      <c r="H27" s="17">
        <f>IF(C27="","",SUMIFS(tbl_Finance[Ex GST],tbl_Finance[Job Number],C27&amp;""))</f>
        <v/>
      </c>
      <c r="I27" s="15">
        <f>IF(C27="","",IFERROR(INDEX(tbl_Finance[Cost Centre],MATCH(C27&amp;"",tbl_Finance[Job Number],0)),"not invoiced yet"))</f>
        <v/>
      </c>
      <c r="J27" s="14" t="inlineStr">
        <is>
          <t>https://cts.qwilr.com/26062902-Aware-Costing-v2-0-Accepted-PDF-wrF7KzoUT8OK</t>
        </is>
      </c>
      <c r="K27" s="15">
        <f>IF(J27="","",HYPERLINK(IF(LEFT(J27,4)="http",J27,set_QwilrBase&amp;J27),"Open quote"))</f>
        <v/>
      </c>
      <c r="L27" s="16" t="n">
        <v>2707</v>
      </c>
      <c r="M27" s="16" t="n">
        <v>3489</v>
      </c>
      <c r="N27" s="16" t="n"/>
      <c r="O27" s="15">
        <f>IF(C27="","",IF(N(L27)+N(M27)+N(N27)=0,"Not split",IF(ROUND(N(L27)+N(M27)+N(N27),2)=ROUND(H27,2),"OK","MISMATCH")))</f>
        <v/>
      </c>
      <c r="P27" s="16" t="n">
        <v>2140</v>
      </c>
      <c r="Q27" s="16" t="n">
        <v>2604.9</v>
      </c>
      <c r="R27" s="16" t="n"/>
      <c r="S27" s="17">
        <f>IF(C27="","",N(P27)+N(Q27)+N(R27))</f>
        <v/>
      </c>
      <c r="T27" s="17">
        <f>IF(C27="","",H27-S27)</f>
        <v/>
      </c>
      <c r="U27" s="54">
        <f>IFERROR(T27/H27,"")</f>
        <v/>
      </c>
      <c r="V27" s="14" t="inlineStr">
        <is>
          <t>Invoice 1/2 Equipment only</t>
        </is>
      </c>
    </row>
    <row r="28" ht="15" customHeight="1">
      <c r="A28" s="51">
        <f>IF(C28="","",IFERROR(IF(SUMPRODUCT(MAX((tbl_Finance[Job Number]=C28&amp;"")*tbl_Finance[Date]))=0,"",SUMPRODUCT(MAX((tbl_Finance[Job Number]=C28&amp;"")*tbl_Finance[Date]))),""))</f>
        <v/>
      </c>
      <c r="B28" s="15">
        <f>IF(A28="","",IFERROR(LOOKUP(2,1/((tbl_Finance[Job Number]=C28&amp;"")*(tbl_Finance[Date]=A28)),tbl_Finance[Xero Invoice No]),""))</f>
        <v/>
      </c>
      <c r="C28" s="14" t="inlineStr">
        <is>
          <t>26062901</t>
        </is>
      </c>
      <c r="D28" s="15">
        <f>IF(C28="","",IF(COUNTIF(lst_Jobs,C28&amp;"")&gt;0,"OK","CHECK"))</f>
        <v/>
      </c>
      <c r="E28" s="15">
        <f>IF(C28="","",IFERROR(INDEX(lst_JobName,MATCH(C28&amp;"",lst_Jobs,0)),""))</f>
        <v/>
      </c>
      <c r="F28" s="15">
        <f>IF(C28="","",IFERROR(INDEX(tbl_Finance[Client],MATCH(C28&amp;"",tbl_Finance[Job Number],0)),""))</f>
        <v/>
      </c>
      <c r="G28" s="52">
        <f>IF(C28="","",COUNTIFS(tbl_Finance[Job Number],C28&amp;"",tbl_Finance[Ex GST],"&lt;&gt;"))</f>
        <v/>
      </c>
      <c r="H28" s="17">
        <f>IF(C28="","",SUMIFS(tbl_Finance[Ex GST],tbl_Finance[Job Number],C28&amp;""))</f>
        <v/>
      </c>
      <c r="I28" s="15">
        <f>IF(C28="","",IFERROR(INDEX(tbl_Finance[Cost Centre],MATCH(C28&amp;"",tbl_Finance[Job Number],0)),"not invoiced yet"))</f>
        <v/>
      </c>
      <c r="J28" s="14" t="inlineStr">
        <is>
          <t>https://corptechservices.sharepoint.com/:b:/s/TeamIntegration/IQAz4MvaxJkBRIexJJi1p2LTAVDk9PznGqnT-q1tS0i5o00?e=BH3DeT</t>
        </is>
      </c>
      <c r="K28" s="15">
        <f>IF(J28="","",HYPERLINK(IF(LEFT(J28,4)="http",J28,set_QwilrBase&amp;J28),"Open quote"))</f>
        <v/>
      </c>
      <c r="L28" s="16" t="n">
        <v>4631</v>
      </c>
      <c r="M28" s="16" t="n"/>
      <c r="N28" s="16" t="n"/>
      <c r="O28" s="15">
        <f>IF(C28="","",IF(N(L28)+N(M28)+N(N28)=0,"Not split",IF(ROUND(N(L28)+N(M28)+N(N28),2)=ROUND(H28,2),"OK","MISMATCH")))</f>
        <v/>
      </c>
      <c r="P28" s="16" t="n">
        <v>3775.2</v>
      </c>
      <c r="Q28" s="16" t="n"/>
      <c r="R28" s="16" t="n"/>
      <c r="S28" s="17">
        <f>IF(C28="","",N(P28)+N(Q28)+N(R28))</f>
        <v/>
      </c>
      <c r="T28" s="17">
        <f>IF(C28="","",H28-S28)</f>
        <v/>
      </c>
      <c r="U28" s="54">
        <f>IFERROR(T28/H28,"")</f>
        <v/>
      </c>
      <c r="V28" s="14" t="n"/>
    </row>
    <row r="29" ht="15" customHeight="1">
      <c r="A29" s="51">
        <f>IF(C29="","",IFERROR(IF(SUMPRODUCT(MAX((tbl_Finance[Job Number]=C29&amp;"")*tbl_Finance[Date]))=0,"",SUMPRODUCT(MAX((tbl_Finance[Job Number]=C29&amp;"")*tbl_Finance[Date]))),""))</f>
        <v/>
      </c>
      <c r="B29" s="15">
        <f>IF(A29="","",IFERROR(LOOKUP(2,1/((tbl_Finance[Job Number]=C29&amp;"")*(tbl_Finance[Date]=A29)),tbl_Finance[Xero Invoice No]),""))</f>
        <v/>
      </c>
      <c r="C29" s="14" t="inlineStr">
        <is>
          <t>26081901</t>
        </is>
      </c>
      <c r="D29" s="15">
        <f>IF(C29="","",IF(COUNTIF(lst_Jobs,C29&amp;"")&gt;0,"OK","CHECK"))</f>
        <v/>
      </c>
      <c r="E29" s="15">
        <f>IF(C29="","",IFERROR(INDEX(lst_JobName,MATCH(C29&amp;"",lst_Jobs,0)),""))</f>
        <v/>
      </c>
      <c r="F29" s="15">
        <f>IF(C29="","",IFERROR(INDEX(tbl_Finance[Client],MATCH(C29&amp;"",tbl_Finance[Job Number],0)),""))</f>
        <v/>
      </c>
      <c r="G29" s="52">
        <f>IF(C29="","",COUNTIFS(tbl_Finance[Job Number],C29&amp;"",tbl_Finance[Ex GST],"&lt;&gt;"))</f>
        <v/>
      </c>
      <c r="H29" s="17">
        <f>IF(C29="","",SUMIFS(tbl_Finance[Ex GST],tbl_Finance[Job Number],C29&amp;""))</f>
        <v/>
      </c>
      <c r="I29" s="15">
        <f>IF(C29="","",IFERROR(INDEX(tbl_Finance[Cost Centre],MATCH(C29&amp;"",tbl_Finance[Job Number],0)),"not invoiced yet"))</f>
        <v/>
      </c>
      <c r="J29" s="14" t="inlineStr">
        <is>
          <t>https://cts.qwilr.com/26081901-AusPayNet-Quotation-v1-0-3RSgmysoSnit</t>
        </is>
      </c>
      <c r="K29" s="15">
        <f>IF(J29="","",HYPERLINK(IF(LEFT(J29,4)="http",J29,set_QwilrBase&amp;J29),"Open quote"))</f>
        <v/>
      </c>
      <c r="L29" s="16" t="n"/>
      <c r="M29" s="16" t="n"/>
      <c r="N29" s="16" t="n">
        <v>993</v>
      </c>
      <c r="O29" s="15">
        <f>IF(C29="","",IF(N(L29)+N(M29)+N(N29)=0,"Not split",IF(ROUND(N(L29)+N(M29)+N(N29),2)=ROUND(H29,2),"OK","MISMATCH")))</f>
        <v/>
      </c>
      <c r="P29" s="16" t="n"/>
      <c r="Q29" s="16" t="n">
        <v>745</v>
      </c>
      <c r="R29" s="16" t="n"/>
      <c r="S29" s="17">
        <f>IF(C29="","",N(P29)+N(Q29)+N(R29))</f>
        <v/>
      </c>
      <c r="T29" s="17">
        <f>IF(C29="","",H29-S29)</f>
        <v/>
      </c>
      <c r="U29" s="54">
        <f>IFERROR(T29/H29,"")</f>
        <v/>
      </c>
      <c r="V29" s="14" t="n"/>
    </row>
    <row r="30" ht="15" customHeight="1">
      <c r="A30" s="51">
        <f>IF(C30="","",IFERROR(IF(SUMPRODUCT(MAX((tbl_Finance[Job Number]=C30&amp;"")*tbl_Finance[Date]))=0,"",SUMPRODUCT(MAX((tbl_Finance[Job Number]=C30&amp;"")*tbl_Finance[Date]))),""))</f>
        <v/>
      </c>
      <c r="B30" s="15">
        <f>IF(A30="","",IFERROR(LOOKUP(2,1/((tbl_Finance[Job Number]=C30&amp;"")*(tbl_Finance[Date]=A30)),tbl_Finance[Xero Invoice No]),""))</f>
        <v/>
      </c>
      <c r="C30" s="14" t="inlineStr">
        <is>
          <t>26071601</t>
        </is>
      </c>
      <c r="D30" s="15">
        <f>IF(C30="","",IF(COUNTIF(lst_Jobs,C30&amp;"")&gt;0,"OK","CHECK"))</f>
        <v/>
      </c>
      <c r="E30" s="15">
        <f>IF(C30="","",IFERROR(INDEX(lst_JobName,MATCH(C30&amp;"",lst_Jobs,0)),""))</f>
        <v/>
      </c>
      <c r="F30" s="15">
        <f>IF(C30="","",IFERROR(INDEX(tbl_Finance[Client],MATCH(C30&amp;"",tbl_Finance[Job Number],0)),""))</f>
        <v/>
      </c>
      <c r="G30" s="52">
        <f>IF(C30="","",COUNTIFS(tbl_Finance[Job Number],C30&amp;"",tbl_Finance[Ex GST],"&lt;&gt;"))</f>
        <v/>
      </c>
      <c r="H30" s="17">
        <f>IF(C30="","",SUMIFS(tbl_Finance[Ex GST],tbl_Finance[Job Number],C30&amp;""))</f>
        <v/>
      </c>
      <c r="I30" s="15">
        <f>IF(C30="","",IFERROR(INDEX(tbl_Finance[Cost Centre],MATCH(C30&amp;"",tbl_Finance[Job Number],0)),"not invoiced yet"))</f>
        <v/>
      </c>
      <c r="J30" s="14" t="inlineStr">
        <is>
          <t>https://cts.qwilr.com/26071601-Aware-Costing-v1-0-bOvhpPx4TTut</t>
        </is>
      </c>
      <c r="K30" s="15">
        <f>IF(J30="","",HYPERLINK(IF(LEFT(J30,4)="http",J30,set_QwilrBase&amp;J30),"Open quote"))</f>
        <v/>
      </c>
      <c r="L30" s="16" t="n">
        <v>903</v>
      </c>
      <c r="M30" s="16" t="n">
        <v>2054</v>
      </c>
      <c r="N30" s="16" t="n"/>
      <c r="O30" s="15">
        <f>IF(C30="","",IF(N(L30)+N(M30)+N(N30)=0,"Not split",IF(ROUND(N(L30)+N(M30)+N(N30),2)=ROUND(H30,2),"OK","MISMATCH")))</f>
        <v/>
      </c>
      <c r="P30" s="16" t="n">
        <v>740</v>
      </c>
      <c r="Q30" s="16" t="n">
        <v>1540</v>
      </c>
      <c r="R30" s="16" t="n"/>
      <c r="S30" s="17">
        <f>IF(C30="","",N(P30)+N(Q30)+N(R30))</f>
        <v/>
      </c>
      <c r="T30" s="17">
        <f>IF(C30="","",H30-S30)</f>
        <v/>
      </c>
      <c r="U30" s="54">
        <f>IFERROR(T30/H30,"")</f>
        <v/>
      </c>
      <c r="V30" s="14" t="n"/>
    </row>
    <row r="31" ht="15" customHeight="1">
      <c r="A31" s="51">
        <f>IF(C31="","",IFERROR(IF(SUMPRODUCT(MAX((tbl_Finance[Job Number]=C31&amp;"")*tbl_Finance[Date]))=0,"",SUMPRODUCT(MAX((tbl_Finance[Job Number]=C31&amp;"")*tbl_Finance[Date]))),""))</f>
        <v/>
      </c>
      <c r="B31" s="15">
        <f>IF(A31="","",IFERROR(LOOKUP(2,1/((tbl_Finance[Job Number]=C31&amp;"")*(tbl_Finance[Date]=A31)),tbl_Finance[Xero Invoice No]),""))</f>
        <v/>
      </c>
      <c r="C31" s="14" t="inlineStr">
        <is>
          <t>26062503</t>
        </is>
      </c>
      <c r="D31" s="15">
        <f>IF(C31="","",IF(COUNTIF(lst_Jobs,C31&amp;"")&gt;0,"OK","CHECK"))</f>
        <v/>
      </c>
      <c r="E31" s="15">
        <f>IF(C31="","",IFERROR(INDEX(lst_JobName,MATCH(C31&amp;"",lst_Jobs,0)),""))</f>
        <v/>
      </c>
      <c r="F31" s="15">
        <f>IF(C31="","",IFERROR(INDEX(tbl_Finance[Client],MATCH(C31&amp;"",tbl_Finance[Job Number],0)),""))</f>
        <v/>
      </c>
      <c r="G31" s="52">
        <f>IF(C31="","",COUNTIFS(tbl_Finance[Job Number],C31&amp;"",tbl_Finance[Ex GST],"&lt;&gt;"))</f>
        <v/>
      </c>
      <c r="H31" s="17">
        <f>IF(C31="","",SUMIFS(tbl_Finance[Ex GST],tbl_Finance[Job Number],C31&amp;""))</f>
        <v/>
      </c>
      <c r="I31" s="15">
        <f>IF(C31="","",IFERROR(INDEX(tbl_Finance[Cost Centre],MATCH(C31&amp;"",tbl_Finance[Job Number],0)),"not invoiced yet"))</f>
        <v/>
      </c>
      <c r="J31" s="14" t="inlineStr">
        <is>
          <t>CTS order form - 24.16 UC Engine Reimaging</t>
        </is>
      </c>
      <c r="K31" s="15">
        <f>IF(J31="","",HYPERLINK(IF(LEFT(J31,4)="http",J31,set_QwilrBase&amp;J31),"Open quote"))</f>
        <v/>
      </c>
      <c r="L31" s="16" t="n">
        <v>500</v>
      </c>
      <c r="M31" s="16" t="n"/>
      <c r="N31" s="16" t="n"/>
      <c r="O31" s="15">
        <f>IF(C31="","",IF(N(L31)+N(M31)+N(N31)=0,"Not split",IF(ROUND(N(L31)+N(M31)+N(N31),2)=ROUND(H31,2),"OK","MISMATCH")))</f>
        <v/>
      </c>
      <c r="P31" s="16" t="n"/>
      <c r="Q31" s="16" t="n"/>
      <c r="R31" s="16" t="n"/>
      <c r="S31" s="17">
        <f>IF(C31="","",N(P31)+N(Q31)+N(R31))</f>
        <v/>
      </c>
      <c r="T31" s="17">
        <f>IF(C31="","",H31-S31)</f>
        <v/>
      </c>
      <c r="U31" s="54">
        <f>IFERROR(T31/H31,"")</f>
        <v/>
      </c>
      <c r="V31" s="14" t="n"/>
    </row>
    <row r="32" ht="15" customHeight="1">
      <c r="A32" s="51">
        <f>IF(C32="","",IFERROR(IF(SUMPRODUCT(MAX((tbl_Finance[Job Number]=C32&amp;"")*tbl_Finance[Date]))=0,"",SUMPRODUCT(MAX((tbl_Finance[Job Number]=C32&amp;"")*tbl_Finance[Date]))),""))</f>
        <v/>
      </c>
      <c r="B32" s="15">
        <f>IF(A32="","",IFERROR(LOOKUP(2,1/((tbl_Finance[Job Number]=C32&amp;"")*(tbl_Finance[Date]=A32)),tbl_Finance[Xero Invoice No]),""))</f>
        <v/>
      </c>
      <c r="C32" s="14" t="inlineStr">
        <is>
          <t>25070702</t>
        </is>
      </c>
      <c r="D32" s="15">
        <f>IF(C32="","",IF(COUNTIF(lst_Jobs,C32&amp;"")&gt;0,"OK","CHECK"))</f>
        <v/>
      </c>
      <c r="E32" s="15">
        <f>IF(C32="","",IFERROR(INDEX(lst_JobName,MATCH(C32&amp;"",lst_Jobs,0)),""))</f>
        <v/>
      </c>
      <c r="F32" s="15">
        <f>IF(C32="","",IFERROR(INDEX(tbl_Finance[Client],MATCH(C32&amp;"",tbl_Finance[Job Number],0)),""))</f>
        <v/>
      </c>
      <c r="G32" s="52">
        <f>IF(C32="","",COUNTIFS(tbl_Finance[Job Number],C32&amp;"",tbl_Finance[Ex GST],"&lt;&gt;"))</f>
        <v/>
      </c>
      <c r="H32" s="17">
        <f>IF(C32="","",SUMIFS(tbl_Finance[Ex GST],tbl_Finance[Job Number],C32&amp;""))</f>
        <v/>
      </c>
      <c r="I32" s="15">
        <f>IF(C32="","",IFERROR(INDEX(tbl_Finance[Cost Centre],MATCH(C32&amp;"",tbl_Finance[Job Number],0)),"not invoiced yet"))</f>
        <v/>
      </c>
      <c r="J32" s="1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K32" s="15">
        <f>IF(J32="","",HYPERLINK(IF(LEFT(J32,4)="http",J32,set_QwilrBase&amp;J32),"Open quote"))</f>
        <v/>
      </c>
      <c r="L32" s="16" t="n"/>
      <c r="M32" s="16" t="n"/>
      <c r="N32" s="16" t="n"/>
      <c r="O32" s="15">
        <f>IF(C32="","",IF(N(L32)+N(M32)+N(N32)=0,"Not split",IF(ROUND(N(L32)+N(M32)+N(N32),2)=ROUND(H32,2),"OK","MISMATCH")))</f>
        <v/>
      </c>
      <c r="P32" s="16" t="n"/>
      <c r="Q32" s="16" t="n">
        <v>3297.31</v>
      </c>
      <c r="R32" s="16" t="n"/>
      <c r="S32" s="17">
        <f>IF(C32="","",N(P32)+N(Q32)+N(R32))</f>
        <v/>
      </c>
      <c r="T32" s="17">
        <f>IF(C32="","",H32-S32)</f>
        <v/>
      </c>
      <c r="U32" s="54">
        <f>IFERROR(T32/H32,"")</f>
        <v/>
      </c>
      <c r="V32" s="14" t="n"/>
    </row>
    <row r="33" ht="15" customHeight="1">
      <c r="A33" s="51">
        <f>IF(C33="","",IFERROR(IF(SUMPRODUCT(MAX((tbl_Finance[Job Number]=C33&amp;"")*tbl_Finance[Date]))=0,"",SUMPRODUCT(MAX((tbl_Finance[Job Number]=C33&amp;"")*tbl_Finance[Date]))),""))</f>
        <v/>
      </c>
      <c r="B33" s="15">
        <f>IF(A33="","",IFERROR(LOOKUP(2,1/((tbl_Finance[Job Number]=C33&amp;"")*(tbl_Finance[Date]=A33)),tbl_Finance[Xero Invoice No]),""))</f>
        <v/>
      </c>
      <c r="C33" s="14" t="n"/>
      <c r="D33" s="15">
        <f>IF(C33="","",IF(COUNTIF(lst_Jobs,C33&amp;"")&gt;0,"OK","CHECK"))</f>
        <v/>
      </c>
      <c r="E33" s="15">
        <f>IF(C33="","",IFERROR(INDEX(lst_JobName,MATCH(C33&amp;"",lst_Jobs,0)),""))</f>
        <v/>
      </c>
      <c r="F33" s="15">
        <f>IF(C33="","",IFERROR(INDEX(tbl_Finance[Client],MATCH(C33&amp;"",tbl_Finance[Job Number],0)),""))</f>
        <v/>
      </c>
      <c r="G33" s="52">
        <f>IF(C33="","",COUNTIFS(tbl_Finance[Job Number],C33&amp;"",tbl_Finance[Ex GST],"&lt;&gt;"))</f>
        <v/>
      </c>
      <c r="H33" s="17">
        <f>IF(C33="","",SUMIFS(tbl_Finance[Ex GST],tbl_Finance[Job Number],C33&amp;""))</f>
        <v/>
      </c>
      <c r="I33" s="15">
        <f>IF(C33="","",IFERROR(INDEX(tbl_Finance[Cost Centre],MATCH(C33&amp;"",tbl_Finance[Job Number],0)),"not invoiced yet"))</f>
        <v/>
      </c>
      <c r="J33" s="14" t="n"/>
      <c r="K33" s="15">
        <f>IF(J33="","",HYPERLINK(IF(LEFT(J33,4)="http",J33,set_QwilrBase&amp;J33),"Open quote"))</f>
        <v/>
      </c>
      <c r="L33" s="16" t="n"/>
      <c r="M33" s="16" t="n"/>
      <c r="N33" s="16" t="n"/>
      <c r="O33" s="15">
        <f>IF(C33="","",IF(N(L33)+N(M33)+N(N33)=0,"Not split",IF(ROUND(N(L33)+N(M33)+N(N33),2)=ROUND(H33,2),"OK","MISMATCH")))</f>
        <v/>
      </c>
      <c r="P33" s="16" t="n"/>
      <c r="Q33" s="16" t="n"/>
      <c r="R33" s="16" t="n"/>
      <c r="S33" s="17">
        <f>IF(C33="","",N(P33)+N(Q33)+N(R33))</f>
        <v/>
      </c>
      <c r="T33" s="17">
        <f>IF(C33="","",H33-S33)</f>
        <v/>
      </c>
      <c r="U33" s="54">
        <f>IFERROR(T33/H33,"")</f>
        <v/>
      </c>
      <c r="V33" s="14" t="n"/>
    </row>
    <row r="34" ht="15" customHeight="1">
      <c r="A34" s="51">
        <f>IF(C34="","",IFERROR(IF(SUMPRODUCT(MAX((tbl_Finance[Job Number]=C34&amp;"")*tbl_Finance[Date]))=0,"",SUMPRODUCT(MAX((tbl_Finance[Job Number]=C34&amp;"")*tbl_Finance[Date]))),""))</f>
        <v/>
      </c>
      <c r="B34" s="15">
        <f>IF(A34="","",IFERROR(LOOKUP(2,1/((tbl_Finance[Job Number]=C34&amp;"")*(tbl_Finance[Date]=A34)),tbl_Finance[Xero Invoice No]),""))</f>
        <v/>
      </c>
      <c r="C34" s="14" t="n"/>
      <c r="D34" s="15">
        <f>IF(C34="","",IF(COUNTIF(lst_Jobs,C34&amp;"")&gt;0,"OK","CHECK"))</f>
        <v/>
      </c>
      <c r="E34" s="15">
        <f>IF(C34="","",IFERROR(INDEX(lst_JobName,MATCH(C34&amp;"",lst_Jobs,0)),""))</f>
        <v/>
      </c>
      <c r="F34" s="15">
        <f>IF(C34="","",IFERROR(INDEX(tbl_Finance[Client],MATCH(C34&amp;"",tbl_Finance[Job Number],0)),""))</f>
        <v/>
      </c>
      <c r="G34" s="52">
        <f>IF(C34="","",COUNTIFS(tbl_Finance[Job Number],C34&amp;"",tbl_Finance[Ex GST],"&lt;&gt;"))</f>
        <v/>
      </c>
      <c r="H34" s="17">
        <f>IF(C34="","",SUMIFS(tbl_Finance[Ex GST],tbl_Finance[Job Number],C34&amp;""))</f>
        <v/>
      </c>
      <c r="I34" s="15">
        <f>IF(C34="","",IFERROR(INDEX(tbl_Finance[Cost Centre],MATCH(C34&amp;"",tbl_Finance[Job Number],0)),"not invoiced yet"))</f>
        <v/>
      </c>
      <c r="J34" s="14" t="n"/>
      <c r="K34" s="15">
        <f>IF(J34="","",HYPERLINK(IF(LEFT(J34,4)="http",J34,set_QwilrBase&amp;J34),"Open quote"))</f>
        <v/>
      </c>
      <c r="L34" s="16" t="n"/>
      <c r="M34" s="16" t="n"/>
      <c r="N34" s="16" t="n"/>
      <c r="O34" s="15">
        <f>IF(C34="","",IF(N(L34)+N(M34)+N(N34)=0,"Not split",IF(ROUND(N(L34)+N(M34)+N(N34),2)=ROUND(H34,2),"OK","MISMATCH")))</f>
        <v/>
      </c>
      <c r="P34" s="16" t="n"/>
      <c r="Q34" s="16" t="n"/>
      <c r="R34" s="16" t="n"/>
      <c r="S34" s="17">
        <f>IF(C34="","",N(P34)+N(Q34)+N(R34))</f>
        <v/>
      </c>
      <c r="T34" s="17">
        <f>IF(C34="","",H34-S34)</f>
        <v/>
      </c>
      <c r="U34" s="54">
        <f>IFERROR(T34/H34,"")</f>
        <v/>
      </c>
      <c r="V34" s="14" t="n"/>
    </row>
    <row r="35" ht="15" customHeight="1">
      <c r="A35" s="51">
        <f>IF(C35="","",IFERROR(IF(SUMPRODUCT(MAX((tbl_Finance[Job Number]=C35&amp;"")*tbl_Finance[Date]))=0,"",SUMPRODUCT(MAX((tbl_Finance[Job Number]=C35&amp;"")*tbl_Finance[Date]))),""))</f>
        <v/>
      </c>
      <c r="B35" s="15">
        <f>IF(A35="","",IFERROR(LOOKUP(2,1/((tbl_Finance[Job Number]=C35&amp;"")*(tbl_Finance[Date]=A35)),tbl_Finance[Xero Invoice No]),""))</f>
        <v/>
      </c>
      <c r="C35" s="14" t="n"/>
      <c r="D35" s="15">
        <f>IF(C35="","",IF(COUNTIF(lst_Jobs,C35&amp;"")&gt;0,"OK","CHECK"))</f>
        <v/>
      </c>
      <c r="E35" s="15">
        <f>IF(C35="","",IFERROR(INDEX(lst_JobName,MATCH(C35&amp;"",lst_Jobs,0)),""))</f>
        <v/>
      </c>
      <c r="F35" s="15">
        <f>IF(C35="","",IFERROR(INDEX(tbl_Finance[Client],MATCH(C35&amp;"",tbl_Finance[Job Number],0)),""))</f>
        <v/>
      </c>
      <c r="G35" s="52">
        <f>IF(C35="","",COUNTIFS(tbl_Finance[Job Number],C35&amp;"",tbl_Finance[Ex GST],"&lt;&gt;"))</f>
        <v/>
      </c>
      <c r="H35" s="17">
        <f>IF(C35="","",SUMIFS(tbl_Finance[Ex GST],tbl_Finance[Job Number],C35&amp;""))</f>
        <v/>
      </c>
      <c r="I35" s="15">
        <f>IF(C35="","",IFERROR(INDEX(tbl_Finance[Cost Centre],MATCH(C35&amp;"",tbl_Finance[Job Number],0)),"not invoiced yet"))</f>
        <v/>
      </c>
      <c r="J35" s="14" t="n"/>
      <c r="K35" s="15">
        <f>IF(J35="","",HYPERLINK(IF(LEFT(J35,4)="http",J35,set_QwilrBase&amp;J35),"Open quote"))</f>
        <v/>
      </c>
      <c r="L35" s="16" t="n"/>
      <c r="M35" s="16" t="n"/>
      <c r="N35" s="16" t="n"/>
      <c r="O35" s="15">
        <f>IF(C35="","",IF(N(L35)+N(M35)+N(N35)=0,"Not split",IF(ROUND(N(L35)+N(M35)+N(N35),2)=ROUND(H35,2),"OK","MISMATCH")))</f>
        <v/>
      </c>
      <c r="P35" s="16" t="n"/>
      <c r="Q35" s="16" t="n"/>
      <c r="R35" s="16" t="n"/>
      <c r="S35" s="17">
        <f>IF(C35="","",N(P35)+N(Q35)+N(R35))</f>
        <v/>
      </c>
      <c r="T35" s="17">
        <f>IF(C35="","",H35-S35)</f>
        <v/>
      </c>
      <c r="U35" s="54">
        <f>IFERROR(T35/H35,"")</f>
        <v/>
      </c>
      <c r="V35" s="14" t="n"/>
    </row>
    <row r="36" ht="15" customHeight="1">
      <c r="A36" s="51">
        <f>IF(C36="","",IFERROR(IF(SUMPRODUCT(MAX((tbl_Finance[Job Number]=C36&amp;"")*tbl_Finance[Date]))=0,"",SUMPRODUCT(MAX((tbl_Finance[Job Number]=C36&amp;"")*tbl_Finance[Date]))),""))</f>
        <v/>
      </c>
      <c r="B36" s="15">
        <f>IF(A36="","",IFERROR(LOOKUP(2,1/((tbl_Finance[Job Number]=C36&amp;"")*(tbl_Finance[Date]=A36)),tbl_Finance[Xero Invoice No]),""))</f>
        <v/>
      </c>
      <c r="C36" s="14" t="n"/>
      <c r="D36" s="15">
        <f>IF(C36="","",IF(COUNTIF(lst_Jobs,C36&amp;"")&gt;0,"OK","CHECK"))</f>
        <v/>
      </c>
      <c r="E36" s="15">
        <f>IF(C36="","",IFERROR(INDEX(lst_JobName,MATCH(C36&amp;"",lst_Jobs,0)),""))</f>
        <v/>
      </c>
      <c r="F36" s="15">
        <f>IF(C36="","",IFERROR(INDEX(tbl_Finance[Client],MATCH(C36&amp;"",tbl_Finance[Job Number],0)),""))</f>
        <v/>
      </c>
      <c r="G36" s="52">
        <f>IF(C36="","",COUNTIFS(tbl_Finance[Job Number],C36&amp;"",tbl_Finance[Ex GST],"&lt;&gt;"))</f>
        <v/>
      </c>
      <c r="H36" s="17">
        <f>IF(C36="","",SUMIFS(tbl_Finance[Ex GST],tbl_Finance[Job Number],C36&amp;""))</f>
        <v/>
      </c>
      <c r="I36" s="15">
        <f>IF(C36="","",IFERROR(INDEX(tbl_Finance[Cost Centre],MATCH(C36&amp;"",tbl_Finance[Job Number],0)),"not invoiced yet"))</f>
        <v/>
      </c>
      <c r="J36" s="14" t="n"/>
      <c r="K36" s="15">
        <f>IF(J36="","",HYPERLINK(IF(LEFT(J36,4)="http",J36,set_QwilrBase&amp;J36),"Open quote"))</f>
        <v/>
      </c>
      <c r="L36" s="16" t="n"/>
      <c r="M36" s="16" t="n"/>
      <c r="N36" s="16" t="n"/>
      <c r="O36" s="15">
        <f>IF(C36="","",IF(N(L36)+N(M36)+N(N36)=0,"Not split",IF(ROUND(N(L36)+N(M36)+N(N36),2)=ROUND(H36,2),"OK","MISMATCH")))</f>
        <v/>
      </c>
      <c r="P36" s="16" t="n"/>
      <c r="Q36" s="16" t="n"/>
      <c r="R36" s="16" t="n"/>
      <c r="S36" s="17">
        <f>IF(C36="","",N(P36)+N(Q36)+N(R36))</f>
        <v/>
      </c>
      <c r="T36" s="17">
        <f>IF(C36="","",H36-S36)</f>
        <v/>
      </c>
      <c r="U36" s="54">
        <f>IFERROR(T36/H36,"")</f>
        <v/>
      </c>
      <c r="V36" s="14" t="n"/>
    </row>
    <row r="37" ht="15" customHeight="1">
      <c r="A37" s="51">
        <f>IF(C37="","",IFERROR(IF(SUMPRODUCT(MAX((tbl_Finance[Job Number]=C37&amp;"")*tbl_Finance[Date]))=0,"",SUMPRODUCT(MAX((tbl_Finance[Job Number]=C37&amp;"")*tbl_Finance[Date]))),""))</f>
        <v/>
      </c>
      <c r="B37" s="15">
        <f>IF(A37="","",IFERROR(LOOKUP(2,1/((tbl_Finance[Job Number]=C37&amp;"")*(tbl_Finance[Date]=A37)),tbl_Finance[Xero Invoice No]),""))</f>
        <v/>
      </c>
      <c r="C37" s="14" t="n"/>
      <c r="D37" s="15">
        <f>IF(C37="","",IF(COUNTIF(lst_Jobs,C37&amp;"")&gt;0,"OK","CHECK"))</f>
        <v/>
      </c>
      <c r="E37" s="15">
        <f>IF(C37="","",IFERROR(INDEX(lst_JobName,MATCH(C37&amp;"",lst_Jobs,0)),""))</f>
        <v/>
      </c>
      <c r="F37" s="15">
        <f>IF(C37="","",IFERROR(INDEX(tbl_Finance[Client],MATCH(C37&amp;"",tbl_Finance[Job Number],0)),""))</f>
        <v/>
      </c>
      <c r="G37" s="52">
        <f>IF(C37="","",COUNTIFS(tbl_Finance[Job Number],C37&amp;"",tbl_Finance[Ex GST],"&lt;&gt;"))</f>
        <v/>
      </c>
      <c r="H37" s="17">
        <f>IF(C37="","",SUMIFS(tbl_Finance[Ex GST],tbl_Finance[Job Number],C37&amp;""))</f>
        <v/>
      </c>
      <c r="I37" s="15">
        <f>IF(C37="","",IFERROR(INDEX(tbl_Finance[Cost Centre],MATCH(C37&amp;"",tbl_Finance[Job Number],0)),"not invoiced yet"))</f>
        <v/>
      </c>
      <c r="J37" s="14" t="n"/>
      <c r="K37" s="15">
        <f>IF(J37="","",HYPERLINK(IF(LEFT(J37,4)="http",J37,set_QwilrBase&amp;J37),"Open quote"))</f>
        <v/>
      </c>
      <c r="L37" s="16" t="n"/>
      <c r="M37" s="16" t="n"/>
      <c r="N37" s="16" t="n"/>
      <c r="O37" s="15">
        <f>IF(C37="","",IF(N(L37)+N(M37)+N(N37)=0,"Not split",IF(ROUND(N(L37)+N(M37)+N(N37),2)=ROUND(H37,2),"OK","MISMATCH")))</f>
        <v/>
      </c>
      <c r="P37" s="16" t="n"/>
      <c r="Q37" s="16" t="n"/>
      <c r="R37" s="16" t="n"/>
      <c r="S37" s="17">
        <f>IF(C37="","",N(P37)+N(Q37)+N(R37))</f>
        <v/>
      </c>
      <c r="T37" s="17">
        <f>IF(C37="","",H37-S37)</f>
        <v/>
      </c>
      <c r="U37" s="54">
        <f>IFERROR(T37/H37,"")</f>
        <v/>
      </c>
      <c r="V37" s="14" t="n"/>
    </row>
    <row r="38" ht="15" customHeight="1">
      <c r="A38" s="51">
        <f>IF(C38="","",IFERROR(IF(SUMPRODUCT(MAX((tbl_Finance[Job Number]=C38&amp;"")*tbl_Finance[Date]))=0,"",SUMPRODUCT(MAX((tbl_Finance[Job Number]=C38&amp;"")*tbl_Finance[Date]))),""))</f>
        <v/>
      </c>
      <c r="B38" s="15">
        <f>IF(A38="","",IFERROR(LOOKUP(2,1/((tbl_Finance[Job Number]=C38&amp;"")*(tbl_Finance[Date]=A38)),tbl_Finance[Xero Invoice No]),""))</f>
        <v/>
      </c>
      <c r="C38" s="14" t="n"/>
      <c r="D38" s="15">
        <f>IF(C38="","",IF(COUNTIF(lst_Jobs,C38&amp;"")&gt;0,"OK","CHECK"))</f>
        <v/>
      </c>
      <c r="E38" s="15">
        <f>IF(C38="","",IFERROR(INDEX(lst_JobName,MATCH(C38&amp;"",lst_Jobs,0)),""))</f>
        <v/>
      </c>
      <c r="F38" s="15">
        <f>IF(C38="","",IFERROR(INDEX(tbl_Finance[Client],MATCH(C38&amp;"",tbl_Finance[Job Number],0)),""))</f>
        <v/>
      </c>
      <c r="G38" s="52">
        <f>IF(C38="","",COUNTIFS(tbl_Finance[Job Number],C38&amp;"",tbl_Finance[Ex GST],"&lt;&gt;"))</f>
        <v/>
      </c>
      <c r="H38" s="17">
        <f>IF(C38="","",SUMIFS(tbl_Finance[Ex GST],tbl_Finance[Job Number],C38&amp;""))</f>
        <v/>
      </c>
      <c r="I38" s="15">
        <f>IF(C38="","",IFERROR(INDEX(tbl_Finance[Cost Centre],MATCH(C38&amp;"",tbl_Finance[Job Number],0)),"not invoiced yet"))</f>
        <v/>
      </c>
      <c r="J38" s="14" t="n"/>
      <c r="K38" s="15">
        <f>IF(J38="","",HYPERLINK(IF(LEFT(J38,4)="http",J38,set_QwilrBase&amp;J38),"Open quote"))</f>
        <v/>
      </c>
      <c r="L38" s="16" t="n"/>
      <c r="M38" s="16" t="n"/>
      <c r="N38" s="16" t="n"/>
      <c r="O38" s="15">
        <f>IF(C38="","",IF(N(L38)+N(M38)+N(N38)=0,"Not split",IF(ROUND(N(L38)+N(M38)+N(N38),2)=ROUND(H38,2),"OK","MISMATCH")))</f>
        <v/>
      </c>
      <c r="P38" s="16" t="n"/>
      <c r="Q38" s="16" t="n"/>
      <c r="R38" s="16" t="n"/>
      <c r="S38" s="17">
        <f>IF(C38="","",N(P38)+N(Q38)+N(R38))</f>
        <v/>
      </c>
      <c r="T38" s="17">
        <f>IF(C38="","",H38-S38)</f>
        <v/>
      </c>
      <c r="U38" s="54">
        <f>IFERROR(T38/H38,"")</f>
        <v/>
      </c>
      <c r="V38" s="14" t="n"/>
    </row>
    <row r="39" ht="15" customHeight="1">
      <c r="A39" s="51">
        <f>IF(C39="","",IFERROR(IF(SUMPRODUCT(MAX((tbl_Finance[Job Number]=C39&amp;"")*tbl_Finance[Date]))=0,"",SUMPRODUCT(MAX((tbl_Finance[Job Number]=C39&amp;"")*tbl_Finance[Date]))),""))</f>
        <v/>
      </c>
      <c r="B39" s="15">
        <f>IF(A39="","",IFERROR(LOOKUP(2,1/((tbl_Finance[Job Number]=C39&amp;"")*(tbl_Finance[Date]=A39)),tbl_Finance[Xero Invoice No]),""))</f>
        <v/>
      </c>
      <c r="C39" s="14" t="n"/>
      <c r="D39" s="15">
        <f>IF(C39="","",IF(COUNTIF(lst_Jobs,C39&amp;"")&gt;0,"OK","CHECK"))</f>
        <v/>
      </c>
      <c r="E39" s="15">
        <f>IF(C39="","",IFERROR(INDEX(lst_JobName,MATCH(C39&amp;"",lst_Jobs,0)),""))</f>
        <v/>
      </c>
      <c r="F39" s="15">
        <f>IF(C39="","",IFERROR(INDEX(tbl_Finance[Client],MATCH(C39&amp;"",tbl_Finance[Job Number],0)),""))</f>
        <v/>
      </c>
      <c r="G39" s="52">
        <f>IF(C39="","",COUNTIFS(tbl_Finance[Job Number],C39&amp;"",tbl_Finance[Ex GST],"&lt;&gt;"))</f>
        <v/>
      </c>
      <c r="H39" s="17">
        <f>IF(C39="","",SUMIFS(tbl_Finance[Ex GST],tbl_Finance[Job Number],C39&amp;""))</f>
        <v/>
      </c>
      <c r="I39" s="15">
        <f>IF(C39="","",IFERROR(INDEX(tbl_Finance[Cost Centre],MATCH(C39&amp;"",tbl_Finance[Job Number],0)),"not invoiced yet"))</f>
        <v/>
      </c>
      <c r="J39" s="14" t="n"/>
      <c r="K39" s="15">
        <f>IF(J39="","",HYPERLINK(IF(LEFT(J39,4)="http",J39,set_QwilrBase&amp;J39),"Open quote"))</f>
        <v/>
      </c>
      <c r="L39" s="16" t="n"/>
      <c r="M39" s="16" t="n"/>
      <c r="N39" s="16" t="n"/>
      <c r="O39" s="15">
        <f>IF(C39="","",IF(N(L39)+N(M39)+N(N39)=0,"Not split",IF(ROUND(N(L39)+N(M39)+N(N39),2)=ROUND(H39,2),"OK","MISMATCH")))</f>
        <v/>
      </c>
      <c r="P39" s="16" t="n"/>
      <c r="Q39" s="16" t="n"/>
      <c r="R39" s="16" t="n"/>
      <c r="S39" s="17">
        <f>IF(C39="","",N(P39)+N(Q39)+N(R39))</f>
        <v/>
      </c>
      <c r="T39" s="17">
        <f>IF(C39="","",H39-S39)</f>
        <v/>
      </c>
      <c r="U39" s="54">
        <f>IFERROR(T39/H39,"")</f>
        <v/>
      </c>
      <c r="V39" s="14" t="n"/>
    </row>
    <row r="40" ht="15" customHeight="1">
      <c r="A40" s="51">
        <f>IF(C40="","",IFERROR(IF(SUMPRODUCT(MAX((tbl_Finance[Job Number]=C40&amp;"")*tbl_Finance[Date]))=0,"",SUMPRODUCT(MAX((tbl_Finance[Job Number]=C40&amp;"")*tbl_Finance[Date]))),""))</f>
        <v/>
      </c>
      <c r="B40" s="15">
        <f>IF(A40="","",IFERROR(LOOKUP(2,1/((tbl_Finance[Job Number]=C40&amp;"")*(tbl_Finance[Date]=A40)),tbl_Finance[Xero Invoice No]),""))</f>
        <v/>
      </c>
      <c r="C40" s="14" t="n"/>
      <c r="D40" s="15">
        <f>IF(C40="","",IF(COUNTIF(lst_Jobs,C40&amp;"")&gt;0,"OK","CHECK"))</f>
        <v/>
      </c>
      <c r="E40" s="15">
        <f>IF(C40="","",IFERROR(INDEX(lst_JobName,MATCH(C40&amp;"",lst_Jobs,0)),""))</f>
        <v/>
      </c>
      <c r="F40" s="15">
        <f>IF(C40="","",IFERROR(INDEX(tbl_Finance[Client],MATCH(C40&amp;"",tbl_Finance[Job Number],0)),""))</f>
        <v/>
      </c>
      <c r="G40" s="52">
        <f>IF(C40="","",COUNTIFS(tbl_Finance[Job Number],C40&amp;"",tbl_Finance[Ex GST],"&lt;&gt;"))</f>
        <v/>
      </c>
      <c r="H40" s="17">
        <f>IF(C40="","",SUMIFS(tbl_Finance[Ex GST],tbl_Finance[Job Number],C40&amp;""))</f>
        <v/>
      </c>
      <c r="I40" s="15">
        <f>IF(C40="","",IFERROR(INDEX(tbl_Finance[Cost Centre],MATCH(C40&amp;"",tbl_Finance[Job Number],0)),"not invoiced yet"))</f>
        <v/>
      </c>
      <c r="J40" s="14" t="n"/>
      <c r="K40" s="15">
        <f>IF(J40="","",HYPERLINK(IF(LEFT(J40,4)="http",J40,set_QwilrBase&amp;J40),"Open quote"))</f>
        <v/>
      </c>
      <c r="L40" s="16" t="n"/>
      <c r="M40" s="16" t="n"/>
      <c r="N40" s="16" t="n"/>
      <c r="O40" s="15">
        <f>IF(C40="","",IF(N(L40)+N(M40)+N(N40)=0,"Not split",IF(ROUND(N(L40)+N(M40)+N(N40),2)=ROUND(H40,2),"OK","MISMATCH")))</f>
        <v/>
      </c>
      <c r="P40" s="16" t="n"/>
      <c r="Q40" s="16" t="n"/>
      <c r="R40" s="16" t="n"/>
      <c r="S40" s="17">
        <f>IF(C40="","",N(P40)+N(Q40)+N(R40))</f>
        <v/>
      </c>
      <c r="T40" s="17">
        <f>IF(C40="","",H40-S40)</f>
        <v/>
      </c>
      <c r="U40" s="54">
        <f>IFERROR(T40/H40,"")</f>
        <v/>
      </c>
      <c r="V40" s="14" t="n"/>
    </row>
    <row r="41" ht="15" customHeight="1">
      <c r="A41" s="51">
        <f>IF(C41="","",IFERROR(IF(SUMPRODUCT(MAX((tbl_Finance[Job Number]=C41&amp;"")*tbl_Finance[Date]))=0,"",SUMPRODUCT(MAX((tbl_Finance[Job Number]=C41&amp;"")*tbl_Finance[Date]))),""))</f>
        <v/>
      </c>
      <c r="B41" s="15">
        <f>IF(A41="","",IFERROR(LOOKUP(2,1/((tbl_Finance[Job Number]=C41&amp;"")*(tbl_Finance[Date]=A41)),tbl_Finance[Xero Invoice No]),""))</f>
        <v/>
      </c>
      <c r="C41" s="14" t="n"/>
      <c r="D41" s="15">
        <f>IF(C41="","",IF(COUNTIF(lst_Jobs,C41&amp;"")&gt;0,"OK","CHECK"))</f>
        <v/>
      </c>
      <c r="E41" s="15">
        <f>IF(C41="","",IFERROR(INDEX(lst_JobName,MATCH(C41&amp;"",lst_Jobs,0)),""))</f>
        <v/>
      </c>
      <c r="F41" s="15">
        <f>IF(C41="","",IFERROR(INDEX(tbl_Finance[Client],MATCH(C41&amp;"",tbl_Finance[Job Number],0)),""))</f>
        <v/>
      </c>
      <c r="G41" s="52">
        <f>IF(C41="","",COUNTIFS(tbl_Finance[Job Number],C41&amp;"",tbl_Finance[Ex GST],"&lt;&gt;"))</f>
        <v/>
      </c>
      <c r="H41" s="17">
        <f>IF(C41="","",SUMIFS(tbl_Finance[Ex GST],tbl_Finance[Job Number],C41&amp;""))</f>
        <v/>
      </c>
      <c r="I41" s="15">
        <f>IF(C41="","",IFERROR(INDEX(tbl_Finance[Cost Centre],MATCH(C41&amp;"",tbl_Finance[Job Number],0)),"not invoiced yet"))</f>
        <v/>
      </c>
      <c r="J41" s="14" t="n"/>
      <c r="K41" s="15">
        <f>IF(J41="","",HYPERLINK(IF(LEFT(J41,4)="http",J41,set_QwilrBase&amp;J41),"Open quote"))</f>
        <v/>
      </c>
      <c r="L41" s="16" t="n"/>
      <c r="M41" s="16" t="n"/>
      <c r="N41" s="16" t="n"/>
      <c r="O41" s="15">
        <f>IF(C41="","",IF(N(L41)+N(M41)+N(N41)=0,"Not split",IF(ROUND(N(L41)+N(M41)+N(N41),2)=ROUND(H41,2),"OK","MISMATCH")))</f>
        <v/>
      </c>
      <c r="P41" s="16" t="n"/>
      <c r="Q41" s="16" t="n"/>
      <c r="R41" s="16" t="n"/>
      <c r="S41" s="17">
        <f>IF(C41="","",N(P41)+N(Q41)+N(R41))</f>
        <v/>
      </c>
      <c r="T41" s="17">
        <f>IF(C41="","",H41-S41)</f>
        <v/>
      </c>
      <c r="U41" s="54">
        <f>IFERROR(T41/H41,"")</f>
        <v/>
      </c>
      <c r="V41" s="14" t="n"/>
    </row>
    <row r="42" ht="15" customHeight="1">
      <c r="A42" s="51">
        <f>IF(C42="","",IFERROR(IF(SUMPRODUCT(MAX((tbl_Finance[Job Number]=C42&amp;"")*tbl_Finance[Date]))=0,"",SUMPRODUCT(MAX((tbl_Finance[Job Number]=C42&amp;"")*tbl_Finance[Date]))),""))</f>
        <v/>
      </c>
      <c r="B42" s="15">
        <f>IF(A42="","",IFERROR(LOOKUP(2,1/((tbl_Finance[Job Number]=C42&amp;"")*(tbl_Finance[Date]=A42)),tbl_Finance[Xero Invoice No]),""))</f>
        <v/>
      </c>
      <c r="C42" s="14" t="n"/>
      <c r="D42" s="15">
        <f>IF(C42="","",IF(COUNTIF(lst_Jobs,C42&amp;"")&gt;0,"OK","CHECK"))</f>
        <v/>
      </c>
      <c r="E42" s="15">
        <f>IF(C42="","",IFERROR(INDEX(lst_JobName,MATCH(C42&amp;"",lst_Jobs,0)),""))</f>
        <v/>
      </c>
      <c r="F42" s="15">
        <f>IF(C42="","",IFERROR(INDEX(tbl_Finance[Client],MATCH(C42&amp;"",tbl_Finance[Job Number],0)),""))</f>
        <v/>
      </c>
      <c r="G42" s="52">
        <f>IF(C42="","",COUNTIFS(tbl_Finance[Job Number],C42&amp;"",tbl_Finance[Ex GST],"&lt;&gt;"))</f>
        <v/>
      </c>
      <c r="H42" s="17">
        <f>IF(C42="","",SUMIFS(tbl_Finance[Ex GST],tbl_Finance[Job Number],C42&amp;""))</f>
        <v/>
      </c>
      <c r="I42" s="15">
        <f>IF(C42="","",IFERROR(INDEX(tbl_Finance[Cost Centre],MATCH(C42&amp;"",tbl_Finance[Job Number],0)),"not invoiced yet"))</f>
        <v/>
      </c>
      <c r="J42" s="14" t="n"/>
      <c r="K42" s="15">
        <f>IF(J42="","",HYPERLINK(IF(LEFT(J42,4)="http",J42,set_QwilrBase&amp;J42),"Open quote"))</f>
        <v/>
      </c>
      <c r="L42" s="16" t="n"/>
      <c r="M42" s="16" t="n"/>
      <c r="N42" s="16" t="n"/>
      <c r="O42" s="15">
        <f>IF(C42="","",IF(N(L42)+N(M42)+N(N42)=0,"Not split",IF(ROUND(N(L42)+N(M42)+N(N42),2)=ROUND(H42,2),"OK","MISMATCH")))</f>
        <v/>
      </c>
      <c r="P42" s="16" t="n"/>
      <c r="Q42" s="16" t="n"/>
      <c r="R42" s="16" t="n"/>
      <c r="S42" s="17">
        <f>IF(C42="","",N(P42)+N(Q42)+N(R42))</f>
        <v/>
      </c>
      <c r="T42" s="17">
        <f>IF(C42="","",H42-S42)</f>
        <v/>
      </c>
      <c r="U42" s="54">
        <f>IFERROR(T42/H42,"")</f>
        <v/>
      </c>
      <c r="V42" s="14" t="n"/>
    </row>
    <row r="43" ht="15" customHeight="1">
      <c r="A43" s="51">
        <f>IF(C43="","",IFERROR(IF(SUMPRODUCT(MAX((tbl_Finance[Job Number]=C43&amp;"")*tbl_Finance[Date]))=0,"",SUMPRODUCT(MAX((tbl_Finance[Job Number]=C43&amp;"")*tbl_Finance[Date]))),""))</f>
        <v/>
      </c>
      <c r="B43" s="15">
        <f>IF(A43="","",IFERROR(LOOKUP(2,1/((tbl_Finance[Job Number]=C43&amp;"")*(tbl_Finance[Date]=A43)),tbl_Finance[Xero Invoice No]),""))</f>
        <v/>
      </c>
      <c r="C43" s="14" t="n"/>
      <c r="D43" s="15">
        <f>IF(C43="","",IF(COUNTIF(lst_Jobs,C43&amp;"")&gt;0,"OK","CHECK"))</f>
        <v/>
      </c>
      <c r="E43" s="15">
        <f>IF(C43="","",IFERROR(INDEX(lst_JobName,MATCH(C43&amp;"",lst_Jobs,0)),""))</f>
        <v/>
      </c>
      <c r="F43" s="15">
        <f>IF(C43="","",IFERROR(INDEX(tbl_Finance[Client],MATCH(C43&amp;"",tbl_Finance[Job Number],0)),""))</f>
        <v/>
      </c>
      <c r="G43" s="52">
        <f>IF(C43="","",COUNTIFS(tbl_Finance[Job Number],C43&amp;"",tbl_Finance[Ex GST],"&lt;&gt;"))</f>
        <v/>
      </c>
      <c r="H43" s="17">
        <f>IF(C43="","",SUMIFS(tbl_Finance[Ex GST],tbl_Finance[Job Number],C43&amp;""))</f>
        <v/>
      </c>
      <c r="I43" s="15">
        <f>IF(C43="","",IFERROR(INDEX(tbl_Finance[Cost Centre],MATCH(C43&amp;"",tbl_Finance[Job Number],0)),"not invoiced yet"))</f>
        <v/>
      </c>
      <c r="J43" s="14" t="n"/>
      <c r="K43" s="15">
        <f>IF(J43="","",HYPERLINK(IF(LEFT(J43,4)="http",J43,set_QwilrBase&amp;J43),"Open quote"))</f>
        <v/>
      </c>
      <c r="L43" s="16" t="n"/>
      <c r="M43" s="16" t="n"/>
      <c r="N43" s="16" t="n"/>
      <c r="O43" s="15">
        <f>IF(C43="","",IF(N(L43)+N(M43)+N(N43)=0,"Not split",IF(ROUND(N(L43)+N(M43)+N(N43),2)=ROUND(H43,2),"OK","MISMATCH")))</f>
        <v/>
      </c>
      <c r="P43" s="16" t="n"/>
      <c r="Q43" s="16" t="n"/>
      <c r="R43" s="16" t="n"/>
      <c r="S43" s="17">
        <f>IF(C43="","",N(P43)+N(Q43)+N(R43))</f>
        <v/>
      </c>
      <c r="T43" s="17">
        <f>IF(C43="","",H43-S43)</f>
        <v/>
      </c>
      <c r="U43" s="54">
        <f>IFERROR(T43/H43,"")</f>
        <v/>
      </c>
      <c r="V43" s="14" t="n"/>
    </row>
    <row r="44" ht="15" customHeight="1">
      <c r="A44" s="51">
        <f>IF(C44="","",IFERROR(IF(SUMPRODUCT(MAX((tbl_Finance[Job Number]=C44&amp;"")*tbl_Finance[Date]))=0,"",SUMPRODUCT(MAX((tbl_Finance[Job Number]=C44&amp;"")*tbl_Finance[Date]))),""))</f>
        <v/>
      </c>
      <c r="B44" s="15">
        <f>IF(A44="","",IFERROR(LOOKUP(2,1/((tbl_Finance[Job Number]=C44&amp;"")*(tbl_Finance[Date]=A44)),tbl_Finance[Xero Invoice No]),""))</f>
        <v/>
      </c>
      <c r="C44" s="14" t="n"/>
      <c r="D44" s="15">
        <f>IF(C44="","",IF(COUNTIF(lst_Jobs,C44&amp;"")&gt;0,"OK","CHECK"))</f>
        <v/>
      </c>
      <c r="E44" s="15">
        <f>IF(C44="","",IFERROR(INDEX(lst_JobName,MATCH(C44&amp;"",lst_Jobs,0)),""))</f>
        <v/>
      </c>
      <c r="F44" s="15">
        <f>IF(C44="","",IFERROR(INDEX(tbl_Finance[Client],MATCH(C44&amp;"",tbl_Finance[Job Number],0)),""))</f>
        <v/>
      </c>
      <c r="G44" s="52">
        <f>IF(C44="","",COUNTIFS(tbl_Finance[Job Number],C44&amp;"",tbl_Finance[Ex GST],"&lt;&gt;"))</f>
        <v/>
      </c>
      <c r="H44" s="17">
        <f>IF(C44="","",SUMIFS(tbl_Finance[Ex GST],tbl_Finance[Job Number],C44&amp;""))</f>
        <v/>
      </c>
      <c r="I44" s="15">
        <f>IF(C44="","",IFERROR(INDEX(tbl_Finance[Cost Centre],MATCH(C44&amp;"",tbl_Finance[Job Number],0)),"not invoiced yet"))</f>
        <v/>
      </c>
      <c r="J44" s="14" t="n"/>
      <c r="K44" s="15">
        <f>IF(J44="","",HYPERLINK(IF(LEFT(J44,4)="http",J44,set_QwilrBase&amp;J44),"Open quote"))</f>
        <v/>
      </c>
      <c r="L44" s="16" t="n"/>
      <c r="M44" s="16" t="n"/>
      <c r="N44" s="16" t="n"/>
      <c r="O44" s="15">
        <f>IF(C44="","",IF(N(L44)+N(M44)+N(N44)=0,"Not split",IF(ROUND(N(L44)+N(M44)+N(N44),2)=ROUND(H44,2),"OK","MISMATCH")))</f>
        <v/>
      </c>
      <c r="P44" s="16" t="n"/>
      <c r="Q44" s="16" t="n"/>
      <c r="R44" s="16" t="n"/>
      <c r="S44" s="17">
        <f>IF(C44="","",N(P44)+N(Q44)+N(R44))</f>
        <v/>
      </c>
      <c r="T44" s="17">
        <f>IF(C44="","",H44-S44)</f>
        <v/>
      </c>
      <c r="U44" s="54">
        <f>IFERROR(T44/H44,"")</f>
        <v/>
      </c>
      <c r="V44" s="14" t="n"/>
    </row>
    <row r="45" ht="15" customHeight="1">
      <c r="A45" s="51">
        <f>IF(C45="","",IFERROR(IF(SUMPRODUCT(MAX((tbl_Finance[Job Number]=C45&amp;"")*tbl_Finance[Date]))=0,"",SUMPRODUCT(MAX((tbl_Finance[Job Number]=C45&amp;"")*tbl_Finance[Date]))),""))</f>
        <v/>
      </c>
      <c r="B45" s="15">
        <f>IF(A45="","",IFERROR(LOOKUP(2,1/((tbl_Finance[Job Number]=C45&amp;"")*(tbl_Finance[Date]=A45)),tbl_Finance[Xero Invoice No]),""))</f>
        <v/>
      </c>
      <c r="C45" s="14" t="n"/>
      <c r="D45" s="15">
        <f>IF(C45="","",IF(COUNTIF(lst_Jobs,C45&amp;"")&gt;0,"OK","CHECK"))</f>
        <v/>
      </c>
      <c r="E45" s="15">
        <f>IF(C45="","",IFERROR(INDEX(lst_JobName,MATCH(C45&amp;"",lst_Jobs,0)),""))</f>
        <v/>
      </c>
      <c r="F45" s="15">
        <f>IF(C45="","",IFERROR(INDEX(tbl_Finance[Client],MATCH(C45&amp;"",tbl_Finance[Job Number],0)),""))</f>
        <v/>
      </c>
      <c r="G45" s="52">
        <f>IF(C45="","",COUNTIFS(tbl_Finance[Job Number],C45&amp;"",tbl_Finance[Ex GST],"&lt;&gt;"))</f>
        <v/>
      </c>
      <c r="H45" s="17">
        <f>IF(C45="","",SUMIFS(tbl_Finance[Ex GST],tbl_Finance[Job Number],C45&amp;""))</f>
        <v/>
      </c>
      <c r="I45" s="15">
        <f>IF(C45="","",IFERROR(INDEX(tbl_Finance[Cost Centre],MATCH(C45&amp;"",tbl_Finance[Job Number],0)),"not invoiced yet"))</f>
        <v/>
      </c>
      <c r="J45" s="14" t="n"/>
      <c r="K45" s="15">
        <f>IF(J45="","",HYPERLINK(IF(LEFT(J45,4)="http",J45,set_QwilrBase&amp;J45),"Open quote"))</f>
        <v/>
      </c>
      <c r="L45" s="16" t="n"/>
      <c r="M45" s="16" t="n"/>
      <c r="N45" s="16" t="n"/>
      <c r="O45" s="15">
        <f>IF(C45="","",IF(N(L45)+N(M45)+N(N45)=0,"Not split",IF(ROUND(N(L45)+N(M45)+N(N45),2)=ROUND(H45,2),"OK","MISMATCH")))</f>
        <v/>
      </c>
      <c r="P45" s="16" t="n"/>
      <c r="Q45" s="16" t="n"/>
      <c r="R45" s="16" t="n"/>
      <c r="S45" s="17">
        <f>IF(C45="","",N(P45)+N(Q45)+N(R45))</f>
        <v/>
      </c>
      <c r="T45" s="17">
        <f>IF(C45="","",H45-S45)</f>
        <v/>
      </c>
      <c r="U45" s="54">
        <f>IFERROR(T45/H45,"")</f>
        <v/>
      </c>
      <c r="V45" s="14" t="n"/>
    </row>
    <row r="46" ht="15" customHeight="1">
      <c r="A46" s="51">
        <f>IF(C46="","",IFERROR(IF(SUMPRODUCT(MAX((tbl_Finance[Job Number]=C46&amp;"")*tbl_Finance[Date]))=0,"",SUMPRODUCT(MAX((tbl_Finance[Job Number]=C46&amp;"")*tbl_Finance[Date]))),""))</f>
        <v/>
      </c>
      <c r="B46" s="15">
        <f>IF(A46="","",IFERROR(LOOKUP(2,1/((tbl_Finance[Job Number]=C46&amp;"")*(tbl_Finance[Date]=A46)),tbl_Finance[Xero Invoice No]),""))</f>
        <v/>
      </c>
      <c r="C46" s="14" t="n"/>
      <c r="D46" s="15">
        <f>IF(C46="","",IF(COUNTIF(lst_Jobs,C46&amp;"")&gt;0,"OK","CHECK"))</f>
        <v/>
      </c>
      <c r="E46" s="15">
        <f>IF(C46="","",IFERROR(INDEX(lst_JobName,MATCH(C46&amp;"",lst_Jobs,0)),""))</f>
        <v/>
      </c>
      <c r="F46" s="15">
        <f>IF(C46="","",IFERROR(INDEX(tbl_Finance[Client],MATCH(C46&amp;"",tbl_Finance[Job Number],0)),""))</f>
        <v/>
      </c>
      <c r="G46" s="52">
        <f>IF(C46="","",COUNTIFS(tbl_Finance[Job Number],C46&amp;"",tbl_Finance[Ex GST],"&lt;&gt;"))</f>
        <v/>
      </c>
      <c r="H46" s="17">
        <f>IF(C46="","",SUMIFS(tbl_Finance[Ex GST],tbl_Finance[Job Number],C46&amp;""))</f>
        <v/>
      </c>
      <c r="I46" s="15">
        <f>IF(C46="","",IFERROR(INDEX(tbl_Finance[Cost Centre],MATCH(C46&amp;"",tbl_Finance[Job Number],0)),"not invoiced yet"))</f>
        <v/>
      </c>
      <c r="J46" s="14" t="n"/>
      <c r="K46" s="15">
        <f>IF(J46="","",HYPERLINK(IF(LEFT(J46,4)="http",J46,set_QwilrBase&amp;J46),"Open quote"))</f>
        <v/>
      </c>
      <c r="L46" s="16" t="n"/>
      <c r="M46" s="16" t="n"/>
      <c r="N46" s="16" t="n"/>
      <c r="O46" s="15">
        <f>IF(C46="","",IF(N(L46)+N(M46)+N(N46)=0,"Not split",IF(ROUND(N(L46)+N(M46)+N(N46),2)=ROUND(H46,2),"OK","MISMATCH")))</f>
        <v/>
      </c>
      <c r="P46" s="16" t="n"/>
      <c r="Q46" s="16" t="n"/>
      <c r="R46" s="16" t="n"/>
      <c r="S46" s="17">
        <f>IF(C46="","",N(P46)+N(Q46)+N(R46))</f>
        <v/>
      </c>
      <c r="T46" s="17">
        <f>IF(C46="","",H46-S46)</f>
        <v/>
      </c>
      <c r="U46" s="54">
        <f>IFERROR(T46/H46,"")</f>
        <v/>
      </c>
      <c r="V46" s="14" t="n"/>
    </row>
    <row r="47" ht="15" customHeight="1">
      <c r="A47" s="51">
        <f>IF(C47="","",IFERROR(IF(SUMPRODUCT(MAX((tbl_Finance[Job Number]=C47&amp;"")*tbl_Finance[Date]))=0,"",SUMPRODUCT(MAX((tbl_Finance[Job Number]=C47&amp;"")*tbl_Finance[Date]))),""))</f>
        <v/>
      </c>
      <c r="B47" s="15">
        <f>IF(A47="","",IFERROR(LOOKUP(2,1/((tbl_Finance[Job Number]=C47&amp;"")*(tbl_Finance[Date]=A47)),tbl_Finance[Xero Invoice No]),""))</f>
        <v/>
      </c>
      <c r="C47" s="14" t="n"/>
      <c r="D47" s="15">
        <f>IF(C47="","",IF(COUNTIF(lst_Jobs,C47&amp;"")&gt;0,"OK","CHECK"))</f>
        <v/>
      </c>
      <c r="E47" s="15">
        <f>IF(C47="","",IFERROR(INDEX(lst_JobName,MATCH(C47&amp;"",lst_Jobs,0)),""))</f>
        <v/>
      </c>
      <c r="F47" s="15">
        <f>IF(C47="","",IFERROR(INDEX(tbl_Finance[Client],MATCH(C47&amp;"",tbl_Finance[Job Number],0)),""))</f>
        <v/>
      </c>
      <c r="G47" s="52">
        <f>IF(C47="","",COUNTIFS(tbl_Finance[Job Number],C47&amp;"",tbl_Finance[Ex GST],"&lt;&gt;"))</f>
        <v/>
      </c>
      <c r="H47" s="17">
        <f>IF(C47="","",SUMIFS(tbl_Finance[Ex GST],tbl_Finance[Job Number],C47&amp;""))</f>
        <v/>
      </c>
      <c r="I47" s="15">
        <f>IF(C47="","",IFERROR(INDEX(tbl_Finance[Cost Centre],MATCH(C47&amp;"",tbl_Finance[Job Number],0)),"not invoiced yet"))</f>
        <v/>
      </c>
      <c r="J47" s="14" t="n"/>
      <c r="K47" s="15">
        <f>IF(J47="","",HYPERLINK(IF(LEFT(J47,4)="http",J47,set_QwilrBase&amp;J47),"Open quote"))</f>
        <v/>
      </c>
      <c r="L47" s="16" t="n"/>
      <c r="M47" s="16" t="n"/>
      <c r="N47" s="16" t="n"/>
      <c r="O47" s="15">
        <f>IF(C47="","",IF(N(L47)+N(M47)+N(N47)=0,"Not split",IF(ROUND(N(L47)+N(M47)+N(N47),2)=ROUND(H47,2),"OK","MISMATCH")))</f>
        <v/>
      </c>
      <c r="P47" s="16" t="n"/>
      <c r="Q47" s="16" t="n"/>
      <c r="R47" s="16" t="n"/>
      <c r="S47" s="17">
        <f>IF(C47="","",N(P47)+N(Q47)+N(R47))</f>
        <v/>
      </c>
      <c r="T47" s="17">
        <f>IF(C47="","",H47-S47)</f>
        <v/>
      </c>
      <c r="U47" s="54">
        <f>IFERROR(T47/H47,"")</f>
        <v/>
      </c>
      <c r="V47" s="14" t="n"/>
    </row>
    <row r="48" ht="15" customHeight="1">
      <c r="A48" s="51">
        <f>IF(C48="","",IFERROR(IF(SUMPRODUCT(MAX((tbl_Finance[Job Number]=C48&amp;"")*tbl_Finance[Date]))=0,"",SUMPRODUCT(MAX((tbl_Finance[Job Number]=C48&amp;"")*tbl_Finance[Date]))),""))</f>
        <v/>
      </c>
      <c r="B48" s="15">
        <f>IF(A48="","",IFERROR(LOOKUP(2,1/((tbl_Finance[Job Number]=C48&amp;"")*(tbl_Finance[Date]=A48)),tbl_Finance[Xero Invoice No]),""))</f>
        <v/>
      </c>
      <c r="C48" s="14" t="n"/>
      <c r="D48" s="15">
        <f>IF(C48="","",IF(COUNTIF(lst_Jobs,C48&amp;"")&gt;0,"OK","CHECK"))</f>
        <v/>
      </c>
      <c r="E48" s="15">
        <f>IF(C48="","",IFERROR(INDEX(lst_JobName,MATCH(C48&amp;"",lst_Jobs,0)),""))</f>
        <v/>
      </c>
      <c r="F48" s="15">
        <f>IF(C48="","",IFERROR(INDEX(tbl_Finance[Client],MATCH(C48&amp;"",tbl_Finance[Job Number],0)),""))</f>
        <v/>
      </c>
      <c r="G48" s="52">
        <f>IF(C48="","",COUNTIFS(tbl_Finance[Job Number],C48&amp;"",tbl_Finance[Ex GST],"&lt;&gt;"))</f>
        <v/>
      </c>
      <c r="H48" s="17">
        <f>IF(C48="","",SUMIFS(tbl_Finance[Ex GST],tbl_Finance[Job Number],C48&amp;""))</f>
        <v/>
      </c>
      <c r="I48" s="15">
        <f>IF(C48="","",IFERROR(INDEX(tbl_Finance[Cost Centre],MATCH(C48&amp;"",tbl_Finance[Job Number],0)),"not invoiced yet"))</f>
        <v/>
      </c>
      <c r="J48" s="14" t="n"/>
      <c r="K48" s="15">
        <f>IF(J48="","",HYPERLINK(IF(LEFT(J48,4)="http",J48,set_QwilrBase&amp;J48),"Open quote"))</f>
        <v/>
      </c>
      <c r="L48" s="16" t="n"/>
      <c r="M48" s="16" t="n"/>
      <c r="N48" s="16" t="n"/>
      <c r="O48" s="15">
        <f>IF(C48="","",IF(N(L48)+N(M48)+N(N48)=0,"Not split",IF(ROUND(N(L48)+N(M48)+N(N48),2)=ROUND(H48,2),"OK","MISMATCH")))</f>
        <v/>
      </c>
      <c r="P48" s="16" t="n"/>
      <c r="Q48" s="16" t="n"/>
      <c r="R48" s="16" t="n"/>
      <c r="S48" s="17">
        <f>IF(C48="","",N(P48)+N(Q48)+N(R48))</f>
        <v/>
      </c>
      <c r="T48" s="17">
        <f>IF(C48="","",H48-S48)</f>
        <v/>
      </c>
      <c r="U48" s="54">
        <f>IFERROR(T48/H48,"")</f>
        <v/>
      </c>
      <c r="V48" s="14" t="n"/>
    </row>
    <row r="49" ht="15" customHeight="1">
      <c r="A49" s="51">
        <f>IF(C49="","",IFERROR(IF(SUMPRODUCT(MAX((tbl_Finance[Job Number]=C49&amp;"")*tbl_Finance[Date]))=0,"",SUMPRODUCT(MAX((tbl_Finance[Job Number]=C49&amp;"")*tbl_Finance[Date]))),""))</f>
        <v/>
      </c>
      <c r="B49" s="15">
        <f>IF(A49="","",IFERROR(LOOKUP(2,1/((tbl_Finance[Job Number]=C49&amp;"")*(tbl_Finance[Date]=A49)),tbl_Finance[Xero Invoice No]),""))</f>
        <v/>
      </c>
      <c r="C49" s="14" t="n"/>
      <c r="D49" s="15">
        <f>IF(C49="","",IF(COUNTIF(lst_Jobs,C49&amp;"")&gt;0,"OK","CHECK"))</f>
        <v/>
      </c>
      <c r="E49" s="15">
        <f>IF(C49="","",IFERROR(INDEX(lst_JobName,MATCH(C49&amp;"",lst_Jobs,0)),""))</f>
        <v/>
      </c>
      <c r="F49" s="15">
        <f>IF(C49="","",IFERROR(INDEX(tbl_Finance[Client],MATCH(C49&amp;"",tbl_Finance[Job Number],0)),""))</f>
        <v/>
      </c>
      <c r="G49" s="52">
        <f>IF(C49="","",COUNTIFS(tbl_Finance[Job Number],C49&amp;"",tbl_Finance[Ex GST],"&lt;&gt;"))</f>
        <v/>
      </c>
      <c r="H49" s="17">
        <f>IF(C49="","",SUMIFS(tbl_Finance[Ex GST],tbl_Finance[Job Number],C49&amp;""))</f>
        <v/>
      </c>
      <c r="I49" s="15">
        <f>IF(C49="","",IFERROR(INDEX(tbl_Finance[Cost Centre],MATCH(C49&amp;"",tbl_Finance[Job Number],0)),"not invoiced yet"))</f>
        <v/>
      </c>
      <c r="J49" s="14" t="n"/>
      <c r="K49" s="15">
        <f>IF(J49="","",HYPERLINK(IF(LEFT(J49,4)="http",J49,set_QwilrBase&amp;J49),"Open quote"))</f>
        <v/>
      </c>
      <c r="L49" s="16" t="n"/>
      <c r="M49" s="16" t="n"/>
      <c r="N49" s="16" t="n"/>
      <c r="O49" s="15">
        <f>IF(C49="","",IF(N(L49)+N(M49)+N(N49)=0,"Not split",IF(ROUND(N(L49)+N(M49)+N(N49),2)=ROUND(H49,2),"OK","MISMATCH")))</f>
        <v/>
      </c>
      <c r="P49" s="16" t="n"/>
      <c r="Q49" s="16" t="n"/>
      <c r="R49" s="16" t="n"/>
      <c r="S49" s="17">
        <f>IF(C49="","",N(P49)+N(Q49)+N(R49))</f>
        <v/>
      </c>
      <c r="T49" s="17">
        <f>IF(C49="","",H49-S49)</f>
        <v/>
      </c>
      <c r="U49" s="54">
        <f>IFERROR(T49/H49,"")</f>
        <v/>
      </c>
      <c r="V49" s="14" t="n"/>
    </row>
    <row r="50" ht="15" customHeight="1">
      <c r="A50" s="51">
        <f>IF(C50="","",IFERROR(IF(SUMPRODUCT(MAX((tbl_Finance[Job Number]=C50&amp;"")*tbl_Finance[Date]))=0,"",SUMPRODUCT(MAX((tbl_Finance[Job Number]=C50&amp;"")*tbl_Finance[Date]))),""))</f>
        <v/>
      </c>
      <c r="B50" s="15">
        <f>IF(A50="","",IFERROR(LOOKUP(2,1/((tbl_Finance[Job Number]=C50&amp;"")*(tbl_Finance[Date]=A50)),tbl_Finance[Xero Invoice No]),""))</f>
        <v/>
      </c>
      <c r="C50" s="14" t="n"/>
      <c r="D50" s="15">
        <f>IF(C50="","",IF(COUNTIF(lst_Jobs,C50&amp;"")&gt;0,"OK","CHECK"))</f>
        <v/>
      </c>
      <c r="E50" s="15">
        <f>IF(C50="","",IFERROR(INDEX(lst_JobName,MATCH(C50&amp;"",lst_Jobs,0)),""))</f>
        <v/>
      </c>
      <c r="F50" s="15">
        <f>IF(C50="","",IFERROR(INDEX(tbl_Finance[Client],MATCH(C50&amp;"",tbl_Finance[Job Number],0)),""))</f>
        <v/>
      </c>
      <c r="G50" s="52">
        <f>IF(C50="","",COUNTIFS(tbl_Finance[Job Number],C50&amp;"",tbl_Finance[Ex GST],"&lt;&gt;"))</f>
        <v/>
      </c>
      <c r="H50" s="17">
        <f>IF(C50="","",SUMIFS(tbl_Finance[Ex GST],tbl_Finance[Job Number],C50&amp;""))</f>
        <v/>
      </c>
      <c r="I50" s="15">
        <f>IF(C50="","",IFERROR(INDEX(tbl_Finance[Cost Centre],MATCH(C50&amp;"",tbl_Finance[Job Number],0)),"not invoiced yet"))</f>
        <v/>
      </c>
      <c r="J50" s="14" t="n"/>
      <c r="K50" s="15">
        <f>IF(J50="","",HYPERLINK(IF(LEFT(J50,4)="http",J50,set_QwilrBase&amp;J50),"Open quote"))</f>
        <v/>
      </c>
      <c r="L50" s="16" t="n"/>
      <c r="M50" s="16" t="n"/>
      <c r="N50" s="16" t="n"/>
      <c r="O50" s="15">
        <f>IF(C50="","",IF(N(L50)+N(M50)+N(N50)=0,"Not split",IF(ROUND(N(L50)+N(M50)+N(N50),2)=ROUND(H50,2),"OK","MISMATCH")))</f>
        <v/>
      </c>
      <c r="P50" s="16" t="n"/>
      <c r="Q50" s="16" t="n"/>
      <c r="R50" s="16" t="n"/>
      <c r="S50" s="17">
        <f>IF(C50="","",N(P50)+N(Q50)+N(R50))</f>
        <v/>
      </c>
      <c r="T50" s="17">
        <f>IF(C50="","",H50-S50)</f>
        <v/>
      </c>
      <c r="U50" s="54">
        <f>IFERROR(T50/H50,"")</f>
        <v/>
      </c>
      <c r="V50" s="14" t="n"/>
    </row>
    <row r="51" ht="15" customHeight="1">
      <c r="A51" s="51">
        <f>IF(C51="","",IFERROR(IF(SUMPRODUCT(MAX((tbl_Finance[Job Number]=C51&amp;"")*tbl_Finance[Date]))=0,"",SUMPRODUCT(MAX((tbl_Finance[Job Number]=C51&amp;"")*tbl_Finance[Date]))),""))</f>
        <v/>
      </c>
      <c r="B51" s="15">
        <f>IF(A51="","",IFERROR(LOOKUP(2,1/((tbl_Finance[Job Number]=C51&amp;"")*(tbl_Finance[Date]=A51)),tbl_Finance[Xero Invoice No]),""))</f>
        <v/>
      </c>
      <c r="C51" s="14" t="n"/>
      <c r="D51" s="15">
        <f>IF(C51="","",IF(COUNTIF(lst_Jobs,C51&amp;"")&gt;0,"OK","CHECK"))</f>
        <v/>
      </c>
      <c r="E51" s="15">
        <f>IF(C51="","",IFERROR(INDEX(lst_JobName,MATCH(C51&amp;"",lst_Jobs,0)),""))</f>
        <v/>
      </c>
      <c r="F51" s="15">
        <f>IF(C51="","",IFERROR(INDEX(tbl_Finance[Client],MATCH(C51&amp;"",tbl_Finance[Job Number],0)),""))</f>
        <v/>
      </c>
      <c r="G51" s="52">
        <f>IF(C51="","",COUNTIFS(tbl_Finance[Job Number],C51&amp;"",tbl_Finance[Ex GST],"&lt;&gt;"))</f>
        <v/>
      </c>
      <c r="H51" s="17">
        <f>IF(C51="","",SUMIFS(tbl_Finance[Ex GST],tbl_Finance[Job Number],C51&amp;""))</f>
        <v/>
      </c>
      <c r="I51" s="15">
        <f>IF(C51="","",IFERROR(INDEX(tbl_Finance[Cost Centre],MATCH(C51&amp;"",tbl_Finance[Job Number],0)),"not invoiced yet"))</f>
        <v/>
      </c>
      <c r="J51" s="14" t="n"/>
      <c r="K51" s="15">
        <f>IF(J51="","",HYPERLINK(IF(LEFT(J51,4)="http",J51,set_QwilrBase&amp;J51),"Open quote"))</f>
        <v/>
      </c>
      <c r="L51" s="16" t="n"/>
      <c r="M51" s="16" t="n"/>
      <c r="N51" s="16" t="n"/>
      <c r="O51" s="15">
        <f>IF(C51="","",IF(N(L51)+N(M51)+N(N51)=0,"Not split",IF(ROUND(N(L51)+N(M51)+N(N51),2)=ROUND(H51,2),"OK","MISMATCH")))</f>
        <v/>
      </c>
      <c r="P51" s="16" t="n"/>
      <c r="Q51" s="16" t="n"/>
      <c r="R51" s="16" t="n"/>
      <c r="S51" s="17">
        <f>IF(C51="","",N(P51)+N(Q51)+N(R51))</f>
        <v/>
      </c>
      <c r="T51" s="17">
        <f>IF(C51="","",H51-S51)</f>
        <v/>
      </c>
      <c r="U51" s="54">
        <f>IFERROR(T51/H51,"")</f>
        <v/>
      </c>
      <c r="V51" s="14" t="n"/>
    </row>
    <row r="52" ht="15" customHeight="1">
      <c r="A52" s="51">
        <f>IF(C52="","",IFERROR(IF(SUMPRODUCT(MAX((tbl_Finance[Job Number]=C52&amp;"")*tbl_Finance[Date]))=0,"",SUMPRODUCT(MAX((tbl_Finance[Job Number]=C52&amp;"")*tbl_Finance[Date]))),""))</f>
        <v/>
      </c>
      <c r="B52" s="15">
        <f>IF(A52="","",IFERROR(LOOKUP(2,1/((tbl_Finance[Job Number]=C52&amp;"")*(tbl_Finance[Date]=A52)),tbl_Finance[Xero Invoice No]),""))</f>
        <v/>
      </c>
      <c r="C52" s="14" t="n"/>
      <c r="D52" s="15">
        <f>IF(C52="","",IF(COUNTIF(lst_Jobs,C52&amp;"")&gt;0,"OK","CHECK"))</f>
        <v/>
      </c>
      <c r="E52" s="15">
        <f>IF(C52="","",IFERROR(INDEX(lst_JobName,MATCH(C52&amp;"",lst_Jobs,0)),""))</f>
        <v/>
      </c>
      <c r="F52" s="15">
        <f>IF(C52="","",IFERROR(INDEX(tbl_Finance[Client],MATCH(C52&amp;"",tbl_Finance[Job Number],0)),""))</f>
        <v/>
      </c>
      <c r="G52" s="52">
        <f>IF(C52="","",COUNTIFS(tbl_Finance[Job Number],C52&amp;"",tbl_Finance[Ex GST],"&lt;&gt;"))</f>
        <v/>
      </c>
      <c r="H52" s="17">
        <f>IF(C52="","",SUMIFS(tbl_Finance[Ex GST],tbl_Finance[Job Number],C52&amp;""))</f>
        <v/>
      </c>
      <c r="I52" s="15">
        <f>IF(C52="","",IFERROR(INDEX(tbl_Finance[Cost Centre],MATCH(C52&amp;"",tbl_Finance[Job Number],0)),"not invoiced yet"))</f>
        <v/>
      </c>
      <c r="J52" s="14" t="n"/>
      <c r="K52" s="15">
        <f>IF(J52="","",HYPERLINK(IF(LEFT(J52,4)="http",J52,set_QwilrBase&amp;J52),"Open quote"))</f>
        <v/>
      </c>
      <c r="L52" s="16" t="n"/>
      <c r="M52" s="16" t="n"/>
      <c r="N52" s="16" t="n"/>
      <c r="O52" s="15">
        <f>IF(C52="","",IF(N(L52)+N(M52)+N(N52)=0,"Not split",IF(ROUND(N(L52)+N(M52)+N(N52),2)=ROUND(H52,2),"OK","MISMATCH")))</f>
        <v/>
      </c>
      <c r="P52" s="16" t="n"/>
      <c r="Q52" s="16" t="n"/>
      <c r="R52" s="16" t="n"/>
      <c r="S52" s="17">
        <f>IF(C52="","",N(P52)+N(Q52)+N(R52))</f>
        <v/>
      </c>
      <c r="T52" s="17">
        <f>IF(C52="","",H52-S52)</f>
        <v/>
      </c>
      <c r="U52" s="54">
        <f>IFERROR(T52/H52,"")</f>
        <v/>
      </c>
      <c r="V52" s="14" t="n"/>
    </row>
    <row r="53" ht="15" customHeight="1">
      <c r="A53" s="51">
        <f>IF(C53="","",IFERROR(IF(SUMPRODUCT(MAX((tbl_Finance[Job Number]=C53&amp;"")*tbl_Finance[Date]))=0,"",SUMPRODUCT(MAX((tbl_Finance[Job Number]=C53&amp;"")*tbl_Finance[Date]))),""))</f>
        <v/>
      </c>
      <c r="B53" s="15">
        <f>IF(A53="","",IFERROR(LOOKUP(2,1/((tbl_Finance[Job Number]=C53&amp;"")*(tbl_Finance[Date]=A53)),tbl_Finance[Xero Invoice No]),""))</f>
        <v/>
      </c>
      <c r="C53" s="14" t="n"/>
      <c r="D53" s="15">
        <f>IF(C53="","",IF(COUNTIF(lst_Jobs,C53&amp;"")&gt;0,"OK","CHECK"))</f>
        <v/>
      </c>
      <c r="E53" s="15">
        <f>IF(C53="","",IFERROR(INDEX(lst_JobName,MATCH(C53&amp;"",lst_Jobs,0)),""))</f>
        <v/>
      </c>
      <c r="F53" s="15">
        <f>IF(C53="","",IFERROR(INDEX(tbl_Finance[Client],MATCH(C53&amp;"",tbl_Finance[Job Number],0)),""))</f>
        <v/>
      </c>
      <c r="G53" s="52">
        <f>IF(C53="","",COUNTIFS(tbl_Finance[Job Number],C53&amp;"",tbl_Finance[Ex GST],"&lt;&gt;"))</f>
        <v/>
      </c>
      <c r="H53" s="17">
        <f>IF(C53="","",SUMIFS(tbl_Finance[Ex GST],tbl_Finance[Job Number],C53&amp;""))</f>
        <v/>
      </c>
      <c r="I53" s="15">
        <f>IF(C53="","",IFERROR(INDEX(tbl_Finance[Cost Centre],MATCH(C53&amp;"",tbl_Finance[Job Number],0)),"not invoiced yet"))</f>
        <v/>
      </c>
      <c r="J53" s="14" t="n"/>
      <c r="K53" s="15">
        <f>IF(J53="","",HYPERLINK(IF(LEFT(J53,4)="http",J53,set_QwilrBase&amp;J53),"Open quote"))</f>
        <v/>
      </c>
      <c r="L53" s="16" t="n"/>
      <c r="M53" s="16" t="n"/>
      <c r="N53" s="16" t="n"/>
      <c r="O53" s="15">
        <f>IF(C53="","",IF(N(L53)+N(M53)+N(N53)=0,"Not split",IF(ROUND(N(L53)+N(M53)+N(N53),2)=ROUND(H53,2),"OK","MISMATCH")))</f>
        <v/>
      </c>
      <c r="P53" s="16" t="n"/>
      <c r="Q53" s="16" t="n"/>
      <c r="R53" s="16" t="n"/>
      <c r="S53" s="17">
        <f>IF(C53="","",N(P53)+N(Q53)+N(R53))</f>
        <v/>
      </c>
      <c r="T53" s="17">
        <f>IF(C53="","",H53-S53)</f>
        <v/>
      </c>
      <c r="U53" s="54">
        <f>IFERROR(T53/H53,"")</f>
        <v/>
      </c>
      <c r="V53" s="14" t="n"/>
    </row>
    <row r="54" ht="15" customHeight="1">
      <c r="A54" s="51">
        <f>IF(C54="","",IFERROR(IF(SUMPRODUCT(MAX((tbl_Finance[Job Number]=C54&amp;"")*tbl_Finance[Date]))=0,"",SUMPRODUCT(MAX((tbl_Finance[Job Number]=C54&amp;"")*tbl_Finance[Date]))),""))</f>
        <v/>
      </c>
      <c r="B54" s="15">
        <f>IF(A54="","",IFERROR(LOOKUP(2,1/((tbl_Finance[Job Number]=C54&amp;"")*(tbl_Finance[Date]=A54)),tbl_Finance[Xero Invoice No]),""))</f>
        <v/>
      </c>
      <c r="C54" s="14" t="n"/>
      <c r="D54" s="15">
        <f>IF(C54="","",IF(COUNTIF(lst_Jobs,C54&amp;"")&gt;0,"OK","CHECK"))</f>
        <v/>
      </c>
      <c r="E54" s="15">
        <f>IF(C54="","",IFERROR(INDEX(lst_JobName,MATCH(C54&amp;"",lst_Jobs,0)),""))</f>
        <v/>
      </c>
      <c r="F54" s="15">
        <f>IF(C54="","",IFERROR(INDEX(tbl_Finance[Client],MATCH(C54&amp;"",tbl_Finance[Job Number],0)),""))</f>
        <v/>
      </c>
      <c r="G54" s="52">
        <f>IF(C54="","",COUNTIFS(tbl_Finance[Job Number],C54&amp;"",tbl_Finance[Ex GST],"&lt;&gt;"))</f>
        <v/>
      </c>
      <c r="H54" s="17">
        <f>IF(C54="","",SUMIFS(tbl_Finance[Ex GST],tbl_Finance[Job Number],C54&amp;""))</f>
        <v/>
      </c>
      <c r="I54" s="15">
        <f>IF(C54="","",IFERROR(INDEX(tbl_Finance[Cost Centre],MATCH(C54&amp;"",tbl_Finance[Job Number],0)),"not invoiced yet"))</f>
        <v/>
      </c>
      <c r="J54" s="14" t="n"/>
      <c r="K54" s="15">
        <f>IF(J54="","",HYPERLINK(IF(LEFT(J54,4)="http",J54,set_QwilrBase&amp;J54),"Open quote"))</f>
        <v/>
      </c>
      <c r="L54" s="16" t="n"/>
      <c r="M54" s="16" t="n"/>
      <c r="N54" s="16" t="n"/>
      <c r="O54" s="15">
        <f>IF(C54="","",IF(N(L54)+N(M54)+N(N54)=0,"Not split",IF(ROUND(N(L54)+N(M54)+N(N54),2)=ROUND(H54,2),"OK","MISMATCH")))</f>
        <v/>
      </c>
      <c r="P54" s="16" t="n"/>
      <c r="Q54" s="16" t="n"/>
      <c r="R54" s="16" t="n"/>
      <c r="S54" s="17">
        <f>IF(C54="","",N(P54)+N(Q54)+N(R54))</f>
        <v/>
      </c>
      <c r="T54" s="17">
        <f>IF(C54="","",H54-S54)</f>
        <v/>
      </c>
      <c r="U54" s="54">
        <f>IFERROR(T54/H54,"")</f>
        <v/>
      </c>
      <c r="V54" s="14" t="n"/>
    </row>
    <row r="55" ht="15" customHeight="1">
      <c r="A55" s="51">
        <f>IF(C55="","",IFERROR(IF(SUMPRODUCT(MAX((tbl_Finance[Job Number]=C55&amp;"")*tbl_Finance[Date]))=0,"",SUMPRODUCT(MAX((tbl_Finance[Job Number]=C55&amp;"")*tbl_Finance[Date]))),""))</f>
        <v/>
      </c>
      <c r="B55" s="15">
        <f>IF(A55="","",IFERROR(LOOKUP(2,1/((tbl_Finance[Job Number]=C55&amp;"")*(tbl_Finance[Date]=A55)),tbl_Finance[Xero Invoice No]),""))</f>
        <v/>
      </c>
      <c r="C55" s="14" t="n"/>
      <c r="D55" s="15">
        <f>IF(C55="","",IF(COUNTIF(lst_Jobs,C55&amp;"")&gt;0,"OK","CHECK"))</f>
        <v/>
      </c>
      <c r="E55" s="15">
        <f>IF(C55="","",IFERROR(INDEX(lst_JobName,MATCH(C55&amp;"",lst_Jobs,0)),""))</f>
        <v/>
      </c>
      <c r="F55" s="15">
        <f>IF(C55="","",IFERROR(INDEX(tbl_Finance[Client],MATCH(C55&amp;"",tbl_Finance[Job Number],0)),""))</f>
        <v/>
      </c>
      <c r="G55" s="52">
        <f>IF(C55="","",COUNTIFS(tbl_Finance[Job Number],C55&amp;"",tbl_Finance[Ex GST],"&lt;&gt;"))</f>
        <v/>
      </c>
      <c r="H55" s="17">
        <f>IF(C55="","",SUMIFS(tbl_Finance[Ex GST],tbl_Finance[Job Number],C55&amp;""))</f>
        <v/>
      </c>
      <c r="I55" s="15">
        <f>IF(C55="","",IFERROR(INDEX(tbl_Finance[Cost Centre],MATCH(C55&amp;"",tbl_Finance[Job Number],0)),"not invoiced yet"))</f>
        <v/>
      </c>
      <c r="J55" s="14" t="n"/>
      <c r="K55" s="15">
        <f>IF(J55="","",HYPERLINK(IF(LEFT(J55,4)="http",J55,set_QwilrBase&amp;J55),"Open quote"))</f>
        <v/>
      </c>
      <c r="L55" s="16" t="n"/>
      <c r="M55" s="16" t="n"/>
      <c r="N55" s="16" t="n"/>
      <c r="O55" s="15">
        <f>IF(C55="","",IF(N(L55)+N(M55)+N(N55)=0,"Not split",IF(ROUND(N(L55)+N(M55)+N(N55),2)=ROUND(H55,2),"OK","MISMATCH")))</f>
        <v/>
      </c>
      <c r="P55" s="16" t="n"/>
      <c r="Q55" s="16" t="n"/>
      <c r="R55" s="16" t="n"/>
      <c r="S55" s="17">
        <f>IF(C55="","",N(P55)+N(Q55)+N(R55))</f>
        <v/>
      </c>
      <c r="T55" s="17">
        <f>IF(C55="","",H55-S55)</f>
        <v/>
      </c>
      <c r="U55" s="54">
        <f>IFERROR(T55/H55,"")</f>
        <v/>
      </c>
      <c r="V55" s="14" t="n"/>
    </row>
    <row r="56" ht="15" customHeight="1">
      <c r="A56" s="51">
        <f>IF(C56="","",IFERROR(IF(SUMPRODUCT(MAX((tbl_Finance[Job Number]=C56&amp;"")*tbl_Finance[Date]))=0,"",SUMPRODUCT(MAX((tbl_Finance[Job Number]=C56&amp;"")*tbl_Finance[Date]))),""))</f>
        <v/>
      </c>
      <c r="B56" s="15">
        <f>IF(A56="","",IFERROR(LOOKUP(2,1/((tbl_Finance[Job Number]=C56&amp;"")*(tbl_Finance[Date]=A56)),tbl_Finance[Xero Invoice No]),""))</f>
        <v/>
      </c>
      <c r="C56" s="14" t="n"/>
      <c r="D56" s="15">
        <f>IF(C56="","",IF(COUNTIF(lst_Jobs,C56&amp;"")&gt;0,"OK","CHECK"))</f>
        <v/>
      </c>
      <c r="E56" s="15">
        <f>IF(C56="","",IFERROR(INDEX(lst_JobName,MATCH(C56&amp;"",lst_Jobs,0)),""))</f>
        <v/>
      </c>
      <c r="F56" s="15">
        <f>IF(C56="","",IFERROR(INDEX(tbl_Finance[Client],MATCH(C56&amp;"",tbl_Finance[Job Number],0)),""))</f>
        <v/>
      </c>
      <c r="G56" s="52">
        <f>IF(C56="","",COUNTIFS(tbl_Finance[Job Number],C56&amp;"",tbl_Finance[Ex GST],"&lt;&gt;"))</f>
        <v/>
      </c>
      <c r="H56" s="17">
        <f>IF(C56="","",SUMIFS(tbl_Finance[Ex GST],tbl_Finance[Job Number],C56&amp;""))</f>
        <v/>
      </c>
      <c r="I56" s="15">
        <f>IF(C56="","",IFERROR(INDEX(tbl_Finance[Cost Centre],MATCH(C56&amp;"",tbl_Finance[Job Number],0)),"not invoiced yet"))</f>
        <v/>
      </c>
      <c r="J56" s="14" t="n"/>
      <c r="K56" s="15">
        <f>IF(J56="","",HYPERLINK(IF(LEFT(J56,4)="http",J56,set_QwilrBase&amp;J56),"Open quote"))</f>
        <v/>
      </c>
      <c r="L56" s="16" t="n"/>
      <c r="M56" s="16" t="n"/>
      <c r="N56" s="16" t="n"/>
      <c r="O56" s="15">
        <f>IF(C56="","",IF(N(L56)+N(M56)+N(N56)=0,"Not split",IF(ROUND(N(L56)+N(M56)+N(N56),2)=ROUND(H56,2),"OK","MISMATCH")))</f>
        <v/>
      </c>
      <c r="P56" s="16" t="n"/>
      <c r="Q56" s="16" t="n"/>
      <c r="R56" s="16" t="n"/>
      <c r="S56" s="17">
        <f>IF(C56="","",N(P56)+N(Q56)+N(R56))</f>
        <v/>
      </c>
      <c r="T56" s="17">
        <f>IF(C56="","",H56-S56)</f>
        <v/>
      </c>
      <c r="U56" s="54">
        <f>IFERROR(T56/H56,"")</f>
        <v/>
      </c>
      <c r="V56" s="14" t="n"/>
    </row>
    <row r="57" ht="15" customHeight="1">
      <c r="A57" s="51">
        <f>IF(C57="","",IFERROR(IF(SUMPRODUCT(MAX((tbl_Finance[Job Number]=C57&amp;"")*tbl_Finance[Date]))=0,"",SUMPRODUCT(MAX((tbl_Finance[Job Number]=C57&amp;"")*tbl_Finance[Date]))),""))</f>
        <v/>
      </c>
      <c r="B57" s="15">
        <f>IF(A57="","",IFERROR(LOOKUP(2,1/((tbl_Finance[Job Number]=C57&amp;"")*(tbl_Finance[Date]=A57)),tbl_Finance[Xero Invoice No]),""))</f>
        <v/>
      </c>
      <c r="C57" s="14" t="n"/>
      <c r="D57" s="15">
        <f>IF(C57="","",IF(COUNTIF(lst_Jobs,C57&amp;"")&gt;0,"OK","CHECK"))</f>
        <v/>
      </c>
      <c r="E57" s="15">
        <f>IF(C57="","",IFERROR(INDEX(lst_JobName,MATCH(C57&amp;"",lst_Jobs,0)),""))</f>
        <v/>
      </c>
      <c r="F57" s="15">
        <f>IF(C57="","",IFERROR(INDEX(tbl_Finance[Client],MATCH(C57&amp;"",tbl_Finance[Job Number],0)),""))</f>
        <v/>
      </c>
      <c r="G57" s="52">
        <f>IF(C57="","",COUNTIFS(tbl_Finance[Job Number],C57&amp;"",tbl_Finance[Ex GST],"&lt;&gt;"))</f>
        <v/>
      </c>
      <c r="H57" s="17">
        <f>IF(C57="","",SUMIFS(tbl_Finance[Ex GST],tbl_Finance[Job Number],C57&amp;""))</f>
        <v/>
      </c>
      <c r="I57" s="15">
        <f>IF(C57="","",IFERROR(INDEX(tbl_Finance[Cost Centre],MATCH(C57&amp;"",tbl_Finance[Job Number],0)),"not invoiced yet"))</f>
        <v/>
      </c>
      <c r="J57" s="14" t="n"/>
      <c r="K57" s="15">
        <f>IF(J57="","",HYPERLINK(IF(LEFT(J57,4)="http",J57,set_QwilrBase&amp;J57),"Open quote"))</f>
        <v/>
      </c>
      <c r="L57" s="16" t="n"/>
      <c r="M57" s="16" t="n"/>
      <c r="N57" s="16" t="n"/>
      <c r="O57" s="15">
        <f>IF(C57="","",IF(N(L57)+N(M57)+N(N57)=0,"Not split",IF(ROUND(N(L57)+N(M57)+N(N57),2)=ROUND(H57,2),"OK","MISMATCH")))</f>
        <v/>
      </c>
      <c r="P57" s="16" t="n"/>
      <c r="Q57" s="16" t="n"/>
      <c r="R57" s="16" t="n"/>
      <c r="S57" s="17">
        <f>IF(C57="","",N(P57)+N(Q57)+N(R57))</f>
        <v/>
      </c>
      <c r="T57" s="17">
        <f>IF(C57="","",H57-S57)</f>
        <v/>
      </c>
      <c r="U57" s="54">
        <f>IFERROR(T57/H57,"")</f>
        <v/>
      </c>
      <c r="V57" s="14" t="n"/>
    </row>
    <row r="58" ht="15" customHeight="1">
      <c r="A58" s="51">
        <f>IF(C58="","",IFERROR(IF(SUMPRODUCT(MAX((tbl_Finance[Job Number]=C58&amp;"")*tbl_Finance[Date]))=0,"",SUMPRODUCT(MAX((tbl_Finance[Job Number]=C58&amp;"")*tbl_Finance[Date]))),""))</f>
        <v/>
      </c>
      <c r="B58" s="15">
        <f>IF(A58="","",IFERROR(LOOKUP(2,1/((tbl_Finance[Job Number]=C58&amp;"")*(tbl_Finance[Date]=A58)),tbl_Finance[Xero Invoice No]),""))</f>
        <v/>
      </c>
      <c r="C58" s="14" t="n"/>
      <c r="D58" s="15">
        <f>IF(C58="","",IF(COUNTIF(lst_Jobs,C58&amp;"")&gt;0,"OK","CHECK"))</f>
        <v/>
      </c>
      <c r="E58" s="15">
        <f>IF(C58="","",IFERROR(INDEX(lst_JobName,MATCH(C58&amp;"",lst_Jobs,0)),""))</f>
        <v/>
      </c>
      <c r="F58" s="15">
        <f>IF(C58="","",IFERROR(INDEX(tbl_Finance[Client],MATCH(C58&amp;"",tbl_Finance[Job Number],0)),""))</f>
        <v/>
      </c>
      <c r="G58" s="52">
        <f>IF(C58="","",COUNTIFS(tbl_Finance[Job Number],C58&amp;"",tbl_Finance[Ex GST],"&lt;&gt;"))</f>
        <v/>
      </c>
      <c r="H58" s="17">
        <f>IF(C58="","",SUMIFS(tbl_Finance[Ex GST],tbl_Finance[Job Number],C58&amp;""))</f>
        <v/>
      </c>
      <c r="I58" s="15">
        <f>IF(C58="","",IFERROR(INDEX(tbl_Finance[Cost Centre],MATCH(C58&amp;"",tbl_Finance[Job Number],0)),"not invoiced yet"))</f>
        <v/>
      </c>
      <c r="J58" s="14" t="n"/>
      <c r="K58" s="15">
        <f>IF(J58="","",HYPERLINK(IF(LEFT(J58,4)="http",J58,set_QwilrBase&amp;J58),"Open quote"))</f>
        <v/>
      </c>
      <c r="L58" s="16" t="n"/>
      <c r="M58" s="16" t="n"/>
      <c r="N58" s="16" t="n"/>
      <c r="O58" s="15">
        <f>IF(C58="","",IF(N(L58)+N(M58)+N(N58)=0,"Not split",IF(ROUND(N(L58)+N(M58)+N(N58),2)=ROUND(H58,2),"OK","MISMATCH")))</f>
        <v/>
      </c>
      <c r="P58" s="16" t="n"/>
      <c r="Q58" s="16" t="n"/>
      <c r="R58" s="16" t="n"/>
      <c r="S58" s="17">
        <f>IF(C58="","",N(P58)+N(Q58)+N(R58))</f>
        <v/>
      </c>
      <c r="T58" s="17">
        <f>IF(C58="","",H58-S58)</f>
        <v/>
      </c>
      <c r="U58" s="54">
        <f>IFERROR(T58/H58,"")</f>
        <v/>
      </c>
      <c r="V58" s="14" t="n"/>
    </row>
    <row r="59" ht="15" customHeight="1">
      <c r="A59" s="51">
        <f>IF(C59="","",IFERROR(IF(SUMPRODUCT(MAX((tbl_Finance[Job Number]=C59&amp;"")*tbl_Finance[Date]))=0,"",SUMPRODUCT(MAX((tbl_Finance[Job Number]=C59&amp;"")*tbl_Finance[Date]))),""))</f>
        <v/>
      </c>
      <c r="B59" s="15">
        <f>IF(A59="","",IFERROR(LOOKUP(2,1/((tbl_Finance[Job Number]=C59&amp;"")*(tbl_Finance[Date]=A59)),tbl_Finance[Xero Invoice No]),""))</f>
        <v/>
      </c>
      <c r="C59" s="14" t="n"/>
      <c r="D59" s="15">
        <f>IF(C59="","",IF(COUNTIF(lst_Jobs,C59&amp;"")&gt;0,"OK","CHECK"))</f>
        <v/>
      </c>
      <c r="E59" s="15">
        <f>IF(C59="","",IFERROR(INDEX(lst_JobName,MATCH(C59&amp;"",lst_Jobs,0)),""))</f>
        <v/>
      </c>
      <c r="F59" s="15">
        <f>IF(C59="","",IFERROR(INDEX(tbl_Finance[Client],MATCH(C59&amp;"",tbl_Finance[Job Number],0)),""))</f>
        <v/>
      </c>
      <c r="G59" s="52">
        <f>IF(C59="","",COUNTIFS(tbl_Finance[Job Number],C59&amp;"",tbl_Finance[Ex GST],"&lt;&gt;"))</f>
        <v/>
      </c>
      <c r="H59" s="17">
        <f>IF(C59="","",SUMIFS(tbl_Finance[Ex GST],tbl_Finance[Job Number],C59&amp;""))</f>
        <v/>
      </c>
      <c r="I59" s="15">
        <f>IF(C59="","",IFERROR(INDEX(tbl_Finance[Cost Centre],MATCH(C59&amp;"",tbl_Finance[Job Number],0)),"not invoiced yet"))</f>
        <v/>
      </c>
      <c r="J59" s="14" t="n"/>
      <c r="K59" s="15">
        <f>IF(J59="","",HYPERLINK(IF(LEFT(J59,4)="http",J59,set_QwilrBase&amp;J59),"Open quote"))</f>
        <v/>
      </c>
      <c r="L59" s="16" t="n"/>
      <c r="M59" s="16" t="n"/>
      <c r="N59" s="16" t="n"/>
      <c r="O59" s="15">
        <f>IF(C59="","",IF(N(L59)+N(M59)+N(N59)=0,"Not split",IF(ROUND(N(L59)+N(M59)+N(N59),2)=ROUND(H59,2),"OK","MISMATCH")))</f>
        <v/>
      </c>
      <c r="P59" s="16" t="n"/>
      <c r="Q59" s="16" t="n"/>
      <c r="R59" s="16" t="n"/>
      <c r="S59" s="17">
        <f>IF(C59="","",N(P59)+N(Q59)+N(R59))</f>
        <v/>
      </c>
      <c r="T59" s="17">
        <f>IF(C59="","",H59-S59)</f>
        <v/>
      </c>
      <c r="U59" s="54">
        <f>IFERROR(T59/H59,"")</f>
        <v/>
      </c>
      <c r="V59" s="14" t="n"/>
    </row>
    <row r="60" ht="15" customHeight="1">
      <c r="A60" s="51">
        <f>IF(C60="","",IFERROR(IF(SUMPRODUCT(MAX((tbl_Finance[Job Number]=C60&amp;"")*tbl_Finance[Date]))=0,"",SUMPRODUCT(MAX((tbl_Finance[Job Number]=C60&amp;"")*tbl_Finance[Date]))),""))</f>
        <v/>
      </c>
      <c r="B60" s="15">
        <f>IF(A60="","",IFERROR(LOOKUP(2,1/((tbl_Finance[Job Number]=C60&amp;"")*(tbl_Finance[Date]=A60)),tbl_Finance[Xero Invoice No]),""))</f>
        <v/>
      </c>
      <c r="C60" s="14" t="n"/>
      <c r="D60" s="15">
        <f>IF(C60="","",IF(COUNTIF(lst_Jobs,C60&amp;"")&gt;0,"OK","CHECK"))</f>
        <v/>
      </c>
      <c r="E60" s="15">
        <f>IF(C60="","",IFERROR(INDEX(lst_JobName,MATCH(C60&amp;"",lst_Jobs,0)),""))</f>
        <v/>
      </c>
      <c r="F60" s="15">
        <f>IF(C60="","",IFERROR(INDEX(tbl_Finance[Client],MATCH(C60&amp;"",tbl_Finance[Job Number],0)),""))</f>
        <v/>
      </c>
      <c r="G60" s="52">
        <f>IF(C60="","",COUNTIFS(tbl_Finance[Job Number],C60&amp;"",tbl_Finance[Ex GST],"&lt;&gt;"))</f>
        <v/>
      </c>
      <c r="H60" s="17">
        <f>IF(C60="","",SUMIFS(tbl_Finance[Ex GST],tbl_Finance[Job Number],C60&amp;""))</f>
        <v/>
      </c>
      <c r="I60" s="15">
        <f>IF(C60="","",IFERROR(INDEX(tbl_Finance[Cost Centre],MATCH(C60&amp;"",tbl_Finance[Job Number],0)),"not invoiced yet"))</f>
        <v/>
      </c>
      <c r="J60" s="14" t="n"/>
      <c r="K60" s="15">
        <f>IF(J60="","",HYPERLINK(IF(LEFT(J60,4)="http",J60,set_QwilrBase&amp;J60),"Open quote"))</f>
        <v/>
      </c>
      <c r="L60" s="16" t="n"/>
      <c r="M60" s="16" t="n"/>
      <c r="N60" s="16" t="n"/>
      <c r="O60" s="15">
        <f>IF(C60="","",IF(N(L60)+N(M60)+N(N60)=0,"Not split",IF(ROUND(N(L60)+N(M60)+N(N60),2)=ROUND(H60,2),"OK","MISMATCH")))</f>
        <v/>
      </c>
      <c r="P60" s="16" t="n"/>
      <c r="Q60" s="16" t="n"/>
      <c r="R60" s="16" t="n"/>
      <c r="S60" s="17">
        <f>IF(C60="","",N(P60)+N(Q60)+N(R60))</f>
        <v/>
      </c>
      <c r="T60" s="17">
        <f>IF(C60="","",H60-S60)</f>
        <v/>
      </c>
      <c r="U60" s="54">
        <f>IFERROR(T60/H60,"")</f>
        <v/>
      </c>
      <c r="V60" s="14" t="n"/>
    </row>
    <row r="61" ht="15" customHeight="1">
      <c r="A61" s="51">
        <f>IF(C61="","",IFERROR(IF(SUMPRODUCT(MAX((tbl_Finance[Job Number]=C61&amp;"")*tbl_Finance[Date]))=0,"",SUMPRODUCT(MAX((tbl_Finance[Job Number]=C61&amp;"")*tbl_Finance[Date]))),""))</f>
        <v/>
      </c>
      <c r="B61" s="15">
        <f>IF(A61="","",IFERROR(LOOKUP(2,1/((tbl_Finance[Job Number]=C61&amp;"")*(tbl_Finance[Date]=A61)),tbl_Finance[Xero Invoice No]),""))</f>
        <v/>
      </c>
      <c r="C61" s="14" t="n"/>
      <c r="D61" s="15">
        <f>IF(C61="","",IF(COUNTIF(lst_Jobs,C61&amp;"")&gt;0,"OK","CHECK"))</f>
        <v/>
      </c>
      <c r="E61" s="15">
        <f>IF(C61="","",IFERROR(INDEX(lst_JobName,MATCH(C61&amp;"",lst_Jobs,0)),""))</f>
        <v/>
      </c>
      <c r="F61" s="15">
        <f>IF(C61="","",IFERROR(INDEX(tbl_Finance[Client],MATCH(C61&amp;"",tbl_Finance[Job Number],0)),""))</f>
        <v/>
      </c>
      <c r="G61" s="52">
        <f>IF(C61="","",COUNTIFS(tbl_Finance[Job Number],C61&amp;"",tbl_Finance[Ex GST],"&lt;&gt;"))</f>
        <v/>
      </c>
      <c r="H61" s="17">
        <f>IF(C61="","",SUMIFS(tbl_Finance[Ex GST],tbl_Finance[Job Number],C61&amp;""))</f>
        <v/>
      </c>
      <c r="I61" s="15">
        <f>IF(C61="","",IFERROR(INDEX(tbl_Finance[Cost Centre],MATCH(C61&amp;"",tbl_Finance[Job Number],0)),"not invoiced yet"))</f>
        <v/>
      </c>
      <c r="J61" s="14" t="n"/>
      <c r="K61" s="15">
        <f>IF(J61="","",HYPERLINK(IF(LEFT(J61,4)="http",J61,set_QwilrBase&amp;J61),"Open quote"))</f>
        <v/>
      </c>
      <c r="L61" s="16" t="n"/>
      <c r="M61" s="16" t="n"/>
      <c r="N61" s="16" t="n"/>
      <c r="O61" s="15">
        <f>IF(C61="","",IF(N(L61)+N(M61)+N(N61)=0,"Not split",IF(ROUND(N(L61)+N(M61)+N(N61),2)=ROUND(H61,2),"OK","MISMATCH")))</f>
        <v/>
      </c>
      <c r="P61" s="16" t="n"/>
      <c r="Q61" s="16" t="n"/>
      <c r="R61" s="16" t="n"/>
      <c r="S61" s="17">
        <f>IF(C61="","",N(P61)+N(Q61)+N(R61))</f>
        <v/>
      </c>
      <c r="T61" s="17">
        <f>IF(C61="","",H61-S61)</f>
        <v/>
      </c>
      <c r="U61" s="54">
        <f>IFERROR(T61/H61,"")</f>
        <v/>
      </c>
      <c r="V61" s="14" t="n"/>
    </row>
    <row r="62" ht="15" customHeight="1">
      <c r="A62" s="51">
        <f>IF(C62="","",IFERROR(IF(SUMPRODUCT(MAX((tbl_Finance[Job Number]=C62&amp;"")*tbl_Finance[Date]))=0,"",SUMPRODUCT(MAX((tbl_Finance[Job Number]=C62&amp;"")*tbl_Finance[Date]))),""))</f>
        <v/>
      </c>
      <c r="B62" s="15">
        <f>IF(A62="","",IFERROR(LOOKUP(2,1/((tbl_Finance[Job Number]=C62&amp;"")*(tbl_Finance[Date]=A62)),tbl_Finance[Xero Invoice No]),""))</f>
        <v/>
      </c>
      <c r="C62" s="14" t="n"/>
      <c r="D62" s="15">
        <f>IF(C62="","",IF(COUNTIF(lst_Jobs,C62&amp;"")&gt;0,"OK","CHECK"))</f>
        <v/>
      </c>
      <c r="E62" s="15">
        <f>IF(C62="","",IFERROR(INDEX(lst_JobName,MATCH(C62&amp;"",lst_Jobs,0)),""))</f>
        <v/>
      </c>
      <c r="F62" s="15">
        <f>IF(C62="","",IFERROR(INDEX(tbl_Finance[Client],MATCH(C62&amp;"",tbl_Finance[Job Number],0)),""))</f>
        <v/>
      </c>
      <c r="G62" s="52">
        <f>IF(C62="","",COUNTIFS(tbl_Finance[Job Number],C62&amp;"",tbl_Finance[Ex GST],"&lt;&gt;"))</f>
        <v/>
      </c>
      <c r="H62" s="17">
        <f>IF(C62="","",SUMIFS(tbl_Finance[Ex GST],tbl_Finance[Job Number],C62&amp;""))</f>
        <v/>
      </c>
      <c r="I62" s="15">
        <f>IF(C62="","",IFERROR(INDEX(tbl_Finance[Cost Centre],MATCH(C62&amp;"",tbl_Finance[Job Number],0)),"not invoiced yet"))</f>
        <v/>
      </c>
      <c r="J62" s="14" t="n"/>
      <c r="K62" s="15">
        <f>IF(J62="","",HYPERLINK(IF(LEFT(J62,4)="http",J62,set_QwilrBase&amp;J62),"Open quote"))</f>
        <v/>
      </c>
      <c r="L62" s="16" t="n"/>
      <c r="M62" s="16" t="n"/>
      <c r="N62" s="16" t="n"/>
      <c r="O62" s="15">
        <f>IF(C62="","",IF(N(L62)+N(M62)+N(N62)=0,"Not split",IF(ROUND(N(L62)+N(M62)+N(N62),2)=ROUND(H62,2),"OK","MISMATCH")))</f>
        <v/>
      </c>
      <c r="P62" s="16" t="n"/>
      <c r="Q62" s="16" t="n"/>
      <c r="R62" s="16" t="n"/>
      <c r="S62" s="17">
        <f>IF(C62="","",N(P62)+N(Q62)+N(R62))</f>
        <v/>
      </c>
      <c r="T62" s="17">
        <f>IF(C62="","",H62-S62)</f>
        <v/>
      </c>
      <c r="U62" s="54">
        <f>IFERROR(T62/H62,"")</f>
        <v/>
      </c>
      <c r="V62" s="14" t="n"/>
    </row>
    <row r="63" ht="15" customHeight="1">
      <c r="A63" s="51">
        <f>IF(C63="","",IFERROR(IF(SUMPRODUCT(MAX((tbl_Finance[Job Number]=C63&amp;"")*tbl_Finance[Date]))=0,"",SUMPRODUCT(MAX((tbl_Finance[Job Number]=C63&amp;"")*tbl_Finance[Date]))),""))</f>
        <v/>
      </c>
      <c r="B63" s="15">
        <f>IF(A63="","",IFERROR(LOOKUP(2,1/((tbl_Finance[Job Number]=C63&amp;"")*(tbl_Finance[Date]=A63)),tbl_Finance[Xero Invoice No]),""))</f>
        <v/>
      </c>
      <c r="C63" s="14" t="n"/>
      <c r="D63" s="15">
        <f>IF(C63="","",IF(COUNTIF(lst_Jobs,C63&amp;"")&gt;0,"OK","CHECK"))</f>
        <v/>
      </c>
      <c r="E63" s="15">
        <f>IF(C63="","",IFERROR(INDEX(lst_JobName,MATCH(C63&amp;"",lst_Jobs,0)),""))</f>
        <v/>
      </c>
      <c r="F63" s="15">
        <f>IF(C63="","",IFERROR(INDEX(tbl_Finance[Client],MATCH(C63&amp;"",tbl_Finance[Job Number],0)),""))</f>
        <v/>
      </c>
      <c r="G63" s="52">
        <f>IF(C63="","",COUNTIFS(tbl_Finance[Job Number],C63&amp;"",tbl_Finance[Ex GST],"&lt;&gt;"))</f>
        <v/>
      </c>
      <c r="H63" s="17">
        <f>IF(C63="","",SUMIFS(tbl_Finance[Ex GST],tbl_Finance[Job Number],C63&amp;""))</f>
        <v/>
      </c>
      <c r="I63" s="15">
        <f>IF(C63="","",IFERROR(INDEX(tbl_Finance[Cost Centre],MATCH(C63&amp;"",tbl_Finance[Job Number],0)),"not invoiced yet"))</f>
        <v/>
      </c>
      <c r="J63" s="14" t="n"/>
      <c r="K63" s="15">
        <f>IF(J63="","",HYPERLINK(IF(LEFT(J63,4)="http",J63,set_QwilrBase&amp;J63),"Open quote"))</f>
        <v/>
      </c>
      <c r="L63" s="16" t="n"/>
      <c r="M63" s="16" t="n"/>
      <c r="N63" s="16" t="n"/>
      <c r="O63" s="15">
        <f>IF(C63="","",IF(N(L63)+N(M63)+N(N63)=0,"Not split",IF(ROUND(N(L63)+N(M63)+N(N63),2)=ROUND(H63,2),"OK","MISMATCH")))</f>
        <v/>
      </c>
      <c r="P63" s="16" t="n"/>
      <c r="Q63" s="16" t="n"/>
      <c r="R63" s="16" t="n"/>
      <c r="S63" s="17">
        <f>IF(C63="","",N(P63)+N(Q63)+N(R63))</f>
        <v/>
      </c>
      <c r="T63" s="17">
        <f>IF(C63="","",H63-S63)</f>
        <v/>
      </c>
      <c r="U63" s="54">
        <f>IFERROR(T63/H63,"")</f>
        <v/>
      </c>
      <c r="V63" s="14" t="n"/>
    </row>
    <row r="64" ht="15" customHeight="1">
      <c r="A64" s="51">
        <f>IF(C64="","",IFERROR(IF(SUMPRODUCT(MAX((tbl_Finance[Job Number]=C64&amp;"")*tbl_Finance[Date]))=0,"",SUMPRODUCT(MAX((tbl_Finance[Job Number]=C64&amp;"")*tbl_Finance[Date]))),""))</f>
        <v/>
      </c>
      <c r="B64" s="15">
        <f>IF(A64="","",IFERROR(LOOKUP(2,1/((tbl_Finance[Job Number]=C64&amp;"")*(tbl_Finance[Date]=A64)),tbl_Finance[Xero Invoice No]),""))</f>
        <v/>
      </c>
      <c r="C64" s="14" t="n"/>
      <c r="D64" s="15">
        <f>IF(C64="","",IF(COUNTIF(lst_Jobs,C64&amp;"")&gt;0,"OK","CHECK"))</f>
        <v/>
      </c>
      <c r="E64" s="15">
        <f>IF(C64="","",IFERROR(INDEX(lst_JobName,MATCH(C64&amp;"",lst_Jobs,0)),""))</f>
        <v/>
      </c>
      <c r="F64" s="15">
        <f>IF(C64="","",IFERROR(INDEX(tbl_Finance[Client],MATCH(C64&amp;"",tbl_Finance[Job Number],0)),""))</f>
        <v/>
      </c>
      <c r="G64" s="52">
        <f>IF(C64="","",COUNTIFS(tbl_Finance[Job Number],C64&amp;"",tbl_Finance[Ex GST],"&lt;&gt;"))</f>
        <v/>
      </c>
      <c r="H64" s="17">
        <f>IF(C64="","",SUMIFS(tbl_Finance[Ex GST],tbl_Finance[Job Number],C64&amp;""))</f>
        <v/>
      </c>
      <c r="I64" s="15">
        <f>IF(C64="","",IFERROR(INDEX(tbl_Finance[Cost Centre],MATCH(C64&amp;"",tbl_Finance[Job Number],0)),"not invoiced yet"))</f>
        <v/>
      </c>
      <c r="J64" s="14" t="n"/>
      <c r="K64" s="15">
        <f>IF(J64="","",HYPERLINK(IF(LEFT(J64,4)="http",J64,set_QwilrBase&amp;J64),"Open quote"))</f>
        <v/>
      </c>
      <c r="L64" s="16" t="n"/>
      <c r="M64" s="16" t="n"/>
      <c r="N64" s="16" t="n"/>
      <c r="O64" s="15">
        <f>IF(C64="","",IF(N(L64)+N(M64)+N(N64)=0,"Not split",IF(ROUND(N(L64)+N(M64)+N(N64),2)=ROUND(H64,2),"OK","MISMATCH")))</f>
        <v/>
      </c>
      <c r="P64" s="16" t="n"/>
      <c r="Q64" s="16" t="n"/>
      <c r="R64" s="16" t="n"/>
      <c r="S64" s="17">
        <f>IF(C64="","",N(P64)+N(Q64)+N(R64))</f>
        <v/>
      </c>
      <c r="T64" s="17">
        <f>IF(C64="","",H64-S64)</f>
        <v/>
      </c>
      <c r="U64" s="54">
        <f>IFERROR(T64/H64,"")</f>
        <v/>
      </c>
      <c r="V64" s="14" t="n"/>
    </row>
    <row r="65" ht="15" customHeight="1">
      <c r="A65" s="51">
        <f>IF(C65="","",IFERROR(IF(SUMPRODUCT(MAX((tbl_Finance[Job Number]=C65&amp;"")*tbl_Finance[Date]))=0,"",SUMPRODUCT(MAX((tbl_Finance[Job Number]=C65&amp;"")*tbl_Finance[Date]))),""))</f>
        <v/>
      </c>
      <c r="B65" s="15">
        <f>IF(A65="","",IFERROR(LOOKUP(2,1/((tbl_Finance[Job Number]=C65&amp;"")*(tbl_Finance[Date]=A65)),tbl_Finance[Xero Invoice No]),""))</f>
        <v/>
      </c>
      <c r="C65" s="14" t="n"/>
      <c r="D65" s="15">
        <f>IF(C65="","",IF(COUNTIF(lst_Jobs,C65&amp;"")&gt;0,"OK","CHECK"))</f>
        <v/>
      </c>
      <c r="E65" s="15">
        <f>IF(C65="","",IFERROR(INDEX(lst_JobName,MATCH(C65&amp;"",lst_Jobs,0)),""))</f>
        <v/>
      </c>
      <c r="F65" s="15">
        <f>IF(C65="","",IFERROR(INDEX(tbl_Finance[Client],MATCH(C65&amp;"",tbl_Finance[Job Number],0)),""))</f>
        <v/>
      </c>
      <c r="G65" s="52">
        <f>IF(C65="","",COUNTIFS(tbl_Finance[Job Number],C65&amp;"",tbl_Finance[Ex GST],"&lt;&gt;"))</f>
        <v/>
      </c>
      <c r="H65" s="17">
        <f>IF(C65="","",SUMIFS(tbl_Finance[Ex GST],tbl_Finance[Job Number],C65&amp;""))</f>
        <v/>
      </c>
      <c r="I65" s="15">
        <f>IF(C65="","",IFERROR(INDEX(tbl_Finance[Cost Centre],MATCH(C65&amp;"",tbl_Finance[Job Number],0)),"not invoiced yet"))</f>
        <v/>
      </c>
      <c r="J65" s="14" t="n"/>
      <c r="K65" s="15">
        <f>IF(J65="","",HYPERLINK(IF(LEFT(J65,4)="http",J65,set_QwilrBase&amp;J65),"Open quote"))</f>
        <v/>
      </c>
      <c r="L65" s="16" t="n"/>
      <c r="M65" s="16" t="n"/>
      <c r="N65" s="16" t="n"/>
      <c r="O65" s="15">
        <f>IF(C65="","",IF(N(L65)+N(M65)+N(N65)=0,"Not split",IF(ROUND(N(L65)+N(M65)+N(N65),2)=ROUND(H65,2),"OK","MISMATCH")))</f>
        <v/>
      </c>
      <c r="P65" s="16" t="n"/>
      <c r="Q65" s="16" t="n"/>
      <c r="R65" s="16" t="n"/>
      <c r="S65" s="17">
        <f>IF(C65="","",N(P65)+N(Q65)+N(R65))</f>
        <v/>
      </c>
      <c r="T65" s="17">
        <f>IF(C65="","",H65-S65)</f>
        <v/>
      </c>
      <c r="U65" s="54">
        <f>IFERROR(T65/H65,"")</f>
        <v/>
      </c>
      <c r="V65" s="14" t="n"/>
    </row>
    <row r="66" ht="15" customHeight="1">
      <c r="A66" s="51">
        <f>IF(C66="","",IFERROR(IF(SUMPRODUCT(MAX((tbl_Finance[Job Number]=C66&amp;"")*tbl_Finance[Date]))=0,"",SUMPRODUCT(MAX((tbl_Finance[Job Number]=C66&amp;"")*tbl_Finance[Date]))),""))</f>
        <v/>
      </c>
      <c r="B66" s="15">
        <f>IF(A66="","",IFERROR(LOOKUP(2,1/((tbl_Finance[Job Number]=C66&amp;"")*(tbl_Finance[Date]=A66)),tbl_Finance[Xero Invoice No]),""))</f>
        <v/>
      </c>
      <c r="C66" s="14" t="n"/>
      <c r="D66" s="15">
        <f>IF(C66="","",IF(COUNTIF(lst_Jobs,C66&amp;"")&gt;0,"OK","CHECK"))</f>
        <v/>
      </c>
      <c r="E66" s="15">
        <f>IF(C66="","",IFERROR(INDEX(lst_JobName,MATCH(C66&amp;"",lst_Jobs,0)),""))</f>
        <v/>
      </c>
      <c r="F66" s="15">
        <f>IF(C66="","",IFERROR(INDEX(tbl_Finance[Client],MATCH(C66&amp;"",tbl_Finance[Job Number],0)),""))</f>
        <v/>
      </c>
      <c r="G66" s="52">
        <f>IF(C66="","",COUNTIFS(tbl_Finance[Job Number],C66&amp;"",tbl_Finance[Ex GST],"&lt;&gt;"))</f>
        <v/>
      </c>
      <c r="H66" s="17">
        <f>IF(C66="","",SUMIFS(tbl_Finance[Ex GST],tbl_Finance[Job Number],C66&amp;""))</f>
        <v/>
      </c>
      <c r="I66" s="15">
        <f>IF(C66="","",IFERROR(INDEX(tbl_Finance[Cost Centre],MATCH(C66&amp;"",tbl_Finance[Job Number],0)),"not invoiced yet"))</f>
        <v/>
      </c>
      <c r="J66" s="14" t="n"/>
      <c r="K66" s="15">
        <f>IF(J66="","",HYPERLINK(IF(LEFT(J66,4)="http",J66,set_QwilrBase&amp;J66),"Open quote"))</f>
        <v/>
      </c>
      <c r="L66" s="16" t="n"/>
      <c r="M66" s="16" t="n"/>
      <c r="N66" s="16" t="n"/>
      <c r="O66" s="15">
        <f>IF(C66="","",IF(N(L66)+N(M66)+N(N66)=0,"Not split",IF(ROUND(N(L66)+N(M66)+N(N66),2)=ROUND(H66,2),"OK","MISMATCH")))</f>
        <v/>
      </c>
      <c r="P66" s="16" t="n"/>
      <c r="Q66" s="16" t="n"/>
      <c r="R66" s="16" t="n"/>
      <c r="S66" s="17">
        <f>IF(C66="","",N(P66)+N(Q66)+N(R66))</f>
        <v/>
      </c>
      <c r="T66" s="17">
        <f>IF(C66="","",H66-S66)</f>
        <v/>
      </c>
      <c r="U66" s="54">
        <f>IFERROR(T66/H66,"")</f>
        <v/>
      </c>
      <c r="V66" s="14" t="n"/>
    </row>
    <row r="67" ht="15" customHeight="1">
      <c r="A67" s="51">
        <f>IF(C67="","",IFERROR(IF(SUMPRODUCT(MAX((tbl_Finance[Job Number]=C67&amp;"")*tbl_Finance[Date]))=0,"",SUMPRODUCT(MAX((tbl_Finance[Job Number]=C67&amp;"")*tbl_Finance[Date]))),""))</f>
        <v/>
      </c>
      <c r="B67" s="15">
        <f>IF(A67="","",IFERROR(LOOKUP(2,1/((tbl_Finance[Job Number]=C67&amp;"")*(tbl_Finance[Date]=A67)),tbl_Finance[Xero Invoice No]),""))</f>
        <v/>
      </c>
      <c r="C67" s="14" t="n"/>
      <c r="D67" s="15">
        <f>IF(C67="","",IF(COUNTIF(lst_Jobs,C67&amp;"")&gt;0,"OK","CHECK"))</f>
        <v/>
      </c>
      <c r="E67" s="15">
        <f>IF(C67="","",IFERROR(INDEX(lst_JobName,MATCH(C67&amp;"",lst_Jobs,0)),""))</f>
        <v/>
      </c>
      <c r="F67" s="15">
        <f>IF(C67="","",IFERROR(INDEX(tbl_Finance[Client],MATCH(C67&amp;"",tbl_Finance[Job Number],0)),""))</f>
        <v/>
      </c>
      <c r="G67" s="52">
        <f>IF(C67="","",COUNTIFS(tbl_Finance[Job Number],C67&amp;"",tbl_Finance[Ex GST],"&lt;&gt;"))</f>
        <v/>
      </c>
      <c r="H67" s="17">
        <f>IF(C67="","",SUMIFS(tbl_Finance[Ex GST],tbl_Finance[Job Number],C67&amp;""))</f>
        <v/>
      </c>
      <c r="I67" s="15">
        <f>IF(C67="","",IFERROR(INDEX(tbl_Finance[Cost Centre],MATCH(C67&amp;"",tbl_Finance[Job Number],0)),"not invoiced yet"))</f>
        <v/>
      </c>
      <c r="J67" s="14" t="n"/>
      <c r="K67" s="15">
        <f>IF(J67="","",HYPERLINK(IF(LEFT(J67,4)="http",J67,set_QwilrBase&amp;J67),"Open quote"))</f>
        <v/>
      </c>
      <c r="L67" s="16" t="n"/>
      <c r="M67" s="16" t="n"/>
      <c r="N67" s="16" t="n"/>
      <c r="O67" s="15">
        <f>IF(C67="","",IF(N(L67)+N(M67)+N(N67)=0,"Not split",IF(ROUND(N(L67)+N(M67)+N(N67),2)=ROUND(H67,2),"OK","MISMATCH")))</f>
        <v/>
      </c>
      <c r="P67" s="16" t="n"/>
      <c r="Q67" s="16" t="n"/>
      <c r="R67" s="16" t="n"/>
      <c r="S67" s="17">
        <f>IF(C67="","",N(P67)+N(Q67)+N(R67))</f>
        <v/>
      </c>
      <c r="T67" s="17">
        <f>IF(C67="","",H67-S67)</f>
        <v/>
      </c>
      <c r="U67" s="54">
        <f>IFERROR(T67/H67,"")</f>
        <v/>
      </c>
      <c r="V67" s="14" t="n"/>
    </row>
    <row r="68" ht="15" customHeight="1">
      <c r="A68" s="51">
        <f>IF(C68="","",IFERROR(IF(SUMPRODUCT(MAX((tbl_Finance[Job Number]=C68&amp;"")*tbl_Finance[Date]))=0,"",SUMPRODUCT(MAX((tbl_Finance[Job Number]=C68&amp;"")*tbl_Finance[Date]))),""))</f>
        <v/>
      </c>
      <c r="B68" s="15">
        <f>IF(A68="","",IFERROR(LOOKUP(2,1/((tbl_Finance[Job Number]=C68&amp;"")*(tbl_Finance[Date]=A68)),tbl_Finance[Xero Invoice No]),""))</f>
        <v/>
      </c>
      <c r="C68" s="14" t="n"/>
      <c r="D68" s="15">
        <f>IF(C68="","",IF(COUNTIF(lst_Jobs,C68&amp;"")&gt;0,"OK","CHECK"))</f>
        <v/>
      </c>
      <c r="E68" s="15">
        <f>IF(C68="","",IFERROR(INDEX(lst_JobName,MATCH(C68&amp;"",lst_Jobs,0)),""))</f>
        <v/>
      </c>
      <c r="F68" s="15">
        <f>IF(C68="","",IFERROR(INDEX(tbl_Finance[Client],MATCH(C68&amp;"",tbl_Finance[Job Number],0)),""))</f>
        <v/>
      </c>
      <c r="G68" s="52">
        <f>IF(C68="","",COUNTIFS(tbl_Finance[Job Number],C68&amp;"",tbl_Finance[Ex GST],"&lt;&gt;"))</f>
        <v/>
      </c>
      <c r="H68" s="17">
        <f>IF(C68="","",SUMIFS(tbl_Finance[Ex GST],tbl_Finance[Job Number],C68&amp;""))</f>
        <v/>
      </c>
      <c r="I68" s="15">
        <f>IF(C68="","",IFERROR(INDEX(tbl_Finance[Cost Centre],MATCH(C68&amp;"",tbl_Finance[Job Number],0)),"not invoiced yet"))</f>
        <v/>
      </c>
      <c r="J68" s="14" t="n"/>
      <c r="K68" s="15">
        <f>IF(J68="","",HYPERLINK(IF(LEFT(J68,4)="http",J68,set_QwilrBase&amp;J68),"Open quote"))</f>
        <v/>
      </c>
      <c r="L68" s="16" t="n"/>
      <c r="M68" s="16" t="n"/>
      <c r="N68" s="16" t="n"/>
      <c r="O68" s="15">
        <f>IF(C68="","",IF(N(L68)+N(M68)+N(N68)=0,"Not split",IF(ROUND(N(L68)+N(M68)+N(N68),2)=ROUND(H68,2),"OK","MISMATCH")))</f>
        <v/>
      </c>
      <c r="P68" s="16" t="n"/>
      <c r="Q68" s="16" t="n"/>
      <c r="R68" s="16" t="n"/>
      <c r="S68" s="17">
        <f>IF(C68="","",N(P68)+N(Q68)+N(R68))</f>
        <v/>
      </c>
      <c r="T68" s="17">
        <f>IF(C68="","",H68-S68)</f>
        <v/>
      </c>
      <c r="U68" s="54">
        <f>IFERROR(T68/H68,"")</f>
        <v/>
      </c>
      <c r="V68" s="14" t="n"/>
    </row>
    <row r="69" ht="15" customHeight="1">
      <c r="A69" s="51">
        <f>IF(C69="","",IFERROR(IF(SUMPRODUCT(MAX((tbl_Finance[Job Number]=C69&amp;"")*tbl_Finance[Date]))=0,"",SUMPRODUCT(MAX((tbl_Finance[Job Number]=C69&amp;"")*tbl_Finance[Date]))),""))</f>
        <v/>
      </c>
      <c r="B69" s="15">
        <f>IF(A69="","",IFERROR(LOOKUP(2,1/((tbl_Finance[Job Number]=C69&amp;"")*(tbl_Finance[Date]=A69)),tbl_Finance[Xero Invoice No]),""))</f>
        <v/>
      </c>
      <c r="C69" s="14" t="n"/>
      <c r="D69" s="15">
        <f>IF(C69="","",IF(COUNTIF(lst_Jobs,C69&amp;"")&gt;0,"OK","CHECK"))</f>
        <v/>
      </c>
      <c r="E69" s="15">
        <f>IF(C69="","",IFERROR(INDEX(lst_JobName,MATCH(C69&amp;"",lst_Jobs,0)),""))</f>
        <v/>
      </c>
      <c r="F69" s="15">
        <f>IF(C69="","",IFERROR(INDEX(tbl_Finance[Client],MATCH(C69&amp;"",tbl_Finance[Job Number],0)),""))</f>
        <v/>
      </c>
      <c r="G69" s="52">
        <f>IF(C69="","",COUNTIFS(tbl_Finance[Job Number],C69&amp;"",tbl_Finance[Ex GST],"&lt;&gt;"))</f>
        <v/>
      </c>
      <c r="H69" s="17">
        <f>IF(C69="","",SUMIFS(tbl_Finance[Ex GST],tbl_Finance[Job Number],C69&amp;""))</f>
        <v/>
      </c>
      <c r="I69" s="15">
        <f>IF(C69="","",IFERROR(INDEX(tbl_Finance[Cost Centre],MATCH(C69&amp;"",tbl_Finance[Job Number],0)),"not invoiced yet"))</f>
        <v/>
      </c>
      <c r="J69" s="14" t="n"/>
      <c r="K69" s="15">
        <f>IF(J69="","",HYPERLINK(IF(LEFT(J69,4)="http",J69,set_QwilrBase&amp;J69),"Open quote"))</f>
        <v/>
      </c>
      <c r="L69" s="16" t="n"/>
      <c r="M69" s="16" t="n"/>
      <c r="N69" s="16" t="n"/>
      <c r="O69" s="15">
        <f>IF(C69="","",IF(N(L69)+N(M69)+N(N69)=0,"Not split",IF(ROUND(N(L69)+N(M69)+N(N69),2)=ROUND(H69,2),"OK","MISMATCH")))</f>
        <v/>
      </c>
      <c r="P69" s="16" t="n"/>
      <c r="Q69" s="16" t="n"/>
      <c r="R69" s="16" t="n"/>
      <c r="S69" s="17">
        <f>IF(C69="","",N(P69)+N(Q69)+N(R69))</f>
        <v/>
      </c>
      <c r="T69" s="17">
        <f>IF(C69="","",H69-S69)</f>
        <v/>
      </c>
      <c r="U69" s="54">
        <f>IFERROR(T69/H69,"")</f>
        <v/>
      </c>
      <c r="V69" s="14" t="n"/>
    </row>
    <row r="70" ht="15" customHeight="1">
      <c r="A70" s="51">
        <f>IF(C70="","",IFERROR(IF(SUMPRODUCT(MAX((tbl_Finance[Job Number]=C70&amp;"")*tbl_Finance[Date]))=0,"",SUMPRODUCT(MAX((tbl_Finance[Job Number]=C70&amp;"")*tbl_Finance[Date]))),""))</f>
        <v/>
      </c>
      <c r="B70" s="15">
        <f>IF(A70="","",IFERROR(LOOKUP(2,1/((tbl_Finance[Job Number]=C70&amp;"")*(tbl_Finance[Date]=A70)),tbl_Finance[Xero Invoice No]),""))</f>
        <v/>
      </c>
      <c r="C70" s="14" t="n"/>
      <c r="D70" s="15">
        <f>IF(C70="","",IF(COUNTIF(lst_Jobs,C70&amp;"")&gt;0,"OK","CHECK"))</f>
        <v/>
      </c>
      <c r="E70" s="15">
        <f>IF(C70="","",IFERROR(INDEX(lst_JobName,MATCH(C70&amp;"",lst_Jobs,0)),""))</f>
        <v/>
      </c>
      <c r="F70" s="15">
        <f>IF(C70="","",IFERROR(INDEX(tbl_Finance[Client],MATCH(C70&amp;"",tbl_Finance[Job Number],0)),""))</f>
        <v/>
      </c>
      <c r="G70" s="52">
        <f>IF(C70="","",COUNTIFS(tbl_Finance[Job Number],C70&amp;"",tbl_Finance[Ex GST],"&lt;&gt;"))</f>
        <v/>
      </c>
      <c r="H70" s="17">
        <f>IF(C70="","",SUMIFS(tbl_Finance[Ex GST],tbl_Finance[Job Number],C70&amp;""))</f>
        <v/>
      </c>
      <c r="I70" s="15">
        <f>IF(C70="","",IFERROR(INDEX(tbl_Finance[Cost Centre],MATCH(C70&amp;"",tbl_Finance[Job Number],0)),"not invoiced yet"))</f>
        <v/>
      </c>
      <c r="J70" s="14" t="n"/>
      <c r="K70" s="15">
        <f>IF(J70="","",HYPERLINK(IF(LEFT(J70,4)="http",J70,set_QwilrBase&amp;J70),"Open quote"))</f>
        <v/>
      </c>
      <c r="L70" s="16" t="n"/>
      <c r="M70" s="16" t="n"/>
      <c r="N70" s="16" t="n"/>
      <c r="O70" s="15">
        <f>IF(C70="","",IF(N(L70)+N(M70)+N(N70)=0,"Not split",IF(ROUND(N(L70)+N(M70)+N(N70),2)=ROUND(H70,2),"OK","MISMATCH")))</f>
        <v/>
      </c>
      <c r="P70" s="16" t="n"/>
      <c r="Q70" s="16" t="n"/>
      <c r="R70" s="16" t="n"/>
      <c r="S70" s="17">
        <f>IF(C70="","",N(P70)+N(Q70)+N(R70))</f>
        <v/>
      </c>
      <c r="T70" s="17">
        <f>IF(C70="","",H70-S70)</f>
        <v/>
      </c>
      <c r="U70" s="54">
        <f>IFERROR(T70/H70,"")</f>
        <v/>
      </c>
      <c r="V70" s="14" t="n"/>
    </row>
    <row r="71" ht="15" customHeight="1">
      <c r="A71" s="51">
        <f>IF(C71="","",IFERROR(IF(SUMPRODUCT(MAX((tbl_Finance[Job Number]=C71&amp;"")*tbl_Finance[Date]))=0,"",SUMPRODUCT(MAX((tbl_Finance[Job Number]=C71&amp;"")*tbl_Finance[Date]))),""))</f>
        <v/>
      </c>
      <c r="B71" s="15">
        <f>IF(A71="","",IFERROR(LOOKUP(2,1/((tbl_Finance[Job Number]=C71&amp;"")*(tbl_Finance[Date]=A71)),tbl_Finance[Xero Invoice No]),""))</f>
        <v/>
      </c>
      <c r="C71" s="14" t="n"/>
      <c r="D71" s="15">
        <f>IF(C71="","",IF(COUNTIF(lst_Jobs,C71&amp;"")&gt;0,"OK","CHECK"))</f>
        <v/>
      </c>
      <c r="E71" s="15">
        <f>IF(C71="","",IFERROR(INDEX(lst_JobName,MATCH(C71&amp;"",lst_Jobs,0)),""))</f>
        <v/>
      </c>
      <c r="F71" s="15">
        <f>IF(C71="","",IFERROR(INDEX(tbl_Finance[Client],MATCH(C71&amp;"",tbl_Finance[Job Number],0)),""))</f>
        <v/>
      </c>
      <c r="G71" s="52">
        <f>IF(C71="","",COUNTIFS(tbl_Finance[Job Number],C71&amp;"",tbl_Finance[Ex GST],"&lt;&gt;"))</f>
        <v/>
      </c>
      <c r="H71" s="17">
        <f>IF(C71="","",SUMIFS(tbl_Finance[Ex GST],tbl_Finance[Job Number],C71&amp;""))</f>
        <v/>
      </c>
      <c r="I71" s="15">
        <f>IF(C71="","",IFERROR(INDEX(tbl_Finance[Cost Centre],MATCH(C71&amp;"",tbl_Finance[Job Number],0)),"not invoiced yet"))</f>
        <v/>
      </c>
      <c r="J71" s="14" t="n"/>
      <c r="K71" s="15">
        <f>IF(J71="","",HYPERLINK(IF(LEFT(J71,4)="http",J71,set_QwilrBase&amp;J71),"Open quote"))</f>
        <v/>
      </c>
      <c r="L71" s="16" t="n"/>
      <c r="M71" s="16" t="n"/>
      <c r="N71" s="16" t="n"/>
      <c r="O71" s="15">
        <f>IF(C71="","",IF(N(L71)+N(M71)+N(N71)=0,"Not split",IF(ROUND(N(L71)+N(M71)+N(N71),2)=ROUND(H71,2),"OK","MISMATCH")))</f>
        <v/>
      </c>
      <c r="P71" s="16" t="n"/>
      <c r="Q71" s="16" t="n"/>
      <c r="R71" s="16" t="n"/>
      <c r="S71" s="17">
        <f>IF(C71="","",N(P71)+N(Q71)+N(R71))</f>
        <v/>
      </c>
      <c r="T71" s="17">
        <f>IF(C71="","",H71-S71)</f>
        <v/>
      </c>
      <c r="U71" s="54">
        <f>IFERROR(T71/H71,"")</f>
        <v/>
      </c>
      <c r="V71" s="14" t="n"/>
    </row>
    <row r="72" ht="15" customHeight="1">
      <c r="A72" s="51">
        <f>IF(C72="","",IFERROR(IF(SUMPRODUCT(MAX((tbl_Finance[Job Number]=C72&amp;"")*tbl_Finance[Date]))=0,"",SUMPRODUCT(MAX((tbl_Finance[Job Number]=C72&amp;"")*tbl_Finance[Date]))),""))</f>
        <v/>
      </c>
      <c r="B72" s="15">
        <f>IF(A72="","",IFERROR(LOOKUP(2,1/((tbl_Finance[Job Number]=C72&amp;"")*(tbl_Finance[Date]=A72)),tbl_Finance[Xero Invoice No]),""))</f>
        <v/>
      </c>
      <c r="C72" s="14" t="n"/>
      <c r="D72" s="15">
        <f>IF(C72="","",IF(COUNTIF(lst_Jobs,C72&amp;"")&gt;0,"OK","CHECK"))</f>
        <v/>
      </c>
      <c r="E72" s="15">
        <f>IF(C72="","",IFERROR(INDEX(lst_JobName,MATCH(C72&amp;"",lst_Jobs,0)),""))</f>
        <v/>
      </c>
      <c r="F72" s="15">
        <f>IF(C72="","",IFERROR(INDEX(tbl_Finance[Client],MATCH(C72&amp;"",tbl_Finance[Job Number],0)),""))</f>
        <v/>
      </c>
      <c r="G72" s="52">
        <f>IF(C72="","",COUNTIFS(tbl_Finance[Job Number],C72&amp;"",tbl_Finance[Ex GST],"&lt;&gt;"))</f>
        <v/>
      </c>
      <c r="H72" s="17">
        <f>IF(C72="","",SUMIFS(tbl_Finance[Ex GST],tbl_Finance[Job Number],C72&amp;""))</f>
        <v/>
      </c>
      <c r="I72" s="15">
        <f>IF(C72="","",IFERROR(INDEX(tbl_Finance[Cost Centre],MATCH(C72&amp;"",tbl_Finance[Job Number],0)),"not invoiced yet"))</f>
        <v/>
      </c>
      <c r="J72" s="14" t="n"/>
      <c r="K72" s="15">
        <f>IF(J72="","",HYPERLINK(IF(LEFT(J72,4)="http",J72,set_QwilrBase&amp;J72),"Open quote"))</f>
        <v/>
      </c>
      <c r="L72" s="16" t="n"/>
      <c r="M72" s="16" t="n"/>
      <c r="N72" s="16" t="n"/>
      <c r="O72" s="15">
        <f>IF(C72="","",IF(N(L72)+N(M72)+N(N72)=0,"Not split",IF(ROUND(N(L72)+N(M72)+N(N72),2)=ROUND(H72,2),"OK","MISMATCH")))</f>
        <v/>
      </c>
      <c r="P72" s="16" t="n"/>
      <c r="Q72" s="16" t="n"/>
      <c r="R72" s="16" t="n"/>
      <c r="S72" s="17">
        <f>IF(C72="","",N(P72)+N(Q72)+N(R72))</f>
        <v/>
      </c>
      <c r="T72" s="17">
        <f>IF(C72="","",H72-S72)</f>
        <v/>
      </c>
      <c r="U72" s="54">
        <f>IFERROR(T72/H72,"")</f>
        <v/>
      </c>
      <c r="V72" s="14" t="n"/>
    </row>
    <row r="73" ht="15" customHeight="1">
      <c r="A73" s="51">
        <f>IF(C73="","",IFERROR(IF(SUMPRODUCT(MAX((tbl_Finance[Job Number]=C73&amp;"")*tbl_Finance[Date]))=0,"",SUMPRODUCT(MAX((tbl_Finance[Job Number]=C73&amp;"")*tbl_Finance[Date]))),""))</f>
        <v/>
      </c>
      <c r="B73" s="15">
        <f>IF(A73="","",IFERROR(LOOKUP(2,1/((tbl_Finance[Job Number]=C73&amp;"")*(tbl_Finance[Date]=A73)),tbl_Finance[Xero Invoice No]),""))</f>
        <v/>
      </c>
      <c r="C73" s="14" t="n"/>
      <c r="D73" s="15">
        <f>IF(C73="","",IF(COUNTIF(lst_Jobs,C73&amp;"")&gt;0,"OK","CHECK"))</f>
        <v/>
      </c>
      <c r="E73" s="15">
        <f>IF(C73="","",IFERROR(INDEX(lst_JobName,MATCH(C73&amp;"",lst_Jobs,0)),""))</f>
        <v/>
      </c>
      <c r="F73" s="15">
        <f>IF(C73="","",IFERROR(INDEX(tbl_Finance[Client],MATCH(C73&amp;"",tbl_Finance[Job Number],0)),""))</f>
        <v/>
      </c>
      <c r="G73" s="52">
        <f>IF(C73="","",COUNTIFS(tbl_Finance[Job Number],C73&amp;"",tbl_Finance[Ex GST],"&lt;&gt;"))</f>
        <v/>
      </c>
      <c r="H73" s="17">
        <f>IF(C73="","",SUMIFS(tbl_Finance[Ex GST],tbl_Finance[Job Number],C73&amp;""))</f>
        <v/>
      </c>
      <c r="I73" s="15">
        <f>IF(C73="","",IFERROR(INDEX(tbl_Finance[Cost Centre],MATCH(C73&amp;"",tbl_Finance[Job Number],0)),"not invoiced yet"))</f>
        <v/>
      </c>
      <c r="J73" s="14" t="n"/>
      <c r="K73" s="15">
        <f>IF(J73="","",HYPERLINK(IF(LEFT(J73,4)="http",J73,set_QwilrBase&amp;J73),"Open quote"))</f>
        <v/>
      </c>
      <c r="L73" s="16" t="n"/>
      <c r="M73" s="16" t="n"/>
      <c r="N73" s="16" t="n"/>
      <c r="O73" s="15">
        <f>IF(C73="","",IF(N(L73)+N(M73)+N(N73)=0,"Not split",IF(ROUND(N(L73)+N(M73)+N(N73),2)=ROUND(H73,2),"OK","MISMATCH")))</f>
        <v/>
      </c>
      <c r="P73" s="16" t="n"/>
      <c r="Q73" s="16" t="n"/>
      <c r="R73" s="16" t="n"/>
      <c r="S73" s="17">
        <f>IF(C73="","",N(P73)+N(Q73)+N(R73))</f>
        <v/>
      </c>
      <c r="T73" s="17">
        <f>IF(C73="","",H73-S73)</f>
        <v/>
      </c>
      <c r="U73" s="54">
        <f>IFERROR(T73/H73,"")</f>
        <v/>
      </c>
      <c r="V73" s="14" t="n"/>
    </row>
    <row r="74" ht="15" customHeight="1">
      <c r="A74" s="51">
        <f>IF(C74="","",IFERROR(IF(SUMPRODUCT(MAX((tbl_Finance[Job Number]=C74&amp;"")*tbl_Finance[Date]))=0,"",SUMPRODUCT(MAX((tbl_Finance[Job Number]=C74&amp;"")*tbl_Finance[Date]))),""))</f>
        <v/>
      </c>
      <c r="B74" s="15">
        <f>IF(A74="","",IFERROR(LOOKUP(2,1/((tbl_Finance[Job Number]=C74&amp;"")*(tbl_Finance[Date]=A74)),tbl_Finance[Xero Invoice No]),""))</f>
        <v/>
      </c>
      <c r="C74" s="14" t="n"/>
      <c r="D74" s="15">
        <f>IF(C74="","",IF(COUNTIF(lst_Jobs,C74&amp;"")&gt;0,"OK","CHECK"))</f>
        <v/>
      </c>
      <c r="E74" s="15">
        <f>IF(C74="","",IFERROR(INDEX(lst_JobName,MATCH(C74&amp;"",lst_Jobs,0)),""))</f>
        <v/>
      </c>
      <c r="F74" s="15">
        <f>IF(C74="","",IFERROR(INDEX(tbl_Finance[Client],MATCH(C74&amp;"",tbl_Finance[Job Number],0)),""))</f>
        <v/>
      </c>
      <c r="G74" s="52">
        <f>IF(C74="","",COUNTIFS(tbl_Finance[Job Number],C74&amp;"",tbl_Finance[Ex GST],"&lt;&gt;"))</f>
        <v/>
      </c>
      <c r="H74" s="17">
        <f>IF(C74="","",SUMIFS(tbl_Finance[Ex GST],tbl_Finance[Job Number],C74&amp;""))</f>
        <v/>
      </c>
      <c r="I74" s="15">
        <f>IF(C74="","",IFERROR(INDEX(tbl_Finance[Cost Centre],MATCH(C74&amp;"",tbl_Finance[Job Number],0)),"not invoiced yet"))</f>
        <v/>
      </c>
      <c r="J74" s="14" t="n"/>
      <c r="K74" s="15">
        <f>IF(J74="","",HYPERLINK(IF(LEFT(J74,4)="http",J74,set_QwilrBase&amp;J74),"Open quote"))</f>
        <v/>
      </c>
      <c r="L74" s="16" t="n"/>
      <c r="M74" s="16" t="n"/>
      <c r="N74" s="16" t="n"/>
      <c r="O74" s="15">
        <f>IF(C74="","",IF(N(L74)+N(M74)+N(N74)=0,"Not split",IF(ROUND(N(L74)+N(M74)+N(N74),2)=ROUND(H74,2),"OK","MISMATCH")))</f>
        <v/>
      </c>
      <c r="P74" s="16" t="n"/>
      <c r="Q74" s="16" t="n"/>
      <c r="R74" s="16" t="n"/>
      <c r="S74" s="17">
        <f>IF(C74="","",N(P74)+N(Q74)+N(R74))</f>
        <v/>
      </c>
      <c r="T74" s="17">
        <f>IF(C74="","",H74-S74)</f>
        <v/>
      </c>
      <c r="U74" s="54">
        <f>IFERROR(T74/H74,"")</f>
        <v/>
      </c>
      <c r="V74" s="14" t="n"/>
    </row>
    <row r="75" ht="15" customHeight="1">
      <c r="A75" s="51">
        <f>IF(C75="","",IFERROR(IF(SUMPRODUCT(MAX((tbl_Finance[Job Number]=C75&amp;"")*tbl_Finance[Date]))=0,"",SUMPRODUCT(MAX((tbl_Finance[Job Number]=C75&amp;"")*tbl_Finance[Date]))),""))</f>
        <v/>
      </c>
      <c r="B75" s="15">
        <f>IF(A75="","",IFERROR(LOOKUP(2,1/((tbl_Finance[Job Number]=C75&amp;"")*(tbl_Finance[Date]=A75)),tbl_Finance[Xero Invoice No]),""))</f>
        <v/>
      </c>
      <c r="C75" s="14" t="n"/>
      <c r="D75" s="15">
        <f>IF(C75="","",IF(COUNTIF(lst_Jobs,C75&amp;"")&gt;0,"OK","CHECK"))</f>
        <v/>
      </c>
      <c r="E75" s="15">
        <f>IF(C75="","",IFERROR(INDEX(lst_JobName,MATCH(C75&amp;"",lst_Jobs,0)),""))</f>
        <v/>
      </c>
      <c r="F75" s="15">
        <f>IF(C75="","",IFERROR(INDEX(tbl_Finance[Client],MATCH(C75&amp;"",tbl_Finance[Job Number],0)),""))</f>
        <v/>
      </c>
      <c r="G75" s="52">
        <f>IF(C75="","",COUNTIFS(tbl_Finance[Job Number],C75&amp;"",tbl_Finance[Ex GST],"&lt;&gt;"))</f>
        <v/>
      </c>
      <c r="H75" s="17">
        <f>IF(C75="","",SUMIFS(tbl_Finance[Ex GST],tbl_Finance[Job Number],C75&amp;""))</f>
        <v/>
      </c>
      <c r="I75" s="15">
        <f>IF(C75="","",IFERROR(INDEX(tbl_Finance[Cost Centre],MATCH(C75&amp;"",tbl_Finance[Job Number],0)),"not invoiced yet"))</f>
        <v/>
      </c>
      <c r="J75" s="14" t="n"/>
      <c r="K75" s="15">
        <f>IF(J75="","",HYPERLINK(IF(LEFT(J75,4)="http",J75,set_QwilrBase&amp;J75),"Open quote"))</f>
        <v/>
      </c>
      <c r="L75" s="16" t="n"/>
      <c r="M75" s="16" t="n"/>
      <c r="N75" s="16" t="n"/>
      <c r="O75" s="15">
        <f>IF(C75="","",IF(N(L75)+N(M75)+N(N75)=0,"Not split",IF(ROUND(N(L75)+N(M75)+N(N75),2)=ROUND(H75,2),"OK","MISMATCH")))</f>
        <v/>
      </c>
      <c r="P75" s="16" t="n"/>
      <c r="Q75" s="16" t="n"/>
      <c r="R75" s="16" t="n"/>
      <c r="S75" s="17">
        <f>IF(C75="","",N(P75)+N(Q75)+N(R75))</f>
        <v/>
      </c>
      <c r="T75" s="17">
        <f>IF(C75="","",H75-S75)</f>
        <v/>
      </c>
      <c r="U75" s="54">
        <f>IFERROR(T75/H75,"")</f>
        <v/>
      </c>
      <c r="V75" s="14" t="n"/>
    </row>
    <row r="76" ht="15" customHeight="1">
      <c r="A76" s="51">
        <f>IF(C76="","",IFERROR(IF(SUMPRODUCT(MAX((tbl_Finance[Job Number]=C76&amp;"")*tbl_Finance[Date]))=0,"",SUMPRODUCT(MAX((tbl_Finance[Job Number]=C76&amp;"")*tbl_Finance[Date]))),""))</f>
        <v/>
      </c>
      <c r="B76" s="15">
        <f>IF(A76="","",IFERROR(LOOKUP(2,1/((tbl_Finance[Job Number]=C76&amp;"")*(tbl_Finance[Date]=A76)),tbl_Finance[Xero Invoice No]),""))</f>
        <v/>
      </c>
      <c r="C76" s="14" t="n"/>
      <c r="D76" s="15">
        <f>IF(C76="","",IF(COUNTIF(lst_Jobs,C76&amp;"")&gt;0,"OK","CHECK"))</f>
        <v/>
      </c>
      <c r="E76" s="15">
        <f>IF(C76="","",IFERROR(INDEX(lst_JobName,MATCH(C76&amp;"",lst_Jobs,0)),""))</f>
        <v/>
      </c>
      <c r="F76" s="15">
        <f>IF(C76="","",IFERROR(INDEX(tbl_Finance[Client],MATCH(C76&amp;"",tbl_Finance[Job Number],0)),""))</f>
        <v/>
      </c>
      <c r="G76" s="52">
        <f>IF(C76="","",COUNTIFS(tbl_Finance[Job Number],C76&amp;"",tbl_Finance[Ex GST],"&lt;&gt;"))</f>
        <v/>
      </c>
      <c r="H76" s="17">
        <f>IF(C76="","",SUMIFS(tbl_Finance[Ex GST],tbl_Finance[Job Number],C76&amp;""))</f>
        <v/>
      </c>
      <c r="I76" s="15">
        <f>IF(C76="","",IFERROR(INDEX(tbl_Finance[Cost Centre],MATCH(C76&amp;"",tbl_Finance[Job Number],0)),"not invoiced yet"))</f>
        <v/>
      </c>
      <c r="J76" s="14" t="n"/>
      <c r="K76" s="15">
        <f>IF(J76="","",HYPERLINK(IF(LEFT(J76,4)="http",J76,set_QwilrBase&amp;J76),"Open quote"))</f>
        <v/>
      </c>
      <c r="L76" s="16" t="n"/>
      <c r="M76" s="16" t="n"/>
      <c r="N76" s="16" t="n"/>
      <c r="O76" s="15">
        <f>IF(C76="","",IF(N(L76)+N(M76)+N(N76)=0,"Not split",IF(ROUND(N(L76)+N(M76)+N(N76),2)=ROUND(H76,2),"OK","MISMATCH")))</f>
        <v/>
      </c>
      <c r="P76" s="16" t="n"/>
      <c r="Q76" s="16" t="n"/>
      <c r="R76" s="16" t="n"/>
      <c r="S76" s="17">
        <f>IF(C76="","",N(P76)+N(Q76)+N(R76))</f>
        <v/>
      </c>
      <c r="T76" s="17">
        <f>IF(C76="","",H76-S76)</f>
        <v/>
      </c>
      <c r="U76" s="54">
        <f>IFERROR(T76/H76,"")</f>
        <v/>
      </c>
      <c r="V76" s="14" t="n"/>
    </row>
    <row r="77" ht="15" customHeight="1">
      <c r="A77" s="51">
        <f>IF(C77="","",IFERROR(IF(SUMPRODUCT(MAX((tbl_Finance[Job Number]=C77&amp;"")*tbl_Finance[Date]))=0,"",SUMPRODUCT(MAX((tbl_Finance[Job Number]=C77&amp;"")*tbl_Finance[Date]))),""))</f>
        <v/>
      </c>
      <c r="B77" s="15">
        <f>IF(A77="","",IFERROR(LOOKUP(2,1/((tbl_Finance[Job Number]=C77&amp;"")*(tbl_Finance[Date]=A77)),tbl_Finance[Xero Invoice No]),""))</f>
        <v/>
      </c>
      <c r="C77" s="14" t="n"/>
      <c r="D77" s="15">
        <f>IF(C77="","",IF(COUNTIF(lst_Jobs,C77&amp;"")&gt;0,"OK","CHECK"))</f>
        <v/>
      </c>
      <c r="E77" s="15">
        <f>IF(C77="","",IFERROR(INDEX(lst_JobName,MATCH(C77&amp;"",lst_Jobs,0)),""))</f>
        <v/>
      </c>
      <c r="F77" s="15">
        <f>IF(C77="","",IFERROR(INDEX(tbl_Finance[Client],MATCH(C77&amp;"",tbl_Finance[Job Number],0)),""))</f>
        <v/>
      </c>
      <c r="G77" s="52">
        <f>IF(C77="","",COUNTIFS(tbl_Finance[Job Number],C77&amp;"",tbl_Finance[Ex GST],"&lt;&gt;"))</f>
        <v/>
      </c>
      <c r="H77" s="17">
        <f>IF(C77="","",SUMIFS(tbl_Finance[Ex GST],tbl_Finance[Job Number],C77&amp;""))</f>
        <v/>
      </c>
      <c r="I77" s="15">
        <f>IF(C77="","",IFERROR(INDEX(tbl_Finance[Cost Centre],MATCH(C77&amp;"",tbl_Finance[Job Number],0)),"not invoiced yet"))</f>
        <v/>
      </c>
      <c r="J77" s="14" t="n"/>
      <c r="K77" s="15">
        <f>IF(J77="","",HYPERLINK(IF(LEFT(J77,4)="http",J77,set_QwilrBase&amp;J77),"Open quote"))</f>
        <v/>
      </c>
      <c r="L77" s="16" t="n"/>
      <c r="M77" s="16" t="n"/>
      <c r="N77" s="16" t="n"/>
      <c r="O77" s="15">
        <f>IF(C77="","",IF(N(L77)+N(M77)+N(N77)=0,"Not split",IF(ROUND(N(L77)+N(M77)+N(N77),2)=ROUND(H77,2),"OK","MISMATCH")))</f>
        <v/>
      </c>
      <c r="P77" s="16" t="n"/>
      <c r="Q77" s="16" t="n"/>
      <c r="R77" s="16" t="n"/>
      <c r="S77" s="17">
        <f>IF(C77="","",N(P77)+N(Q77)+N(R77))</f>
        <v/>
      </c>
      <c r="T77" s="17">
        <f>IF(C77="","",H77-S77)</f>
        <v/>
      </c>
      <c r="U77" s="54">
        <f>IFERROR(T77/H77,"")</f>
        <v/>
      </c>
      <c r="V77" s="14" t="n"/>
    </row>
    <row r="78" ht="15" customHeight="1">
      <c r="A78" s="51">
        <f>IF(C78="","",IFERROR(IF(SUMPRODUCT(MAX((tbl_Finance[Job Number]=C78&amp;"")*tbl_Finance[Date]))=0,"",SUMPRODUCT(MAX((tbl_Finance[Job Number]=C78&amp;"")*tbl_Finance[Date]))),""))</f>
        <v/>
      </c>
      <c r="B78" s="15">
        <f>IF(A78="","",IFERROR(LOOKUP(2,1/((tbl_Finance[Job Number]=C78&amp;"")*(tbl_Finance[Date]=A78)),tbl_Finance[Xero Invoice No]),""))</f>
        <v/>
      </c>
      <c r="C78" s="14" t="n"/>
      <c r="D78" s="15">
        <f>IF(C78="","",IF(COUNTIF(lst_Jobs,C78&amp;"")&gt;0,"OK","CHECK"))</f>
        <v/>
      </c>
      <c r="E78" s="15">
        <f>IF(C78="","",IFERROR(INDEX(lst_JobName,MATCH(C78&amp;"",lst_Jobs,0)),""))</f>
        <v/>
      </c>
      <c r="F78" s="15">
        <f>IF(C78="","",IFERROR(INDEX(tbl_Finance[Client],MATCH(C78&amp;"",tbl_Finance[Job Number],0)),""))</f>
        <v/>
      </c>
      <c r="G78" s="52">
        <f>IF(C78="","",COUNTIFS(tbl_Finance[Job Number],C78&amp;"",tbl_Finance[Ex GST],"&lt;&gt;"))</f>
        <v/>
      </c>
      <c r="H78" s="17">
        <f>IF(C78="","",SUMIFS(tbl_Finance[Ex GST],tbl_Finance[Job Number],C78&amp;""))</f>
        <v/>
      </c>
      <c r="I78" s="15">
        <f>IF(C78="","",IFERROR(INDEX(tbl_Finance[Cost Centre],MATCH(C78&amp;"",tbl_Finance[Job Number],0)),"not invoiced yet"))</f>
        <v/>
      </c>
      <c r="J78" s="14" t="n"/>
      <c r="K78" s="15">
        <f>IF(J78="","",HYPERLINK(IF(LEFT(J78,4)="http",J78,set_QwilrBase&amp;J78),"Open quote"))</f>
        <v/>
      </c>
      <c r="L78" s="16" t="n"/>
      <c r="M78" s="16" t="n"/>
      <c r="N78" s="16" t="n"/>
      <c r="O78" s="15">
        <f>IF(C78="","",IF(N(L78)+N(M78)+N(N78)=0,"Not split",IF(ROUND(N(L78)+N(M78)+N(N78),2)=ROUND(H78,2),"OK","MISMATCH")))</f>
        <v/>
      </c>
      <c r="P78" s="16" t="n"/>
      <c r="Q78" s="16" t="n"/>
      <c r="R78" s="16" t="n"/>
      <c r="S78" s="17">
        <f>IF(C78="","",N(P78)+N(Q78)+N(R78))</f>
        <v/>
      </c>
      <c r="T78" s="17">
        <f>IF(C78="","",H78-S78)</f>
        <v/>
      </c>
      <c r="U78" s="54">
        <f>IFERROR(T78/H78,"")</f>
        <v/>
      </c>
      <c r="V78" s="14" t="n"/>
    </row>
    <row r="79" ht="15" customHeight="1">
      <c r="A79" s="51">
        <f>IF(C79="","",IFERROR(IF(SUMPRODUCT(MAX((tbl_Finance[Job Number]=C79&amp;"")*tbl_Finance[Date]))=0,"",SUMPRODUCT(MAX((tbl_Finance[Job Number]=C79&amp;"")*tbl_Finance[Date]))),""))</f>
        <v/>
      </c>
      <c r="B79" s="15">
        <f>IF(A79="","",IFERROR(LOOKUP(2,1/((tbl_Finance[Job Number]=C79&amp;"")*(tbl_Finance[Date]=A79)),tbl_Finance[Xero Invoice No]),""))</f>
        <v/>
      </c>
      <c r="C79" s="14" t="n"/>
      <c r="D79" s="15">
        <f>IF(C79="","",IF(COUNTIF(lst_Jobs,C79&amp;"")&gt;0,"OK","CHECK"))</f>
        <v/>
      </c>
      <c r="E79" s="15">
        <f>IF(C79="","",IFERROR(INDEX(lst_JobName,MATCH(C79&amp;"",lst_Jobs,0)),""))</f>
        <v/>
      </c>
      <c r="F79" s="15">
        <f>IF(C79="","",IFERROR(INDEX(tbl_Finance[Client],MATCH(C79&amp;"",tbl_Finance[Job Number],0)),""))</f>
        <v/>
      </c>
      <c r="G79" s="52">
        <f>IF(C79="","",COUNTIFS(tbl_Finance[Job Number],C79&amp;"",tbl_Finance[Ex GST],"&lt;&gt;"))</f>
        <v/>
      </c>
      <c r="H79" s="17">
        <f>IF(C79="","",SUMIFS(tbl_Finance[Ex GST],tbl_Finance[Job Number],C79&amp;""))</f>
        <v/>
      </c>
      <c r="I79" s="15">
        <f>IF(C79="","",IFERROR(INDEX(tbl_Finance[Cost Centre],MATCH(C79&amp;"",tbl_Finance[Job Number],0)),"not invoiced yet"))</f>
        <v/>
      </c>
      <c r="J79" s="14" t="n"/>
      <c r="K79" s="15">
        <f>IF(J79="","",HYPERLINK(IF(LEFT(J79,4)="http",J79,set_QwilrBase&amp;J79),"Open quote"))</f>
        <v/>
      </c>
      <c r="L79" s="16" t="n"/>
      <c r="M79" s="16" t="n"/>
      <c r="N79" s="16" t="n"/>
      <c r="O79" s="15">
        <f>IF(C79="","",IF(N(L79)+N(M79)+N(N79)=0,"Not split",IF(ROUND(N(L79)+N(M79)+N(N79),2)=ROUND(H79,2),"OK","MISMATCH")))</f>
        <v/>
      </c>
      <c r="P79" s="16" t="n"/>
      <c r="Q79" s="16" t="n"/>
      <c r="R79" s="16" t="n"/>
      <c r="S79" s="17">
        <f>IF(C79="","",N(P79)+N(Q79)+N(R79))</f>
        <v/>
      </c>
      <c r="T79" s="17">
        <f>IF(C79="","",H79-S79)</f>
        <v/>
      </c>
      <c r="U79" s="54">
        <f>IFERROR(T79/H79,"")</f>
        <v/>
      </c>
      <c r="V79" s="14" t="n"/>
    </row>
    <row r="80" ht="15" customHeight="1">
      <c r="A80" s="51">
        <f>IF(C80="","",IFERROR(IF(SUMPRODUCT(MAX((tbl_Finance[Job Number]=C80&amp;"")*tbl_Finance[Date]))=0,"",SUMPRODUCT(MAX((tbl_Finance[Job Number]=C80&amp;"")*tbl_Finance[Date]))),""))</f>
        <v/>
      </c>
      <c r="B80" s="15">
        <f>IF(A80="","",IFERROR(LOOKUP(2,1/((tbl_Finance[Job Number]=C80&amp;"")*(tbl_Finance[Date]=A80)),tbl_Finance[Xero Invoice No]),""))</f>
        <v/>
      </c>
      <c r="C80" s="14" t="n"/>
      <c r="D80" s="15">
        <f>IF(C80="","",IF(COUNTIF(lst_Jobs,C80&amp;"")&gt;0,"OK","CHECK"))</f>
        <v/>
      </c>
      <c r="E80" s="15">
        <f>IF(C80="","",IFERROR(INDEX(lst_JobName,MATCH(C80&amp;"",lst_Jobs,0)),""))</f>
        <v/>
      </c>
      <c r="F80" s="15">
        <f>IF(C80="","",IFERROR(INDEX(tbl_Finance[Client],MATCH(C80&amp;"",tbl_Finance[Job Number],0)),""))</f>
        <v/>
      </c>
      <c r="G80" s="52">
        <f>IF(C80="","",COUNTIFS(tbl_Finance[Job Number],C80&amp;"",tbl_Finance[Ex GST],"&lt;&gt;"))</f>
        <v/>
      </c>
      <c r="H80" s="17">
        <f>IF(C80="","",SUMIFS(tbl_Finance[Ex GST],tbl_Finance[Job Number],C80&amp;""))</f>
        <v/>
      </c>
      <c r="I80" s="15">
        <f>IF(C80="","",IFERROR(INDEX(tbl_Finance[Cost Centre],MATCH(C80&amp;"",tbl_Finance[Job Number],0)),"not invoiced yet"))</f>
        <v/>
      </c>
      <c r="J80" s="14" t="n"/>
      <c r="K80" s="15">
        <f>IF(J80="","",HYPERLINK(IF(LEFT(J80,4)="http",J80,set_QwilrBase&amp;J80),"Open quote"))</f>
        <v/>
      </c>
      <c r="L80" s="16" t="n"/>
      <c r="M80" s="16" t="n"/>
      <c r="N80" s="16" t="n"/>
      <c r="O80" s="15">
        <f>IF(C80="","",IF(N(L80)+N(M80)+N(N80)=0,"Not split",IF(ROUND(N(L80)+N(M80)+N(N80),2)=ROUND(H80,2),"OK","MISMATCH")))</f>
        <v/>
      </c>
      <c r="P80" s="16" t="n"/>
      <c r="Q80" s="16" t="n"/>
      <c r="R80" s="16" t="n"/>
      <c r="S80" s="17">
        <f>IF(C80="","",N(P80)+N(Q80)+N(R80))</f>
        <v/>
      </c>
      <c r="T80" s="17">
        <f>IF(C80="","",H80-S80)</f>
        <v/>
      </c>
      <c r="U80" s="54">
        <f>IFERROR(T80/H80,"")</f>
        <v/>
      </c>
      <c r="V80" s="14" t="n"/>
    </row>
    <row r="81" ht="15" customHeight="1">
      <c r="A81" s="51">
        <f>IF(C81="","",IFERROR(IF(SUMPRODUCT(MAX((tbl_Finance[Job Number]=C81&amp;"")*tbl_Finance[Date]))=0,"",SUMPRODUCT(MAX((tbl_Finance[Job Number]=C81&amp;"")*tbl_Finance[Date]))),""))</f>
        <v/>
      </c>
      <c r="B81" s="15">
        <f>IF(A81="","",IFERROR(LOOKUP(2,1/((tbl_Finance[Job Number]=C81&amp;"")*(tbl_Finance[Date]=A81)),tbl_Finance[Xero Invoice No]),""))</f>
        <v/>
      </c>
      <c r="C81" s="14" t="n"/>
      <c r="D81" s="15">
        <f>IF(C81="","",IF(COUNTIF(lst_Jobs,C81&amp;"")&gt;0,"OK","CHECK"))</f>
        <v/>
      </c>
      <c r="E81" s="15">
        <f>IF(C81="","",IFERROR(INDEX(lst_JobName,MATCH(C81&amp;"",lst_Jobs,0)),""))</f>
        <v/>
      </c>
      <c r="F81" s="15">
        <f>IF(C81="","",IFERROR(INDEX(tbl_Finance[Client],MATCH(C81&amp;"",tbl_Finance[Job Number],0)),""))</f>
        <v/>
      </c>
      <c r="G81" s="52">
        <f>IF(C81="","",COUNTIFS(tbl_Finance[Job Number],C81&amp;"",tbl_Finance[Ex GST],"&lt;&gt;"))</f>
        <v/>
      </c>
      <c r="H81" s="17">
        <f>IF(C81="","",SUMIFS(tbl_Finance[Ex GST],tbl_Finance[Job Number],C81&amp;""))</f>
        <v/>
      </c>
      <c r="I81" s="15">
        <f>IF(C81="","",IFERROR(INDEX(tbl_Finance[Cost Centre],MATCH(C81&amp;"",tbl_Finance[Job Number],0)),"not invoiced yet"))</f>
        <v/>
      </c>
      <c r="J81" s="14" t="n"/>
      <c r="K81" s="15">
        <f>IF(J81="","",HYPERLINK(IF(LEFT(J81,4)="http",J81,set_QwilrBase&amp;J81),"Open quote"))</f>
        <v/>
      </c>
      <c r="L81" s="16" t="n"/>
      <c r="M81" s="16" t="n"/>
      <c r="N81" s="16" t="n"/>
      <c r="O81" s="15">
        <f>IF(C81="","",IF(N(L81)+N(M81)+N(N81)=0,"Not split",IF(ROUND(N(L81)+N(M81)+N(N81),2)=ROUND(H81,2),"OK","MISMATCH")))</f>
        <v/>
      </c>
      <c r="P81" s="16" t="n"/>
      <c r="Q81" s="16" t="n"/>
      <c r="R81" s="16" t="n"/>
      <c r="S81" s="17">
        <f>IF(C81="","",N(P81)+N(Q81)+N(R81))</f>
        <v/>
      </c>
      <c r="T81" s="17">
        <f>IF(C81="","",H81-S81)</f>
        <v/>
      </c>
      <c r="U81" s="54">
        <f>IFERROR(T81/H81,"")</f>
        <v/>
      </c>
      <c r="V81" s="14" t="n"/>
    </row>
    <row r="82" ht="15" customHeight="1">
      <c r="A82" s="51">
        <f>IF(C82="","",IFERROR(IF(SUMPRODUCT(MAX((tbl_Finance[Job Number]=C82&amp;"")*tbl_Finance[Date]))=0,"",SUMPRODUCT(MAX((tbl_Finance[Job Number]=C82&amp;"")*tbl_Finance[Date]))),""))</f>
        <v/>
      </c>
      <c r="B82" s="15">
        <f>IF(A82="","",IFERROR(LOOKUP(2,1/((tbl_Finance[Job Number]=C82&amp;"")*(tbl_Finance[Date]=A82)),tbl_Finance[Xero Invoice No]),""))</f>
        <v/>
      </c>
      <c r="C82" s="14" t="n"/>
      <c r="D82" s="15">
        <f>IF(C82="","",IF(COUNTIF(lst_Jobs,C82&amp;"")&gt;0,"OK","CHECK"))</f>
        <v/>
      </c>
      <c r="E82" s="15">
        <f>IF(C82="","",IFERROR(INDEX(lst_JobName,MATCH(C82&amp;"",lst_Jobs,0)),""))</f>
        <v/>
      </c>
      <c r="F82" s="15">
        <f>IF(C82="","",IFERROR(INDEX(tbl_Finance[Client],MATCH(C82&amp;"",tbl_Finance[Job Number],0)),""))</f>
        <v/>
      </c>
      <c r="G82" s="52">
        <f>IF(C82="","",COUNTIFS(tbl_Finance[Job Number],C82&amp;"",tbl_Finance[Ex GST],"&lt;&gt;"))</f>
        <v/>
      </c>
      <c r="H82" s="17">
        <f>IF(C82="","",SUMIFS(tbl_Finance[Ex GST],tbl_Finance[Job Number],C82&amp;""))</f>
        <v/>
      </c>
      <c r="I82" s="15">
        <f>IF(C82="","",IFERROR(INDEX(tbl_Finance[Cost Centre],MATCH(C82&amp;"",tbl_Finance[Job Number],0)),"not invoiced yet"))</f>
        <v/>
      </c>
      <c r="J82" s="14" t="n"/>
      <c r="K82" s="15">
        <f>IF(J82="","",HYPERLINK(IF(LEFT(J82,4)="http",J82,set_QwilrBase&amp;J82),"Open quote"))</f>
        <v/>
      </c>
      <c r="L82" s="16" t="n"/>
      <c r="M82" s="16" t="n"/>
      <c r="N82" s="16" t="n"/>
      <c r="O82" s="15">
        <f>IF(C82="","",IF(N(L82)+N(M82)+N(N82)=0,"Not split",IF(ROUND(N(L82)+N(M82)+N(N82),2)=ROUND(H82,2),"OK","MISMATCH")))</f>
        <v/>
      </c>
      <c r="P82" s="16" t="n"/>
      <c r="Q82" s="16" t="n"/>
      <c r="R82" s="16" t="n"/>
      <c r="S82" s="17">
        <f>IF(C82="","",N(P82)+N(Q82)+N(R82))</f>
        <v/>
      </c>
      <c r="T82" s="17">
        <f>IF(C82="","",H82-S82)</f>
        <v/>
      </c>
      <c r="U82" s="54">
        <f>IFERROR(T82/H82,"")</f>
        <v/>
      </c>
      <c r="V82" s="14" t="n"/>
    </row>
    <row r="83" ht="15" customHeight="1">
      <c r="A83" s="51">
        <f>IF(C83="","",IFERROR(IF(SUMPRODUCT(MAX((tbl_Finance[Job Number]=C83&amp;"")*tbl_Finance[Date]))=0,"",SUMPRODUCT(MAX((tbl_Finance[Job Number]=C83&amp;"")*tbl_Finance[Date]))),""))</f>
        <v/>
      </c>
      <c r="B83" s="15">
        <f>IF(A83="","",IFERROR(LOOKUP(2,1/((tbl_Finance[Job Number]=C83&amp;"")*(tbl_Finance[Date]=A83)),tbl_Finance[Xero Invoice No]),""))</f>
        <v/>
      </c>
      <c r="C83" s="14" t="n"/>
      <c r="D83" s="15">
        <f>IF(C83="","",IF(COUNTIF(lst_Jobs,C83&amp;"")&gt;0,"OK","CHECK"))</f>
        <v/>
      </c>
      <c r="E83" s="15">
        <f>IF(C83="","",IFERROR(INDEX(lst_JobName,MATCH(C83&amp;"",lst_Jobs,0)),""))</f>
        <v/>
      </c>
      <c r="F83" s="15">
        <f>IF(C83="","",IFERROR(INDEX(tbl_Finance[Client],MATCH(C83&amp;"",tbl_Finance[Job Number],0)),""))</f>
        <v/>
      </c>
      <c r="G83" s="52">
        <f>IF(C83="","",COUNTIFS(tbl_Finance[Job Number],C83&amp;"",tbl_Finance[Ex GST],"&lt;&gt;"))</f>
        <v/>
      </c>
      <c r="H83" s="17">
        <f>IF(C83="","",SUMIFS(tbl_Finance[Ex GST],tbl_Finance[Job Number],C83&amp;""))</f>
        <v/>
      </c>
      <c r="I83" s="15">
        <f>IF(C83="","",IFERROR(INDEX(tbl_Finance[Cost Centre],MATCH(C83&amp;"",tbl_Finance[Job Number],0)),"not invoiced yet"))</f>
        <v/>
      </c>
      <c r="J83" s="14" t="n"/>
      <c r="K83" s="15">
        <f>IF(J83="","",HYPERLINK(IF(LEFT(J83,4)="http",J83,set_QwilrBase&amp;J83),"Open quote"))</f>
        <v/>
      </c>
      <c r="L83" s="16" t="n"/>
      <c r="M83" s="16" t="n"/>
      <c r="N83" s="16" t="n"/>
      <c r="O83" s="15">
        <f>IF(C83="","",IF(N(L83)+N(M83)+N(N83)=0,"Not split",IF(ROUND(N(L83)+N(M83)+N(N83),2)=ROUND(H83,2),"OK","MISMATCH")))</f>
        <v/>
      </c>
      <c r="P83" s="16" t="n"/>
      <c r="Q83" s="16" t="n"/>
      <c r="R83" s="16" t="n"/>
      <c r="S83" s="17">
        <f>IF(C83="","",N(P83)+N(Q83)+N(R83))</f>
        <v/>
      </c>
      <c r="T83" s="17">
        <f>IF(C83="","",H83-S83)</f>
        <v/>
      </c>
      <c r="U83" s="54">
        <f>IFERROR(T83/H83,"")</f>
        <v/>
      </c>
      <c r="V83" s="14" t="n"/>
    </row>
    <row r="84" ht="15" customHeight="1">
      <c r="A84" s="51">
        <f>IF(C84="","",IFERROR(IF(SUMPRODUCT(MAX((tbl_Finance[Job Number]=C84&amp;"")*tbl_Finance[Date]))=0,"",SUMPRODUCT(MAX((tbl_Finance[Job Number]=C84&amp;"")*tbl_Finance[Date]))),""))</f>
        <v/>
      </c>
      <c r="B84" s="15">
        <f>IF(A84="","",IFERROR(LOOKUP(2,1/((tbl_Finance[Job Number]=C84&amp;"")*(tbl_Finance[Date]=A84)),tbl_Finance[Xero Invoice No]),""))</f>
        <v/>
      </c>
      <c r="C84" s="14" t="n"/>
      <c r="D84" s="15">
        <f>IF(C84="","",IF(COUNTIF(lst_Jobs,C84&amp;"")&gt;0,"OK","CHECK"))</f>
        <v/>
      </c>
      <c r="E84" s="15">
        <f>IF(C84="","",IFERROR(INDEX(lst_JobName,MATCH(C84&amp;"",lst_Jobs,0)),""))</f>
        <v/>
      </c>
      <c r="F84" s="15">
        <f>IF(C84="","",IFERROR(INDEX(tbl_Finance[Client],MATCH(C84&amp;"",tbl_Finance[Job Number],0)),""))</f>
        <v/>
      </c>
      <c r="G84" s="52">
        <f>IF(C84="","",COUNTIFS(tbl_Finance[Job Number],C84&amp;"",tbl_Finance[Ex GST],"&lt;&gt;"))</f>
        <v/>
      </c>
      <c r="H84" s="17">
        <f>IF(C84="","",SUMIFS(tbl_Finance[Ex GST],tbl_Finance[Job Number],C84&amp;""))</f>
        <v/>
      </c>
      <c r="I84" s="15">
        <f>IF(C84="","",IFERROR(INDEX(tbl_Finance[Cost Centre],MATCH(C84&amp;"",tbl_Finance[Job Number],0)),"not invoiced yet"))</f>
        <v/>
      </c>
      <c r="J84" s="14" t="n"/>
      <c r="K84" s="15">
        <f>IF(J84="","",HYPERLINK(IF(LEFT(J84,4)="http",J84,set_QwilrBase&amp;J84),"Open quote"))</f>
        <v/>
      </c>
      <c r="L84" s="16" t="n"/>
      <c r="M84" s="16" t="n"/>
      <c r="N84" s="16" t="n"/>
      <c r="O84" s="15">
        <f>IF(C84="","",IF(N(L84)+N(M84)+N(N84)=0,"Not split",IF(ROUND(N(L84)+N(M84)+N(N84),2)=ROUND(H84,2),"OK","MISMATCH")))</f>
        <v/>
      </c>
      <c r="P84" s="16" t="n"/>
      <c r="Q84" s="16" t="n"/>
      <c r="R84" s="16" t="n"/>
      <c r="S84" s="17">
        <f>IF(C84="","",N(P84)+N(Q84)+N(R84))</f>
        <v/>
      </c>
      <c r="T84" s="17">
        <f>IF(C84="","",H84-S84)</f>
        <v/>
      </c>
      <c r="U84" s="54">
        <f>IFERROR(T84/H84,"")</f>
        <v/>
      </c>
      <c r="V84" s="14" t="n"/>
    </row>
    <row r="85" ht="15" customHeight="1">
      <c r="A85" s="51">
        <f>IF(C85="","",IFERROR(IF(SUMPRODUCT(MAX((tbl_Finance[Job Number]=C85&amp;"")*tbl_Finance[Date]))=0,"",SUMPRODUCT(MAX((tbl_Finance[Job Number]=C85&amp;"")*tbl_Finance[Date]))),""))</f>
        <v/>
      </c>
      <c r="B85" s="15">
        <f>IF(A85="","",IFERROR(LOOKUP(2,1/((tbl_Finance[Job Number]=C85&amp;"")*(tbl_Finance[Date]=A85)),tbl_Finance[Xero Invoice No]),""))</f>
        <v/>
      </c>
      <c r="C85" s="14" t="n"/>
      <c r="D85" s="15">
        <f>IF(C85="","",IF(COUNTIF(lst_Jobs,C85&amp;"")&gt;0,"OK","CHECK"))</f>
        <v/>
      </c>
      <c r="E85" s="15">
        <f>IF(C85="","",IFERROR(INDEX(lst_JobName,MATCH(C85&amp;"",lst_Jobs,0)),""))</f>
        <v/>
      </c>
      <c r="F85" s="15">
        <f>IF(C85="","",IFERROR(INDEX(tbl_Finance[Client],MATCH(C85&amp;"",tbl_Finance[Job Number],0)),""))</f>
        <v/>
      </c>
      <c r="G85" s="52">
        <f>IF(C85="","",COUNTIFS(tbl_Finance[Job Number],C85&amp;"",tbl_Finance[Ex GST],"&lt;&gt;"))</f>
        <v/>
      </c>
      <c r="H85" s="17">
        <f>IF(C85="","",SUMIFS(tbl_Finance[Ex GST],tbl_Finance[Job Number],C85&amp;""))</f>
        <v/>
      </c>
      <c r="I85" s="15">
        <f>IF(C85="","",IFERROR(INDEX(tbl_Finance[Cost Centre],MATCH(C85&amp;"",tbl_Finance[Job Number],0)),"not invoiced yet"))</f>
        <v/>
      </c>
      <c r="J85" s="14" t="n"/>
      <c r="K85" s="15">
        <f>IF(J85="","",HYPERLINK(IF(LEFT(J85,4)="http",J85,set_QwilrBase&amp;J85),"Open quote"))</f>
        <v/>
      </c>
      <c r="L85" s="16" t="n"/>
      <c r="M85" s="16" t="n"/>
      <c r="N85" s="16" t="n"/>
      <c r="O85" s="15">
        <f>IF(C85="","",IF(N(L85)+N(M85)+N(N85)=0,"Not split",IF(ROUND(N(L85)+N(M85)+N(N85),2)=ROUND(H85,2),"OK","MISMATCH")))</f>
        <v/>
      </c>
      <c r="P85" s="16" t="n"/>
      <c r="Q85" s="16" t="n"/>
      <c r="R85" s="16" t="n"/>
      <c r="S85" s="17">
        <f>IF(C85="","",N(P85)+N(Q85)+N(R85))</f>
        <v/>
      </c>
      <c r="T85" s="17">
        <f>IF(C85="","",H85-S85)</f>
        <v/>
      </c>
      <c r="U85" s="54">
        <f>IFERROR(T85/H85,"")</f>
        <v/>
      </c>
      <c r="V85" s="14" t="n"/>
    </row>
    <row r="86" ht="15" customHeight="1">
      <c r="A86" s="51">
        <f>IF(C86="","",IFERROR(IF(SUMPRODUCT(MAX((tbl_Finance[Job Number]=C86&amp;"")*tbl_Finance[Date]))=0,"",SUMPRODUCT(MAX((tbl_Finance[Job Number]=C86&amp;"")*tbl_Finance[Date]))),""))</f>
        <v/>
      </c>
      <c r="B86" s="15">
        <f>IF(A86="","",IFERROR(LOOKUP(2,1/((tbl_Finance[Job Number]=C86&amp;"")*(tbl_Finance[Date]=A86)),tbl_Finance[Xero Invoice No]),""))</f>
        <v/>
      </c>
      <c r="C86" s="14" t="n"/>
      <c r="D86" s="15">
        <f>IF(C86="","",IF(COUNTIF(lst_Jobs,C86&amp;"")&gt;0,"OK","CHECK"))</f>
        <v/>
      </c>
      <c r="E86" s="15">
        <f>IF(C86="","",IFERROR(INDEX(lst_JobName,MATCH(C86&amp;"",lst_Jobs,0)),""))</f>
        <v/>
      </c>
      <c r="F86" s="15">
        <f>IF(C86="","",IFERROR(INDEX(tbl_Finance[Client],MATCH(C86&amp;"",tbl_Finance[Job Number],0)),""))</f>
        <v/>
      </c>
      <c r="G86" s="52">
        <f>IF(C86="","",COUNTIFS(tbl_Finance[Job Number],C86&amp;"",tbl_Finance[Ex GST],"&lt;&gt;"))</f>
        <v/>
      </c>
      <c r="H86" s="17">
        <f>IF(C86="","",SUMIFS(tbl_Finance[Ex GST],tbl_Finance[Job Number],C86&amp;""))</f>
        <v/>
      </c>
      <c r="I86" s="15">
        <f>IF(C86="","",IFERROR(INDEX(tbl_Finance[Cost Centre],MATCH(C86&amp;"",tbl_Finance[Job Number],0)),"not invoiced yet"))</f>
        <v/>
      </c>
      <c r="J86" s="14" t="n"/>
      <c r="K86" s="15">
        <f>IF(J86="","",HYPERLINK(IF(LEFT(J86,4)="http",J86,set_QwilrBase&amp;J86),"Open quote"))</f>
        <v/>
      </c>
      <c r="L86" s="16" t="n"/>
      <c r="M86" s="16" t="n"/>
      <c r="N86" s="16" t="n"/>
      <c r="O86" s="15">
        <f>IF(C86="","",IF(N(L86)+N(M86)+N(N86)=0,"Not split",IF(ROUND(N(L86)+N(M86)+N(N86),2)=ROUND(H86,2),"OK","MISMATCH")))</f>
        <v/>
      </c>
      <c r="P86" s="16" t="n"/>
      <c r="Q86" s="16" t="n"/>
      <c r="R86" s="16" t="n"/>
      <c r="S86" s="17">
        <f>IF(C86="","",N(P86)+N(Q86)+N(R86))</f>
        <v/>
      </c>
      <c r="T86" s="17">
        <f>IF(C86="","",H86-S86)</f>
        <v/>
      </c>
      <c r="U86" s="54">
        <f>IFERROR(T86/H86,"")</f>
        <v/>
      </c>
      <c r="V86" s="14" t="n"/>
    </row>
    <row r="87" ht="15" customHeight="1">
      <c r="A87" s="51">
        <f>IF(C87="","",IFERROR(IF(SUMPRODUCT(MAX((tbl_Finance[Job Number]=C87&amp;"")*tbl_Finance[Date]))=0,"",SUMPRODUCT(MAX((tbl_Finance[Job Number]=C87&amp;"")*tbl_Finance[Date]))),""))</f>
        <v/>
      </c>
      <c r="B87" s="15">
        <f>IF(A87="","",IFERROR(LOOKUP(2,1/((tbl_Finance[Job Number]=C87&amp;"")*(tbl_Finance[Date]=A87)),tbl_Finance[Xero Invoice No]),""))</f>
        <v/>
      </c>
      <c r="C87" s="14" t="n"/>
      <c r="D87" s="15">
        <f>IF(C87="","",IF(COUNTIF(lst_Jobs,C87&amp;"")&gt;0,"OK","CHECK"))</f>
        <v/>
      </c>
      <c r="E87" s="15">
        <f>IF(C87="","",IFERROR(INDEX(lst_JobName,MATCH(C87&amp;"",lst_Jobs,0)),""))</f>
        <v/>
      </c>
      <c r="F87" s="15">
        <f>IF(C87="","",IFERROR(INDEX(tbl_Finance[Client],MATCH(C87&amp;"",tbl_Finance[Job Number],0)),""))</f>
        <v/>
      </c>
      <c r="G87" s="52">
        <f>IF(C87="","",COUNTIFS(tbl_Finance[Job Number],C87&amp;"",tbl_Finance[Ex GST],"&lt;&gt;"))</f>
        <v/>
      </c>
      <c r="H87" s="17">
        <f>IF(C87="","",SUMIFS(tbl_Finance[Ex GST],tbl_Finance[Job Number],C87&amp;""))</f>
        <v/>
      </c>
      <c r="I87" s="15">
        <f>IF(C87="","",IFERROR(INDEX(tbl_Finance[Cost Centre],MATCH(C87&amp;"",tbl_Finance[Job Number],0)),"not invoiced yet"))</f>
        <v/>
      </c>
      <c r="J87" s="14" t="n"/>
      <c r="K87" s="15">
        <f>IF(J87="","",HYPERLINK(IF(LEFT(J87,4)="http",J87,set_QwilrBase&amp;J87),"Open quote"))</f>
        <v/>
      </c>
      <c r="L87" s="16" t="n"/>
      <c r="M87" s="16" t="n"/>
      <c r="N87" s="16" t="n"/>
      <c r="O87" s="15">
        <f>IF(C87="","",IF(N(L87)+N(M87)+N(N87)=0,"Not split",IF(ROUND(N(L87)+N(M87)+N(N87),2)=ROUND(H87,2),"OK","MISMATCH")))</f>
        <v/>
      </c>
      <c r="P87" s="16" t="n"/>
      <c r="Q87" s="16" t="n"/>
      <c r="R87" s="16" t="n"/>
      <c r="S87" s="17">
        <f>IF(C87="","",N(P87)+N(Q87)+N(R87))</f>
        <v/>
      </c>
      <c r="T87" s="17">
        <f>IF(C87="","",H87-S87)</f>
        <v/>
      </c>
      <c r="U87" s="54">
        <f>IFERROR(T87/H87,"")</f>
        <v/>
      </c>
      <c r="V87" s="14" t="n"/>
    </row>
    <row r="88" ht="15" customHeight="1">
      <c r="A88" s="51">
        <f>IF(C88="","",IFERROR(IF(SUMPRODUCT(MAX((tbl_Finance[Job Number]=C88&amp;"")*tbl_Finance[Date]))=0,"",SUMPRODUCT(MAX((tbl_Finance[Job Number]=C88&amp;"")*tbl_Finance[Date]))),""))</f>
        <v/>
      </c>
      <c r="B88" s="15">
        <f>IF(A88="","",IFERROR(LOOKUP(2,1/((tbl_Finance[Job Number]=C88&amp;"")*(tbl_Finance[Date]=A88)),tbl_Finance[Xero Invoice No]),""))</f>
        <v/>
      </c>
      <c r="C88" s="14" t="n"/>
      <c r="D88" s="15">
        <f>IF(C88="","",IF(COUNTIF(lst_Jobs,C88&amp;"")&gt;0,"OK","CHECK"))</f>
        <v/>
      </c>
      <c r="E88" s="15">
        <f>IF(C88="","",IFERROR(INDEX(lst_JobName,MATCH(C88&amp;"",lst_Jobs,0)),""))</f>
        <v/>
      </c>
      <c r="F88" s="15">
        <f>IF(C88="","",IFERROR(INDEX(tbl_Finance[Client],MATCH(C88&amp;"",tbl_Finance[Job Number],0)),""))</f>
        <v/>
      </c>
      <c r="G88" s="52">
        <f>IF(C88="","",COUNTIFS(tbl_Finance[Job Number],C88&amp;"",tbl_Finance[Ex GST],"&lt;&gt;"))</f>
        <v/>
      </c>
      <c r="H88" s="17">
        <f>IF(C88="","",SUMIFS(tbl_Finance[Ex GST],tbl_Finance[Job Number],C88&amp;""))</f>
        <v/>
      </c>
      <c r="I88" s="15">
        <f>IF(C88="","",IFERROR(INDEX(tbl_Finance[Cost Centre],MATCH(C88&amp;"",tbl_Finance[Job Number],0)),"not invoiced yet"))</f>
        <v/>
      </c>
      <c r="J88" s="14" t="n"/>
      <c r="K88" s="15">
        <f>IF(J88="","",HYPERLINK(IF(LEFT(J88,4)="http",J88,set_QwilrBase&amp;J88),"Open quote"))</f>
        <v/>
      </c>
      <c r="L88" s="16" t="n"/>
      <c r="M88" s="16" t="n"/>
      <c r="N88" s="16" t="n"/>
      <c r="O88" s="15">
        <f>IF(C88="","",IF(N(L88)+N(M88)+N(N88)=0,"Not split",IF(ROUND(N(L88)+N(M88)+N(N88),2)=ROUND(H88,2),"OK","MISMATCH")))</f>
        <v/>
      </c>
      <c r="P88" s="16" t="n"/>
      <c r="Q88" s="16" t="n"/>
      <c r="R88" s="16" t="n"/>
      <c r="S88" s="17">
        <f>IF(C88="","",N(P88)+N(Q88)+N(R88))</f>
        <v/>
      </c>
      <c r="T88" s="17">
        <f>IF(C88="","",H88-S88)</f>
        <v/>
      </c>
      <c r="U88" s="54">
        <f>IFERROR(T88/H88,"")</f>
        <v/>
      </c>
      <c r="V88" s="14" t="n"/>
    </row>
    <row r="89" ht="15" customHeight="1">
      <c r="A89" s="51">
        <f>IF(C89="","",IFERROR(IF(SUMPRODUCT(MAX((tbl_Finance[Job Number]=C89&amp;"")*tbl_Finance[Date]))=0,"",SUMPRODUCT(MAX((tbl_Finance[Job Number]=C89&amp;"")*tbl_Finance[Date]))),""))</f>
        <v/>
      </c>
      <c r="B89" s="15">
        <f>IF(A89="","",IFERROR(LOOKUP(2,1/((tbl_Finance[Job Number]=C89&amp;"")*(tbl_Finance[Date]=A89)),tbl_Finance[Xero Invoice No]),""))</f>
        <v/>
      </c>
      <c r="C89" s="14" t="n"/>
      <c r="D89" s="15">
        <f>IF(C89="","",IF(COUNTIF(lst_Jobs,C89&amp;"")&gt;0,"OK","CHECK"))</f>
        <v/>
      </c>
      <c r="E89" s="15">
        <f>IF(C89="","",IFERROR(INDEX(lst_JobName,MATCH(C89&amp;"",lst_Jobs,0)),""))</f>
        <v/>
      </c>
      <c r="F89" s="15">
        <f>IF(C89="","",IFERROR(INDEX(tbl_Finance[Client],MATCH(C89&amp;"",tbl_Finance[Job Number],0)),""))</f>
        <v/>
      </c>
      <c r="G89" s="52">
        <f>IF(C89="","",COUNTIFS(tbl_Finance[Job Number],C89&amp;"",tbl_Finance[Ex GST],"&lt;&gt;"))</f>
        <v/>
      </c>
      <c r="H89" s="17">
        <f>IF(C89="","",SUMIFS(tbl_Finance[Ex GST],tbl_Finance[Job Number],C89&amp;""))</f>
        <v/>
      </c>
      <c r="I89" s="15">
        <f>IF(C89="","",IFERROR(INDEX(tbl_Finance[Cost Centre],MATCH(C89&amp;"",tbl_Finance[Job Number],0)),"not invoiced yet"))</f>
        <v/>
      </c>
      <c r="J89" s="14" t="n"/>
      <c r="K89" s="15">
        <f>IF(J89="","",HYPERLINK(IF(LEFT(J89,4)="http",J89,set_QwilrBase&amp;J89),"Open quote"))</f>
        <v/>
      </c>
      <c r="L89" s="16" t="n"/>
      <c r="M89" s="16" t="n"/>
      <c r="N89" s="16" t="n"/>
      <c r="O89" s="15">
        <f>IF(C89="","",IF(N(L89)+N(M89)+N(N89)=0,"Not split",IF(ROUND(N(L89)+N(M89)+N(N89),2)=ROUND(H89,2),"OK","MISMATCH")))</f>
        <v/>
      </c>
      <c r="P89" s="16" t="n"/>
      <c r="Q89" s="16" t="n"/>
      <c r="R89" s="16" t="n"/>
      <c r="S89" s="17">
        <f>IF(C89="","",N(P89)+N(Q89)+N(R89))</f>
        <v/>
      </c>
      <c r="T89" s="17">
        <f>IF(C89="","",H89-S89)</f>
        <v/>
      </c>
      <c r="U89" s="54">
        <f>IFERROR(T89/H89,"")</f>
        <v/>
      </c>
      <c r="V89" s="14" t="n"/>
    </row>
    <row r="90" ht="15" customHeight="1">
      <c r="A90" s="51">
        <f>IF(C90="","",IFERROR(IF(SUMPRODUCT(MAX((tbl_Finance[Job Number]=C90&amp;"")*tbl_Finance[Date]))=0,"",SUMPRODUCT(MAX((tbl_Finance[Job Number]=C90&amp;"")*tbl_Finance[Date]))),""))</f>
        <v/>
      </c>
      <c r="B90" s="15">
        <f>IF(A90="","",IFERROR(LOOKUP(2,1/((tbl_Finance[Job Number]=C90&amp;"")*(tbl_Finance[Date]=A90)),tbl_Finance[Xero Invoice No]),""))</f>
        <v/>
      </c>
      <c r="C90" s="14" t="n"/>
      <c r="D90" s="15">
        <f>IF(C90="","",IF(COUNTIF(lst_Jobs,C90&amp;"")&gt;0,"OK","CHECK"))</f>
        <v/>
      </c>
      <c r="E90" s="15">
        <f>IF(C90="","",IFERROR(INDEX(lst_JobName,MATCH(C90&amp;"",lst_Jobs,0)),""))</f>
        <v/>
      </c>
      <c r="F90" s="15">
        <f>IF(C90="","",IFERROR(INDEX(tbl_Finance[Client],MATCH(C90&amp;"",tbl_Finance[Job Number],0)),""))</f>
        <v/>
      </c>
      <c r="G90" s="52">
        <f>IF(C90="","",COUNTIFS(tbl_Finance[Job Number],C90&amp;"",tbl_Finance[Ex GST],"&lt;&gt;"))</f>
        <v/>
      </c>
      <c r="H90" s="17">
        <f>IF(C90="","",SUMIFS(tbl_Finance[Ex GST],tbl_Finance[Job Number],C90&amp;""))</f>
        <v/>
      </c>
      <c r="I90" s="15">
        <f>IF(C90="","",IFERROR(INDEX(tbl_Finance[Cost Centre],MATCH(C90&amp;"",tbl_Finance[Job Number],0)),"not invoiced yet"))</f>
        <v/>
      </c>
      <c r="J90" s="14" t="n"/>
      <c r="K90" s="15">
        <f>IF(J90="","",HYPERLINK(IF(LEFT(J90,4)="http",J90,set_QwilrBase&amp;J90),"Open quote"))</f>
        <v/>
      </c>
      <c r="L90" s="16" t="n"/>
      <c r="M90" s="16" t="n"/>
      <c r="N90" s="16" t="n"/>
      <c r="O90" s="15">
        <f>IF(C90="","",IF(N(L90)+N(M90)+N(N90)=0,"Not split",IF(ROUND(N(L90)+N(M90)+N(N90),2)=ROUND(H90,2),"OK","MISMATCH")))</f>
        <v/>
      </c>
      <c r="P90" s="16" t="n"/>
      <c r="Q90" s="16" t="n"/>
      <c r="R90" s="16" t="n"/>
      <c r="S90" s="17">
        <f>IF(C90="","",N(P90)+N(Q90)+N(R90))</f>
        <v/>
      </c>
      <c r="T90" s="17">
        <f>IF(C90="","",H90-S90)</f>
        <v/>
      </c>
      <c r="U90" s="54">
        <f>IFERROR(T90/H90,"")</f>
        <v/>
      </c>
      <c r="V90" s="14" t="n"/>
    </row>
    <row r="91" ht="15" customHeight="1">
      <c r="A91" s="51">
        <f>IF(C91="","",IFERROR(IF(SUMPRODUCT(MAX((tbl_Finance[Job Number]=C91&amp;"")*tbl_Finance[Date]))=0,"",SUMPRODUCT(MAX((tbl_Finance[Job Number]=C91&amp;"")*tbl_Finance[Date]))),""))</f>
        <v/>
      </c>
      <c r="B91" s="15">
        <f>IF(A91="","",IFERROR(LOOKUP(2,1/((tbl_Finance[Job Number]=C91&amp;"")*(tbl_Finance[Date]=A91)),tbl_Finance[Xero Invoice No]),""))</f>
        <v/>
      </c>
      <c r="C91" s="14" t="n"/>
      <c r="D91" s="15">
        <f>IF(C91="","",IF(COUNTIF(lst_Jobs,C91&amp;"")&gt;0,"OK","CHECK"))</f>
        <v/>
      </c>
      <c r="E91" s="15">
        <f>IF(C91="","",IFERROR(INDEX(lst_JobName,MATCH(C91&amp;"",lst_Jobs,0)),""))</f>
        <v/>
      </c>
      <c r="F91" s="15">
        <f>IF(C91="","",IFERROR(INDEX(tbl_Finance[Client],MATCH(C91&amp;"",tbl_Finance[Job Number],0)),""))</f>
        <v/>
      </c>
      <c r="G91" s="52">
        <f>IF(C91="","",COUNTIFS(tbl_Finance[Job Number],C91&amp;"",tbl_Finance[Ex GST],"&lt;&gt;"))</f>
        <v/>
      </c>
      <c r="H91" s="17">
        <f>IF(C91="","",SUMIFS(tbl_Finance[Ex GST],tbl_Finance[Job Number],C91&amp;""))</f>
        <v/>
      </c>
      <c r="I91" s="15">
        <f>IF(C91="","",IFERROR(INDEX(tbl_Finance[Cost Centre],MATCH(C91&amp;"",tbl_Finance[Job Number],0)),"not invoiced yet"))</f>
        <v/>
      </c>
      <c r="J91" s="14" t="n"/>
      <c r="K91" s="15">
        <f>IF(J91="","",HYPERLINK(IF(LEFT(J91,4)="http",J91,set_QwilrBase&amp;J91),"Open quote"))</f>
        <v/>
      </c>
      <c r="L91" s="16" t="n"/>
      <c r="M91" s="16" t="n"/>
      <c r="N91" s="16" t="n"/>
      <c r="O91" s="15">
        <f>IF(C91="","",IF(N(L91)+N(M91)+N(N91)=0,"Not split",IF(ROUND(N(L91)+N(M91)+N(N91),2)=ROUND(H91,2),"OK","MISMATCH")))</f>
        <v/>
      </c>
      <c r="P91" s="16" t="n"/>
      <c r="Q91" s="16" t="n"/>
      <c r="R91" s="16" t="n"/>
      <c r="S91" s="17">
        <f>IF(C91="","",N(P91)+N(Q91)+N(R91))</f>
        <v/>
      </c>
      <c r="T91" s="17">
        <f>IF(C91="","",H91-S91)</f>
        <v/>
      </c>
      <c r="U91" s="54">
        <f>IFERROR(T91/H91,"")</f>
        <v/>
      </c>
      <c r="V91" s="14" t="n"/>
    </row>
    <row r="92" ht="15" customHeight="1">
      <c r="A92" s="51">
        <f>IF(C92="","",IFERROR(IF(SUMPRODUCT(MAX((tbl_Finance[Job Number]=C92&amp;"")*tbl_Finance[Date]))=0,"",SUMPRODUCT(MAX((tbl_Finance[Job Number]=C92&amp;"")*tbl_Finance[Date]))),""))</f>
        <v/>
      </c>
      <c r="B92" s="15">
        <f>IF(A92="","",IFERROR(LOOKUP(2,1/((tbl_Finance[Job Number]=C92&amp;"")*(tbl_Finance[Date]=A92)),tbl_Finance[Xero Invoice No]),""))</f>
        <v/>
      </c>
      <c r="C92" s="14" t="n"/>
      <c r="D92" s="15">
        <f>IF(C92="","",IF(COUNTIF(lst_Jobs,C92&amp;"")&gt;0,"OK","CHECK"))</f>
        <v/>
      </c>
      <c r="E92" s="15">
        <f>IF(C92="","",IFERROR(INDEX(lst_JobName,MATCH(C92&amp;"",lst_Jobs,0)),""))</f>
        <v/>
      </c>
      <c r="F92" s="15">
        <f>IF(C92="","",IFERROR(INDEX(tbl_Finance[Client],MATCH(C92&amp;"",tbl_Finance[Job Number],0)),""))</f>
        <v/>
      </c>
      <c r="G92" s="52">
        <f>IF(C92="","",COUNTIFS(tbl_Finance[Job Number],C92&amp;"",tbl_Finance[Ex GST],"&lt;&gt;"))</f>
        <v/>
      </c>
      <c r="H92" s="17">
        <f>IF(C92="","",SUMIFS(tbl_Finance[Ex GST],tbl_Finance[Job Number],C92&amp;""))</f>
        <v/>
      </c>
      <c r="I92" s="15">
        <f>IF(C92="","",IFERROR(INDEX(tbl_Finance[Cost Centre],MATCH(C92&amp;"",tbl_Finance[Job Number],0)),"not invoiced yet"))</f>
        <v/>
      </c>
      <c r="J92" s="14" t="n"/>
      <c r="K92" s="15">
        <f>IF(J92="","",HYPERLINK(IF(LEFT(J92,4)="http",J92,set_QwilrBase&amp;J92),"Open quote"))</f>
        <v/>
      </c>
      <c r="L92" s="16" t="n"/>
      <c r="M92" s="16" t="n"/>
      <c r="N92" s="16" t="n"/>
      <c r="O92" s="15">
        <f>IF(C92="","",IF(N(L92)+N(M92)+N(N92)=0,"Not split",IF(ROUND(N(L92)+N(M92)+N(N92),2)=ROUND(H92,2),"OK","MISMATCH")))</f>
        <v/>
      </c>
      <c r="P92" s="16" t="n"/>
      <c r="Q92" s="16" t="n"/>
      <c r="R92" s="16" t="n"/>
      <c r="S92" s="17">
        <f>IF(C92="","",N(P92)+N(Q92)+N(R92))</f>
        <v/>
      </c>
      <c r="T92" s="17">
        <f>IF(C92="","",H92-S92)</f>
        <v/>
      </c>
      <c r="U92" s="54">
        <f>IFERROR(T92/H92,"")</f>
        <v/>
      </c>
      <c r="V92" s="14" t="n"/>
    </row>
    <row r="93" ht="15" customHeight="1">
      <c r="A93" s="51">
        <f>IF(C93="","",IFERROR(IF(SUMPRODUCT(MAX((tbl_Finance[Job Number]=C93&amp;"")*tbl_Finance[Date]))=0,"",SUMPRODUCT(MAX((tbl_Finance[Job Number]=C93&amp;"")*tbl_Finance[Date]))),""))</f>
        <v/>
      </c>
      <c r="B93" s="15">
        <f>IF(A93="","",IFERROR(LOOKUP(2,1/((tbl_Finance[Job Number]=C93&amp;"")*(tbl_Finance[Date]=A93)),tbl_Finance[Xero Invoice No]),""))</f>
        <v/>
      </c>
      <c r="C93" s="14" t="n"/>
      <c r="D93" s="15">
        <f>IF(C93="","",IF(COUNTIF(lst_Jobs,C93&amp;"")&gt;0,"OK","CHECK"))</f>
        <v/>
      </c>
      <c r="E93" s="15">
        <f>IF(C93="","",IFERROR(INDEX(lst_JobName,MATCH(C93&amp;"",lst_Jobs,0)),""))</f>
        <v/>
      </c>
      <c r="F93" s="15">
        <f>IF(C93="","",IFERROR(INDEX(tbl_Finance[Client],MATCH(C93&amp;"",tbl_Finance[Job Number],0)),""))</f>
        <v/>
      </c>
      <c r="G93" s="52">
        <f>IF(C93="","",COUNTIFS(tbl_Finance[Job Number],C93&amp;"",tbl_Finance[Ex GST],"&lt;&gt;"))</f>
        <v/>
      </c>
      <c r="H93" s="17">
        <f>IF(C93="","",SUMIFS(tbl_Finance[Ex GST],tbl_Finance[Job Number],C93&amp;""))</f>
        <v/>
      </c>
      <c r="I93" s="15">
        <f>IF(C93="","",IFERROR(INDEX(tbl_Finance[Cost Centre],MATCH(C93&amp;"",tbl_Finance[Job Number],0)),"not invoiced yet"))</f>
        <v/>
      </c>
      <c r="J93" s="14" t="n"/>
      <c r="K93" s="15">
        <f>IF(J93="","",HYPERLINK(IF(LEFT(J93,4)="http",J93,set_QwilrBase&amp;J93),"Open quote"))</f>
        <v/>
      </c>
      <c r="L93" s="16" t="n"/>
      <c r="M93" s="16" t="n"/>
      <c r="N93" s="16" t="n"/>
      <c r="O93" s="15">
        <f>IF(C93="","",IF(N(L93)+N(M93)+N(N93)=0,"Not split",IF(ROUND(N(L93)+N(M93)+N(N93),2)=ROUND(H93,2),"OK","MISMATCH")))</f>
        <v/>
      </c>
      <c r="P93" s="16" t="n"/>
      <c r="Q93" s="16" t="n"/>
      <c r="R93" s="16" t="n"/>
      <c r="S93" s="17">
        <f>IF(C93="","",N(P93)+N(Q93)+N(R93))</f>
        <v/>
      </c>
      <c r="T93" s="17">
        <f>IF(C93="","",H93-S93)</f>
        <v/>
      </c>
      <c r="U93" s="54">
        <f>IFERROR(T93/H93,"")</f>
        <v/>
      </c>
      <c r="V93" s="14" t="n"/>
    </row>
    <row r="94" ht="15" customHeight="1">
      <c r="A94" s="51">
        <f>IF(C94="","",IFERROR(IF(SUMPRODUCT(MAX((tbl_Finance[Job Number]=C94&amp;"")*tbl_Finance[Date]))=0,"",SUMPRODUCT(MAX((tbl_Finance[Job Number]=C94&amp;"")*tbl_Finance[Date]))),""))</f>
        <v/>
      </c>
      <c r="B94" s="15">
        <f>IF(A94="","",IFERROR(LOOKUP(2,1/((tbl_Finance[Job Number]=C94&amp;"")*(tbl_Finance[Date]=A94)),tbl_Finance[Xero Invoice No]),""))</f>
        <v/>
      </c>
      <c r="C94" s="14" t="n"/>
      <c r="D94" s="15">
        <f>IF(C94="","",IF(COUNTIF(lst_Jobs,C94&amp;"")&gt;0,"OK","CHECK"))</f>
        <v/>
      </c>
      <c r="E94" s="15">
        <f>IF(C94="","",IFERROR(INDEX(lst_JobName,MATCH(C94&amp;"",lst_Jobs,0)),""))</f>
        <v/>
      </c>
      <c r="F94" s="15">
        <f>IF(C94="","",IFERROR(INDEX(tbl_Finance[Client],MATCH(C94&amp;"",tbl_Finance[Job Number],0)),""))</f>
        <v/>
      </c>
      <c r="G94" s="52">
        <f>IF(C94="","",COUNTIFS(tbl_Finance[Job Number],C94&amp;"",tbl_Finance[Ex GST],"&lt;&gt;"))</f>
        <v/>
      </c>
      <c r="H94" s="17">
        <f>IF(C94="","",SUMIFS(tbl_Finance[Ex GST],tbl_Finance[Job Number],C94&amp;""))</f>
        <v/>
      </c>
      <c r="I94" s="15">
        <f>IF(C94="","",IFERROR(INDEX(tbl_Finance[Cost Centre],MATCH(C94&amp;"",tbl_Finance[Job Number],0)),"not invoiced yet"))</f>
        <v/>
      </c>
      <c r="J94" s="14" t="n"/>
      <c r="K94" s="15">
        <f>IF(J94="","",HYPERLINK(IF(LEFT(J94,4)="http",J94,set_QwilrBase&amp;J94),"Open quote"))</f>
        <v/>
      </c>
      <c r="L94" s="16" t="n"/>
      <c r="M94" s="16" t="n"/>
      <c r="N94" s="16" t="n"/>
      <c r="O94" s="15">
        <f>IF(C94="","",IF(N(L94)+N(M94)+N(N94)=0,"Not split",IF(ROUND(N(L94)+N(M94)+N(N94),2)=ROUND(H94,2),"OK","MISMATCH")))</f>
        <v/>
      </c>
      <c r="P94" s="16" t="n"/>
      <c r="Q94" s="16" t="n"/>
      <c r="R94" s="16" t="n"/>
      <c r="S94" s="17">
        <f>IF(C94="","",N(P94)+N(Q94)+N(R94))</f>
        <v/>
      </c>
      <c r="T94" s="17">
        <f>IF(C94="","",H94-S94)</f>
        <v/>
      </c>
      <c r="U94" s="54">
        <f>IFERROR(T94/H94,"")</f>
        <v/>
      </c>
      <c r="V94" s="14" t="n"/>
    </row>
    <row r="95" ht="15" customHeight="1">
      <c r="A95" s="51">
        <f>IF(C95="","",IFERROR(IF(SUMPRODUCT(MAX((tbl_Finance[Job Number]=C95&amp;"")*tbl_Finance[Date]))=0,"",SUMPRODUCT(MAX((tbl_Finance[Job Number]=C95&amp;"")*tbl_Finance[Date]))),""))</f>
        <v/>
      </c>
      <c r="B95" s="15">
        <f>IF(A95="","",IFERROR(LOOKUP(2,1/((tbl_Finance[Job Number]=C95&amp;"")*(tbl_Finance[Date]=A95)),tbl_Finance[Xero Invoice No]),""))</f>
        <v/>
      </c>
      <c r="C95" s="14" t="n"/>
      <c r="D95" s="15">
        <f>IF(C95="","",IF(COUNTIF(lst_Jobs,C95&amp;"")&gt;0,"OK","CHECK"))</f>
        <v/>
      </c>
      <c r="E95" s="15">
        <f>IF(C95="","",IFERROR(INDEX(lst_JobName,MATCH(C95&amp;"",lst_Jobs,0)),""))</f>
        <v/>
      </c>
      <c r="F95" s="15">
        <f>IF(C95="","",IFERROR(INDEX(tbl_Finance[Client],MATCH(C95&amp;"",tbl_Finance[Job Number],0)),""))</f>
        <v/>
      </c>
      <c r="G95" s="52">
        <f>IF(C95="","",COUNTIFS(tbl_Finance[Job Number],C95&amp;"",tbl_Finance[Ex GST],"&lt;&gt;"))</f>
        <v/>
      </c>
      <c r="H95" s="17">
        <f>IF(C95="","",SUMIFS(tbl_Finance[Ex GST],tbl_Finance[Job Number],C95&amp;""))</f>
        <v/>
      </c>
      <c r="I95" s="15">
        <f>IF(C95="","",IFERROR(INDEX(tbl_Finance[Cost Centre],MATCH(C95&amp;"",tbl_Finance[Job Number],0)),"not invoiced yet"))</f>
        <v/>
      </c>
      <c r="J95" s="14" t="n"/>
      <c r="K95" s="15">
        <f>IF(J95="","",HYPERLINK(IF(LEFT(J95,4)="http",J95,set_QwilrBase&amp;J95),"Open quote"))</f>
        <v/>
      </c>
      <c r="L95" s="16" t="n"/>
      <c r="M95" s="16" t="n"/>
      <c r="N95" s="16" t="n"/>
      <c r="O95" s="15">
        <f>IF(C95="","",IF(N(L95)+N(M95)+N(N95)=0,"Not split",IF(ROUND(N(L95)+N(M95)+N(N95),2)=ROUND(H95,2),"OK","MISMATCH")))</f>
        <v/>
      </c>
      <c r="P95" s="16" t="n"/>
      <c r="Q95" s="16" t="n"/>
      <c r="R95" s="16" t="n"/>
      <c r="S95" s="17">
        <f>IF(C95="","",N(P95)+N(Q95)+N(R95))</f>
        <v/>
      </c>
      <c r="T95" s="17">
        <f>IF(C95="","",H95-S95)</f>
        <v/>
      </c>
      <c r="U95" s="54">
        <f>IFERROR(T95/H95,"")</f>
        <v/>
      </c>
      <c r="V95" s="14" t="n"/>
    </row>
    <row r="96" ht="15" customHeight="1">
      <c r="A96" s="51">
        <f>IF(C96="","",IFERROR(IF(SUMPRODUCT(MAX((tbl_Finance[Job Number]=C96&amp;"")*tbl_Finance[Date]))=0,"",SUMPRODUCT(MAX((tbl_Finance[Job Number]=C96&amp;"")*tbl_Finance[Date]))),""))</f>
        <v/>
      </c>
      <c r="B96" s="15">
        <f>IF(A96="","",IFERROR(LOOKUP(2,1/((tbl_Finance[Job Number]=C96&amp;"")*(tbl_Finance[Date]=A96)),tbl_Finance[Xero Invoice No]),""))</f>
        <v/>
      </c>
      <c r="C96" s="14" t="n"/>
      <c r="D96" s="15">
        <f>IF(C96="","",IF(COUNTIF(lst_Jobs,C96&amp;"")&gt;0,"OK","CHECK"))</f>
        <v/>
      </c>
      <c r="E96" s="15">
        <f>IF(C96="","",IFERROR(INDEX(lst_JobName,MATCH(C96&amp;"",lst_Jobs,0)),""))</f>
        <v/>
      </c>
      <c r="F96" s="15">
        <f>IF(C96="","",IFERROR(INDEX(tbl_Finance[Client],MATCH(C96&amp;"",tbl_Finance[Job Number],0)),""))</f>
        <v/>
      </c>
      <c r="G96" s="52">
        <f>IF(C96="","",COUNTIFS(tbl_Finance[Job Number],C96&amp;"",tbl_Finance[Ex GST],"&lt;&gt;"))</f>
        <v/>
      </c>
      <c r="H96" s="17">
        <f>IF(C96="","",SUMIFS(tbl_Finance[Ex GST],tbl_Finance[Job Number],C96&amp;""))</f>
        <v/>
      </c>
      <c r="I96" s="15">
        <f>IF(C96="","",IFERROR(INDEX(tbl_Finance[Cost Centre],MATCH(C96&amp;"",tbl_Finance[Job Number],0)),"not invoiced yet"))</f>
        <v/>
      </c>
      <c r="J96" s="14" t="n"/>
      <c r="K96" s="15">
        <f>IF(J96="","",HYPERLINK(IF(LEFT(J96,4)="http",J96,set_QwilrBase&amp;J96),"Open quote"))</f>
        <v/>
      </c>
      <c r="L96" s="16" t="n"/>
      <c r="M96" s="16" t="n"/>
      <c r="N96" s="16" t="n"/>
      <c r="O96" s="15">
        <f>IF(C96="","",IF(N(L96)+N(M96)+N(N96)=0,"Not split",IF(ROUND(N(L96)+N(M96)+N(N96),2)=ROUND(H96,2),"OK","MISMATCH")))</f>
        <v/>
      </c>
      <c r="P96" s="16" t="n"/>
      <c r="Q96" s="16" t="n"/>
      <c r="R96" s="16" t="n"/>
      <c r="S96" s="17">
        <f>IF(C96="","",N(P96)+N(Q96)+N(R96))</f>
        <v/>
      </c>
      <c r="T96" s="17">
        <f>IF(C96="","",H96-S96)</f>
        <v/>
      </c>
      <c r="U96" s="54">
        <f>IFERROR(T96/H96,"")</f>
        <v/>
      </c>
      <c r="V96" s="14" t="n"/>
    </row>
    <row r="97" ht="15" customHeight="1">
      <c r="A97" s="51">
        <f>IF(C97="","",IFERROR(IF(SUMPRODUCT(MAX((tbl_Finance[Job Number]=C97&amp;"")*tbl_Finance[Date]))=0,"",SUMPRODUCT(MAX((tbl_Finance[Job Number]=C97&amp;"")*tbl_Finance[Date]))),""))</f>
        <v/>
      </c>
      <c r="B97" s="15">
        <f>IF(A97="","",IFERROR(LOOKUP(2,1/((tbl_Finance[Job Number]=C97&amp;"")*(tbl_Finance[Date]=A97)),tbl_Finance[Xero Invoice No]),""))</f>
        <v/>
      </c>
      <c r="C97" s="14" t="n"/>
      <c r="D97" s="15">
        <f>IF(C97="","",IF(COUNTIF(lst_Jobs,C97&amp;"")&gt;0,"OK","CHECK"))</f>
        <v/>
      </c>
      <c r="E97" s="15">
        <f>IF(C97="","",IFERROR(INDEX(lst_JobName,MATCH(C97&amp;"",lst_Jobs,0)),""))</f>
        <v/>
      </c>
      <c r="F97" s="15">
        <f>IF(C97="","",IFERROR(INDEX(tbl_Finance[Client],MATCH(C97&amp;"",tbl_Finance[Job Number],0)),""))</f>
        <v/>
      </c>
      <c r="G97" s="52">
        <f>IF(C97="","",COUNTIFS(tbl_Finance[Job Number],C97&amp;"",tbl_Finance[Ex GST],"&lt;&gt;"))</f>
        <v/>
      </c>
      <c r="H97" s="17">
        <f>IF(C97="","",SUMIFS(tbl_Finance[Ex GST],tbl_Finance[Job Number],C97&amp;""))</f>
        <v/>
      </c>
      <c r="I97" s="15">
        <f>IF(C97="","",IFERROR(INDEX(tbl_Finance[Cost Centre],MATCH(C97&amp;"",tbl_Finance[Job Number],0)),"not invoiced yet"))</f>
        <v/>
      </c>
      <c r="J97" s="14" t="n"/>
      <c r="K97" s="15">
        <f>IF(J97="","",HYPERLINK(IF(LEFT(J97,4)="http",J97,set_QwilrBase&amp;J97),"Open quote"))</f>
        <v/>
      </c>
      <c r="L97" s="16" t="n"/>
      <c r="M97" s="16" t="n"/>
      <c r="N97" s="16" t="n"/>
      <c r="O97" s="15">
        <f>IF(C97="","",IF(N(L97)+N(M97)+N(N97)=0,"Not split",IF(ROUND(N(L97)+N(M97)+N(N97),2)=ROUND(H97,2),"OK","MISMATCH")))</f>
        <v/>
      </c>
      <c r="P97" s="16" t="n"/>
      <c r="Q97" s="16" t="n"/>
      <c r="R97" s="16" t="n"/>
      <c r="S97" s="17">
        <f>IF(C97="","",N(P97)+N(Q97)+N(R97))</f>
        <v/>
      </c>
      <c r="T97" s="17">
        <f>IF(C97="","",H97-S97)</f>
        <v/>
      </c>
      <c r="U97" s="54">
        <f>IFERROR(T97/H97,"")</f>
        <v/>
      </c>
      <c r="V97" s="14" t="n"/>
    </row>
    <row r="98" ht="15" customHeight="1">
      <c r="A98" s="51">
        <f>IF(C98="","",IFERROR(IF(SUMPRODUCT(MAX((tbl_Finance[Job Number]=C98&amp;"")*tbl_Finance[Date]))=0,"",SUMPRODUCT(MAX((tbl_Finance[Job Number]=C98&amp;"")*tbl_Finance[Date]))),""))</f>
        <v/>
      </c>
      <c r="B98" s="15">
        <f>IF(A98="","",IFERROR(LOOKUP(2,1/((tbl_Finance[Job Number]=C98&amp;"")*(tbl_Finance[Date]=A98)),tbl_Finance[Xero Invoice No]),""))</f>
        <v/>
      </c>
      <c r="C98" s="14" t="n"/>
      <c r="D98" s="15">
        <f>IF(C98="","",IF(COUNTIF(lst_Jobs,C98&amp;"")&gt;0,"OK","CHECK"))</f>
        <v/>
      </c>
      <c r="E98" s="15">
        <f>IF(C98="","",IFERROR(INDEX(lst_JobName,MATCH(C98&amp;"",lst_Jobs,0)),""))</f>
        <v/>
      </c>
      <c r="F98" s="15">
        <f>IF(C98="","",IFERROR(INDEX(tbl_Finance[Client],MATCH(C98&amp;"",tbl_Finance[Job Number],0)),""))</f>
        <v/>
      </c>
      <c r="G98" s="52">
        <f>IF(C98="","",COUNTIFS(tbl_Finance[Job Number],C98&amp;"",tbl_Finance[Ex GST],"&lt;&gt;"))</f>
        <v/>
      </c>
      <c r="H98" s="17">
        <f>IF(C98="","",SUMIFS(tbl_Finance[Ex GST],tbl_Finance[Job Number],C98&amp;""))</f>
        <v/>
      </c>
      <c r="I98" s="15">
        <f>IF(C98="","",IFERROR(INDEX(tbl_Finance[Cost Centre],MATCH(C98&amp;"",tbl_Finance[Job Number],0)),"not invoiced yet"))</f>
        <v/>
      </c>
      <c r="J98" s="14" t="n"/>
      <c r="K98" s="15">
        <f>IF(J98="","",HYPERLINK(IF(LEFT(J98,4)="http",J98,set_QwilrBase&amp;J98),"Open quote"))</f>
        <v/>
      </c>
      <c r="L98" s="16" t="n"/>
      <c r="M98" s="16" t="n"/>
      <c r="N98" s="16" t="n"/>
      <c r="O98" s="15">
        <f>IF(C98="","",IF(N(L98)+N(M98)+N(N98)=0,"Not split",IF(ROUND(N(L98)+N(M98)+N(N98),2)=ROUND(H98,2),"OK","MISMATCH")))</f>
        <v/>
      </c>
      <c r="P98" s="16" t="n"/>
      <c r="Q98" s="16" t="n"/>
      <c r="R98" s="16" t="n"/>
      <c r="S98" s="17">
        <f>IF(C98="","",N(P98)+N(Q98)+N(R98))</f>
        <v/>
      </c>
      <c r="T98" s="17">
        <f>IF(C98="","",H98-S98)</f>
        <v/>
      </c>
      <c r="U98" s="54">
        <f>IFERROR(T98/H98,"")</f>
        <v/>
      </c>
      <c r="V98" s="14" t="n"/>
    </row>
    <row r="99" ht="15" customHeight="1">
      <c r="A99" s="51">
        <f>IF(C99="","",IFERROR(IF(SUMPRODUCT(MAX((tbl_Finance[Job Number]=C99&amp;"")*tbl_Finance[Date]))=0,"",SUMPRODUCT(MAX((tbl_Finance[Job Number]=C99&amp;"")*tbl_Finance[Date]))),""))</f>
        <v/>
      </c>
      <c r="B99" s="15">
        <f>IF(A99="","",IFERROR(LOOKUP(2,1/((tbl_Finance[Job Number]=C99&amp;"")*(tbl_Finance[Date]=A99)),tbl_Finance[Xero Invoice No]),""))</f>
        <v/>
      </c>
      <c r="C99" s="14" t="n"/>
      <c r="D99" s="15">
        <f>IF(C99="","",IF(COUNTIF(lst_Jobs,C99&amp;"")&gt;0,"OK","CHECK"))</f>
        <v/>
      </c>
      <c r="E99" s="15">
        <f>IF(C99="","",IFERROR(INDEX(lst_JobName,MATCH(C99&amp;"",lst_Jobs,0)),""))</f>
        <v/>
      </c>
      <c r="F99" s="15">
        <f>IF(C99="","",IFERROR(INDEX(tbl_Finance[Client],MATCH(C99&amp;"",tbl_Finance[Job Number],0)),""))</f>
        <v/>
      </c>
      <c r="G99" s="52">
        <f>IF(C99="","",COUNTIFS(tbl_Finance[Job Number],C99&amp;"",tbl_Finance[Ex GST],"&lt;&gt;"))</f>
        <v/>
      </c>
      <c r="H99" s="17">
        <f>IF(C99="","",SUMIFS(tbl_Finance[Ex GST],tbl_Finance[Job Number],C99&amp;""))</f>
        <v/>
      </c>
      <c r="I99" s="15">
        <f>IF(C99="","",IFERROR(INDEX(tbl_Finance[Cost Centre],MATCH(C99&amp;"",tbl_Finance[Job Number],0)),"not invoiced yet"))</f>
        <v/>
      </c>
      <c r="J99" s="14" t="n"/>
      <c r="K99" s="15">
        <f>IF(J99="","",HYPERLINK(IF(LEFT(J99,4)="http",J99,set_QwilrBase&amp;J99),"Open quote"))</f>
        <v/>
      </c>
      <c r="L99" s="16" t="n"/>
      <c r="M99" s="16" t="n"/>
      <c r="N99" s="16" t="n"/>
      <c r="O99" s="15">
        <f>IF(C99="","",IF(N(L99)+N(M99)+N(N99)=0,"Not split",IF(ROUND(N(L99)+N(M99)+N(N99),2)=ROUND(H99,2),"OK","MISMATCH")))</f>
        <v/>
      </c>
      <c r="P99" s="16" t="n"/>
      <c r="Q99" s="16" t="n"/>
      <c r="R99" s="16" t="n"/>
      <c r="S99" s="17">
        <f>IF(C99="","",N(P99)+N(Q99)+N(R99))</f>
        <v/>
      </c>
      <c r="T99" s="17">
        <f>IF(C99="","",H99-S99)</f>
        <v/>
      </c>
      <c r="U99" s="54">
        <f>IFERROR(T99/H99,"")</f>
        <v/>
      </c>
      <c r="V99" s="14" t="n"/>
    </row>
    <row r="100" ht="15" customHeight="1">
      <c r="A100" s="51">
        <f>IF(C100="","",IFERROR(IF(SUMPRODUCT(MAX((tbl_Finance[Job Number]=C100&amp;"")*tbl_Finance[Date]))=0,"",SUMPRODUCT(MAX((tbl_Finance[Job Number]=C100&amp;"")*tbl_Finance[Date]))),""))</f>
        <v/>
      </c>
      <c r="B100" s="15">
        <f>IF(A100="","",IFERROR(LOOKUP(2,1/((tbl_Finance[Job Number]=C100&amp;"")*(tbl_Finance[Date]=A100)),tbl_Finance[Xero Invoice No]),""))</f>
        <v/>
      </c>
      <c r="C100" s="14" t="n"/>
      <c r="D100" s="15">
        <f>IF(C100="","",IF(COUNTIF(lst_Jobs,C100&amp;"")&gt;0,"OK","CHECK"))</f>
        <v/>
      </c>
      <c r="E100" s="15">
        <f>IF(C100="","",IFERROR(INDEX(lst_JobName,MATCH(C100&amp;"",lst_Jobs,0)),""))</f>
        <v/>
      </c>
      <c r="F100" s="15">
        <f>IF(C100="","",IFERROR(INDEX(tbl_Finance[Client],MATCH(C100&amp;"",tbl_Finance[Job Number],0)),""))</f>
        <v/>
      </c>
      <c r="G100" s="52">
        <f>IF(C100="","",COUNTIFS(tbl_Finance[Job Number],C100&amp;"",tbl_Finance[Ex GST],"&lt;&gt;"))</f>
        <v/>
      </c>
      <c r="H100" s="17">
        <f>IF(C100="","",SUMIFS(tbl_Finance[Ex GST],tbl_Finance[Job Number],C100&amp;""))</f>
        <v/>
      </c>
      <c r="I100" s="15">
        <f>IF(C100="","",IFERROR(INDEX(tbl_Finance[Cost Centre],MATCH(C100&amp;"",tbl_Finance[Job Number],0)),"not invoiced yet"))</f>
        <v/>
      </c>
      <c r="J100" s="14" t="n"/>
      <c r="K100" s="15">
        <f>IF(J100="","",HYPERLINK(IF(LEFT(J100,4)="http",J100,set_QwilrBase&amp;J100),"Open quote"))</f>
        <v/>
      </c>
      <c r="L100" s="16" t="n"/>
      <c r="M100" s="16" t="n"/>
      <c r="N100" s="16" t="n"/>
      <c r="O100" s="15">
        <f>IF(C100="","",IF(N(L100)+N(M100)+N(N100)=0,"Not split",IF(ROUND(N(L100)+N(M100)+N(N100),2)=ROUND(H100,2),"OK","MISMATCH")))</f>
        <v/>
      </c>
      <c r="P100" s="16" t="n"/>
      <c r="Q100" s="16" t="n"/>
      <c r="R100" s="16" t="n"/>
      <c r="S100" s="17">
        <f>IF(C100="","",N(P100)+N(Q100)+N(R100))</f>
        <v/>
      </c>
      <c r="T100" s="17">
        <f>IF(C100="","",H100-S100)</f>
        <v/>
      </c>
      <c r="U100" s="54">
        <f>IFERROR(T100/H100,"")</f>
        <v/>
      </c>
      <c r="V100" s="14" t="n"/>
    </row>
    <row r="101" ht="15" customHeight="1">
      <c r="A101" s="51">
        <f>IF(C101="","",IFERROR(IF(SUMPRODUCT(MAX((tbl_Finance[Job Number]=C101&amp;"")*tbl_Finance[Date]))=0,"",SUMPRODUCT(MAX((tbl_Finance[Job Number]=C101&amp;"")*tbl_Finance[Date]))),""))</f>
        <v/>
      </c>
      <c r="B101" s="15">
        <f>IF(A101="","",IFERROR(LOOKUP(2,1/((tbl_Finance[Job Number]=C101&amp;"")*(tbl_Finance[Date]=A101)),tbl_Finance[Xero Invoice No]),""))</f>
        <v/>
      </c>
      <c r="C101" s="14" t="n"/>
      <c r="D101" s="15">
        <f>IF(C101="","",IF(COUNTIF(lst_Jobs,C101&amp;"")&gt;0,"OK","CHECK"))</f>
        <v/>
      </c>
      <c r="E101" s="15">
        <f>IF(C101="","",IFERROR(INDEX(lst_JobName,MATCH(C101&amp;"",lst_Jobs,0)),""))</f>
        <v/>
      </c>
      <c r="F101" s="15">
        <f>IF(C101="","",IFERROR(INDEX(tbl_Finance[Client],MATCH(C101&amp;"",tbl_Finance[Job Number],0)),""))</f>
        <v/>
      </c>
      <c r="G101" s="52">
        <f>IF(C101="","",COUNTIFS(tbl_Finance[Job Number],C101&amp;"",tbl_Finance[Ex GST],"&lt;&gt;"))</f>
        <v/>
      </c>
      <c r="H101" s="17">
        <f>IF(C101="","",SUMIFS(tbl_Finance[Ex GST],tbl_Finance[Job Number],C101&amp;""))</f>
        <v/>
      </c>
      <c r="I101" s="15">
        <f>IF(C101="","",IFERROR(INDEX(tbl_Finance[Cost Centre],MATCH(C101&amp;"",tbl_Finance[Job Number],0)),"not invoiced yet"))</f>
        <v/>
      </c>
      <c r="J101" s="14" t="n"/>
      <c r="K101" s="15">
        <f>IF(J101="","",HYPERLINK(IF(LEFT(J101,4)="http",J101,set_QwilrBase&amp;J101),"Open quote"))</f>
        <v/>
      </c>
      <c r="L101" s="16" t="n"/>
      <c r="M101" s="16" t="n"/>
      <c r="N101" s="16" t="n"/>
      <c r="O101" s="15">
        <f>IF(C101="","",IF(N(L101)+N(M101)+N(N101)=0,"Not split",IF(ROUND(N(L101)+N(M101)+N(N101),2)=ROUND(H101,2),"OK","MISMATCH")))</f>
        <v/>
      </c>
      <c r="P101" s="16" t="n"/>
      <c r="Q101" s="16" t="n"/>
      <c r="R101" s="16" t="n"/>
      <c r="S101" s="17">
        <f>IF(C101="","",N(P101)+N(Q101)+N(R101))</f>
        <v/>
      </c>
      <c r="T101" s="17">
        <f>IF(C101="","",H101-S101)</f>
        <v/>
      </c>
      <c r="U101" s="54">
        <f>IFERROR(T101/H101,"")</f>
        <v/>
      </c>
      <c r="V101" s="14" t="n"/>
    </row>
    <row r="102" ht="15" customHeight="1">
      <c r="A102" s="51">
        <f>IF(C102="","",IFERROR(IF(SUMPRODUCT(MAX((tbl_Finance[Job Number]=C102&amp;"")*tbl_Finance[Date]))=0,"",SUMPRODUCT(MAX((tbl_Finance[Job Number]=C102&amp;"")*tbl_Finance[Date]))),""))</f>
        <v/>
      </c>
      <c r="B102" s="15">
        <f>IF(A102="","",IFERROR(LOOKUP(2,1/((tbl_Finance[Job Number]=C102&amp;"")*(tbl_Finance[Date]=A102)),tbl_Finance[Xero Invoice No]),""))</f>
        <v/>
      </c>
      <c r="C102" s="14" t="n"/>
      <c r="D102" s="15">
        <f>IF(C102="","",IF(COUNTIF(lst_Jobs,C102&amp;"")&gt;0,"OK","CHECK"))</f>
        <v/>
      </c>
      <c r="E102" s="15">
        <f>IF(C102="","",IFERROR(INDEX(lst_JobName,MATCH(C102&amp;"",lst_Jobs,0)),""))</f>
        <v/>
      </c>
      <c r="F102" s="15">
        <f>IF(C102="","",IFERROR(INDEX(tbl_Finance[Client],MATCH(C102&amp;"",tbl_Finance[Job Number],0)),""))</f>
        <v/>
      </c>
      <c r="G102" s="52">
        <f>IF(C102="","",COUNTIFS(tbl_Finance[Job Number],C102&amp;"",tbl_Finance[Ex GST],"&lt;&gt;"))</f>
        <v/>
      </c>
      <c r="H102" s="17">
        <f>IF(C102="","",SUMIFS(tbl_Finance[Ex GST],tbl_Finance[Job Number],C102&amp;""))</f>
        <v/>
      </c>
      <c r="I102" s="15">
        <f>IF(C102="","",IFERROR(INDEX(tbl_Finance[Cost Centre],MATCH(C102&amp;"",tbl_Finance[Job Number],0)),"not invoiced yet"))</f>
        <v/>
      </c>
      <c r="J102" s="14" t="n"/>
      <c r="K102" s="15">
        <f>IF(J102="","",HYPERLINK(IF(LEFT(J102,4)="http",J102,set_QwilrBase&amp;J102),"Open quote"))</f>
        <v/>
      </c>
      <c r="L102" s="16" t="n"/>
      <c r="M102" s="16" t="n"/>
      <c r="N102" s="16" t="n"/>
      <c r="O102" s="15">
        <f>IF(C102="","",IF(N(L102)+N(M102)+N(N102)=0,"Not split",IF(ROUND(N(L102)+N(M102)+N(N102),2)=ROUND(H102,2),"OK","MISMATCH")))</f>
        <v/>
      </c>
      <c r="P102" s="16" t="n"/>
      <c r="Q102" s="16" t="n"/>
      <c r="R102" s="16" t="n"/>
      <c r="S102" s="17">
        <f>IF(C102="","",N(P102)+N(Q102)+N(R102))</f>
        <v/>
      </c>
      <c r="T102" s="17">
        <f>IF(C102="","",H102-S102)</f>
        <v/>
      </c>
      <c r="U102" s="54">
        <f>IFERROR(T102/H102,"")</f>
        <v/>
      </c>
      <c r="V102" s="14" t="n"/>
    </row>
    <row r="103" ht="15" customHeight="1">
      <c r="A103" s="51">
        <f>IF(C103="","",IFERROR(IF(SUMPRODUCT(MAX((tbl_Finance[Job Number]=C103&amp;"")*tbl_Finance[Date]))=0,"",SUMPRODUCT(MAX((tbl_Finance[Job Number]=C103&amp;"")*tbl_Finance[Date]))),""))</f>
        <v/>
      </c>
      <c r="B103" s="15">
        <f>IF(A103="","",IFERROR(LOOKUP(2,1/((tbl_Finance[Job Number]=C103&amp;"")*(tbl_Finance[Date]=A103)),tbl_Finance[Xero Invoice No]),""))</f>
        <v/>
      </c>
      <c r="C103" s="14" t="n"/>
      <c r="D103" s="15">
        <f>IF(C103="","",IF(COUNTIF(lst_Jobs,C103&amp;"")&gt;0,"OK","CHECK"))</f>
        <v/>
      </c>
      <c r="E103" s="15">
        <f>IF(C103="","",IFERROR(INDEX(lst_JobName,MATCH(C103&amp;"",lst_Jobs,0)),""))</f>
        <v/>
      </c>
      <c r="F103" s="15">
        <f>IF(C103="","",IFERROR(INDEX(tbl_Finance[Client],MATCH(C103&amp;"",tbl_Finance[Job Number],0)),""))</f>
        <v/>
      </c>
      <c r="G103" s="52">
        <f>IF(C103="","",COUNTIFS(tbl_Finance[Job Number],C103&amp;"",tbl_Finance[Ex GST],"&lt;&gt;"))</f>
        <v/>
      </c>
      <c r="H103" s="17">
        <f>IF(C103="","",SUMIFS(tbl_Finance[Ex GST],tbl_Finance[Job Number],C103&amp;""))</f>
        <v/>
      </c>
      <c r="I103" s="15">
        <f>IF(C103="","",IFERROR(INDEX(tbl_Finance[Cost Centre],MATCH(C103&amp;"",tbl_Finance[Job Number],0)),"not invoiced yet"))</f>
        <v/>
      </c>
      <c r="J103" s="14" t="n"/>
      <c r="K103" s="15">
        <f>IF(J103="","",HYPERLINK(IF(LEFT(J103,4)="http",J103,set_QwilrBase&amp;J103),"Open quote"))</f>
        <v/>
      </c>
      <c r="L103" s="16" t="n"/>
      <c r="M103" s="16" t="n"/>
      <c r="N103" s="16" t="n"/>
      <c r="O103" s="15">
        <f>IF(C103="","",IF(N(L103)+N(M103)+N(N103)=0,"Not split",IF(ROUND(N(L103)+N(M103)+N(N103),2)=ROUND(H103,2),"OK","MISMATCH")))</f>
        <v/>
      </c>
      <c r="P103" s="16" t="n"/>
      <c r="Q103" s="16" t="n"/>
      <c r="R103" s="16" t="n"/>
      <c r="S103" s="17">
        <f>IF(C103="","",N(P103)+N(Q103)+N(R103))</f>
        <v/>
      </c>
      <c r="T103" s="17">
        <f>IF(C103="","",H103-S103)</f>
        <v/>
      </c>
      <c r="U103" s="54">
        <f>IFERROR(T103/H103,"")</f>
        <v/>
      </c>
      <c r="V103" s="14" t="n"/>
    </row>
    <row r="104" ht="15" customHeight="1">
      <c r="A104" s="51">
        <f>IF(C104="","",IFERROR(IF(SUMPRODUCT(MAX((tbl_Finance[Job Number]=C104&amp;"")*tbl_Finance[Date]))=0,"",SUMPRODUCT(MAX((tbl_Finance[Job Number]=C104&amp;"")*tbl_Finance[Date]))),""))</f>
        <v/>
      </c>
      <c r="B104" s="15">
        <f>IF(A104="","",IFERROR(LOOKUP(2,1/((tbl_Finance[Job Number]=C104&amp;"")*(tbl_Finance[Date]=A104)),tbl_Finance[Xero Invoice No]),""))</f>
        <v/>
      </c>
      <c r="C104" s="14" t="n"/>
      <c r="D104" s="15">
        <f>IF(C104="","",IF(COUNTIF(lst_Jobs,C104&amp;"")&gt;0,"OK","CHECK"))</f>
        <v/>
      </c>
      <c r="E104" s="15">
        <f>IF(C104="","",IFERROR(INDEX(lst_JobName,MATCH(C104&amp;"",lst_Jobs,0)),""))</f>
        <v/>
      </c>
      <c r="F104" s="15">
        <f>IF(C104="","",IFERROR(INDEX(tbl_Finance[Client],MATCH(C104&amp;"",tbl_Finance[Job Number],0)),""))</f>
        <v/>
      </c>
      <c r="G104" s="52">
        <f>IF(C104="","",COUNTIFS(tbl_Finance[Job Number],C104&amp;"",tbl_Finance[Ex GST],"&lt;&gt;"))</f>
        <v/>
      </c>
      <c r="H104" s="17">
        <f>IF(C104="","",SUMIFS(tbl_Finance[Ex GST],tbl_Finance[Job Number],C104&amp;""))</f>
        <v/>
      </c>
      <c r="I104" s="15">
        <f>IF(C104="","",IFERROR(INDEX(tbl_Finance[Cost Centre],MATCH(C104&amp;"",tbl_Finance[Job Number],0)),"not invoiced yet"))</f>
        <v/>
      </c>
      <c r="J104" s="14" t="n"/>
      <c r="K104" s="15">
        <f>IF(J104="","",HYPERLINK(IF(LEFT(J104,4)="http",J104,set_QwilrBase&amp;J104),"Open quote"))</f>
        <v/>
      </c>
      <c r="L104" s="16" t="n"/>
      <c r="M104" s="16" t="n"/>
      <c r="N104" s="16" t="n"/>
      <c r="O104" s="15">
        <f>IF(C104="","",IF(N(L104)+N(M104)+N(N104)=0,"Not split",IF(ROUND(N(L104)+N(M104)+N(N104),2)=ROUND(H104,2),"OK","MISMATCH")))</f>
        <v/>
      </c>
      <c r="P104" s="16" t="n"/>
      <c r="Q104" s="16" t="n"/>
      <c r="R104" s="16" t="n"/>
      <c r="S104" s="17">
        <f>IF(C104="","",N(P104)+N(Q104)+N(R104))</f>
        <v/>
      </c>
      <c r="T104" s="17">
        <f>IF(C104="","",H104-S104)</f>
        <v/>
      </c>
      <c r="U104" s="54">
        <f>IFERROR(T104/H104,"")</f>
        <v/>
      </c>
      <c r="V104" s="14" t="n"/>
    </row>
    <row r="105" ht="15" customHeight="1">
      <c r="A105" s="51">
        <f>IF(C105="","",IFERROR(IF(SUMPRODUCT(MAX((tbl_Finance[Job Number]=C105&amp;"")*tbl_Finance[Date]))=0,"",SUMPRODUCT(MAX((tbl_Finance[Job Number]=C105&amp;"")*tbl_Finance[Date]))),""))</f>
        <v/>
      </c>
      <c r="B105" s="15">
        <f>IF(A105="","",IFERROR(LOOKUP(2,1/((tbl_Finance[Job Number]=C105&amp;"")*(tbl_Finance[Date]=A105)),tbl_Finance[Xero Invoice No]),""))</f>
        <v/>
      </c>
      <c r="C105" s="14" t="n"/>
      <c r="D105" s="15">
        <f>IF(C105="","",IF(COUNTIF(lst_Jobs,C105&amp;"")&gt;0,"OK","CHECK"))</f>
        <v/>
      </c>
      <c r="E105" s="15">
        <f>IF(C105="","",IFERROR(INDEX(lst_JobName,MATCH(C105&amp;"",lst_Jobs,0)),""))</f>
        <v/>
      </c>
      <c r="F105" s="15">
        <f>IF(C105="","",IFERROR(INDEX(tbl_Finance[Client],MATCH(C105&amp;"",tbl_Finance[Job Number],0)),""))</f>
        <v/>
      </c>
      <c r="G105" s="52">
        <f>IF(C105="","",COUNTIFS(tbl_Finance[Job Number],C105&amp;"",tbl_Finance[Ex GST],"&lt;&gt;"))</f>
        <v/>
      </c>
      <c r="H105" s="17">
        <f>IF(C105="","",SUMIFS(tbl_Finance[Ex GST],tbl_Finance[Job Number],C105&amp;""))</f>
        <v/>
      </c>
      <c r="I105" s="15">
        <f>IF(C105="","",IFERROR(INDEX(tbl_Finance[Cost Centre],MATCH(C105&amp;"",tbl_Finance[Job Number],0)),"not invoiced yet"))</f>
        <v/>
      </c>
      <c r="J105" s="14" t="n"/>
      <c r="K105" s="15">
        <f>IF(J105="","",HYPERLINK(IF(LEFT(J105,4)="http",J105,set_QwilrBase&amp;J105),"Open quote"))</f>
        <v/>
      </c>
      <c r="L105" s="16" t="n"/>
      <c r="M105" s="16" t="n"/>
      <c r="N105" s="16" t="n"/>
      <c r="O105" s="15">
        <f>IF(C105="","",IF(N(L105)+N(M105)+N(N105)=0,"Not split",IF(ROUND(N(L105)+N(M105)+N(N105),2)=ROUND(H105,2),"OK","MISMATCH")))</f>
        <v/>
      </c>
      <c r="P105" s="16" t="n"/>
      <c r="Q105" s="16" t="n"/>
      <c r="R105" s="16" t="n"/>
      <c r="S105" s="17">
        <f>IF(C105="","",N(P105)+N(Q105)+N(R105))</f>
        <v/>
      </c>
      <c r="T105" s="17">
        <f>IF(C105="","",H105-S105)</f>
        <v/>
      </c>
      <c r="U105" s="54">
        <f>IFERROR(T105/H105,"")</f>
        <v/>
      </c>
      <c r="V105" s="14" t="n"/>
    </row>
    <row r="106" ht="15" customHeight="1">
      <c r="A106" s="51">
        <f>IF(C106="","",IFERROR(IF(SUMPRODUCT(MAX((tbl_Finance[Job Number]=C106&amp;"")*tbl_Finance[Date]))=0,"",SUMPRODUCT(MAX((tbl_Finance[Job Number]=C106&amp;"")*tbl_Finance[Date]))),""))</f>
        <v/>
      </c>
      <c r="B106" s="15">
        <f>IF(A106="","",IFERROR(LOOKUP(2,1/((tbl_Finance[Job Number]=C106&amp;"")*(tbl_Finance[Date]=A106)),tbl_Finance[Xero Invoice No]),""))</f>
        <v/>
      </c>
      <c r="C106" s="14" t="n"/>
      <c r="D106" s="15">
        <f>IF(C106="","",IF(COUNTIF(lst_Jobs,C106&amp;"")&gt;0,"OK","CHECK"))</f>
        <v/>
      </c>
      <c r="E106" s="15">
        <f>IF(C106="","",IFERROR(INDEX(lst_JobName,MATCH(C106&amp;"",lst_Jobs,0)),""))</f>
        <v/>
      </c>
      <c r="F106" s="15">
        <f>IF(C106="","",IFERROR(INDEX(tbl_Finance[Client],MATCH(C106&amp;"",tbl_Finance[Job Number],0)),""))</f>
        <v/>
      </c>
      <c r="G106" s="52">
        <f>IF(C106="","",COUNTIFS(tbl_Finance[Job Number],C106&amp;"",tbl_Finance[Ex GST],"&lt;&gt;"))</f>
        <v/>
      </c>
      <c r="H106" s="17">
        <f>IF(C106="","",SUMIFS(tbl_Finance[Ex GST],tbl_Finance[Job Number],C106&amp;""))</f>
        <v/>
      </c>
      <c r="I106" s="15">
        <f>IF(C106="","",IFERROR(INDEX(tbl_Finance[Cost Centre],MATCH(C106&amp;"",tbl_Finance[Job Number],0)),"not invoiced yet"))</f>
        <v/>
      </c>
      <c r="J106" s="14" t="n"/>
      <c r="K106" s="15">
        <f>IF(J106="","",HYPERLINK(IF(LEFT(J106,4)="http",J106,set_QwilrBase&amp;J106),"Open quote"))</f>
        <v/>
      </c>
      <c r="L106" s="16" t="n"/>
      <c r="M106" s="16" t="n"/>
      <c r="N106" s="16" t="n"/>
      <c r="O106" s="15">
        <f>IF(C106="","",IF(N(L106)+N(M106)+N(N106)=0,"Not split",IF(ROUND(N(L106)+N(M106)+N(N106),2)=ROUND(H106,2),"OK","MISMATCH")))</f>
        <v/>
      </c>
      <c r="P106" s="16" t="n"/>
      <c r="Q106" s="16" t="n"/>
      <c r="R106" s="16" t="n"/>
      <c r="S106" s="17">
        <f>IF(C106="","",N(P106)+N(Q106)+N(R106))</f>
        <v/>
      </c>
      <c r="T106" s="17">
        <f>IF(C106="","",H106-S106)</f>
        <v/>
      </c>
      <c r="U106" s="54">
        <f>IFERROR(T106/H106,"")</f>
        <v/>
      </c>
      <c r="V106" s="14" t="n"/>
    </row>
    <row r="107" ht="15" customHeight="1">
      <c r="A107" s="51">
        <f>IF(C107="","",IFERROR(IF(SUMPRODUCT(MAX((tbl_Finance[Job Number]=C107&amp;"")*tbl_Finance[Date]))=0,"",SUMPRODUCT(MAX((tbl_Finance[Job Number]=C107&amp;"")*tbl_Finance[Date]))),""))</f>
        <v/>
      </c>
      <c r="B107" s="15">
        <f>IF(A107="","",IFERROR(LOOKUP(2,1/((tbl_Finance[Job Number]=C107&amp;"")*(tbl_Finance[Date]=A107)),tbl_Finance[Xero Invoice No]),""))</f>
        <v/>
      </c>
      <c r="C107" s="14" t="n"/>
      <c r="D107" s="15">
        <f>IF(C107="","",IF(COUNTIF(lst_Jobs,C107&amp;"")&gt;0,"OK","CHECK"))</f>
        <v/>
      </c>
      <c r="E107" s="15">
        <f>IF(C107="","",IFERROR(INDEX(lst_JobName,MATCH(C107&amp;"",lst_Jobs,0)),""))</f>
        <v/>
      </c>
      <c r="F107" s="15">
        <f>IF(C107="","",IFERROR(INDEX(tbl_Finance[Client],MATCH(C107&amp;"",tbl_Finance[Job Number],0)),""))</f>
        <v/>
      </c>
      <c r="G107" s="52">
        <f>IF(C107="","",COUNTIFS(tbl_Finance[Job Number],C107&amp;"",tbl_Finance[Ex GST],"&lt;&gt;"))</f>
        <v/>
      </c>
      <c r="H107" s="17">
        <f>IF(C107="","",SUMIFS(tbl_Finance[Ex GST],tbl_Finance[Job Number],C107&amp;""))</f>
        <v/>
      </c>
      <c r="I107" s="15">
        <f>IF(C107="","",IFERROR(INDEX(tbl_Finance[Cost Centre],MATCH(C107&amp;"",tbl_Finance[Job Number],0)),"not invoiced yet"))</f>
        <v/>
      </c>
      <c r="J107" s="14" t="n"/>
      <c r="K107" s="15">
        <f>IF(J107="","",HYPERLINK(IF(LEFT(J107,4)="http",J107,set_QwilrBase&amp;J107),"Open quote"))</f>
        <v/>
      </c>
      <c r="L107" s="16" t="n"/>
      <c r="M107" s="16" t="n"/>
      <c r="N107" s="16" t="n"/>
      <c r="O107" s="15">
        <f>IF(C107="","",IF(N(L107)+N(M107)+N(N107)=0,"Not split",IF(ROUND(N(L107)+N(M107)+N(N107),2)=ROUND(H107,2),"OK","MISMATCH")))</f>
        <v/>
      </c>
      <c r="P107" s="16" t="n"/>
      <c r="Q107" s="16" t="n"/>
      <c r="R107" s="16" t="n"/>
      <c r="S107" s="17">
        <f>IF(C107="","",N(P107)+N(Q107)+N(R107))</f>
        <v/>
      </c>
      <c r="T107" s="17">
        <f>IF(C107="","",H107-S107)</f>
        <v/>
      </c>
      <c r="U107" s="54">
        <f>IFERROR(T107/H107,"")</f>
        <v/>
      </c>
      <c r="V107" s="14" t="n"/>
    </row>
    <row r="108" ht="15" customHeight="1">
      <c r="A108" s="51">
        <f>IF(C108="","",IFERROR(IF(SUMPRODUCT(MAX((tbl_Finance[Job Number]=C108&amp;"")*tbl_Finance[Date]))=0,"",SUMPRODUCT(MAX((tbl_Finance[Job Number]=C108&amp;"")*tbl_Finance[Date]))),""))</f>
        <v/>
      </c>
      <c r="B108" s="15">
        <f>IF(A108="","",IFERROR(LOOKUP(2,1/((tbl_Finance[Job Number]=C108&amp;"")*(tbl_Finance[Date]=A108)),tbl_Finance[Xero Invoice No]),""))</f>
        <v/>
      </c>
      <c r="C108" s="14" t="n"/>
      <c r="D108" s="15">
        <f>IF(C108="","",IF(COUNTIF(lst_Jobs,C108&amp;"")&gt;0,"OK","CHECK"))</f>
        <v/>
      </c>
      <c r="E108" s="15">
        <f>IF(C108="","",IFERROR(INDEX(lst_JobName,MATCH(C108&amp;"",lst_Jobs,0)),""))</f>
        <v/>
      </c>
      <c r="F108" s="15">
        <f>IF(C108="","",IFERROR(INDEX(tbl_Finance[Client],MATCH(C108&amp;"",tbl_Finance[Job Number],0)),""))</f>
        <v/>
      </c>
      <c r="G108" s="52">
        <f>IF(C108="","",COUNTIFS(tbl_Finance[Job Number],C108&amp;"",tbl_Finance[Ex GST],"&lt;&gt;"))</f>
        <v/>
      </c>
      <c r="H108" s="17">
        <f>IF(C108="","",SUMIFS(tbl_Finance[Ex GST],tbl_Finance[Job Number],C108&amp;""))</f>
        <v/>
      </c>
      <c r="I108" s="15">
        <f>IF(C108="","",IFERROR(INDEX(tbl_Finance[Cost Centre],MATCH(C108&amp;"",tbl_Finance[Job Number],0)),"not invoiced yet"))</f>
        <v/>
      </c>
      <c r="J108" s="14" t="n"/>
      <c r="K108" s="15">
        <f>IF(J108="","",HYPERLINK(IF(LEFT(J108,4)="http",J108,set_QwilrBase&amp;J108),"Open quote"))</f>
        <v/>
      </c>
      <c r="L108" s="16" t="n"/>
      <c r="M108" s="16" t="n"/>
      <c r="N108" s="16" t="n"/>
      <c r="O108" s="15">
        <f>IF(C108="","",IF(N(L108)+N(M108)+N(N108)=0,"Not split",IF(ROUND(N(L108)+N(M108)+N(N108),2)=ROUND(H108,2),"OK","MISMATCH")))</f>
        <v/>
      </c>
      <c r="P108" s="16" t="n"/>
      <c r="Q108" s="16" t="n"/>
      <c r="R108" s="16" t="n"/>
      <c r="S108" s="17">
        <f>IF(C108="","",N(P108)+N(Q108)+N(R108))</f>
        <v/>
      </c>
      <c r="T108" s="17">
        <f>IF(C108="","",H108-S108)</f>
        <v/>
      </c>
      <c r="U108" s="54">
        <f>IFERROR(T108/H108,"")</f>
        <v/>
      </c>
      <c r="V108" s="14" t="n"/>
    </row>
    <row r="109" ht="15" customHeight="1">
      <c r="A109" s="51">
        <f>IF(C109="","",IFERROR(IF(SUMPRODUCT(MAX((tbl_Finance[Job Number]=C109&amp;"")*tbl_Finance[Date]))=0,"",SUMPRODUCT(MAX((tbl_Finance[Job Number]=C109&amp;"")*tbl_Finance[Date]))),""))</f>
        <v/>
      </c>
      <c r="B109" s="15">
        <f>IF(A109="","",IFERROR(LOOKUP(2,1/((tbl_Finance[Job Number]=C109&amp;"")*(tbl_Finance[Date]=A109)),tbl_Finance[Xero Invoice No]),""))</f>
        <v/>
      </c>
      <c r="C109" s="14" t="n"/>
      <c r="D109" s="15">
        <f>IF(C109="","",IF(COUNTIF(lst_Jobs,C109&amp;"")&gt;0,"OK","CHECK"))</f>
        <v/>
      </c>
      <c r="E109" s="15">
        <f>IF(C109="","",IFERROR(INDEX(lst_JobName,MATCH(C109&amp;"",lst_Jobs,0)),""))</f>
        <v/>
      </c>
      <c r="F109" s="15">
        <f>IF(C109="","",IFERROR(INDEX(tbl_Finance[Client],MATCH(C109&amp;"",tbl_Finance[Job Number],0)),""))</f>
        <v/>
      </c>
      <c r="G109" s="52">
        <f>IF(C109="","",COUNTIFS(tbl_Finance[Job Number],C109&amp;"",tbl_Finance[Ex GST],"&lt;&gt;"))</f>
        <v/>
      </c>
      <c r="H109" s="17">
        <f>IF(C109="","",SUMIFS(tbl_Finance[Ex GST],tbl_Finance[Job Number],C109&amp;""))</f>
        <v/>
      </c>
      <c r="I109" s="15">
        <f>IF(C109="","",IFERROR(INDEX(tbl_Finance[Cost Centre],MATCH(C109&amp;"",tbl_Finance[Job Number],0)),"not invoiced yet"))</f>
        <v/>
      </c>
      <c r="J109" s="14" t="n"/>
      <c r="K109" s="15">
        <f>IF(J109="","",HYPERLINK(IF(LEFT(J109,4)="http",J109,set_QwilrBase&amp;J109),"Open quote"))</f>
        <v/>
      </c>
      <c r="L109" s="16" t="n"/>
      <c r="M109" s="16" t="n"/>
      <c r="N109" s="16" t="n"/>
      <c r="O109" s="15">
        <f>IF(C109="","",IF(N(L109)+N(M109)+N(N109)=0,"Not split",IF(ROUND(N(L109)+N(M109)+N(N109),2)=ROUND(H109,2),"OK","MISMATCH")))</f>
        <v/>
      </c>
      <c r="P109" s="16" t="n"/>
      <c r="Q109" s="16" t="n"/>
      <c r="R109" s="16" t="n"/>
      <c r="S109" s="17">
        <f>IF(C109="","",N(P109)+N(Q109)+N(R109))</f>
        <v/>
      </c>
      <c r="T109" s="17">
        <f>IF(C109="","",H109-S109)</f>
        <v/>
      </c>
      <c r="U109" s="54">
        <f>IFERROR(T109/H109,"")</f>
        <v/>
      </c>
      <c r="V109" s="14" t="n"/>
    </row>
    <row r="110" ht="15" customHeight="1">
      <c r="A110" s="51">
        <f>IF(C110="","",IFERROR(IF(SUMPRODUCT(MAX((tbl_Finance[Job Number]=C110&amp;"")*tbl_Finance[Date]))=0,"",SUMPRODUCT(MAX((tbl_Finance[Job Number]=C110&amp;"")*tbl_Finance[Date]))),""))</f>
        <v/>
      </c>
      <c r="B110" s="15">
        <f>IF(A110="","",IFERROR(LOOKUP(2,1/((tbl_Finance[Job Number]=C110&amp;"")*(tbl_Finance[Date]=A110)),tbl_Finance[Xero Invoice No]),""))</f>
        <v/>
      </c>
      <c r="C110" s="14" t="n"/>
      <c r="D110" s="15">
        <f>IF(C110="","",IF(COUNTIF(lst_Jobs,C110&amp;"")&gt;0,"OK","CHECK"))</f>
        <v/>
      </c>
      <c r="E110" s="15">
        <f>IF(C110="","",IFERROR(INDEX(lst_JobName,MATCH(C110&amp;"",lst_Jobs,0)),""))</f>
        <v/>
      </c>
      <c r="F110" s="15">
        <f>IF(C110="","",IFERROR(INDEX(tbl_Finance[Client],MATCH(C110&amp;"",tbl_Finance[Job Number],0)),""))</f>
        <v/>
      </c>
      <c r="G110" s="52">
        <f>IF(C110="","",COUNTIFS(tbl_Finance[Job Number],C110&amp;"",tbl_Finance[Ex GST],"&lt;&gt;"))</f>
        <v/>
      </c>
      <c r="H110" s="17">
        <f>IF(C110="","",SUMIFS(tbl_Finance[Ex GST],tbl_Finance[Job Number],C110&amp;""))</f>
        <v/>
      </c>
      <c r="I110" s="15">
        <f>IF(C110="","",IFERROR(INDEX(tbl_Finance[Cost Centre],MATCH(C110&amp;"",tbl_Finance[Job Number],0)),"not invoiced yet"))</f>
        <v/>
      </c>
      <c r="J110" s="14" t="n"/>
      <c r="K110" s="15">
        <f>IF(J110="","",HYPERLINK(IF(LEFT(J110,4)="http",J110,set_QwilrBase&amp;J110),"Open quote"))</f>
        <v/>
      </c>
      <c r="L110" s="16" t="n"/>
      <c r="M110" s="16" t="n"/>
      <c r="N110" s="16" t="n"/>
      <c r="O110" s="15">
        <f>IF(C110="","",IF(N(L110)+N(M110)+N(N110)=0,"Not split",IF(ROUND(N(L110)+N(M110)+N(N110),2)=ROUND(H110,2),"OK","MISMATCH")))</f>
        <v/>
      </c>
      <c r="P110" s="16" t="n"/>
      <c r="Q110" s="16" t="n"/>
      <c r="R110" s="16" t="n"/>
      <c r="S110" s="17">
        <f>IF(C110="","",N(P110)+N(Q110)+N(R110))</f>
        <v/>
      </c>
      <c r="T110" s="17">
        <f>IF(C110="","",H110-S110)</f>
        <v/>
      </c>
      <c r="U110" s="54">
        <f>IFERROR(T110/H110,"")</f>
        <v/>
      </c>
      <c r="V110" s="14" t="n"/>
    </row>
    <row r="111" ht="15" customHeight="1">
      <c r="A111" s="51">
        <f>IF(C111="","",IFERROR(IF(SUMPRODUCT(MAX((tbl_Finance[Job Number]=C111&amp;"")*tbl_Finance[Date]))=0,"",SUMPRODUCT(MAX((tbl_Finance[Job Number]=C111&amp;"")*tbl_Finance[Date]))),""))</f>
        <v/>
      </c>
      <c r="B111" s="15">
        <f>IF(A111="","",IFERROR(LOOKUP(2,1/((tbl_Finance[Job Number]=C111&amp;"")*(tbl_Finance[Date]=A111)),tbl_Finance[Xero Invoice No]),""))</f>
        <v/>
      </c>
      <c r="C111" s="14" t="n"/>
      <c r="D111" s="15">
        <f>IF(C111="","",IF(COUNTIF(lst_Jobs,C111&amp;"")&gt;0,"OK","CHECK"))</f>
        <v/>
      </c>
      <c r="E111" s="15">
        <f>IF(C111="","",IFERROR(INDEX(lst_JobName,MATCH(C111&amp;"",lst_Jobs,0)),""))</f>
        <v/>
      </c>
      <c r="F111" s="15">
        <f>IF(C111="","",IFERROR(INDEX(tbl_Finance[Client],MATCH(C111&amp;"",tbl_Finance[Job Number],0)),""))</f>
        <v/>
      </c>
      <c r="G111" s="52">
        <f>IF(C111="","",COUNTIFS(tbl_Finance[Job Number],C111&amp;"",tbl_Finance[Ex GST],"&lt;&gt;"))</f>
        <v/>
      </c>
      <c r="H111" s="17">
        <f>IF(C111="","",SUMIFS(tbl_Finance[Ex GST],tbl_Finance[Job Number],C111&amp;""))</f>
        <v/>
      </c>
      <c r="I111" s="15">
        <f>IF(C111="","",IFERROR(INDEX(tbl_Finance[Cost Centre],MATCH(C111&amp;"",tbl_Finance[Job Number],0)),"not invoiced yet"))</f>
        <v/>
      </c>
      <c r="J111" s="14" t="n"/>
      <c r="K111" s="15">
        <f>IF(J111="","",HYPERLINK(IF(LEFT(J111,4)="http",J111,set_QwilrBase&amp;J111),"Open quote"))</f>
        <v/>
      </c>
      <c r="L111" s="16" t="n"/>
      <c r="M111" s="16" t="n"/>
      <c r="N111" s="16" t="n"/>
      <c r="O111" s="15">
        <f>IF(C111="","",IF(N(L111)+N(M111)+N(N111)=0,"Not split",IF(ROUND(N(L111)+N(M111)+N(N111),2)=ROUND(H111,2),"OK","MISMATCH")))</f>
        <v/>
      </c>
      <c r="P111" s="16" t="n"/>
      <c r="Q111" s="16" t="n"/>
      <c r="R111" s="16" t="n"/>
      <c r="S111" s="17">
        <f>IF(C111="","",N(P111)+N(Q111)+N(R111))</f>
        <v/>
      </c>
      <c r="T111" s="17">
        <f>IF(C111="","",H111-S111)</f>
        <v/>
      </c>
      <c r="U111" s="54">
        <f>IFERROR(T111/H111,"")</f>
        <v/>
      </c>
      <c r="V111" s="14" t="n"/>
    </row>
    <row r="112" ht="15" customHeight="1">
      <c r="A112" s="51">
        <f>IF(C112="","",IFERROR(IF(SUMPRODUCT(MAX((tbl_Finance[Job Number]=C112&amp;"")*tbl_Finance[Date]))=0,"",SUMPRODUCT(MAX((tbl_Finance[Job Number]=C112&amp;"")*tbl_Finance[Date]))),""))</f>
        <v/>
      </c>
      <c r="B112" s="15">
        <f>IF(A112="","",IFERROR(LOOKUP(2,1/((tbl_Finance[Job Number]=C112&amp;"")*(tbl_Finance[Date]=A112)),tbl_Finance[Xero Invoice No]),""))</f>
        <v/>
      </c>
      <c r="C112" s="14" t="n"/>
      <c r="D112" s="15">
        <f>IF(C112="","",IF(COUNTIF(lst_Jobs,C112&amp;"")&gt;0,"OK","CHECK"))</f>
        <v/>
      </c>
      <c r="E112" s="15">
        <f>IF(C112="","",IFERROR(INDEX(lst_JobName,MATCH(C112&amp;"",lst_Jobs,0)),""))</f>
        <v/>
      </c>
      <c r="F112" s="15">
        <f>IF(C112="","",IFERROR(INDEX(tbl_Finance[Client],MATCH(C112&amp;"",tbl_Finance[Job Number],0)),""))</f>
        <v/>
      </c>
      <c r="G112" s="52">
        <f>IF(C112="","",COUNTIFS(tbl_Finance[Job Number],C112&amp;"",tbl_Finance[Ex GST],"&lt;&gt;"))</f>
        <v/>
      </c>
      <c r="H112" s="17">
        <f>IF(C112="","",SUMIFS(tbl_Finance[Ex GST],tbl_Finance[Job Number],C112&amp;""))</f>
        <v/>
      </c>
      <c r="I112" s="15">
        <f>IF(C112="","",IFERROR(INDEX(tbl_Finance[Cost Centre],MATCH(C112&amp;"",tbl_Finance[Job Number],0)),"not invoiced yet"))</f>
        <v/>
      </c>
      <c r="J112" s="14" t="n"/>
      <c r="K112" s="15">
        <f>IF(J112="","",HYPERLINK(IF(LEFT(J112,4)="http",J112,set_QwilrBase&amp;J112),"Open quote"))</f>
        <v/>
      </c>
      <c r="L112" s="16" t="n"/>
      <c r="M112" s="16" t="n"/>
      <c r="N112" s="16" t="n"/>
      <c r="O112" s="15">
        <f>IF(C112="","",IF(N(L112)+N(M112)+N(N112)=0,"Not split",IF(ROUND(N(L112)+N(M112)+N(N112),2)=ROUND(H112,2),"OK","MISMATCH")))</f>
        <v/>
      </c>
      <c r="P112" s="16" t="n"/>
      <c r="Q112" s="16" t="n"/>
      <c r="R112" s="16" t="n"/>
      <c r="S112" s="17">
        <f>IF(C112="","",N(P112)+N(Q112)+N(R112))</f>
        <v/>
      </c>
      <c r="T112" s="17">
        <f>IF(C112="","",H112-S112)</f>
        <v/>
      </c>
      <c r="U112" s="54">
        <f>IFERROR(T112/H112,"")</f>
        <v/>
      </c>
      <c r="V112" s="14" t="n"/>
    </row>
    <row r="113" ht="15" customHeight="1">
      <c r="A113" s="51">
        <f>IF(C113="","",IFERROR(IF(SUMPRODUCT(MAX((tbl_Finance[Job Number]=C113&amp;"")*tbl_Finance[Date]))=0,"",SUMPRODUCT(MAX((tbl_Finance[Job Number]=C113&amp;"")*tbl_Finance[Date]))),""))</f>
        <v/>
      </c>
      <c r="B113" s="15">
        <f>IF(A113="","",IFERROR(LOOKUP(2,1/((tbl_Finance[Job Number]=C113&amp;"")*(tbl_Finance[Date]=A113)),tbl_Finance[Xero Invoice No]),""))</f>
        <v/>
      </c>
      <c r="C113" s="14" t="n"/>
      <c r="D113" s="15">
        <f>IF(C113="","",IF(COUNTIF(lst_Jobs,C113&amp;"")&gt;0,"OK","CHECK"))</f>
        <v/>
      </c>
      <c r="E113" s="15">
        <f>IF(C113="","",IFERROR(INDEX(lst_JobName,MATCH(C113&amp;"",lst_Jobs,0)),""))</f>
        <v/>
      </c>
      <c r="F113" s="15">
        <f>IF(C113="","",IFERROR(INDEX(tbl_Finance[Client],MATCH(C113&amp;"",tbl_Finance[Job Number],0)),""))</f>
        <v/>
      </c>
      <c r="G113" s="52">
        <f>IF(C113="","",COUNTIFS(tbl_Finance[Job Number],C113&amp;"",tbl_Finance[Ex GST],"&lt;&gt;"))</f>
        <v/>
      </c>
      <c r="H113" s="17">
        <f>IF(C113="","",SUMIFS(tbl_Finance[Ex GST],tbl_Finance[Job Number],C113&amp;""))</f>
        <v/>
      </c>
      <c r="I113" s="15">
        <f>IF(C113="","",IFERROR(INDEX(tbl_Finance[Cost Centre],MATCH(C113&amp;"",tbl_Finance[Job Number],0)),"not invoiced yet"))</f>
        <v/>
      </c>
      <c r="J113" s="14" t="n"/>
      <c r="K113" s="15">
        <f>IF(J113="","",HYPERLINK(IF(LEFT(J113,4)="http",J113,set_QwilrBase&amp;J113),"Open quote"))</f>
        <v/>
      </c>
      <c r="L113" s="16" t="n"/>
      <c r="M113" s="16" t="n"/>
      <c r="N113" s="16" t="n"/>
      <c r="O113" s="15">
        <f>IF(C113="","",IF(N(L113)+N(M113)+N(N113)=0,"Not split",IF(ROUND(N(L113)+N(M113)+N(N113),2)=ROUND(H113,2),"OK","MISMATCH")))</f>
        <v/>
      </c>
      <c r="P113" s="16" t="n"/>
      <c r="Q113" s="16" t="n"/>
      <c r="R113" s="16" t="n"/>
      <c r="S113" s="17">
        <f>IF(C113="","",N(P113)+N(Q113)+N(R113))</f>
        <v/>
      </c>
      <c r="T113" s="17">
        <f>IF(C113="","",H113-S113)</f>
        <v/>
      </c>
      <c r="U113" s="54">
        <f>IFERROR(T113/H113,"")</f>
        <v/>
      </c>
      <c r="V113" s="14" t="n"/>
    </row>
    <row r="114" ht="15" customHeight="1">
      <c r="A114" s="51">
        <f>IF(C114="","",IFERROR(IF(SUMPRODUCT(MAX((tbl_Finance[Job Number]=C114&amp;"")*tbl_Finance[Date]))=0,"",SUMPRODUCT(MAX((tbl_Finance[Job Number]=C114&amp;"")*tbl_Finance[Date]))),""))</f>
        <v/>
      </c>
      <c r="B114" s="15">
        <f>IF(A114="","",IFERROR(LOOKUP(2,1/((tbl_Finance[Job Number]=C114&amp;"")*(tbl_Finance[Date]=A114)),tbl_Finance[Xero Invoice No]),""))</f>
        <v/>
      </c>
      <c r="C114" s="14" t="n"/>
      <c r="D114" s="15">
        <f>IF(C114="","",IF(COUNTIF(lst_Jobs,C114&amp;"")&gt;0,"OK","CHECK"))</f>
        <v/>
      </c>
      <c r="E114" s="15">
        <f>IF(C114="","",IFERROR(INDEX(lst_JobName,MATCH(C114&amp;"",lst_Jobs,0)),""))</f>
        <v/>
      </c>
      <c r="F114" s="15">
        <f>IF(C114="","",IFERROR(INDEX(tbl_Finance[Client],MATCH(C114&amp;"",tbl_Finance[Job Number],0)),""))</f>
        <v/>
      </c>
      <c r="G114" s="52">
        <f>IF(C114="","",COUNTIFS(tbl_Finance[Job Number],C114&amp;"",tbl_Finance[Ex GST],"&lt;&gt;"))</f>
        <v/>
      </c>
      <c r="H114" s="17">
        <f>IF(C114="","",SUMIFS(tbl_Finance[Ex GST],tbl_Finance[Job Number],C114&amp;""))</f>
        <v/>
      </c>
      <c r="I114" s="15">
        <f>IF(C114="","",IFERROR(INDEX(tbl_Finance[Cost Centre],MATCH(C114&amp;"",tbl_Finance[Job Number],0)),"not invoiced yet"))</f>
        <v/>
      </c>
      <c r="J114" s="14" t="n"/>
      <c r="K114" s="15">
        <f>IF(J114="","",HYPERLINK(IF(LEFT(J114,4)="http",J114,set_QwilrBase&amp;J114),"Open quote"))</f>
        <v/>
      </c>
      <c r="L114" s="16" t="n"/>
      <c r="M114" s="16" t="n"/>
      <c r="N114" s="16" t="n"/>
      <c r="O114" s="15">
        <f>IF(C114="","",IF(N(L114)+N(M114)+N(N114)=0,"Not split",IF(ROUND(N(L114)+N(M114)+N(N114),2)=ROUND(H114,2),"OK","MISMATCH")))</f>
        <v/>
      </c>
      <c r="P114" s="16" t="n"/>
      <c r="Q114" s="16" t="n"/>
      <c r="R114" s="16" t="n"/>
      <c r="S114" s="17">
        <f>IF(C114="","",N(P114)+N(Q114)+N(R114))</f>
        <v/>
      </c>
      <c r="T114" s="17">
        <f>IF(C114="","",H114-S114)</f>
        <v/>
      </c>
      <c r="U114" s="54">
        <f>IFERROR(T114/H114,"")</f>
        <v/>
      </c>
      <c r="V114" s="14" t="n"/>
    </row>
    <row r="115" ht="15" customHeight="1">
      <c r="A115" s="51">
        <f>IF(C115="","",IFERROR(IF(SUMPRODUCT(MAX((tbl_Finance[Job Number]=C115&amp;"")*tbl_Finance[Date]))=0,"",SUMPRODUCT(MAX((tbl_Finance[Job Number]=C115&amp;"")*tbl_Finance[Date]))),""))</f>
        <v/>
      </c>
      <c r="B115" s="15">
        <f>IF(A115="","",IFERROR(LOOKUP(2,1/((tbl_Finance[Job Number]=C115&amp;"")*(tbl_Finance[Date]=A115)),tbl_Finance[Xero Invoice No]),""))</f>
        <v/>
      </c>
      <c r="C115" s="14" t="n"/>
      <c r="D115" s="15">
        <f>IF(C115="","",IF(COUNTIF(lst_Jobs,C115&amp;"")&gt;0,"OK","CHECK"))</f>
        <v/>
      </c>
      <c r="E115" s="15">
        <f>IF(C115="","",IFERROR(INDEX(lst_JobName,MATCH(C115&amp;"",lst_Jobs,0)),""))</f>
        <v/>
      </c>
      <c r="F115" s="15">
        <f>IF(C115="","",IFERROR(INDEX(tbl_Finance[Client],MATCH(C115&amp;"",tbl_Finance[Job Number],0)),""))</f>
        <v/>
      </c>
      <c r="G115" s="52">
        <f>IF(C115="","",COUNTIFS(tbl_Finance[Job Number],C115&amp;"",tbl_Finance[Ex GST],"&lt;&gt;"))</f>
        <v/>
      </c>
      <c r="H115" s="17">
        <f>IF(C115="","",SUMIFS(tbl_Finance[Ex GST],tbl_Finance[Job Number],C115&amp;""))</f>
        <v/>
      </c>
      <c r="I115" s="15">
        <f>IF(C115="","",IFERROR(INDEX(tbl_Finance[Cost Centre],MATCH(C115&amp;"",tbl_Finance[Job Number],0)),"not invoiced yet"))</f>
        <v/>
      </c>
      <c r="J115" s="14" t="n"/>
      <c r="K115" s="15">
        <f>IF(J115="","",HYPERLINK(IF(LEFT(J115,4)="http",J115,set_QwilrBase&amp;J115),"Open quote"))</f>
        <v/>
      </c>
      <c r="L115" s="16" t="n"/>
      <c r="M115" s="16" t="n"/>
      <c r="N115" s="16" t="n"/>
      <c r="O115" s="15">
        <f>IF(C115="","",IF(N(L115)+N(M115)+N(N115)=0,"Not split",IF(ROUND(N(L115)+N(M115)+N(N115),2)=ROUND(H115,2),"OK","MISMATCH")))</f>
        <v/>
      </c>
      <c r="P115" s="16" t="n"/>
      <c r="Q115" s="16" t="n"/>
      <c r="R115" s="16" t="n"/>
      <c r="S115" s="17">
        <f>IF(C115="","",N(P115)+N(Q115)+N(R115))</f>
        <v/>
      </c>
      <c r="T115" s="17">
        <f>IF(C115="","",H115-S115)</f>
        <v/>
      </c>
      <c r="U115" s="54">
        <f>IFERROR(T115/H115,"")</f>
        <v/>
      </c>
      <c r="V115" s="14" t="n"/>
    </row>
    <row r="116" ht="15" customHeight="1">
      <c r="A116" s="51">
        <f>IF(C116="","",IFERROR(IF(SUMPRODUCT(MAX((tbl_Finance[Job Number]=C116&amp;"")*tbl_Finance[Date]))=0,"",SUMPRODUCT(MAX((tbl_Finance[Job Number]=C116&amp;"")*tbl_Finance[Date]))),""))</f>
        <v/>
      </c>
      <c r="B116" s="15">
        <f>IF(A116="","",IFERROR(LOOKUP(2,1/((tbl_Finance[Job Number]=C116&amp;"")*(tbl_Finance[Date]=A116)),tbl_Finance[Xero Invoice No]),""))</f>
        <v/>
      </c>
      <c r="C116" s="14" t="n"/>
      <c r="D116" s="15">
        <f>IF(C116="","",IF(COUNTIF(lst_Jobs,C116&amp;"")&gt;0,"OK","CHECK"))</f>
        <v/>
      </c>
      <c r="E116" s="15">
        <f>IF(C116="","",IFERROR(INDEX(lst_JobName,MATCH(C116&amp;"",lst_Jobs,0)),""))</f>
        <v/>
      </c>
      <c r="F116" s="15">
        <f>IF(C116="","",IFERROR(INDEX(tbl_Finance[Client],MATCH(C116&amp;"",tbl_Finance[Job Number],0)),""))</f>
        <v/>
      </c>
      <c r="G116" s="52">
        <f>IF(C116="","",COUNTIFS(tbl_Finance[Job Number],C116&amp;"",tbl_Finance[Ex GST],"&lt;&gt;"))</f>
        <v/>
      </c>
      <c r="H116" s="17">
        <f>IF(C116="","",SUMIFS(tbl_Finance[Ex GST],tbl_Finance[Job Number],C116&amp;""))</f>
        <v/>
      </c>
      <c r="I116" s="15">
        <f>IF(C116="","",IFERROR(INDEX(tbl_Finance[Cost Centre],MATCH(C116&amp;"",tbl_Finance[Job Number],0)),"not invoiced yet"))</f>
        <v/>
      </c>
      <c r="J116" s="14" t="n"/>
      <c r="K116" s="15">
        <f>IF(J116="","",HYPERLINK(IF(LEFT(J116,4)="http",J116,set_QwilrBase&amp;J116),"Open quote"))</f>
        <v/>
      </c>
      <c r="L116" s="16" t="n"/>
      <c r="M116" s="16" t="n"/>
      <c r="N116" s="16" t="n"/>
      <c r="O116" s="15">
        <f>IF(C116="","",IF(N(L116)+N(M116)+N(N116)=0,"Not split",IF(ROUND(N(L116)+N(M116)+N(N116),2)=ROUND(H116,2),"OK","MISMATCH")))</f>
        <v/>
      </c>
      <c r="P116" s="16" t="n"/>
      <c r="Q116" s="16" t="n"/>
      <c r="R116" s="16" t="n"/>
      <c r="S116" s="17">
        <f>IF(C116="","",N(P116)+N(Q116)+N(R116))</f>
        <v/>
      </c>
      <c r="T116" s="17">
        <f>IF(C116="","",H116-S116)</f>
        <v/>
      </c>
      <c r="U116" s="54">
        <f>IFERROR(T116/H116,"")</f>
        <v/>
      </c>
      <c r="V116" s="14" t="n"/>
    </row>
    <row r="117" ht="15" customHeight="1">
      <c r="A117" s="51">
        <f>IF(C117="","",IFERROR(IF(SUMPRODUCT(MAX((tbl_Finance[Job Number]=C117&amp;"")*tbl_Finance[Date]))=0,"",SUMPRODUCT(MAX((tbl_Finance[Job Number]=C117&amp;"")*tbl_Finance[Date]))),""))</f>
        <v/>
      </c>
      <c r="B117" s="15">
        <f>IF(A117="","",IFERROR(LOOKUP(2,1/((tbl_Finance[Job Number]=C117&amp;"")*(tbl_Finance[Date]=A117)),tbl_Finance[Xero Invoice No]),""))</f>
        <v/>
      </c>
      <c r="C117" s="14" t="n"/>
      <c r="D117" s="15">
        <f>IF(C117="","",IF(COUNTIF(lst_Jobs,C117&amp;"")&gt;0,"OK","CHECK"))</f>
        <v/>
      </c>
      <c r="E117" s="15">
        <f>IF(C117="","",IFERROR(INDEX(lst_JobName,MATCH(C117&amp;"",lst_Jobs,0)),""))</f>
        <v/>
      </c>
      <c r="F117" s="15">
        <f>IF(C117="","",IFERROR(INDEX(tbl_Finance[Client],MATCH(C117&amp;"",tbl_Finance[Job Number],0)),""))</f>
        <v/>
      </c>
      <c r="G117" s="52">
        <f>IF(C117="","",COUNTIFS(tbl_Finance[Job Number],C117&amp;"",tbl_Finance[Ex GST],"&lt;&gt;"))</f>
        <v/>
      </c>
      <c r="H117" s="17">
        <f>IF(C117="","",SUMIFS(tbl_Finance[Ex GST],tbl_Finance[Job Number],C117&amp;""))</f>
        <v/>
      </c>
      <c r="I117" s="15">
        <f>IF(C117="","",IFERROR(INDEX(tbl_Finance[Cost Centre],MATCH(C117&amp;"",tbl_Finance[Job Number],0)),"not invoiced yet"))</f>
        <v/>
      </c>
      <c r="J117" s="14" t="n"/>
      <c r="K117" s="15">
        <f>IF(J117="","",HYPERLINK(IF(LEFT(J117,4)="http",J117,set_QwilrBase&amp;J117),"Open quote"))</f>
        <v/>
      </c>
      <c r="L117" s="16" t="n"/>
      <c r="M117" s="16" t="n"/>
      <c r="N117" s="16" t="n"/>
      <c r="O117" s="15">
        <f>IF(C117="","",IF(N(L117)+N(M117)+N(N117)=0,"Not split",IF(ROUND(N(L117)+N(M117)+N(N117),2)=ROUND(H117,2),"OK","MISMATCH")))</f>
        <v/>
      </c>
      <c r="P117" s="16" t="n"/>
      <c r="Q117" s="16" t="n"/>
      <c r="R117" s="16" t="n"/>
      <c r="S117" s="17">
        <f>IF(C117="","",N(P117)+N(Q117)+N(R117))</f>
        <v/>
      </c>
      <c r="T117" s="17">
        <f>IF(C117="","",H117-S117)</f>
        <v/>
      </c>
      <c r="U117" s="54">
        <f>IFERROR(T117/H117,"")</f>
        <v/>
      </c>
      <c r="V117" s="14" t="n"/>
    </row>
    <row r="118" ht="15" customHeight="1">
      <c r="A118" s="51">
        <f>IF(C118="","",IFERROR(IF(SUMPRODUCT(MAX((tbl_Finance[Job Number]=C118&amp;"")*tbl_Finance[Date]))=0,"",SUMPRODUCT(MAX((tbl_Finance[Job Number]=C118&amp;"")*tbl_Finance[Date]))),""))</f>
        <v/>
      </c>
      <c r="B118" s="15">
        <f>IF(A118="","",IFERROR(LOOKUP(2,1/((tbl_Finance[Job Number]=C118&amp;"")*(tbl_Finance[Date]=A118)),tbl_Finance[Xero Invoice No]),""))</f>
        <v/>
      </c>
      <c r="C118" s="14" t="n"/>
      <c r="D118" s="15">
        <f>IF(C118="","",IF(COUNTIF(lst_Jobs,C118&amp;"")&gt;0,"OK","CHECK"))</f>
        <v/>
      </c>
      <c r="E118" s="15">
        <f>IF(C118="","",IFERROR(INDEX(lst_JobName,MATCH(C118&amp;"",lst_Jobs,0)),""))</f>
        <v/>
      </c>
      <c r="F118" s="15">
        <f>IF(C118="","",IFERROR(INDEX(tbl_Finance[Client],MATCH(C118&amp;"",tbl_Finance[Job Number],0)),""))</f>
        <v/>
      </c>
      <c r="G118" s="52">
        <f>IF(C118="","",COUNTIFS(tbl_Finance[Job Number],C118&amp;"",tbl_Finance[Ex GST],"&lt;&gt;"))</f>
        <v/>
      </c>
      <c r="H118" s="17">
        <f>IF(C118="","",SUMIFS(tbl_Finance[Ex GST],tbl_Finance[Job Number],C118&amp;""))</f>
        <v/>
      </c>
      <c r="I118" s="15">
        <f>IF(C118="","",IFERROR(INDEX(tbl_Finance[Cost Centre],MATCH(C118&amp;"",tbl_Finance[Job Number],0)),"not invoiced yet"))</f>
        <v/>
      </c>
      <c r="J118" s="14" t="n"/>
      <c r="K118" s="15">
        <f>IF(J118="","",HYPERLINK(IF(LEFT(J118,4)="http",J118,set_QwilrBase&amp;J118),"Open quote"))</f>
        <v/>
      </c>
      <c r="L118" s="16" t="n"/>
      <c r="M118" s="16" t="n"/>
      <c r="N118" s="16" t="n"/>
      <c r="O118" s="15">
        <f>IF(C118="","",IF(N(L118)+N(M118)+N(N118)=0,"Not split",IF(ROUND(N(L118)+N(M118)+N(N118),2)=ROUND(H118,2),"OK","MISMATCH")))</f>
        <v/>
      </c>
      <c r="P118" s="16" t="n"/>
      <c r="Q118" s="16" t="n"/>
      <c r="R118" s="16" t="n"/>
      <c r="S118" s="17">
        <f>IF(C118="","",N(P118)+N(Q118)+N(R118))</f>
        <v/>
      </c>
      <c r="T118" s="17">
        <f>IF(C118="","",H118-S118)</f>
        <v/>
      </c>
      <c r="U118" s="54">
        <f>IFERROR(T118/H118,"")</f>
        <v/>
      </c>
      <c r="V118" s="14" t="n"/>
    </row>
    <row r="119" ht="15" customHeight="1">
      <c r="A119" s="51">
        <f>IF(C119="","",IFERROR(IF(SUMPRODUCT(MAX((tbl_Finance[Job Number]=C119&amp;"")*tbl_Finance[Date]))=0,"",SUMPRODUCT(MAX((tbl_Finance[Job Number]=C119&amp;"")*tbl_Finance[Date]))),""))</f>
        <v/>
      </c>
      <c r="B119" s="15">
        <f>IF(A119="","",IFERROR(LOOKUP(2,1/((tbl_Finance[Job Number]=C119&amp;"")*(tbl_Finance[Date]=A119)),tbl_Finance[Xero Invoice No]),""))</f>
        <v/>
      </c>
      <c r="C119" s="14" t="n"/>
      <c r="D119" s="15">
        <f>IF(C119="","",IF(COUNTIF(lst_Jobs,C119&amp;"")&gt;0,"OK","CHECK"))</f>
        <v/>
      </c>
      <c r="E119" s="15">
        <f>IF(C119="","",IFERROR(INDEX(lst_JobName,MATCH(C119&amp;"",lst_Jobs,0)),""))</f>
        <v/>
      </c>
      <c r="F119" s="15">
        <f>IF(C119="","",IFERROR(INDEX(tbl_Finance[Client],MATCH(C119&amp;"",tbl_Finance[Job Number],0)),""))</f>
        <v/>
      </c>
      <c r="G119" s="52">
        <f>IF(C119="","",COUNTIFS(tbl_Finance[Job Number],C119&amp;"",tbl_Finance[Ex GST],"&lt;&gt;"))</f>
        <v/>
      </c>
      <c r="H119" s="17">
        <f>IF(C119="","",SUMIFS(tbl_Finance[Ex GST],tbl_Finance[Job Number],C119&amp;""))</f>
        <v/>
      </c>
      <c r="I119" s="15">
        <f>IF(C119="","",IFERROR(INDEX(tbl_Finance[Cost Centre],MATCH(C119&amp;"",tbl_Finance[Job Number],0)),"not invoiced yet"))</f>
        <v/>
      </c>
      <c r="J119" s="14" t="n"/>
      <c r="K119" s="15">
        <f>IF(J119="","",HYPERLINK(IF(LEFT(J119,4)="http",J119,set_QwilrBase&amp;J119),"Open quote"))</f>
        <v/>
      </c>
      <c r="L119" s="16" t="n"/>
      <c r="M119" s="16" t="n"/>
      <c r="N119" s="16" t="n"/>
      <c r="O119" s="15">
        <f>IF(C119="","",IF(N(L119)+N(M119)+N(N119)=0,"Not split",IF(ROUND(N(L119)+N(M119)+N(N119),2)=ROUND(H119,2),"OK","MISMATCH")))</f>
        <v/>
      </c>
      <c r="P119" s="16" t="n"/>
      <c r="Q119" s="16" t="n"/>
      <c r="R119" s="16" t="n"/>
      <c r="S119" s="17">
        <f>IF(C119="","",N(P119)+N(Q119)+N(R119))</f>
        <v/>
      </c>
      <c r="T119" s="17">
        <f>IF(C119="","",H119-S119)</f>
        <v/>
      </c>
      <c r="U119" s="54">
        <f>IFERROR(T119/H119,"")</f>
        <v/>
      </c>
      <c r="V119" s="14" t="n"/>
    </row>
    <row r="120" ht="15" customHeight="1">
      <c r="A120" s="51">
        <f>IF(C120="","",IFERROR(IF(SUMPRODUCT(MAX((tbl_Finance[Job Number]=C120&amp;"")*tbl_Finance[Date]))=0,"",SUMPRODUCT(MAX((tbl_Finance[Job Number]=C120&amp;"")*tbl_Finance[Date]))),""))</f>
        <v/>
      </c>
      <c r="B120" s="15">
        <f>IF(A120="","",IFERROR(LOOKUP(2,1/((tbl_Finance[Job Number]=C120&amp;"")*(tbl_Finance[Date]=A120)),tbl_Finance[Xero Invoice No]),""))</f>
        <v/>
      </c>
      <c r="C120" s="14" t="n"/>
      <c r="D120" s="15">
        <f>IF(C120="","",IF(COUNTIF(lst_Jobs,C120&amp;"")&gt;0,"OK","CHECK"))</f>
        <v/>
      </c>
      <c r="E120" s="15">
        <f>IF(C120="","",IFERROR(INDEX(lst_JobName,MATCH(C120&amp;"",lst_Jobs,0)),""))</f>
        <v/>
      </c>
      <c r="F120" s="15">
        <f>IF(C120="","",IFERROR(INDEX(tbl_Finance[Client],MATCH(C120&amp;"",tbl_Finance[Job Number],0)),""))</f>
        <v/>
      </c>
      <c r="G120" s="52">
        <f>IF(C120="","",COUNTIFS(tbl_Finance[Job Number],C120&amp;"",tbl_Finance[Ex GST],"&lt;&gt;"))</f>
        <v/>
      </c>
      <c r="H120" s="17">
        <f>IF(C120="","",SUMIFS(tbl_Finance[Ex GST],tbl_Finance[Job Number],C120&amp;""))</f>
        <v/>
      </c>
      <c r="I120" s="15">
        <f>IF(C120="","",IFERROR(INDEX(tbl_Finance[Cost Centre],MATCH(C120&amp;"",tbl_Finance[Job Number],0)),"not invoiced yet"))</f>
        <v/>
      </c>
      <c r="J120" s="14" t="n"/>
      <c r="K120" s="15">
        <f>IF(J120="","",HYPERLINK(IF(LEFT(J120,4)="http",J120,set_QwilrBase&amp;J120),"Open quote"))</f>
        <v/>
      </c>
      <c r="L120" s="16" t="n"/>
      <c r="M120" s="16" t="n"/>
      <c r="N120" s="16" t="n"/>
      <c r="O120" s="15">
        <f>IF(C120="","",IF(N(L120)+N(M120)+N(N120)=0,"Not split",IF(ROUND(N(L120)+N(M120)+N(N120),2)=ROUND(H120,2),"OK","MISMATCH")))</f>
        <v/>
      </c>
      <c r="P120" s="16" t="n"/>
      <c r="Q120" s="16" t="n"/>
      <c r="R120" s="16" t="n"/>
      <c r="S120" s="17">
        <f>IF(C120="","",N(P120)+N(Q120)+N(R120))</f>
        <v/>
      </c>
      <c r="T120" s="17">
        <f>IF(C120="","",H120-S120)</f>
        <v/>
      </c>
      <c r="U120" s="54">
        <f>IFERROR(T120/H120,"")</f>
        <v/>
      </c>
      <c r="V120" s="14" t="n"/>
    </row>
    <row r="121" ht="15" customHeight="1">
      <c r="A121" s="51">
        <f>IF(C121="","",IFERROR(IF(SUMPRODUCT(MAX((tbl_Finance[Job Number]=C121&amp;"")*tbl_Finance[Date]))=0,"",SUMPRODUCT(MAX((tbl_Finance[Job Number]=C121&amp;"")*tbl_Finance[Date]))),""))</f>
        <v/>
      </c>
      <c r="B121" s="15">
        <f>IF(A121="","",IFERROR(LOOKUP(2,1/((tbl_Finance[Job Number]=C121&amp;"")*(tbl_Finance[Date]=A121)),tbl_Finance[Xero Invoice No]),""))</f>
        <v/>
      </c>
      <c r="C121" s="14" t="n"/>
      <c r="D121" s="15">
        <f>IF(C121="","",IF(COUNTIF(lst_Jobs,C121&amp;"")&gt;0,"OK","CHECK"))</f>
        <v/>
      </c>
      <c r="E121" s="15">
        <f>IF(C121="","",IFERROR(INDEX(lst_JobName,MATCH(C121&amp;"",lst_Jobs,0)),""))</f>
        <v/>
      </c>
      <c r="F121" s="15">
        <f>IF(C121="","",IFERROR(INDEX(tbl_Finance[Client],MATCH(C121&amp;"",tbl_Finance[Job Number],0)),""))</f>
        <v/>
      </c>
      <c r="G121" s="52">
        <f>IF(C121="","",COUNTIFS(tbl_Finance[Job Number],C121&amp;"",tbl_Finance[Ex GST],"&lt;&gt;"))</f>
        <v/>
      </c>
      <c r="H121" s="17">
        <f>IF(C121="","",SUMIFS(tbl_Finance[Ex GST],tbl_Finance[Job Number],C121&amp;""))</f>
        <v/>
      </c>
      <c r="I121" s="15">
        <f>IF(C121="","",IFERROR(INDEX(tbl_Finance[Cost Centre],MATCH(C121&amp;"",tbl_Finance[Job Number],0)),"not invoiced yet"))</f>
        <v/>
      </c>
      <c r="J121" s="14" t="n"/>
      <c r="K121" s="15">
        <f>IF(J121="","",HYPERLINK(IF(LEFT(J121,4)="http",J121,set_QwilrBase&amp;J121),"Open quote"))</f>
        <v/>
      </c>
      <c r="L121" s="16" t="n"/>
      <c r="M121" s="16" t="n"/>
      <c r="N121" s="16" t="n"/>
      <c r="O121" s="15">
        <f>IF(C121="","",IF(N(L121)+N(M121)+N(N121)=0,"Not split",IF(ROUND(N(L121)+N(M121)+N(N121),2)=ROUND(H121,2),"OK","MISMATCH")))</f>
        <v/>
      </c>
      <c r="P121" s="16" t="n"/>
      <c r="Q121" s="16" t="n"/>
      <c r="R121" s="16" t="n"/>
      <c r="S121" s="17">
        <f>IF(C121="","",N(P121)+N(Q121)+N(R121))</f>
        <v/>
      </c>
      <c r="T121" s="17">
        <f>IF(C121="","",H121-S121)</f>
        <v/>
      </c>
      <c r="U121" s="54">
        <f>IFERROR(T121/H121,"")</f>
        <v/>
      </c>
      <c r="V121" s="14" t="n"/>
    </row>
    <row r="122" ht="15" customHeight="1">
      <c r="A122" s="51">
        <f>IF(C122="","",IFERROR(IF(SUMPRODUCT(MAX((tbl_Finance[Job Number]=C122&amp;"")*tbl_Finance[Date]))=0,"",SUMPRODUCT(MAX((tbl_Finance[Job Number]=C122&amp;"")*tbl_Finance[Date]))),""))</f>
        <v/>
      </c>
      <c r="B122" s="15">
        <f>IF(A122="","",IFERROR(LOOKUP(2,1/((tbl_Finance[Job Number]=C122&amp;"")*(tbl_Finance[Date]=A122)),tbl_Finance[Xero Invoice No]),""))</f>
        <v/>
      </c>
      <c r="C122" s="14" t="n"/>
      <c r="D122" s="15">
        <f>IF(C122="","",IF(COUNTIF(lst_Jobs,C122&amp;"")&gt;0,"OK","CHECK"))</f>
        <v/>
      </c>
      <c r="E122" s="15">
        <f>IF(C122="","",IFERROR(INDEX(lst_JobName,MATCH(C122&amp;"",lst_Jobs,0)),""))</f>
        <v/>
      </c>
      <c r="F122" s="15">
        <f>IF(C122="","",IFERROR(INDEX(tbl_Finance[Client],MATCH(C122&amp;"",tbl_Finance[Job Number],0)),""))</f>
        <v/>
      </c>
      <c r="G122" s="52">
        <f>IF(C122="","",COUNTIFS(tbl_Finance[Job Number],C122&amp;"",tbl_Finance[Ex GST],"&lt;&gt;"))</f>
        <v/>
      </c>
      <c r="H122" s="17">
        <f>IF(C122="","",SUMIFS(tbl_Finance[Ex GST],tbl_Finance[Job Number],C122&amp;""))</f>
        <v/>
      </c>
      <c r="I122" s="15">
        <f>IF(C122="","",IFERROR(INDEX(tbl_Finance[Cost Centre],MATCH(C122&amp;"",tbl_Finance[Job Number],0)),"not invoiced yet"))</f>
        <v/>
      </c>
      <c r="J122" s="14" t="n"/>
      <c r="K122" s="15">
        <f>IF(J122="","",HYPERLINK(IF(LEFT(J122,4)="http",J122,set_QwilrBase&amp;J122),"Open quote"))</f>
        <v/>
      </c>
      <c r="L122" s="16" t="n"/>
      <c r="M122" s="16" t="n"/>
      <c r="N122" s="16" t="n"/>
      <c r="O122" s="15">
        <f>IF(C122="","",IF(N(L122)+N(M122)+N(N122)=0,"Not split",IF(ROUND(N(L122)+N(M122)+N(N122),2)=ROUND(H122,2),"OK","MISMATCH")))</f>
        <v/>
      </c>
      <c r="P122" s="16" t="n"/>
      <c r="Q122" s="16" t="n"/>
      <c r="R122" s="16" t="n"/>
      <c r="S122" s="17">
        <f>IF(C122="","",N(P122)+N(Q122)+N(R122))</f>
        <v/>
      </c>
      <c r="T122" s="17">
        <f>IF(C122="","",H122-S122)</f>
        <v/>
      </c>
      <c r="U122" s="54">
        <f>IFERROR(T122/H122,"")</f>
        <v/>
      </c>
      <c r="V122" s="14" t="n"/>
    </row>
    <row r="123" ht="15" customHeight="1">
      <c r="A123" s="51">
        <f>IF(C123="","",IFERROR(IF(SUMPRODUCT(MAX((tbl_Finance[Job Number]=C123&amp;"")*tbl_Finance[Date]))=0,"",SUMPRODUCT(MAX((tbl_Finance[Job Number]=C123&amp;"")*tbl_Finance[Date]))),""))</f>
        <v/>
      </c>
      <c r="B123" s="15">
        <f>IF(A123="","",IFERROR(LOOKUP(2,1/((tbl_Finance[Job Number]=C123&amp;"")*(tbl_Finance[Date]=A123)),tbl_Finance[Xero Invoice No]),""))</f>
        <v/>
      </c>
      <c r="C123" s="14" t="n"/>
      <c r="D123" s="15">
        <f>IF(C123="","",IF(COUNTIF(lst_Jobs,C123&amp;"")&gt;0,"OK","CHECK"))</f>
        <v/>
      </c>
      <c r="E123" s="15">
        <f>IF(C123="","",IFERROR(INDEX(lst_JobName,MATCH(C123&amp;"",lst_Jobs,0)),""))</f>
        <v/>
      </c>
      <c r="F123" s="15">
        <f>IF(C123="","",IFERROR(INDEX(tbl_Finance[Client],MATCH(C123&amp;"",tbl_Finance[Job Number],0)),""))</f>
        <v/>
      </c>
      <c r="G123" s="52">
        <f>IF(C123="","",COUNTIFS(tbl_Finance[Job Number],C123&amp;"",tbl_Finance[Ex GST],"&lt;&gt;"))</f>
        <v/>
      </c>
      <c r="H123" s="17">
        <f>IF(C123="","",SUMIFS(tbl_Finance[Ex GST],tbl_Finance[Job Number],C123&amp;""))</f>
        <v/>
      </c>
      <c r="I123" s="15">
        <f>IF(C123="","",IFERROR(INDEX(tbl_Finance[Cost Centre],MATCH(C123&amp;"",tbl_Finance[Job Number],0)),"not invoiced yet"))</f>
        <v/>
      </c>
      <c r="J123" s="14" t="n"/>
      <c r="K123" s="15">
        <f>IF(J123="","",HYPERLINK(IF(LEFT(J123,4)="http",J123,set_QwilrBase&amp;J123),"Open quote"))</f>
        <v/>
      </c>
      <c r="L123" s="16" t="n"/>
      <c r="M123" s="16" t="n"/>
      <c r="N123" s="16" t="n"/>
      <c r="O123" s="15">
        <f>IF(C123="","",IF(N(L123)+N(M123)+N(N123)=0,"Not split",IF(ROUND(N(L123)+N(M123)+N(N123),2)=ROUND(H123,2),"OK","MISMATCH")))</f>
        <v/>
      </c>
      <c r="P123" s="16" t="n"/>
      <c r="Q123" s="16" t="n"/>
      <c r="R123" s="16" t="n"/>
      <c r="S123" s="17">
        <f>IF(C123="","",N(P123)+N(Q123)+N(R123))</f>
        <v/>
      </c>
      <c r="T123" s="17">
        <f>IF(C123="","",H123-S123)</f>
        <v/>
      </c>
      <c r="U123" s="54">
        <f>IFERROR(T123/H123,"")</f>
        <v/>
      </c>
      <c r="V123" s="14" t="n"/>
    </row>
    <row r="124" ht="15" customHeight="1">
      <c r="A124" s="51">
        <f>IF(C124="","",IFERROR(IF(SUMPRODUCT(MAX((tbl_Finance[Job Number]=C124&amp;"")*tbl_Finance[Date]))=0,"",SUMPRODUCT(MAX((tbl_Finance[Job Number]=C124&amp;"")*tbl_Finance[Date]))),""))</f>
        <v/>
      </c>
      <c r="B124" s="15">
        <f>IF(A124="","",IFERROR(LOOKUP(2,1/((tbl_Finance[Job Number]=C124&amp;"")*(tbl_Finance[Date]=A124)),tbl_Finance[Xero Invoice No]),""))</f>
        <v/>
      </c>
      <c r="C124" s="14" t="n"/>
      <c r="D124" s="15">
        <f>IF(C124="","",IF(COUNTIF(lst_Jobs,C124&amp;"")&gt;0,"OK","CHECK"))</f>
        <v/>
      </c>
      <c r="E124" s="15">
        <f>IF(C124="","",IFERROR(INDEX(lst_JobName,MATCH(C124&amp;"",lst_Jobs,0)),""))</f>
        <v/>
      </c>
      <c r="F124" s="15">
        <f>IF(C124="","",IFERROR(INDEX(tbl_Finance[Client],MATCH(C124&amp;"",tbl_Finance[Job Number],0)),""))</f>
        <v/>
      </c>
      <c r="G124" s="52">
        <f>IF(C124="","",COUNTIFS(tbl_Finance[Job Number],C124&amp;"",tbl_Finance[Ex GST],"&lt;&gt;"))</f>
        <v/>
      </c>
      <c r="H124" s="17">
        <f>IF(C124="","",SUMIFS(tbl_Finance[Ex GST],tbl_Finance[Job Number],C124&amp;""))</f>
        <v/>
      </c>
      <c r="I124" s="15">
        <f>IF(C124="","",IFERROR(INDEX(tbl_Finance[Cost Centre],MATCH(C124&amp;"",tbl_Finance[Job Number],0)),"not invoiced yet"))</f>
        <v/>
      </c>
      <c r="J124" s="14" t="n"/>
      <c r="K124" s="15">
        <f>IF(J124="","",HYPERLINK(IF(LEFT(J124,4)="http",J124,set_QwilrBase&amp;J124),"Open quote"))</f>
        <v/>
      </c>
      <c r="L124" s="16" t="n"/>
      <c r="M124" s="16" t="n"/>
      <c r="N124" s="16" t="n"/>
      <c r="O124" s="15">
        <f>IF(C124="","",IF(N(L124)+N(M124)+N(N124)=0,"Not split",IF(ROUND(N(L124)+N(M124)+N(N124),2)=ROUND(H124,2),"OK","MISMATCH")))</f>
        <v/>
      </c>
      <c r="P124" s="16" t="n"/>
      <c r="Q124" s="16" t="n"/>
      <c r="R124" s="16" t="n"/>
      <c r="S124" s="17">
        <f>IF(C124="","",N(P124)+N(Q124)+N(R124))</f>
        <v/>
      </c>
      <c r="T124" s="17">
        <f>IF(C124="","",H124-S124)</f>
        <v/>
      </c>
      <c r="U124" s="54">
        <f>IFERROR(T124/H124,"")</f>
        <v/>
      </c>
      <c r="V124" s="14" t="n"/>
    </row>
    <row r="125" ht="15" customHeight="1">
      <c r="A125" s="51">
        <f>IF(C125="","",IFERROR(IF(SUMPRODUCT(MAX((tbl_Finance[Job Number]=C125&amp;"")*tbl_Finance[Date]))=0,"",SUMPRODUCT(MAX((tbl_Finance[Job Number]=C125&amp;"")*tbl_Finance[Date]))),""))</f>
        <v/>
      </c>
      <c r="B125" s="15">
        <f>IF(A125="","",IFERROR(LOOKUP(2,1/((tbl_Finance[Job Number]=C125&amp;"")*(tbl_Finance[Date]=A125)),tbl_Finance[Xero Invoice No]),""))</f>
        <v/>
      </c>
      <c r="C125" s="14" t="n"/>
      <c r="D125" s="15">
        <f>IF(C125="","",IF(COUNTIF(lst_Jobs,C125&amp;"")&gt;0,"OK","CHECK"))</f>
        <v/>
      </c>
      <c r="E125" s="15">
        <f>IF(C125="","",IFERROR(INDEX(lst_JobName,MATCH(C125&amp;"",lst_Jobs,0)),""))</f>
        <v/>
      </c>
      <c r="F125" s="15">
        <f>IF(C125="","",IFERROR(INDEX(tbl_Finance[Client],MATCH(C125&amp;"",tbl_Finance[Job Number],0)),""))</f>
        <v/>
      </c>
      <c r="G125" s="52">
        <f>IF(C125="","",COUNTIFS(tbl_Finance[Job Number],C125&amp;"",tbl_Finance[Ex GST],"&lt;&gt;"))</f>
        <v/>
      </c>
      <c r="H125" s="17">
        <f>IF(C125="","",SUMIFS(tbl_Finance[Ex GST],tbl_Finance[Job Number],C125&amp;""))</f>
        <v/>
      </c>
      <c r="I125" s="15">
        <f>IF(C125="","",IFERROR(INDEX(tbl_Finance[Cost Centre],MATCH(C125&amp;"",tbl_Finance[Job Number],0)),"not invoiced yet"))</f>
        <v/>
      </c>
      <c r="J125" s="14" t="n"/>
      <c r="K125" s="15">
        <f>IF(J125="","",HYPERLINK(IF(LEFT(J125,4)="http",J125,set_QwilrBase&amp;J125),"Open quote"))</f>
        <v/>
      </c>
      <c r="L125" s="16" t="n"/>
      <c r="M125" s="16" t="n"/>
      <c r="N125" s="16" t="n"/>
      <c r="O125" s="15">
        <f>IF(C125="","",IF(N(L125)+N(M125)+N(N125)=0,"Not split",IF(ROUND(N(L125)+N(M125)+N(N125),2)=ROUND(H125,2),"OK","MISMATCH")))</f>
        <v/>
      </c>
      <c r="P125" s="16" t="n"/>
      <c r="Q125" s="16" t="n"/>
      <c r="R125" s="16" t="n"/>
      <c r="S125" s="17">
        <f>IF(C125="","",N(P125)+N(Q125)+N(R125))</f>
        <v/>
      </c>
      <c r="T125" s="17">
        <f>IF(C125="","",H125-S125)</f>
        <v/>
      </c>
      <c r="U125" s="54">
        <f>IFERROR(T125/H125,"")</f>
        <v/>
      </c>
      <c r="V125" s="14" t="n"/>
    </row>
    <row r="126" ht="15" customHeight="1">
      <c r="A126" s="51">
        <f>IF(C126="","",IFERROR(IF(SUMPRODUCT(MAX((tbl_Finance[Job Number]=C126&amp;"")*tbl_Finance[Date]))=0,"",SUMPRODUCT(MAX((tbl_Finance[Job Number]=C126&amp;"")*tbl_Finance[Date]))),""))</f>
        <v/>
      </c>
      <c r="B126" s="15">
        <f>IF(A126="","",IFERROR(LOOKUP(2,1/((tbl_Finance[Job Number]=C126&amp;"")*(tbl_Finance[Date]=A126)),tbl_Finance[Xero Invoice No]),""))</f>
        <v/>
      </c>
      <c r="C126" s="14" t="n"/>
      <c r="D126" s="15">
        <f>IF(C126="","",IF(COUNTIF(lst_Jobs,C126&amp;"")&gt;0,"OK","CHECK"))</f>
        <v/>
      </c>
      <c r="E126" s="15">
        <f>IF(C126="","",IFERROR(INDEX(lst_JobName,MATCH(C126&amp;"",lst_Jobs,0)),""))</f>
        <v/>
      </c>
      <c r="F126" s="15">
        <f>IF(C126="","",IFERROR(INDEX(tbl_Finance[Client],MATCH(C126&amp;"",tbl_Finance[Job Number],0)),""))</f>
        <v/>
      </c>
      <c r="G126" s="52">
        <f>IF(C126="","",COUNTIFS(tbl_Finance[Job Number],C126&amp;"",tbl_Finance[Ex GST],"&lt;&gt;"))</f>
        <v/>
      </c>
      <c r="H126" s="17">
        <f>IF(C126="","",SUMIFS(tbl_Finance[Ex GST],tbl_Finance[Job Number],C126&amp;""))</f>
        <v/>
      </c>
      <c r="I126" s="15">
        <f>IF(C126="","",IFERROR(INDEX(tbl_Finance[Cost Centre],MATCH(C126&amp;"",tbl_Finance[Job Number],0)),"not invoiced yet"))</f>
        <v/>
      </c>
      <c r="J126" s="14" t="n"/>
      <c r="K126" s="15">
        <f>IF(J126="","",HYPERLINK(IF(LEFT(J126,4)="http",J126,set_QwilrBase&amp;J126),"Open quote"))</f>
        <v/>
      </c>
      <c r="L126" s="16" t="n"/>
      <c r="M126" s="16" t="n"/>
      <c r="N126" s="16" t="n"/>
      <c r="O126" s="15">
        <f>IF(C126="","",IF(N(L126)+N(M126)+N(N126)=0,"Not split",IF(ROUND(N(L126)+N(M126)+N(N126),2)=ROUND(H126,2),"OK","MISMATCH")))</f>
        <v/>
      </c>
      <c r="P126" s="16" t="n"/>
      <c r="Q126" s="16" t="n"/>
      <c r="R126" s="16" t="n"/>
      <c r="S126" s="17">
        <f>IF(C126="","",N(P126)+N(Q126)+N(R126))</f>
        <v/>
      </c>
      <c r="T126" s="17">
        <f>IF(C126="","",H126-S126)</f>
        <v/>
      </c>
      <c r="U126" s="54">
        <f>IFERROR(T126/H126,"")</f>
        <v/>
      </c>
      <c r="V126" s="14" t="n"/>
    </row>
    <row r="127" ht="15" customHeight="1">
      <c r="A127" s="51">
        <f>IF(C127="","",IFERROR(IF(SUMPRODUCT(MAX((tbl_Finance[Job Number]=C127&amp;"")*tbl_Finance[Date]))=0,"",SUMPRODUCT(MAX((tbl_Finance[Job Number]=C127&amp;"")*tbl_Finance[Date]))),""))</f>
        <v/>
      </c>
      <c r="B127" s="15">
        <f>IF(A127="","",IFERROR(LOOKUP(2,1/((tbl_Finance[Job Number]=C127&amp;"")*(tbl_Finance[Date]=A127)),tbl_Finance[Xero Invoice No]),""))</f>
        <v/>
      </c>
      <c r="C127" s="14" t="n"/>
      <c r="D127" s="15">
        <f>IF(C127="","",IF(COUNTIF(lst_Jobs,C127&amp;"")&gt;0,"OK","CHECK"))</f>
        <v/>
      </c>
      <c r="E127" s="15">
        <f>IF(C127="","",IFERROR(INDEX(lst_JobName,MATCH(C127&amp;"",lst_Jobs,0)),""))</f>
        <v/>
      </c>
      <c r="F127" s="15">
        <f>IF(C127="","",IFERROR(INDEX(tbl_Finance[Client],MATCH(C127&amp;"",tbl_Finance[Job Number],0)),""))</f>
        <v/>
      </c>
      <c r="G127" s="52">
        <f>IF(C127="","",COUNTIFS(tbl_Finance[Job Number],C127&amp;"",tbl_Finance[Ex GST],"&lt;&gt;"))</f>
        <v/>
      </c>
      <c r="H127" s="17">
        <f>IF(C127="","",SUMIFS(tbl_Finance[Ex GST],tbl_Finance[Job Number],C127&amp;""))</f>
        <v/>
      </c>
      <c r="I127" s="15">
        <f>IF(C127="","",IFERROR(INDEX(tbl_Finance[Cost Centre],MATCH(C127&amp;"",tbl_Finance[Job Number],0)),"not invoiced yet"))</f>
        <v/>
      </c>
      <c r="J127" s="14" t="n"/>
      <c r="K127" s="15">
        <f>IF(J127="","",HYPERLINK(IF(LEFT(J127,4)="http",J127,set_QwilrBase&amp;J127),"Open quote"))</f>
        <v/>
      </c>
      <c r="L127" s="16" t="n"/>
      <c r="M127" s="16" t="n"/>
      <c r="N127" s="16" t="n"/>
      <c r="O127" s="15">
        <f>IF(C127="","",IF(N(L127)+N(M127)+N(N127)=0,"Not split",IF(ROUND(N(L127)+N(M127)+N(N127),2)=ROUND(H127,2),"OK","MISMATCH")))</f>
        <v/>
      </c>
      <c r="P127" s="16" t="n"/>
      <c r="Q127" s="16" t="n"/>
      <c r="R127" s="16" t="n"/>
      <c r="S127" s="17">
        <f>IF(C127="","",N(P127)+N(Q127)+N(R127))</f>
        <v/>
      </c>
      <c r="T127" s="17">
        <f>IF(C127="","",H127-S127)</f>
        <v/>
      </c>
      <c r="U127" s="54">
        <f>IFERROR(T127/H127,"")</f>
        <v/>
      </c>
      <c r="V127" s="14" t="n"/>
    </row>
    <row r="128" ht="15" customHeight="1">
      <c r="A128" s="51">
        <f>IF(C128="","",IFERROR(IF(SUMPRODUCT(MAX((tbl_Finance[Job Number]=C128&amp;"")*tbl_Finance[Date]))=0,"",SUMPRODUCT(MAX((tbl_Finance[Job Number]=C128&amp;"")*tbl_Finance[Date]))),""))</f>
        <v/>
      </c>
      <c r="B128" s="15">
        <f>IF(A128="","",IFERROR(LOOKUP(2,1/((tbl_Finance[Job Number]=C128&amp;"")*(tbl_Finance[Date]=A128)),tbl_Finance[Xero Invoice No]),""))</f>
        <v/>
      </c>
      <c r="C128" s="14" t="n"/>
      <c r="D128" s="15">
        <f>IF(C128="","",IF(COUNTIF(lst_Jobs,C128&amp;"")&gt;0,"OK","CHECK"))</f>
        <v/>
      </c>
      <c r="E128" s="15">
        <f>IF(C128="","",IFERROR(INDEX(lst_JobName,MATCH(C128&amp;"",lst_Jobs,0)),""))</f>
        <v/>
      </c>
      <c r="F128" s="15">
        <f>IF(C128="","",IFERROR(INDEX(tbl_Finance[Client],MATCH(C128&amp;"",tbl_Finance[Job Number],0)),""))</f>
        <v/>
      </c>
      <c r="G128" s="52">
        <f>IF(C128="","",COUNTIFS(tbl_Finance[Job Number],C128&amp;"",tbl_Finance[Ex GST],"&lt;&gt;"))</f>
        <v/>
      </c>
      <c r="H128" s="17">
        <f>IF(C128="","",SUMIFS(tbl_Finance[Ex GST],tbl_Finance[Job Number],C128&amp;""))</f>
        <v/>
      </c>
      <c r="I128" s="15">
        <f>IF(C128="","",IFERROR(INDEX(tbl_Finance[Cost Centre],MATCH(C128&amp;"",tbl_Finance[Job Number],0)),"not invoiced yet"))</f>
        <v/>
      </c>
      <c r="J128" s="14" t="n"/>
      <c r="K128" s="15">
        <f>IF(J128="","",HYPERLINK(IF(LEFT(J128,4)="http",J128,set_QwilrBase&amp;J128),"Open quote"))</f>
        <v/>
      </c>
      <c r="L128" s="16" t="n"/>
      <c r="M128" s="16" t="n"/>
      <c r="N128" s="16" t="n"/>
      <c r="O128" s="15">
        <f>IF(C128="","",IF(N(L128)+N(M128)+N(N128)=0,"Not split",IF(ROUND(N(L128)+N(M128)+N(N128),2)=ROUND(H128,2),"OK","MISMATCH")))</f>
        <v/>
      </c>
      <c r="P128" s="16" t="n"/>
      <c r="Q128" s="16" t="n"/>
      <c r="R128" s="16" t="n"/>
      <c r="S128" s="17">
        <f>IF(C128="","",N(P128)+N(Q128)+N(R128))</f>
        <v/>
      </c>
      <c r="T128" s="17">
        <f>IF(C128="","",H128-S128)</f>
        <v/>
      </c>
      <c r="U128" s="54">
        <f>IFERROR(T128/H128,"")</f>
        <v/>
      </c>
      <c r="V128" s="14" t="n"/>
    </row>
    <row r="129" ht="15" customHeight="1">
      <c r="A129" s="51">
        <f>IF(C129="","",IFERROR(IF(SUMPRODUCT(MAX((tbl_Finance[Job Number]=C129&amp;"")*tbl_Finance[Date]))=0,"",SUMPRODUCT(MAX((tbl_Finance[Job Number]=C129&amp;"")*tbl_Finance[Date]))),""))</f>
        <v/>
      </c>
      <c r="B129" s="15">
        <f>IF(A129="","",IFERROR(LOOKUP(2,1/((tbl_Finance[Job Number]=C129&amp;"")*(tbl_Finance[Date]=A129)),tbl_Finance[Xero Invoice No]),""))</f>
        <v/>
      </c>
      <c r="C129" s="14" t="n"/>
      <c r="D129" s="15">
        <f>IF(C129="","",IF(COUNTIF(lst_Jobs,C129&amp;"")&gt;0,"OK","CHECK"))</f>
        <v/>
      </c>
      <c r="E129" s="15">
        <f>IF(C129="","",IFERROR(INDEX(lst_JobName,MATCH(C129&amp;"",lst_Jobs,0)),""))</f>
        <v/>
      </c>
      <c r="F129" s="15">
        <f>IF(C129="","",IFERROR(INDEX(tbl_Finance[Client],MATCH(C129&amp;"",tbl_Finance[Job Number],0)),""))</f>
        <v/>
      </c>
      <c r="G129" s="52">
        <f>IF(C129="","",COUNTIFS(tbl_Finance[Job Number],C129&amp;"",tbl_Finance[Ex GST],"&lt;&gt;"))</f>
        <v/>
      </c>
      <c r="H129" s="17">
        <f>IF(C129="","",SUMIFS(tbl_Finance[Ex GST],tbl_Finance[Job Number],C129&amp;""))</f>
        <v/>
      </c>
      <c r="I129" s="15">
        <f>IF(C129="","",IFERROR(INDEX(tbl_Finance[Cost Centre],MATCH(C129&amp;"",tbl_Finance[Job Number],0)),"not invoiced yet"))</f>
        <v/>
      </c>
      <c r="J129" s="14" t="n"/>
      <c r="K129" s="15">
        <f>IF(J129="","",HYPERLINK(IF(LEFT(J129,4)="http",J129,set_QwilrBase&amp;J129),"Open quote"))</f>
        <v/>
      </c>
      <c r="L129" s="16" t="n"/>
      <c r="M129" s="16" t="n"/>
      <c r="N129" s="16" t="n"/>
      <c r="O129" s="15">
        <f>IF(C129="","",IF(N(L129)+N(M129)+N(N129)=0,"Not split",IF(ROUND(N(L129)+N(M129)+N(N129),2)=ROUND(H129,2),"OK","MISMATCH")))</f>
        <v/>
      </c>
      <c r="P129" s="16" t="n"/>
      <c r="Q129" s="16" t="n"/>
      <c r="R129" s="16" t="n"/>
      <c r="S129" s="17">
        <f>IF(C129="","",N(P129)+N(Q129)+N(R129))</f>
        <v/>
      </c>
      <c r="T129" s="17">
        <f>IF(C129="","",H129-S129)</f>
        <v/>
      </c>
      <c r="U129" s="54">
        <f>IFERROR(T129/H129,"")</f>
        <v/>
      </c>
      <c r="V129" s="14" t="n"/>
    </row>
    <row r="130" ht="15" customHeight="1">
      <c r="A130" s="51">
        <f>IF(C130="","",IFERROR(IF(SUMPRODUCT(MAX((tbl_Finance[Job Number]=C130&amp;"")*tbl_Finance[Date]))=0,"",SUMPRODUCT(MAX((tbl_Finance[Job Number]=C130&amp;"")*tbl_Finance[Date]))),""))</f>
        <v/>
      </c>
      <c r="B130" s="15">
        <f>IF(A130="","",IFERROR(LOOKUP(2,1/((tbl_Finance[Job Number]=C130&amp;"")*(tbl_Finance[Date]=A130)),tbl_Finance[Xero Invoice No]),""))</f>
        <v/>
      </c>
      <c r="C130" s="14" t="n"/>
      <c r="D130" s="15">
        <f>IF(C130="","",IF(COUNTIF(lst_Jobs,C130&amp;"")&gt;0,"OK","CHECK"))</f>
        <v/>
      </c>
      <c r="E130" s="15">
        <f>IF(C130="","",IFERROR(INDEX(lst_JobName,MATCH(C130&amp;"",lst_Jobs,0)),""))</f>
        <v/>
      </c>
      <c r="F130" s="15">
        <f>IF(C130="","",IFERROR(INDEX(tbl_Finance[Client],MATCH(C130&amp;"",tbl_Finance[Job Number],0)),""))</f>
        <v/>
      </c>
      <c r="G130" s="52">
        <f>IF(C130="","",COUNTIFS(tbl_Finance[Job Number],C130&amp;"",tbl_Finance[Ex GST],"&lt;&gt;"))</f>
        <v/>
      </c>
      <c r="H130" s="17">
        <f>IF(C130="","",SUMIFS(tbl_Finance[Ex GST],tbl_Finance[Job Number],C130&amp;""))</f>
        <v/>
      </c>
      <c r="I130" s="15">
        <f>IF(C130="","",IFERROR(INDEX(tbl_Finance[Cost Centre],MATCH(C130&amp;"",tbl_Finance[Job Number],0)),"not invoiced yet"))</f>
        <v/>
      </c>
      <c r="J130" s="14" t="n"/>
      <c r="K130" s="15">
        <f>IF(J130="","",HYPERLINK(IF(LEFT(J130,4)="http",J130,set_QwilrBase&amp;J130),"Open quote"))</f>
        <v/>
      </c>
      <c r="L130" s="16" t="n"/>
      <c r="M130" s="16" t="n"/>
      <c r="N130" s="16" t="n"/>
      <c r="O130" s="15">
        <f>IF(C130="","",IF(N(L130)+N(M130)+N(N130)=0,"Not split",IF(ROUND(N(L130)+N(M130)+N(N130),2)=ROUND(H130,2),"OK","MISMATCH")))</f>
        <v/>
      </c>
      <c r="P130" s="16" t="n"/>
      <c r="Q130" s="16" t="n"/>
      <c r="R130" s="16" t="n"/>
      <c r="S130" s="17">
        <f>IF(C130="","",N(P130)+N(Q130)+N(R130))</f>
        <v/>
      </c>
      <c r="T130" s="17">
        <f>IF(C130="","",H130-S130)</f>
        <v/>
      </c>
      <c r="U130" s="54">
        <f>IFERROR(T130/H130,"")</f>
        <v/>
      </c>
      <c r="V130" s="14" t="n"/>
    </row>
    <row r="131" ht="15" customHeight="1">
      <c r="A131" s="51">
        <f>IF(C131="","",IFERROR(IF(SUMPRODUCT(MAX((tbl_Finance[Job Number]=C131&amp;"")*tbl_Finance[Date]))=0,"",SUMPRODUCT(MAX((tbl_Finance[Job Number]=C131&amp;"")*tbl_Finance[Date]))),""))</f>
        <v/>
      </c>
      <c r="B131" s="15">
        <f>IF(A131="","",IFERROR(LOOKUP(2,1/((tbl_Finance[Job Number]=C131&amp;"")*(tbl_Finance[Date]=A131)),tbl_Finance[Xero Invoice No]),""))</f>
        <v/>
      </c>
      <c r="C131" s="14" t="n"/>
      <c r="D131" s="15">
        <f>IF(C131="","",IF(COUNTIF(lst_Jobs,C131&amp;"")&gt;0,"OK","CHECK"))</f>
        <v/>
      </c>
      <c r="E131" s="15">
        <f>IF(C131="","",IFERROR(INDEX(lst_JobName,MATCH(C131&amp;"",lst_Jobs,0)),""))</f>
        <v/>
      </c>
      <c r="F131" s="15">
        <f>IF(C131="","",IFERROR(INDEX(tbl_Finance[Client],MATCH(C131&amp;"",tbl_Finance[Job Number],0)),""))</f>
        <v/>
      </c>
      <c r="G131" s="52">
        <f>IF(C131="","",COUNTIFS(tbl_Finance[Job Number],C131&amp;"",tbl_Finance[Ex GST],"&lt;&gt;"))</f>
        <v/>
      </c>
      <c r="H131" s="17">
        <f>IF(C131="","",SUMIFS(tbl_Finance[Ex GST],tbl_Finance[Job Number],C131&amp;""))</f>
        <v/>
      </c>
      <c r="I131" s="15">
        <f>IF(C131="","",IFERROR(INDEX(tbl_Finance[Cost Centre],MATCH(C131&amp;"",tbl_Finance[Job Number],0)),"not invoiced yet"))</f>
        <v/>
      </c>
      <c r="J131" s="14" t="n"/>
      <c r="K131" s="15">
        <f>IF(J131="","",HYPERLINK(IF(LEFT(J131,4)="http",J131,set_QwilrBase&amp;J131),"Open quote"))</f>
        <v/>
      </c>
      <c r="L131" s="16" t="n"/>
      <c r="M131" s="16" t="n"/>
      <c r="N131" s="16" t="n"/>
      <c r="O131" s="15">
        <f>IF(C131="","",IF(N(L131)+N(M131)+N(N131)=0,"Not split",IF(ROUND(N(L131)+N(M131)+N(N131),2)=ROUND(H131,2),"OK","MISMATCH")))</f>
        <v/>
      </c>
      <c r="P131" s="16" t="n"/>
      <c r="Q131" s="16" t="n"/>
      <c r="R131" s="16" t="n"/>
      <c r="S131" s="17">
        <f>IF(C131="","",N(P131)+N(Q131)+N(R131))</f>
        <v/>
      </c>
      <c r="T131" s="17">
        <f>IF(C131="","",H131-S131)</f>
        <v/>
      </c>
      <c r="U131" s="54">
        <f>IFERROR(T131/H131,"")</f>
        <v/>
      </c>
      <c r="V131" s="14" t="n"/>
    </row>
    <row r="132" ht="15" customHeight="1">
      <c r="A132" s="51">
        <f>IF(C132="","",IFERROR(IF(SUMPRODUCT(MAX((tbl_Finance[Job Number]=C132&amp;"")*tbl_Finance[Date]))=0,"",SUMPRODUCT(MAX((tbl_Finance[Job Number]=C132&amp;"")*tbl_Finance[Date]))),""))</f>
        <v/>
      </c>
      <c r="B132" s="15">
        <f>IF(A132="","",IFERROR(LOOKUP(2,1/((tbl_Finance[Job Number]=C132&amp;"")*(tbl_Finance[Date]=A132)),tbl_Finance[Xero Invoice No]),""))</f>
        <v/>
      </c>
      <c r="C132" s="14" t="n"/>
      <c r="D132" s="15">
        <f>IF(C132="","",IF(COUNTIF(lst_Jobs,C132&amp;"")&gt;0,"OK","CHECK"))</f>
        <v/>
      </c>
      <c r="E132" s="15">
        <f>IF(C132="","",IFERROR(INDEX(lst_JobName,MATCH(C132&amp;"",lst_Jobs,0)),""))</f>
        <v/>
      </c>
      <c r="F132" s="15">
        <f>IF(C132="","",IFERROR(INDEX(tbl_Finance[Client],MATCH(C132&amp;"",tbl_Finance[Job Number],0)),""))</f>
        <v/>
      </c>
      <c r="G132" s="52">
        <f>IF(C132="","",COUNTIFS(tbl_Finance[Job Number],C132&amp;"",tbl_Finance[Ex GST],"&lt;&gt;"))</f>
        <v/>
      </c>
      <c r="H132" s="17">
        <f>IF(C132="","",SUMIFS(tbl_Finance[Ex GST],tbl_Finance[Job Number],C132&amp;""))</f>
        <v/>
      </c>
      <c r="I132" s="15">
        <f>IF(C132="","",IFERROR(INDEX(tbl_Finance[Cost Centre],MATCH(C132&amp;"",tbl_Finance[Job Number],0)),"not invoiced yet"))</f>
        <v/>
      </c>
      <c r="J132" s="14" t="n"/>
      <c r="K132" s="15">
        <f>IF(J132="","",HYPERLINK(IF(LEFT(J132,4)="http",J132,set_QwilrBase&amp;J132),"Open quote"))</f>
        <v/>
      </c>
      <c r="L132" s="16" t="n"/>
      <c r="M132" s="16" t="n"/>
      <c r="N132" s="16" t="n"/>
      <c r="O132" s="15">
        <f>IF(C132="","",IF(N(L132)+N(M132)+N(N132)=0,"Not split",IF(ROUND(N(L132)+N(M132)+N(N132),2)=ROUND(H132,2),"OK","MISMATCH")))</f>
        <v/>
      </c>
      <c r="P132" s="16" t="n"/>
      <c r="Q132" s="16" t="n"/>
      <c r="R132" s="16" t="n"/>
      <c r="S132" s="17">
        <f>IF(C132="","",N(P132)+N(Q132)+N(R132))</f>
        <v/>
      </c>
      <c r="T132" s="17">
        <f>IF(C132="","",H132-S132)</f>
        <v/>
      </c>
      <c r="U132" s="54">
        <f>IFERROR(T132/H132,"")</f>
        <v/>
      </c>
      <c r="V132" s="14" t="n"/>
    </row>
    <row r="133" ht="15" customHeight="1">
      <c r="A133" s="51">
        <f>IF(C133="","",IFERROR(IF(SUMPRODUCT(MAX((tbl_Finance[Job Number]=C133&amp;"")*tbl_Finance[Date]))=0,"",SUMPRODUCT(MAX((tbl_Finance[Job Number]=C133&amp;"")*tbl_Finance[Date]))),""))</f>
        <v/>
      </c>
      <c r="B133" s="15">
        <f>IF(A133="","",IFERROR(LOOKUP(2,1/((tbl_Finance[Job Number]=C133&amp;"")*(tbl_Finance[Date]=A133)),tbl_Finance[Xero Invoice No]),""))</f>
        <v/>
      </c>
      <c r="C133" s="14" t="n"/>
      <c r="D133" s="15">
        <f>IF(C133="","",IF(COUNTIF(lst_Jobs,C133&amp;"")&gt;0,"OK","CHECK"))</f>
        <v/>
      </c>
      <c r="E133" s="15">
        <f>IF(C133="","",IFERROR(INDEX(lst_JobName,MATCH(C133&amp;"",lst_Jobs,0)),""))</f>
        <v/>
      </c>
      <c r="F133" s="15">
        <f>IF(C133="","",IFERROR(INDEX(tbl_Finance[Client],MATCH(C133&amp;"",tbl_Finance[Job Number],0)),""))</f>
        <v/>
      </c>
      <c r="G133" s="52">
        <f>IF(C133="","",COUNTIFS(tbl_Finance[Job Number],C133&amp;"",tbl_Finance[Ex GST],"&lt;&gt;"))</f>
        <v/>
      </c>
      <c r="H133" s="17">
        <f>IF(C133="","",SUMIFS(tbl_Finance[Ex GST],tbl_Finance[Job Number],C133&amp;""))</f>
        <v/>
      </c>
      <c r="I133" s="15">
        <f>IF(C133="","",IFERROR(INDEX(tbl_Finance[Cost Centre],MATCH(C133&amp;"",tbl_Finance[Job Number],0)),"not invoiced yet"))</f>
        <v/>
      </c>
      <c r="J133" s="14" t="n"/>
      <c r="K133" s="15">
        <f>IF(J133="","",HYPERLINK(IF(LEFT(J133,4)="http",J133,set_QwilrBase&amp;J133),"Open quote"))</f>
        <v/>
      </c>
      <c r="L133" s="16" t="n"/>
      <c r="M133" s="16" t="n"/>
      <c r="N133" s="16" t="n"/>
      <c r="O133" s="15">
        <f>IF(C133="","",IF(N(L133)+N(M133)+N(N133)=0,"Not split",IF(ROUND(N(L133)+N(M133)+N(N133),2)=ROUND(H133,2),"OK","MISMATCH")))</f>
        <v/>
      </c>
      <c r="P133" s="16" t="n"/>
      <c r="Q133" s="16" t="n"/>
      <c r="R133" s="16" t="n"/>
      <c r="S133" s="17">
        <f>IF(C133="","",N(P133)+N(Q133)+N(R133))</f>
        <v/>
      </c>
      <c r="T133" s="17">
        <f>IF(C133="","",H133-S133)</f>
        <v/>
      </c>
      <c r="U133" s="54">
        <f>IFERROR(T133/H133,"")</f>
        <v/>
      </c>
      <c r="V133" s="14" t="n"/>
    </row>
    <row r="134" ht="15" customHeight="1">
      <c r="A134" s="51">
        <f>IF(C134="","",IFERROR(IF(SUMPRODUCT(MAX((tbl_Finance[Job Number]=C134&amp;"")*tbl_Finance[Date]))=0,"",SUMPRODUCT(MAX((tbl_Finance[Job Number]=C134&amp;"")*tbl_Finance[Date]))),""))</f>
        <v/>
      </c>
      <c r="B134" s="15">
        <f>IF(A134="","",IFERROR(LOOKUP(2,1/((tbl_Finance[Job Number]=C134&amp;"")*(tbl_Finance[Date]=A134)),tbl_Finance[Xero Invoice No]),""))</f>
        <v/>
      </c>
      <c r="C134" s="14" t="n"/>
      <c r="D134" s="15">
        <f>IF(C134="","",IF(COUNTIF(lst_Jobs,C134&amp;"")&gt;0,"OK","CHECK"))</f>
        <v/>
      </c>
      <c r="E134" s="15">
        <f>IF(C134="","",IFERROR(INDEX(lst_JobName,MATCH(C134&amp;"",lst_Jobs,0)),""))</f>
        <v/>
      </c>
      <c r="F134" s="15">
        <f>IF(C134="","",IFERROR(INDEX(tbl_Finance[Client],MATCH(C134&amp;"",tbl_Finance[Job Number],0)),""))</f>
        <v/>
      </c>
      <c r="G134" s="52">
        <f>IF(C134="","",COUNTIFS(tbl_Finance[Job Number],C134&amp;"",tbl_Finance[Ex GST],"&lt;&gt;"))</f>
        <v/>
      </c>
      <c r="H134" s="17">
        <f>IF(C134="","",SUMIFS(tbl_Finance[Ex GST],tbl_Finance[Job Number],C134&amp;""))</f>
        <v/>
      </c>
      <c r="I134" s="15">
        <f>IF(C134="","",IFERROR(INDEX(tbl_Finance[Cost Centre],MATCH(C134&amp;"",tbl_Finance[Job Number],0)),"not invoiced yet"))</f>
        <v/>
      </c>
      <c r="J134" s="14" t="n"/>
      <c r="K134" s="15">
        <f>IF(J134="","",HYPERLINK(IF(LEFT(J134,4)="http",J134,set_QwilrBase&amp;J134),"Open quote"))</f>
        <v/>
      </c>
      <c r="L134" s="16" t="n"/>
      <c r="M134" s="16" t="n"/>
      <c r="N134" s="16" t="n"/>
      <c r="O134" s="15">
        <f>IF(C134="","",IF(N(L134)+N(M134)+N(N134)=0,"Not split",IF(ROUND(N(L134)+N(M134)+N(N134),2)=ROUND(H134,2),"OK","MISMATCH")))</f>
        <v/>
      </c>
      <c r="P134" s="16" t="n"/>
      <c r="Q134" s="16" t="n"/>
      <c r="R134" s="16" t="n"/>
      <c r="S134" s="17">
        <f>IF(C134="","",N(P134)+N(Q134)+N(R134))</f>
        <v/>
      </c>
      <c r="T134" s="17">
        <f>IF(C134="","",H134-S134)</f>
        <v/>
      </c>
      <c r="U134" s="54">
        <f>IFERROR(T134/H134,"")</f>
        <v/>
      </c>
      <c r="V134" s="14" t="n"/>
    </row>
    <row r="135" ht="15" customHeight="1">
      <c r="A135" s="51">
        <f>IF(C135="","",IFERROR(IF(SUMPRODUCT(MAX((tbl_Finance[Job Number]=C135&amp;"")*tbl_Finance[Date]))=0,"",SUMPRODUCT(MAX((tbl_Finance[Job Number]=C135&amp;"")*tbl_Finance[Date]))),""))</f>
        <v/>
      </c>
      <c r="B135" s="15">
        <f>IF(A135="","",IFERROR(LOOKUP(2,1/((tbl_Finance[Job Number]=C135&amp;"")*(tbl_Finance[Date]=A135)),tbl_Finance[Xero Invoice No]),""))</f>
        <v/>
      </c>
      <c r="C135" s="14" t="n"/>
      <c r="D135" s="15">
        <f>IF(C135="","",IF(COUNTIF(lst_Jobs,C135&amp;"")&gt;0,"OK","CHECK"))</f>
        <v/>
      </c>
      <c r="E135" s="15">
        <f>IF(C135="","",IFERROR(INDEX(lst_JobName,MATCH(C135&amp;"",lst_Jobs,0)),""))</f>
        <v/>
      </c>
      <c r="F135" s="15">
        <f>IF(C135="","",IFERROR(INDEX(tbl_Finance[Client],MATCH(C135&amp;"",tbl_Finance[Job Number],0)),""))</f>
        <v/>
      </c>
      <c r="G135" s="52">
        <f>IF(C135="","",COUNTIFS(tbl_Finance[Job Number],C135&amp;"",tbl_Finance[Ex GST],"&lt;&gt;"))</f>
        <v/>
      </c>
      <c r="H135" s="17">
        <f>IF(C135="","",SUMIFS(tbl_Finance[Ex GST],tbl_Finance[Job Number],C135&amp;""))</f>
        <v/>
      </c>
      <c r="I135" s="15">
        <f>IF(C135="","",IFERROR(INDEX(tbl_Finance[Cost Centre],MATCH(C135&amp;"",tbl_Finance[Job Number],0)),"not invoiced yet"))</f>
        <v/>
      </c>
      <c r="J135" s="14" t="n"/>
      <c r="K135" s="15">
        <f>IF(J135="","",HYPERLINK(IF(LEFT(J135,4)="http",J135,set_QwilrBase&amp;J135),"Open quote"))</f>
        <v/>
      </c>
      <c r="L135" s="16" t="n"/>
      <c r="M135" s="16" t="n"/>
      <c r="N135" s="16" t="n"/>
      <c r="O135" s="15">
        <f>IF(C135="","",IF(N(L135)+N(M135)+N(N135)=0,"Not split",IF(ROUND(N(L135)+N(M135)+N(N135),2)=ROUND(H135,2),"OK","MISMATCH")))</f>
        <v/>
      </c>
      <c r="P135" s="16" t="n"/>
      <c r="Q135" s="16" t="n"/>
      <c r="R135" s="16" t="n"/>
      <c r="S135" s="17">
        <f>IF(C135="","",N(P135)+N(Q135)+N(R135))</f>
        <v/>
      </c>
      <c r="T135" s="17">
        <f>IF(C135="","",H135-S135)</f>
        <v/>
      </c>
      <c r="U135" s="54">
        <f>IFERROR(T135/H135,"")</f>
        <v/>
      </c>
      <c r="V135" s="14" t="n"/>
    </row>
    <row r="136" ht="15" customHeight="1">
      <c r="A136" s="51">
        <f>IF(C136="","",IFERROR(IF(SUMPRODUCT(MAX((tbl_Finance[Job Number]=C136&amp;"")*tbl_Finance[Date]))=0,"",SUMPRODUCT(MAX((tbl_Finance[Job Number]=C136&amp;"")*tbl_Finance[Date]))),""))</f>
        <v/>
      </c>
      <c r="B136" s="15">
        <f>IF(A136="","",IFERROR(LOOKUP(2,1/((tbl_Finance[Job Number]=C136&amp;"")*(tbl_Finance[Date]=A136)),tbl_Finance[Xero Invoice No]),""))</f>
        <v/>
      </c>
      <c r="C136" s="14" t="n"/>
      <c r="D136" s="15">
        <f>IF(C136="","",IF(COUNTIF(lst_Jobs,C136&amp;"")&gt;0,"OK","CHECK"))</f>
        <v/>
      </c>
      <c r="E136" s="15">
        <f>IF(C136="","",IFERROR(INDEX(lst_JobName,MATCH(C136&amp;"",lst_Jobs,0)),""))</f>
        <v/>
      </c>
      <c r="F136" s="15">
        <f>IF(C136="","",IFERROR(INDEX(tbl_Finance[Client],MATCH(C136&amp;"",tbl_Finance[Job Number],0)),""))</f>
        <v/>
      </c>
      <c r="G136" s="52">
        <f>IF(C136="","",COUNTIFS(tbl_Finance[Job Number],C136&amp;"",tbl_Finance[Ex GST],"&lt;&gt;"))</f>
        <v/>
      </c>
      <c r="H136" s="17">
        <f>IF(C136="","",SUMIFS(tbl_Finance[Ex GST],tbl_Finance[Job Number],C136&amp;""))</f>
        <v/>
      </c>
      <c r="I136" s="15">
        <f>IF(C136="","",IFERROR(INDEX(tbl_Finance[Cost Centre],MATCH(C136&amp;"",tbl_Finance[Job Number],0)),"not invoiced yet"))</f>
        <v/>
      </c>
      <c r="J136" s="14" t="n"/>
      <c r="K136" s="15">
        <f>IF(J136="","",HYPERLINK(IF(LEFT(J136,4)="http",J136,set_QwilrBase&amp;J136),"Open quote"))</f>
        <v/>
      </c>
      <c r="L136" s="16" t="n"/>
      <c r="M136" s="16" t="n"/>
      <c r="N136" s="16" t="n"/>
      <c r="O136" s="15">
        <f>IF(C136="","",IF(N(L136)+N(M136)+N(N136)=0,"Not split",IF(ROUND(N(L136)+N(M136)+N(N136),2)=ROUND(H136,2),"OK","MISMATCH")))</f>
        <v/>
      </c>
      <c r="P136" s="16" t="n"/>
      <c r="Q136" s="16" t="n"/>
      <c r="R136" s="16" t="n"/>
      <c r="S136" s="17">
        <f>IF(C136="","",N(P136)+N(Q136)+N(R136))</f>
        <v/>
      </c>
      <c r="T136" s="17">
        <f>IF(C136="","",H136-S136)</f>
        <v/>
      </c>
      <c r="U136" s="54">
        <f>IFERROR(T136/H136,"")</f>
        <v/>
      </c>
      <c r="V136" s="14" t="n"/>
    </row>
    <row r="137" ht="15" customHeight="1">
      <c r="A137" s="51">
        <f>IF(C137="","",IFERROR(IF(SUMPRODUCT(MAX((tbl_Finance[Job Number]=C137&amp;"")*tbl_Finance[Date]))=0,"",SUMPRODUCT(MAX((tbl_Finance[Job Number]=C137&amp;"")*tbl_Finance[Date]))),""))</f>
        <v/>
      </c>
      <c r="B137" s="15">
        <f>IF(A137="","",IFERROR(LOOKUP(2,1/((tbl_Finance[Job Number]=C137&amp;"")*(tbl_Finance[Date]=A137)),tbl_Finance[Xero Invoice No]),""))</f>
        <v/>
      </c>
      <c r="C137" s="14" t="n"/>
      <c r="D137" s="15">
        <f>IF(C137="","",IF(COUNTIF(lst_Jobs,C137&amp;"")&gt;0,"OK","CHECK"))</f>
        <v/>
      </c>
      <c r="E137" s="15">
        <f>IF(C137="","",IFERROR(INDEX(lst_JobName,MATCH(C137&amp;"",lst_Jobs,0)),""))</f>
        <v/>
      </c>
      <c r="F137" s="15">
        <f>IF(C137="","",IFERROR(INDEX(tbl_Finance[Client],MATCH(C137&amp;"",tbl_Finance[Job Number],0)),""))</f>
        <v/>
      </c>
      <c r="G137" s="52">
        <f>IF(C137="","",COUNTIFS(tbl_Finance[Job Number],C137&amp;"",tbl_Finance[Ex GST],"&lt;&gt;"))</f>
        <v/>
      </c>
      <c r="H137" s="17">
        <f>IF(C137="","",SUMIFS(tbl_Finance[Ex GST],tbl_Finance[Job Number],C137&amp;""))</f>
        <v/>
      </c>
      <c r="I137" s="15">
        <f>IF(C137="","",IFERROR(INDEX(tbl_Finance[Cost Centre],MATCH(C137&amp;"",tbl_Finance[Job Number],0)),"not invoiced yet"))</f>
        <v/>
      </c>
      <c r="J137" s="14" t="n"/>
      <c r="K137" s="15">
        <f>IF(J137="","",HYPERLINK(IF(LEFT(J137,4)="http",J137,set_QwilrBase&amp;J137),"Open quote"))</f>
        <v/>
      </c>
      <c r="L137" s="16" t="n"/>
      <c r="M137" s="16" t="n"/>
      <c r="N137" s="16" t="n"/>
      <c r="O137" s="15">
        <f>IF(C137="","",IF(N(L137)+N(M137)+N(N137)=0,"Not split",IF(ROUND(N(L137)+N(M137)+N(N137),2)=ROUND(H137,2),"OK","MISMATCH")))</f>
        <v/>
      </c>
      <c r="P137" s="16" t="n"/>
      <c r="Q137" s="16" t="n"/>
      <c r="R137" s="16" t="n"/>
      <c r="S137" s="17">
        <f>IF(C137="","",N(P137)+N(Q137)+N(R137))</f>
        <v/>
      </c>
      <c r="T137" s="17">
        <f>IF(C137="","",H137-S137)</f>
        <v/>
      </c>
      <c r="U137" s="54">
        <f>IFERROR(T137/H137,"")</f>
        <v/>
      </c>
      <c r="V137" s="14" t="n"/>
    </row>
    <row r="138" ht="15" customHeight="1">
      <c r="A138" s="51">
        <f>IF(C138="","",IFERROR(IF(SUMPRODUCT(MAX((tbl_Finance[Job Number]=C138&amp;"")*tbl_Finance[Date]))=0,"",SUMPRODUCT(MAX((tbl_Finance[Job Number]=C138&amp;"")*tbl_Finance[Date]))),""))</f>
        <v/>
      </c>
      <c r="B138" s="15">
        <f>IF(A138="","",IFERROR(LOOKUP(2,1/((tbl_Finance[Job Number]=C138&amp;"")*(tbl_Finance[Date]=A138)),tbl_Finance[Xero Invoice No]),""))</f>
        <v/>
      </c>
      <c r="C138" s="14" t="n"/>
      <c r="D138" s="15">
        <f>IF(C138="","",IF(COUNTIF(lst_Jobs,C138&amp;"")&gt;0,"OK","CHECK"))</f>
        <v/>
      </c>
      <c r="E138" s="15">
        <f>IF(C138="","",IFERROR(INDEX(lst_JobName,MATCH(C138&amp;"",lst_Jobs,0)),""))</f>
        <v/>
      </c>
      <c r="F138" s="15">
        <f>IF(C138="","",IFERROR(INDEX(tbl_Finance[Client],MATCH(C138&amp;"",tbl_Finance[Job Number],0)),""))</f>
        <v/>
      </c>
      <c r="G138" s="52">
        <f>IF(C138="","",COUNTIFS(tbl_Finance[Job Number],C138&amp;"",tbl_Finance[Ex GST],"&lt;&gt;"))</f>
        <v/>
      </c>
      <c r="H138" s="17">
        <f>IF(C138="","",SUMIFS(tbl_Finance[Ex GST],tbl_Finance[Job Number],C138&amp;""))</f>
        <v/>
      </c>
      <c r="I138" s="15">
        <f>IF(C138="","",IFERROR(INDEX(tbl_Finance[Cost Centre],MATCH(C138&amp;"",tbl_Finance[Job Number],0)),"not invoiced yet"))</f>
        <v/>
      </c>
      <c r="J138" s="14" t="n"/>
      <c r="K138" s="15">
        <f>IF(J138="","",HYPERLINK(IF(LEFT(J138,4)="http",J138,set_QwilrBase&amp;J138),"Open quote"))</f>
        <v/>
      </c>
      <c r="L138" s="16" t="n"/>
      <c r="M138" s="16" t="n"/>
      <c r="N138" s="16" t="n"/>
      <c r="O138" s="15">
        <f>IF(C138="","",IF(N(L138)+N(M138)+N(N138)=0,"Not split",IF(ROUND(N(L138)+N(M138)+N(N138),2)=ROUND(H138,2),"OK","MISMATCH")))</f>
        <v/>
      </c>
      <c r="P138" s="16" t="n"/>
      <c r="Q138" s="16" t="n"/>
      <c r="R138" s="16" t="n"/>
      <c r="S138" s="17">
        <f>IF(C138="","",N(P138)+N(Q138)+N(R138))</f>
        <v/>
      </c>
      <c r="T138" s="17">
        <f>IF(C138="","",H138-S138)</f>
        <v/>
      </c>
      <c r="U138" s="54">
        <f>IFERROR(T138/H138,"")</f>
        <v/>
      </c>
      <c r="V138" s="14" t="n"/>
    </row>
    <row r="139" ht="15" customHeight="1">
      <c r="A139" s="51">
        <f>IF(C139="","",IFERROR(IF(SUMPRODUCT(MAX((tbl_Finance[Job Number]=C139&amp;"")*tbl_Finance[Date]))=0,"",SUMPRODUCT(MAX((tbl_Finance[Job Number]=C139&amp;"")*tbl_Finance[Date]))),""))</f>
        <v/>
      </c>
      <c r="B139" s="15">
        <f>IF(A139="","",IFERROR(LOOKUP(2,1/((tbl_Finance[Job Number]=C139&amp;"")*(tbl_Finance[Date]=A139)),tbl_Finance[Xero Invoice No]),""))</f>
        <v/>
      </c>
      <c r="C139" s="14" t="n"/>
      <c r="D139" s="15">
        <f>IF(C139="","",IF(COUNTIF(lst_Jobs,C139&amp;"")&gt;0,"OK","CHECK"))</f>
        <v/>
      </c>
      <c r="E139" s="15">
        <f>IF(C139="","",IFERROR(INDEX(lst_JobName,MATCH(C139&amp;"",lst_Jobs,0)),""))</f>
        <v/>
      </c>
      <c r="F139" s="15">
        <f>IF(C139="","",IFERROR(INDEX(tbl_Finance[Client],MATCH(C139&amp;"",tbl_Finance[Job Number],0)),""))</f>
        <v/>
      </c>
      <c r="G139" s="52">
        <f>IF(C139="","",COUNTIFS(tbl_Finance[Job Number],C139&amp;"",tbl_Finance[Ex GST],"&lt;&gt;"))</f>
        <v/>
      </c>
      <c r="H139" s="17">
        <f>IF(C139="","",SUMIFS(tbl_Finance[Ex GST],tbl_Finance[Job Number],C139&amp;""))</f>
        <v/>
      </c>
      <c r="I139" s="15">
        <f>IF(C139="","",IFERROR(INDEX(tbl_Finance[Cost Centre],MATCH(C139&amp;"",tbl_Finance[Job Number],0)),"not invoiced yet"))</f>
        <v/>
      </c>
      <c r="J139" s="14" t="n"/>
      <c r="K139" s="15">
        <f>IF(J139="","",HYPERLINK(IF(LEFT(J139,4)="http",J139,set_QwilrBase&amp;J139),"Open quote"))</f>
        <v/>
      </c>
      <c r="L139" s="16" t="n"/>
      <c r="M139" s="16" t="n"/>
      <c r="N139" s="16" t="n"/>
      <c r="O139" s="15">
        <f>IF(C139="","",IF(N(L139)+N(M139)+N(N139)=0,"Not split",IF(ROUND(N(L139)+N(M139)+N(N139),2)=ROUND(H139,2),"OK","MISMATCH")))</f>
        <v/>
      </c>
      <c r="P139" s="16" t="n"/>
      <c r="Q139" s="16" t="n"/>
      <c r="R139" s="16" t="n"/>
      <c r="S139" s="17">
        <f>IF(C139="","",N(P139)+N(Q139)+N(R139))</f>
        <v/>
      </c>
      <c r="T139" s="17">
        <f>IF(C139="","",H139-S139)</f>
        <v/>
      </c>
      <c r="U139" s="54">
        <f>IFERROR(T139/H139,"")</f>
        <v/>
      </c>
      <c r="V139" s="14" t="n"/>
    </row>
    <row r="140" ht="15" customHeight="1">
      <c r="A140" s="51">
        <f>IF(C140="","",IFERROR(IF(SUMPRODUCT(MAX((tbl_Finance[Job Number]=C140&amp;"")*tbl_Finance[Date]))=0,"",SUMPRODUCT(MAX((tbl_Finance[Job Number]=C140&amp;"")*tbl_Finance[Date]))),""))</f>
        <v/>
      </c>
      <c r="B140" s="15">
        <f>IF(A140="","",IFERROR(LOOKUP(2,1/((tbl_Finance[Job Number]=C140&amp;"")*(tbl_Finance[Date]=A140)),tbl_Finance[Xero Invoice No]),""))</f>
        <v/>
      </c>
      <c r="C140" s="14" t="n"/>
      <c r="D140" s="15">
        <f>IF(C140="","",IF(COUNTIF(lst_Jobs,C140&amp;"")&gt;0,"OK","CHECK"))</f>
        <v/>
      </c>
      <c r="E140" s="15">
        <f>IF(C140="","",IFERROR(INDEX(lst_JobName,MATCH(C140&amp;"",lst_Jobs,0)),""))</f>
        <v/>
      </c>
      <c r="F140" s="15">
        <f>IF(C140="","",IFERROR(INDEX(tbl_Finance[Client],MATCH(C140&amp;"",tbl_Finance[Job Number],0)),""))</f>
        <v/>
      </c>
      <c r="G140" s="52">
        <f>IF(C140="","",COUNTIFS(tbl_Finance[Job Number],C140&amp;"",tbl_Finance[Ex GST],"&lt;&gt;"))</f>
        <v/>
      </c>
      <c r="H140" s="17">
        <f>IF(C140="","",SUMIFS(tbl_Finance[Ex GST],tbl_Finance[Job Number],C140&amp;""))</f>
        <v/>
      </c>
      <c r="I140" s="15">
        <f>IF(C140="","",IFERROR(INDEX(tbl_Finance[Cost Centre],MATCH(C140&amp;"",tbl_Finance[Job Number],0)),"not invoiced yet"))</f>
        <v/>
      </c>
      <c r="J140" s="14" t="n"/>
      <c r="K140" s="15">
        <f>IF(J140="","",HYPERLINK(IF(LEFT(J140,4)="http",J140,set_QwilrBase&amp;J140),"Open quote"))</f>
        <v/>
      </c>
      <c r="L140" s="16" t="n"/>
      <c r="M140" s="16" t="n"/>
      <c r="N140" s="16" t="n"/>
      <c r="O140" s="15">
        <f>IF(C140="","",IF(N(L140)+N(M140)+N(N140)=0,"Not split",IF(ROUND(N(L140)+N(M140)+N(N140),2)=ROUND(H140,2),"OK","MISMATCH")))</f>
        <v/>
      </c>
      <c r="P140" s="16" t="n"/>
      <c r="Q140" s="16" t="n"/>
      <c r="R140" s="16" t="n"/>
      <c r="S140" s="17">
        <f>IF(C140="","",N(P140)+N(Q140)+N(R140))</f>
        <v/>
      </c>
      <c r="T140" s="17">
        <f>IF(C140="","",H140-S140)</f>
        <v/>
      </c>
      <c r="U140" s="54">
        <f>IFERROR(T140/H140,"")</f>
        <v/>
      </c>
      <c r="V140" s="14" t="n"/>
    </row>
    <row r="141" ht="15" customHeight="1">
      <c r="A141" s="51">
        <f>IF(C141="","",IFERROR(IF(SUMPRODUCT(MAX((tbl_Finance[Job Number]=C141&amp;"")*tbl_Finance[Date]))=0,"",SUMPRODUCT(MAX((tbl_Finance[Job Number]=C141&amp;"")*tbl_Finance[Date]))),""))</f>
        <v/>
      </c>
      <c r="B141" s="15">
        <f>IF(A141="","",IFERROR(LOOKUP(2,1/((tbl_Finance[Job Number]=C141&amp;"")*(tbl_Finance[Date]=A141)),tbl_Finance[Xero Invoice No]),""))</f>
        <v/>
      </c>
      <c r="C141" s="14" t="n"/>
      <c r="D141" s="15">
        <f>IF(C141="","",IF(COUNTIF(lst_Jobs,C141&amp;"")&gt;0,"OK","CHECK"))</f>
        <v/>
      </c>
      <c r="E141" s="15">
        <f>IF(C141="","",IFERROR(INDEX(lst_JobName,MATCH(C141&amp;"",lst_Jobs,0)),""))</f>
        <v/>
      </c>
      <c r="F141" s="15">
        <f>IF(C141="","",IFERROR(INDEX(tbl_Finance[Client],MATCH(C141&amp;"",tbl_Finance[Job Number],0)),""))</f>
        <v/>
      </c>
      <c r="G141" s="52">
        <f>IF(C141="","",COUNTIFS(tbl_Finance[Job Number],C141&amp;"",tbl_Finance[Ex GST],"&lt;&gt;"))</f>
        <v/>
      </c>
      <c r="H141" s="17">
        <f>IF(C141="","",SUMIFS(tbl_Finance[Ex GST],tbl_Finance[Job Number],C141&amp;""))</f>
        <v/>
      </c>
      <c r="I141" s="15">
        <f>IF(C141="","",IFERROR(INDEX(tbl_Finance[Cost Centre],MATCH(C141&amp;"",tbl_Finance[Job Number],0)),"not invoiced yet"))</f>
        <v/>
      </c>
      <c r="J141" s="14" t="n"/>
      <c r="K141" s="15">
        <f>IF(J141="","",HYPERLINK(IF(LEFT(J141,4)="http",J141,set_QwilrBase&amp;J141),"Open quote"))</f>
        <v/>
      </c>
      <c r="L141" s="16" t="n"/>
      <c r="M141" s="16" t="n"/>
      <c r="N141" s="16" t="n"/>
      <c r="O141" s="15">
        <f>IF(C141="","",IF(N(L141)+N(M141)+N(N141)=0,"Not split",IF(ROUND(N(L141)+N(M141)+N(N141),2)=ROUND(H141,2),"OK","MISMATCH")))</f>
        <v/>
      </c>
      <c r="P141" s="16" t="n"/>
      <c r="Q141" s="16" t="n"/>
      <c r="R141" s="16" t="n"/>
      <c r="S141" s="17">
        <f>IF(C141="","",N(P141)+N(Q141)+N(R141))</f>
        <v/>
      </c>
      <c r="T141" s="17">
        <f>IF(C141="","",H141-S141)</f>
        <v/>
      </c>
      <c r="U141" s="54">
        <f>IFERROR(T141/H141,"")</f>
        <v/>
      </c>
      <c r="V141" s="14" t="n"/>
    </row>
    <row r="142" ht="15" customHeight="1">
      <c r="A142" s="51">
        <f>IF(C142="","",IFERROR(IF(SUMPRODUCT(MAX((tbl_Finance[Job Number]=C142&amp;"")*tbl_Finance[Date]))=0,"",SUMPRODUCT(MAX((tbl_Finance[Job Number]=C142&amp;"")*tbl_Finance[Date]))),""))</f>
        <v/>
      </c>
      <c r="B142" s="15">
        <f>IF(A142="","",IFERROR(LOOKUP(2,1/((tbl_Finance[Job Number]=C142&amp;"")*(tbl_Finance[Date]=A142)),tbl_Finance[Xero Invoice No]),""))</f>
        <v/>
      </c>
      <c r="C142" s="14" t="n"/>
      <c r="D142" s="15">
        <f>IF(C142="","",IF(COUNTIF(lst_Jobs,C142&amp;"")&gt;0,"OK","CHECK"))</f>
        <v/>
      </c>
      <c r="E142" s="15">
        <f>IF(C142="","",IFERROR(INDEX(lst_JobName,MATCH(C142&amp;"",lst_Jobs,0)),""))</f>
        <v/>
      </c>
      <c r="F142" s="15">
        <f>IF(C142="","",IFERROR(INDEX(tbl_Finance[Client],MATCH(C142&amp;"",tbl_Finance[Job Number],0)),""))</f>
        <v/>
      </c>
      <c r="G142" s="52">
        <f>IF(C142="","",COUNTIFS(tbl_Finance[Job Number],C142&amp;"",tbl_Finance[Ex GST],"&lt;&gt;"))</f>
        <v/>
      </c>
      <c r="H142" s="17">
        <f>IF(C142="","",SUMIFS(tbl_Finance[Ex GST],tbl_Finance[Job Number],C142&amp;""))</f>
        <v/>
      </c>
      <c r="I142" s="15">
        <f>IF(C142="","",IFERROR(INDEX(tbl_Finance[Cost Centre],MATCH(C142&amp;"",tbl_Finance[Job Number],0)),"not invoiced yet"))</f>
        <v/>
      </c>
      <c r="J142" s="14" t="n"/>
      <c r="K142" s="15">
        <f>IF(J142="","",HYPERLINK(IF(LEFT(J142,4)="http",J142,set_QwilrBase&amp;J142),"Open quote"))</f>
        <v/>
      </c>
      <c r="L142" s="16" t="n"/>
      <c r="M142" s="16" t="n"/>
      <c r="N142" s="16" t="n"/>
      <c r="O142" s="15">
        <f>IF(C142="","",IF(N(L142)+N(M142)+N(N142)=0,"Not split",IF(ROUND(N(L142)+N(M142)+N(N142),2)=ROUND(H142,2),"OK","MISMATCH")))</f>
        <v/>
      </c>
      <c r="P142" s="16" t="n"/>
      <c r="Q142" s="16" t="n"/>
      <c r="R142" s="16" t="n"/>
      <c r="S142" s="17">
        <f>IF(C142="","",N(P142)+N(Q142)+N(R142))</f>
        <v/>
      </c>
      <c r="T142" s="17">
        <f>IF(C142="","",H142-S142)</f>
        <v/>
      </c>
      <c r="U142" s="54">
        <f>IFERROR(T142/H142,"")</f>
        <v/>
      </c>
      <c r="V142" s="14" t="n"/>
    </row>
    <row r="143" ht="15" customHeight="1">
      <c r="A143" s="51">
        <f>IF(C143="","",IFERROR(IF(SUMPRODUCT(MAX((tbl_Finance[Job Number]=C143&amp;"")*tbl_Finance[Date]))=0,"",SUMPRODUCT(MAX((tbl_Finance[Job Number]=C143&amp;"")*tbl_Finance[Date]))),""))</f>
        <v/>
      </c>
      <c r="B143" s="15">
        <f>IF(A143="","",IFERROR(LOOKUP(2,1/((tbl_Finance[Job Number]=C143&amp;"")*(tbl_Finance[Date]=A143)),tbl_Finance[Xero Invoice No]),""))</f>
        <v/>
      </c>
      <c r="C143" s="14" t="n"/>
      <c r="D143" s="15">
        <f>IF(C143="","",IF(COUNTIF(lst_Jobs,C143&amp;"")&gt;0,"OK","CHECK"))</f>
        <v/>
      </c>
      <c r="E143" s="15">
        <f>IF(C143="","",IFERROR(INDEX(lst_JobName,MATCH(C143&amp;"",lst_Jobs,0)),""))</f>
        <v/>
      </c>
      <c r="F143" s="15">
        <f>IF(C143="","",IFERROR(INDEX(tbl_Finance[Client],MATCH(C143&amp;"",tbl_Finance[Job Number],0)),""))</f>
        <v/>
      </c>
      <c r="G143" s="52">
        <f>IF(C143="","",COUNTIFS(tbl_Finance[Job Number],C143&amp;"",tbl_Finance[Ex GST],"&lt;&gt;"))</f>
        <v/>
      </c>
      <c r="H143" s="17">
        <f>IF(C143="","",SUMIFS(tbl_Finance[Ex GST],tbl_Finance[Job Number],C143&amp;""))</f>
        <v/>
      </c>
      <c r="I143" s="15">
        <f>IF(C143="","",IFERROR(INDEX(tbl_Finance[Cost Centre],MATCH(C143&amp;"",tbl_Finance[Job Number],0)),"not invoiced yet"))</f>
        <v/>
      </c>
      <c r="J143" s="14" t="n"/>
      <c r="K143" s="15">
        <f>IF(J143="","",HYPERLINK(IF(LEFT(J143,4)="http",J143,set_QwilrBase&amp;J143),"Open quote"))</f>
        <v/>
      </c>
      <c r="L143" s="16" t="n"/>
      <c r="M143" s="16" t="n"/>
      <c r="N143" s="16" t="n"/>
      <c r="O143" s="15">
        <f>IF(C143="","",IF(N(L143)+N(M143)+N(N143)=0,"Not split",IF(ROUND(N(L143)+N(M143)+N(N143),2)=ROUND(H143,2),"OK","MISMATCH")))</f>
        <v/>
      </c>
      <c r="P143" s="16" t="n"/>
      <c r="Q143" s="16" t="n"/>
      <c r="R143" s="16" t="n"/>
      <c r="S143" s="17">
        <f>IF(C143="","",N(P143)+N(Q143)+N(R143))</f>
        <v/>
      </c>
      <c r="T143" s="17">
        <f>IF(C143="","",H143-S143)</f>
        <v/>
      </c>
      <c r="U143" s="54">
        <f>IFERROR(T143/H143,"")</f>
        <v/>
      </c>
      <c r="V143" s="14" t="n"/>
    </row>
    <row r="144" ht="15" customHeight="1">
      <c r="A144" s="51">
        <f>IF(C144="","",IFERROR(IF(SUMPRODUCT(MAX((tbl_Finance[Job Number]=C144&amp;"")*tbl_Finance[Date]))=0,"",SUMPRODUCT(MAX((tbl_Finance[Job Number]=C144&amp;"")*tbl_Finance[Date]))),""))</f>
        <v/>
      </c>
      <c r="B144" s="15">
        <f>IF(A144="","",IFERROR(LOOKUP(2,1/((tbl_Finance[Job Number]=C144&amp;"")*(tbl_Finance[Date]=A144)),tbl_Finance[Xero Invoice No]),""))</f>
        <v/>
      </c>
      <c r="C144" s="14" t="n"/>
      <c r="D144" s="15">
        <f>IF(C144="","",IF(COUNTIF(lst_Jobs,C144&amp;"")&gt;0,"OK","CHECK"))</f>
        <v/>
      </c>
      <c r="E144" s="15">
        <f>IF(C144="","",IFERROR(INDEX(lst_JobName,MATCH(C144&amp;"",lst_Jobs,0)),""))</f>
        <v/>
      </c>
      <c r="F144" s="15">
        <f>IF(C144="","",IFERROR(INDEX(tbl_Finance[Client],MATCH(C144&amp;"",tbl_Finance[Job Number],0)),""))</f>
        <v/>
      </c>
      <c r="G144" s="52">
        <f>IF(C144="","",COUNTIFS(tbl_Finance[Job Number],C144&amp;"",tbl_Finance[Ex GST],"&lt;&gt;"))</f>
        <v/>
      </c>
      <c r="H144" s="17">
        <f>IF(C144="","",SUMIFS(tbl_Finance[Ex GST],tbl_Finance[Job Number],C144&amp;""))</f>
        <v/>
      </c>
      <c r="I144" s="15">
        <f>IF(C144="","",IFERROR(INDEX(tbl_Finance[Cost Centre],MATCH(C144&amp;"",tbl_Finance[Job Number],0)),"not invoiced yet"))</f>
        <v/>
      </c>
      <c r="J144" s="14" t="n"/>
      <c r="K144" s="15">
        <f>IF(J144="","",HYPERLINK(IF(LEFT(J144,4)="http",J144,set_QwilrBase&amp;J144),"Open quote"))</f>
        <v/>
      </c>
      <c r="L144" s="16" t="n"/>
      <c r="M144" s="16" t="n"/>
      <c r="N144" s="16" t="n"/>
      <c r="O144" s="15">
        <f>IF(C144="","",IF(N(L144)+N(M144)+N(N144)=0,"Not split",IF(ROUND(N(L144)+N(M144)+N(N144),2)=ROUND(H144,2),"OK","MISMATCH")))</f>
        <v/>
      </c>
      <c r="P144" s="16" t="n"/>
      <c r="Q144" s="16" t="n"/>
      <c r="R144" s="16" t="n"/>
      <c r="S144" s="17">
        <f>IF(C144="","",N(P144)+N(Q144)+N(R144))</f>
        <v/>
      </c>
      <c r="T144" s="17">
        <f>IF(C144="","",H144-S144)</f>
        <v/>
      </c>
      <c r="U144" s="54">
        <f>IFERROR(T144/H144,"")</f>
        <v/>
      </c>
      <c r="V144" s="14" t="n"/>
    </row>
    <row r="145" ht="15" customHeight="1">
      <c r="A145" s="51">
        <f>IF(C145="","",IFERROR(IF(SUMPRODUCT(MAX((tbl_Finance[Job Number]=C145&amp;"")*tbl_Finance[Date]))=0,"",SUMPRODUCT(MAX((tbl_Finance[Job Number]=C145&amp;"")*tbl_Finance[Date]))),""))</f>
        <v/>
      </c>
      <c r="B145" s="15">
        <f>IF(A145="","",IFERROR(LOOKUP(2,1/((tbl_Finance[Job Number]=C145&amp;"")*(tbl_Finance[Date]=A145)),tbl_Finance[Xero Invoice No]),""))</f>
        <v/>
      </c>
      <c r="C145" s="14" t="n"/>
      <c r="D145" s="15">
        <f>IF(C145="","",IF(COUNTIF(lst_Jobs,C145&amp;"")&gt;0,"OK","CHECK"))</f>
        <v/>
      </c>
      <c r="E145" s="15">
        <f>IF(C145="","",IFERROR(INDEX(lst_JobName,MATCH(C145&amp;"",lst_Jobs,0)),""))</f>
        <v/>
      </c>
      <c r="F145" s="15">
        <f>IF(C145="","",IFERROR(INDEX(tbl_Finance[Client],MATCH(C145&amp;"",tbl_Finance[Job Number],0)),""))</f>
        <v/>
      </c>
      <c r="G145" s="52">
        <f>IF(C145="","",COUNTIFS(tbl_Finance[Job Number],C145&amp;"",tbl_Finance[Ex GST],"&lt;&gt;"))</f>
        <v/>
      </c>
      <c r="H145" s="17">
        <f>IF(C145="","",SUMIFS(tbl_Finance[Ex GST],tbl_Finance[Job Number],C145&amp;""))</f>
        <v/>
      </c>
      <c r="I145" s="15">
        <f>IF(C145="","",IFERROR(INDEX(tbl_Finance[Cost Centre],MATCH(C145&amp;"",tbl_Finance[Job Number],0)),"not invoiced yet"))</f>
        <v/>
      </c>
      <c r="J145" s="14" t="n"/>
      <c r="K145" s="15">
        <f>IF(J145="","",HYPERLINK(IF(LEFT(J145,4)="http",J145,set_QwilrBase&amp;J145),"Open quote"))</f>
        <v/>
      </c>
      <c r="L145" s="16" t="n"/>
      <c r="M145" s="16" t="n"/>
      <c r="N145" s="16" t="n"/>
      <c r="O145" s="15">
        <f>IF(C145="","",IF(N(L145)+N(M145)+N(N145)=0,"Not split",IF(ROUND(N(L145)+N(M145)+N(N145),2)=ROUND(H145,2),"OK","MISMATCH")))</f>
        <v/>
      </c>
      <c r="P145" s="16" t="n"/>
      <c r="Q145" s="16" t="n"/>
      <c r="R145" s="16" t="n"/>
      <c r="S145" s="17">
        <f>IF(C145="","",N(P145)+N(Q145)+N(R145))</f>
        <v/>
      </c>
      <c r="T145" s="17">
        <f>IF(C145="","",H145-S145)</f>
        <v/>
      </c>
      <c r="U145" s="54">
        <f>IFERROR(T145/H145,"")</f>
        <v/>
      </c>
      <c r="V145" s="14" t="n"/>
    </row>
    <row r="146" ht="15" customHeight="1">
      <c r="A146" s="51">
        <f>IF(C146="","",IFERROR(IF(SUMPRODUCT(MAX((tbl_Finance[Job Number]=C146&amp;"")*tbl_Finance[Date]))=0,"",SUMPRODUCT(MAX((tbl_Finance[Job Number]=C146&amp;"")*tbl_Finance[Date]))),""))</f>
        <v/>
      </c>
      <c r="B146" s="15">
        <f>IF(A146="","",IFERROR(LOOKUP(2,1/((tbl_Finance[Job Number]=C146&amp;"")*(tbl_Finance[Date]=A146)),tbl_Finance[Xero Invoice No]),""))</f>
        <v/>
      </c>
      <c r="C146" s="14" t="n"/>
      <c r="D146" s="15">
        <f>IF(C146="","",IF(COUNTIF(lst_Jobs,C146&amp;"")&gt;0,"OK","CHECK"))</f>
        <v/>
      </c>
      <c r="E146" s="15">
        <f>IF(C146="","",IFERROR(INDEX(lst_JobName,MATCH(C146&amp;"",lst_Jobs,0)),""))</f>
        <v/>
      </c>
      <c r="F146" s="15">
        <f>IF(C146="","",IFERROR(INDEX(tbl_Finance[Client],MATCH(C146&amp;"",tbl_Finance[Job Number],0)),""))</f>
        <v/>
      </c>
      <c r="G146" s="52">
        <f>IF(C146="","",COUNTIFS(tbl_Finance[Job Number],C146&amp;"",tbl_Finance[Ex GST],"&lt;&gt;"))</f>
        <v/>
      </c>
      <c r="H146" s="17">
        <f>IF(C146="","",SUMIFS(tbl_Finance[Ex GST],tbl_Finance[Job Number],C146&amp;""))</f>
        <v/>
      </c>
      <c r="I146" s="15">
        <f>IF(C146="","",IFERROR(INDEX(tbl_Finance[Cost Centre],MATCH(C146&amp;"",tbl_Finance[Job Number],0)),"not invoiced yet"))</f>
        <v/>
      </c>
      <c r="J146" s="14" t="n"/>
      <c r="K146" s="15">
        <f>IF(J146="","",HYPERLINK(IF(LEFT(J146,4)="http",J146,set_QwilrBase&amp;J146),"Open quote"))</f>
        <v/>
      </c>
      <c r="L146" s="16" t="n"/>
      <c r="M146" s="16" t="n"/>
      <c r="N146" s="16" t="n"/>
      <c r="O146" s="15">
        <f>IF(C146="","",IF(N(L146)+N(M146)+N(N146)=0,"Not split",IF(ROUND(N(L146)+N(M146)+N(N146),2)=ROUND(H146,2),"OK","MISMATCH")))</f>
        <v/>
      </c>
      <c r="P146" s="16" t="n"/>
      <c r="Q146" s="16" t="n"/>
      <c r="R146" s="16" t="n"/>
      <c r="S146" s="17">
        <f>IF(C146="","",N(P146)+N(Q146)+N(R146))</f>
        <v/>
      </c>
      <c r="T146" s="17">
        <f>IF(C146="","",H146-S146)</f>
        <v/>
      </c>
      <c r="U146" s="54">
        <f>IFERROR(T146/H146,"")</f>
        <v/>
      </c>
      <c r="V146" s="14" t="n"/>
    </row>
    <row r="147" ht="15" customHeight="1">
      <c r="A147" s="51">
        <f>IF(C147="","",IFERROR(IF(SUMPRODUCT(MAX((tbl_Finance[Job Number]=C147&amp;"")*tbl_Finance[Date]))=0,"",SUMPRODUCT(MAX((tbl_Finance[Job Number]=C147&amp;"")*tbl_Finance[Date]))),""))</f>
        <v/>
      </c>
      <c r="B147" s="15">
        <f>IF(A147="","",IFERROR(LOOKUP(2,1/((tbl_Finance[Job Number]=C147&amp;"")*(tbl_Finance[Date]=A147)),tbl_Finance[Xero Invoice No]),""))</f>
        <v/>
      </c>
      <c r="C147" s="14" t="n"/>
      <c r="D147" s="15">
        <f>IF(C147="","",IF(COUNTIF(lst_Jobs,C147&amp;"")&gt;0,"OK","CHECK"))</f>
        <v/>
      </c>
      <c r="E147" s="15">
        <f>IF(C147="","",IFERROR(INDEX(lst_JobName,MATCH(C147&amp;"",lst_Jobs,0)),""))</f>
        <v/>
      </c>
      <c r="F147" s="15">
        <f>IF(C147="","",IFERROR(INDEX(tbl_Finance[Client],MATCH(C147&amp;"",tbl_Finance[Job Number],0)),""))</f>
        <v/>
      </c>
      <c r="G147" s="52">
        <f>IF(C147="","",COUNTIFS(tbl_Finance[Job Number],C147&amp;"",tbl_Finance[Ex GST],"&lt;&gt;"))</f>
        <v/>
      </c>
      <c r="H147" s="17">
        <f>IF(C147="","",SUMIFS(tbl_Finance[Ex GST],tbl_Finance[Job Number],C147&amp;""))</f>
        <v/>
      </c>
      <c r="I147" s="15">
        <f>IF(C147="","",IFERROR(INDEX(tbl_Finance[Cost Centre],MATCH(C147&amp;"",tbl_Finance[Job Number],0)),"not invoiced yet"))</f>
        <v/>
      </c>
      <c r="J147" s="14" t="n"/>
      <c r="K147" s="15">
        <f>IF(J147="","",HYPERLINK(IF(LEFT(J147,4)="http",J147,set_QwilrBase&amp;J147),"Open quote"))</f>
        <v/>
      </c>
      <c r="L147" s="16" t="n"/>
      <c r="M147" s="16" t="n"/>
      <c r="N147" s="16" t="n"/>
      <c r="O147" s="15">
        <f>IF(C147="","",IF(N(L147)+N(M147)+N(N147)=0,"Not split",IF(ROUND(N(L147)+N(M147)+N(N147),2)=ROUND(H147,2),"OK","MISMATCH")))</f>
        <v/>
      </c>
      <c r="P147" s="16" t="n"/>
      <c r="Q147" s="16" t="n"/>
      <c r="R147" s="16" t="n"/>
      <c r="S147" s="17">
        <f>IF(C147="","",N(P147)+N(Q147)+N(R147))</f>
        <v/>
      </c>
      <c r="T147" s="17">
        <f>IF(C147="","",H147-S147)</f>
        <v/>
      </c>
      <c r="U147" s="54">
        <f>IFERROR(T147/H147,"")</f>
        <v/>
      </c>
      <c r="V147" s="14" t="n"/>
    </row>
    <row r="148" ht="15" customHeight="1">
      <c r="A148" s="51">
        <f>IF(C148="","",IFERROR(IF(SUMPRODUCT(MAX((tbl_Finance[Job Number]=C148&amp;"")*tbl_Finance[Date]))=0,"",SUMPRODUCT(MAX((tbl_Finance[Job Number]=C148&amp;"")*tbl_Finance[Date]))),""))</f>
        <v/>
      </c>
      <c r="B148" s="15">
        <f>IF(A148="","",IFERROR(LOOKUP(2,1/((tbl_Finance[Job Number]=C148&amp;"")*(tbl_Finance[Date]=A148)),tbl_Finance[Xero Invoice No]),""))</f>
        <v/>
      </c>
      <c r="C148" s="14" t="n"/>
      <c r="D148" s="15">
        <f>IF(C148="","",IF(COUNTIF(lst_Jobs,C148&amp;"")&gt;0,"OK","CHECK"))</f>
        <v/>
      </c>
      <c r="E148" s="15">
        <f>IF(C148="","",IFERROR(INDEX(lst_JobName,MATCH(C148&amp;"",lst_Jobs,0)),""))</f>
        <v/>
      </c>
      <c r="F148" s="15">
        <f>IF(C148="","",IFERROR(INDEX(tbl_Finance[Client],MATCH(C148&amp;"",tbl_Finance[Job Number],0)),""))</f>
        <v/>
      </c>
      <c r="G148" s="52">
        <f>IF(C148="","",COUNTIFS(tbl_Finance[Job Number],C148&amp;"",tbl_Finance[Ex GST],"&lt;&gt;"))</f>
        <v/>
      </c>
      <c r="H148" s="17">
        <f>IF(C148="","",SUMIFS(tbl_Finance[Ex GST],tbl_Finance[Job Number],C148&amp;""))</f>
        <v/>
      </c>
      <c r="I148" s="15">
        <f>IF(C148="","",IFERROR(INDEX(tbl_Finance[Cost Centre],MATCH(C148&amp;"",tbl_Finance[Job Number],0)),"not invoiced yet"))</f>
        <v/>
      </c>
      <c r="J148" s="14" t="n"/>
      <c r="K148" s="15">
        <f>IF(J148="","",HYPERLINK(IF(LEFT(J148,4)="http",J148,set_QwilrBase&amp;J148),"Open quote"))</f>
        <v/>
      </c>
      <c r="L148" s="16" t="n"/>
      <c r="M148" s="16" t="n"/>
      <c r="N148" s="16" t="n"/>
      <c r="O148" s="15">
        <f>IF(C148="","",IF(N(L148)+N(M148)+N(N148)=0,"Not split",IF(ROUND(N(L148)+N(M148)+N(N148),2)=ROUND(H148,2),"OK","MISMATCH")))</f>
        <v/>
      </c>
      <c r="P148" s="16" t="n"/>
      <c r="Q148" s="16" t="n"/>
      <c r="R148" s="16" t="n"/>
      <c r="S148" s="17">
        <f>IF(C148="","",N(P148)+N(Q148)+N(R148))</f>
        <v/>
      </c>
      <c r="T148" s="17">
        <f>IF(C148="","",H148-S148)</f>
        <v/>
      </c>
      <c r="U148" s="54">
        <f>IFERROR(T148/H148,"")</f>
        <v/>
      </c>
      <c r="V148" s="14" t="n"/>
    </row>
    <row r="149" ht="15" customHeight="1">
      <c r="A149" s="51">
        <f>IF(C149="","",IFERROR(IF(SUMPRODUCT(MAX((tbl_Finance[Job Number]=C149&amp;"")*tbl_Finance[Date]))=0,"",SUMPRODUCT(MAX((tbl_Finance[Job Number]=C149&amp;"")*tbl_Finance[Date]))),""))</f>
        <v/>
      </c>
      <c r="B149" s="15">
        <f>IF(A149="","",IFERROR(LOOKUP(2,1/((tbl_Finance[Job Number]=C149&amp;"")*(tbl_Finance[Date]=A149)),tbl_Finance[Xero Invoice No]),""))</f>
        <v/>
      </c>
      <c r="C149" s="14" t="n"/>
      <c r="D149" s="15">
        <f>IF(C149="","",IF(COUNTIF(lst_Jobs,C149&amp;"")&gt;0,"OK","CHECK"))</f>
        <v/>
      </c>
      <c r="E149" s="15">
        <f>IF(C149="","",IFERROR(INDEX(lst_JobName,MATCH(C149&amp;"",lst_Jobs,0)),""))</f>
        <v/>
      </c>
      <c r="F149" s="15">
        <f>IF(C149="","",IFERROR(INDEX(tbl_Finance[Client],MATCH(C149&amp;"",tbl_Finance[Job Number],0)),""))</f>
        <v/>
      </c>
      <c r="G149" s="52">
        <f>IF(C149="","",COUNTIFS(tbl_Finance[Job Number],C149&amp;"",tbl_Finance[Ex GST],"&lt;&gt;"))</f>
        <v/>
      </c>
      <c r="H149" s="17">
        <f>IF(C149="","",SUMIFS(tbl_Finance[Ex GST],tbl_Finance[Job Number],C149&amp;""))</f>
        <v/>
      </c>
      <c r="I149" s="15">
        <f>IF(C149="","",IFERROR(INDEX(tbl_Finance[Cost Centre],MATCH(C149&amp;"",tbl_Finance[Job Number],0)),"not invoiced yet"))</f>
        <v/>
      </c>
      <c r="J149" s="14" t="n"/>
      <c r="K149" s="15">
        <f>IF(J149="","",HYPERLINK(IF(LEFT(J149,4)="http",J149,set_QwilrBase&amp;J149),"Open quote"))</f>
        <v/>
      </c>
      <c r="L149" s="16" t="n"/>
      <c r="M149" s="16" t="n"/>
      <c r="N149" s="16" t="n"/>
      <c r="O149" s="15">
        <f>IF(C149="","",IF(N(L149)+N(M149)+N(N149)=0,"Not split",IF(ROUND(N(L149)+N(M149)+N(N149),2)=ROUND(H149,2),"OK","MISMATCH")))</f>
        <v/>
      </c>
      <c r="P149" s="16" t="n"/>
      <c r="Q149" s="16" t="n"/>
      <c r="R149" s="16" t="n"/>
      <c r="S149" s="17">
        <f>IF(C149="","",N(P149)+N(Q149)+N(R149))</f>
        <v/>
      </c>
      <c r="T149" s="17">
        <f>IF(C149="","",H149-S149)</f>
        <v/>
      </c>
      <c r="U149" s="54">
        <f>IFERROR(T149/H149,"")</f>
        <v/>
      </c>
      <c r="V149" s="14" t="n"/>
    </row>
    <row r="150" ht="15" customHeight="1">
      <c r="A150" s="51">
        <f>IF(C150="","",IFERROR(IF(SUMPRODUCT(MAX((tbl_Finance[Job Number]=C150&amp;"")*tbl_Finance[Date]))=0,"",SUMPRODUCT(MAX((tbl_Finance[Job Number]=C150&amp;"")*tbl_Finance[Date]))),""))</f>
        <v/>
      </c>
      <c r="B150" s="15">
        <f>IF(A150="","",IFERROR(LOOKUP(2,1/((tbl_Finance[Job Number]=C150&amp;"")*(tbl_Finance[Date]=A150)),tbl_Finance[Xero Invoice No]),""))</f>
        <v/>
      </c>
      <c r="C150" s="14" t="n"/>
      <c r="D150" s="15">
        <f>IF(C150="","",IF(COUNTIF(lst_Jobs,C150&amp;"")&gt;0,"OK","CHECK"))</f>
        <v/>
      </c>
      <c r="E150" s="15">
        <f>IF(C150="","",IFERROR(INDEX(lst_JobName,MATCH(C150&amp;"",lst_Jobs,0)),""))</f>
        <v/>
      </c>
      <c r="F150" s="15">
        <f>IF(C150="","",IFERROR(INDEX(tbl_Finance[Client],MATCH(C150&amp;"",tbl_Finance[Job Number],0)),""))</f>
        <v/>
      </c>
      <c r="G150" s="52">
        <f>IF(C150="","",COUNTIFS(tbl_Finance[Job Number],C150&amp;"",tbl_Finance[Ex GST],"&lt;&gt;"))</f>
        <v/>
      </c>
      <c r="H150" s="17">
        <f>IF(C150="","",SUMIFS(tbl_Finance[Ex GST],tbl_Finance[Job Number],C150&amp;""))</f>
        <v/>
      </c>
      <c r="I150" s="15">
        <f>IF(C150="","",IFERROR(INDEX(tbl_Finance[Cost Centre],MATCH(C150&amp;"",tbl_Finance[Job Number],0)),"not invoiced yet"))</f>
        <v/>
      </c>
      <c r="J150" s="14" t="n"/>
      <c r="K150" s="15">
        <f>IF(J150="","",HYPERLINK(IF(LEFT(J150,4)="http",J150,set_QwilrBase&amp;J150),"Open quote"))</f>
        <v/>
      </c>
      <c r="L150" s="16" t="n"/>
      <c r="M150" s="16" t="n"/>
      <c r="N150" s="16" t="n"/>
      <c r="O150" s="15">
        <f>IF(C150="","",IF(N(L150)+N(M150)+N(N150)=0,"Not split",IF(ROUND(N(L150)+N(M150)+N(N150),2)=ROUND(H150,2),"OK","MISMATCH")))</f>
        <v/>
      </c>
      <c r="P150" s="16" t="n"/>
      <c r="Q150" s="16" t="n"/>
      <c r="R150" s="16" t="n"/>
      <c r="S150" s="17">
        <f>IF(C150="","",N(P150)+N(Q150)+N(R150))</f>
        <v/>
      </c>
      <c r="T150" s="17">
        <f>IF(C150="","",H150-S150)</f>
        <v/>
      </c>
      <c r="U150" s="54">
        <f>IFERROR(T150/H150,"")</f>
        <v/>
      </c>
      <c r="V150" s="14" t="n"/>
    </row>
    <row r="151" ht="15" customHeight="1">
      <c r="A151" s="51">
        <f>IF(C151="","",IFERROR(IF(SUMPRODUCT(MAX((tbl_Finance[Job Number]=C151&amp;"")*tbl_Finance[Date]))=0,"",SUMPRODUCT(MAX((tbl_Finance[Job Number]=C151&amp;"")*tbl_Finance[Date]))),""))</f>
        <v/>
      </c>
      <c r="B151" s="15">
        <f>IF(A151="","",IFERROR(LOOKUP(2,1/((tbl_Finance[Job Number]=C151&amp;"")*(tbl_Finance[Date]=A151)),tbl_Finance[Xero Invoice No]),""))</f>
        <v/>
      </c>
      <c r="C151" s="14" t="n"/>
      <c r="D151" s="15">
        <f>IF(C151="","",IF(COUNTIF(lst_Jobs,C151&amp;"")&gt;0,"OK","CHECK"))</f>
        <v/>
      </c>
      <c r="E151" s="15">
        <f>IF(C151="","",IFERROR(INDEX(lst_JobName,MATCH(C151&amp;"",lst_Jobs,0)),""))</f>
        <v/>
      </c>
      <c r="F151" s="15">
        <f>IF(C151="","",IFERROR(INDEX(tbl_Finance[Client],MATCH(C151&amp;"",tbl_Finance[Job Number],0)),""))</f>
        <v/>
      </c>
      <c r="G151" s="52">
        <f>IF(C151="","",COUNTIFS(tbl_Finance[Job Number],C151&amp;"",tbl_Finance[Ex GST],"&lt;&gt;"))</f>
        <v/>
      </c>
      <c r="H151" s="17">
        <f>IF(C151="","",SUMIFS(tbl_Finance[Ex GST],tbl_Finance[Job Number],C151&amp;""))</f>
        <v/>
      </c>
      <c r="I151" s="15">
        <f>IF(C151="","",IFERROR(INDEX(tbl_Finance[Cost Centre],MATCH(C151&amp;"",tbl_Finance[Job Number],0)),"not invoiced yet"))</f>
        <v/>
      </c>
      <c r="J151" s="14" t="n"/>
      <c r="K151" s="15">
        <f>IF(J151="","",HYPERLINK(IF(LEFT(J151,4)="http",J151,set_QwilrBase&amp;J151),"Open quote"))</f>
        <v/>
      </c>
      <c r="L151" s="16" t="n"/>
      <c r="M151" s="16" t="n"/>
      <c r="N151" s="16" t="n"/>
      <c r="O151" s="15">
        <f>IF(C151="","",IF(N(L151)+N(M151)+N(N151)=0,"Not split",IF(ROUND(N(L151)+N(M151)+N(N151),2)=ROUND(H151,2),"OK","MISMATCH")))</f>
        <v/>
      </c>
      <c r="P151" s="16" t="n"/>
      <c r="Q151" s="16" t="n"/>
      <c r="R151" s="16" t="n"/>
      <c r="S151" s="17">
        <f>IF(C151="","",N(P151)+N(Q151)+N(R151))</f>
        <v/>
      </c>
      <c r="T151" s="17">
        <f>IF(C151="","",H151-S151)</f>
        <v/>
      </c>
      <c r="U151" s="54">
        <f>IFERROR(T151/H151,"")</f>
        <v/>
      </c>
      <c r="V151" s="14" t="n"/>
    </row>
    <row r="152" ht="15" customHeight="1">
      <c r="A152" s="51">
        <f>IF(C152="","",IFERROR(IF(SUMPRODUCT(MAX((tbl_Finance[Job Number]=C152&amp;"")*tbl_Finance[Date]))=0,"",SUMPRODUCT(MAX((tbl_Finance[Job Number]=C152&amp;"")*tbl_Finance[Date]))),""))</f>
        <v/>
      </c>
      <c r="B152" s="15">
        <f>IF(A152="","",IFERROR(LOOKUP(2,1/((tbl_Finance[Job Number]=C152&amp;"")*(tbl_Finance[Date]=A152)),tbl_Finance[Xero Invoice No]),""))</f>
        <v/>
      </c>
      <c r="C152" s="14" t="n"/>
      <c r="D152" s="15">
        <f>IF(C152="","",IF(COUNTIF(lst_Jobs,C152&amp;"")&gt;0,"OK","CHECK"))</f>
        <v/>
      </c>
      <c r="E152" s="15">
        <f>IF(C152="","",IFERROR(INDEX(lst_JobName,MATCH(C152&amp;"",lst_Jobs,0)),""))</f>
        <v/>
      </c>
      <c r="F152" s="15">
        <f>IF(C152="","",IFERROR(INDEX(tbl_Finance[Client],MATCH(C152&amp;"",tbl_Finance[Job Number],0)),""))</f>
        <v/>
      </c>
      <c r="G152" s="52">
        <f>IF(C152="","",COUNTIFS(tbl_Finance[Job Number],C152&amp;"",tbl_Finance[Ex GST],"&lt;&gt;"))</f>
        <v/>
      </c>
      <c r="H152" s="17">
        <f>IF(C152="","",SUMIFS(tbl_Finance[Ex GST],tbl_Finance[Job Number],C152&amp;""))</f>
        <v/>
      </c>
      <c r="I152" s="15">
        <f>IF(C152="","",IFERROR(INDEX(tbl_Finance[Cost Centre],MATCH(C152&amp;"",tbl_Finance[Job Number],0)),"not invoiced yet"))</f>
        <v/>
      </c>
      <c r="J152" s="14" t="n"/>
      <c r="K152" s="15">
        <f>IF(J152="","",HYPERLINK(IF(LEFT(J152,4)="http",J152,set_QwilrBase&amp;J152),"Open quote"))</f>
        <v/>
      </c>
      <c r="L152" s="16" t="n"/>
      <c r="M152" s="16" t="n"/>
      <c r="N152" s="16" t="n"/>
      <c r="O152" s="15">
        <f>IF(C152="","",IF(N(L152)+N(M152)+N(N152)=0,"Not split",IF(ROUND(N(L152)+N(M152)+N(N152),2)=ROUND(H152,2),"OK","MISMATCH")))</f>
        <v/>
      </c>
      <c r="P152" s="16" t="n"/>
      <c r="Q152" s="16" t="n"/>
      <c r="R152" s="16" t="n"/>
      <c r="S152" s="17">
        <f>IF(C152="","",N(P152)+N(Q152)+N(R152))</f>
        <v/>
      </c>
      <c r="T152" s="17">
        <f>IF(C152="","",H152-S152)</f>
        <v/>
      </c>
      <c r="U152" s="54">
        <f>IFERROR(T152/H152,"")</f>
        <v/>
      </c>
      <c r="V152" s="14" t="n"/>
    </row>
    <row r="153" ht="15" customHeight="1">
      <c r="A153" s="51">
        <f>IF(C153="","",IFERROR(IF(SUMPRODUCT(MAX((tbl_Finance[Job Number]=C153&amp;"")*tbl_Finance[Date]))=0,"",SUMPRODUCT(MAX((tbl_Finance[Job Number]=C153&amp;"")*tbl_Finance[Date]))),""))</f>
        <v/>
      </c>
      <c r="B153" s="15">
        <f>IF(A153="","",IFERROR(LOOKUP(2,1/((tbl_Finance[Job Number]=C153&amp;"")*(tbl_Finance[Date]=A153)),tbl_Finance[Xero Invoice No]),""))</f>
        <v/>
      </c>
      <c r="C153" s="14" t="n"/>
      <c r="D153" s="15">
        <f>IF(C153="","",IF(COUNTIF(lst_Jobs,C153&amp;"")&gt;0,"OK","CHECK"))</f>
        <v/>
      </c>
      <c r="E153" s="15">
        <f>IF(C153="","",IFERROR(INDEX(lst_JobName,MATCH(C153&amp;"",lst_Jobs,0)),""))</f>
        <v/>
      </c>
      <c r="F153" s="15">
        <f>IF(C153="","",IFERROR(INDEX(tbl_Finance[Client],MATCH(C153&amp;"",tbl_Finance[Job Number],0)),""))</f>
        <v/>
      </c>
      <c r="G153" s="52">
        <f>IF(C153="","",COUNTIFS(tbl_Finance[Job Number],C153&amp;"",tbl_Finance[Ex GST],"&lt;&gt;"))</f>
        <v/>
      </c>
      <c r="H153" s="17">
        <f>IF(C153="","",SUMIFS(tbl_Finance[Ex GST],tbl_Finance[Job Number],C153&amp;""))</f>
        <v/>
      </c>
      <c r="I153" s="15">
        <f>IF(C153="","",IFERROR(INDEX(tbl_Finance[Cost Centre],MATCH(C153&amp;"",tbl_Finance[Job Number],0)),"not invoiced yet"))</f>
        <v/>
      </c>
      <c r="J153" s="14" t="n"/>
      <c r="K153" s="15">
        <f>IF(J153="","",HYPERLINK(IF(LEFT(J153,4)="http",J153,set_QwilrBase&amp;J153),"Open quote"))</f>
        <v/>
      </c>
      <c r="L153" s="16" t="n"/>
      <c r="M153" s="16" t="n"/>
      <c r="N153" s="16" t="n"/>
      <c r="O153" s="15">
        <f>IF(C153="","",IF(N(L153)+N(M153)+N(N153)=0,"Not split",IF(ROUND(N(L153)+N(M153)+N(N153),2)=ROUND(H153,2),"OK","MISMATCH")))</f>
        <v/>
      </c>
      <c r="P153" s="16" t="n"/>
      <c r="Q153" s="16" t="n"/>
      <c r="R153" s="16" t="n"/>
      <c r="S153" s="17">
        <f>IF(C153="","",N(P153)+N(Q153)+N(R153))</f>
        <v/>
      </c>
      <c r="T153" s="17">
        <f>IF(C153="","",H153-S153)</f>
        <v/>
      </c>
      <c r="U153" s="54">
        <f>IFERROR(T153/H153,"")</f>
        <v/>
      </c>
      <c r="V153" s="14" t="n"/>
    </row>
    <row r="154" ht="15" customHeight="1">
      <c r="A154" s="51">
        <f>IF(C154="","",IFERROR(IF(SUMPRODUCT(MAX((tbl_Finance[Job Number]=C154&amp;"")*tbl_Finance[Date]))=0,"",SUMPRODUCT(MAX((tbl_Finance[Job Number]=C154&amp;"")*tbl_Finance[Date]))),""))</f>
        <v/>
      </c>
      <c r="B154" s="15">
        <f>IF(A154="","",IFERROR(LOOKUP(2,1/((tbl_Finance[Job Number]=C154&amp;"")*(tbl_Finance[Date]=A154)),tbl_Finance[Xero Invoice No]),""))</f>
        <v/>
      </c>
      <c r="C154" s="14" t="n"/>
      <c r="D154" s="15">
        <f>IF(C154="","",IF(COUNTIF(lst_Jobs,C154&amp;"")&gt;0,"OK","CHECK"))</f>
        <v/>
      </c>
      <c r="E154" s="15">
        <f>IF(C154="","",IFERROR(INDEX(lst_JobName,MATCH(C154&amp;"",lst_Jobs,0)),""))</f>
        <v/>
      </c>
      <c r="F154" s="15">
        <f>IF(C154="","",IFERROR(INDEX(tbl_Finance[Client],MATCH(C154&amp;"",tbl_Finance[Job Number],0)),""))</f>
        <v/>
      </c>
      <c r="G154" s="52">
        <f>IF(C154="","",COUNTIFS(tbl_Finance[Job Number],C154&amp;"",tbl_Finance[Ex GST],"&lt;&gt;"))</f>
        <v/>
      </c>
      <c r="H154" s="17">
        <f>IF(C154="","",SUMIFS(tbl_Finance[Ex GST],tbl_Finance[Job Number],C154&amp;""))</f>
        <v/>
      </c>
      <c r="I154" s="15">
        <f>IF(C154="","",IFERROR(INDEX(tbl_Finance[Cost Centre],MATCH(C154&amp;"",tbl_Finance[Job Number],0)),"not invoiced yet"))</f>
        <v/>
      </c>
      <c r="J154" s="14" t="n"/>
      <c r="K154" s="15">
        <f>IF(J154="","",HYPERLINK(IF(LEFT(J154,4)="http",J154,set_QwilrBase&amp;J154),"Open quote"))</f>
        <v/>
      </c>
      <c r="L154" s="16" t="n"/>
      <c r="M154" s="16" t="n"/>
      <c r="N154" s="16" t="n"/>
      <c r="O154" s="15">
        <f>IF(C154="","",IF(N(L154)+N(M154)+N(N154)=0,"Not split",IF(ROUND(N(L154)+N(M154)+N(N154),2)=ROUND(H154,2),"OK","MISMATCH")))</f>
        <v/>
      </c>
      <c r="P154" s="16" t="n"/>
      <c r="Q154" s="16" t="n"/>
      <c r="R154" s="16" t="n"/>
      <c r="S154" s="17">
        <f>IF(C154="","",N(P154)+N(Q154)+N(R154))</f>
        <v/>
      </c>
      <c r="T154" s="17">
        <f>IF(C154="","",H154-S154)</f>
        <v/>
      </c>
      <c r="U154" s="54">
        <f>IFERROR(T154/H154,"")</f>
        <v/>
      </c>
      <c r="V154" s="14" t="n"/>
    </row>
    <row r="155" ht="15" customHeight="1">
      <c r="A155" s="51">
        <f>IF(C155="","",IFERROR(IF(SUMPRODUCT(MAX((tbl_Finance[Job Number]=C155&amp;"")*tbl_Finance[Date]))=0,"",SUMPRODUCT(MAX((tbl_Finance[Job Number]=C155&amp;"")*tbl_Finance[Date]))),""))</f>
        <v/>
      </c>
      <c r="B155" s="15">
        <f>IF(A155="","",IFERROR(LOOKUP(2,1/((tbl_Finance[Job Number]=C155&amp;"")*(tbl_Finance[Date]=A155)),tbl_Finance[Xero Invoice No]),""))</f>
        <v/>
      </c>
      <c r="C155" s="14" t="n"/>
      <c r="D155" s="15">
        <f>IF(C155="","",IF(COUNTIF(lst_Jobs,C155&amp;"")&gt;0,"OK","CHECK"))</f>
        <v/>
      </c>
      <c r="E155" s="15">
        <f>IF(C155="","",IFERROR(INDEX(lst_JobName,MATCH(C155&amp;"",lst_Jobs,0)),""))</f>
        <v/>
      </c>
      <c r="F155" s="15">
        <f>IF(C155="","",IFERROR(INDEX(tbl_Finance[Client],MATCH(C155&amp;"",tbl_Finance[Job Number],0)),""))</f>
        <v/>
      </c>
      <c r="G155" s="52">
        <f>IF(C155="","",COUNTIFS(tbl_Finance[Job Number],C155&amp;"",tbl_Finance[Ex GST],"&lt;&gt;"))</f>
        <v/>
      </c>
      <c r="H155" s="17">
        <f>IF(C155="","",SUMIFS(tbl_Finance[Ex GST],tbl_Finance[Job Number],C155&amp;""))</f>
        <v/>
      </c>
      <c r="I155" s="15">
        <f>IF(C155="","",IFERROR(INDEX(tbl_Finance[Cost Centre],MATCH(C155&amp;"",tbl_Finance[Job Number],0)),"not invoiced yet"))</f>
        <v/>
      </c>
      <c r="J155" s="14" t="n"/>
      <c r="K155" s="15">
        <f>IF(J155="","",HYPERLINK(IF(LEFT(J155,4)="http",J155,set_QwilrBase&amp;J155),"Open quote"))</f>
        <v/>
      </c>
      <c r="L155" s="16" t="n"/>
      <c r="M155" s="16" t="n"/>
      <c r="N155" s="16" t="n"/>
      <c r="O155" s="15">
        <f>IF(C155="","",IF(N(L155)+N(M155)+N(N155)=0,"Not split",IF(ROUND(N(L155)+N(M155)+N(N155),2)=ROUND(H155,2),"OK","MISMATCH")))</f>
        <v/>
      </c>
      <c r="P155" s="16" t="n"/>
      <c r="Q155" s="16" t="n"/>
      <c r="R155" s="16" t="n"/>
      <c r="S155" s="17">
        <f>IF(C155="","",N(P155)+N(Q155)+N(R155))</f>
        <v/>
      </c>
      <c r="T155" s="17">
        <f>IF(C155="","",H155-S155)</f>
        <v/>
      </c>
      <c r="U155" s="54">
        <f>IFERROR(T155/H155,"")</f>
        <v/>
      </c>
      <c r="V155" s="14" t="n"/>
    </row>
    <row r="156" ht="15" customHeight="1">
      <c r="A156" s="51">
        <f>IF(C156="","",IFERROR(IF(SUMPRODUCT(MAX((tbl_Finance[Job Number]=C156&amp;"")*tbl_Finance[Date]))=0,"",SUMPRODUCT(MAX((tbl_Finance[Job Number]=C156&amp;"")*tbl_Finance[Date]))),""))</f>
        <v/>
      </c>
      <c r="B156" s="15">
        <f>IF(A156="","",IFERROR(LOOKUP(2,1/((tbl_Finance[Job Number]=C156&amp;"")*(tbl_Finance[Date]=A156)),tbl_Finance[Xero Invoice No]),""))</f>
        <v/>
      </c>
      <c r="C156" s="14" t="n"/>
      <c r="D156" s="15">
        <f>IF(C156="","",IF(COUNTIF(lst_Jobs,C156&amp;"")&gt;0,"OK","CHECK"))</f>
        <v/>
      </c>
      <c r="E156" s="15">
        <f>IF(C156="","",IFERROR(INDEX(lst_JobName,MATCH(C156&amp;"",lst_Jobs,0)),""))</f>
        <v/>
      </c>
      <c r="F156" s="15">
        <f>IF(C156="","",IFERROR(INDEX(tbl_Finance[Client],MATCH(C156&amp;"",tbl_Finance[Job Number],0)),""))</f>
        <v/>
      </c>
      <c r="G156" s="52">
        <f>IF(C156="","",COUNTIFS(tbl_Finance[Job Number],C156&amp;"",tbl_Finance[Ex GST],"&lt;&gt;"))</f>
        <v/>
      </c>
      <c r="H156" s="17">
        <f>IF(C156="","",SUMIFS(tbl_Finance[Ex GST],tbl_Finance[Job Number],C156&amp;""))</f>
        <v/>
      </c>
      <c r="I156" s="15">
        <f>IF(C156="","",IFERROR(INDEX(tbl_Finance[Cost Centre],MATCH(C156&amp;"",tbl_Finance[Job Number],0)),"not invoiced yet"))</f>
        <v/>
      </c>
      <c r="J156" s="14" t="n"/>
      <c r="K156" s="15">
        <f>IF(J156="","",HYPERLINK(IF(LEFT(J156,4)="http",J156,set_QwilrBase&amp;J156),"Open quote"))</f>
        <v/>
      </c>
      <c r="L156" s="16" t="n"/>
      <c r="M156" s="16" t="n"/>
      <c r="N156" s="16" t="n"/>
      <c r="O156" s="15">
        <f>IF(C156="","",IF(N(L156)+N(M156)+N(N156)=0,"Not split",IF(ROUND(N(L156)+N(M156)+N(N156),2)=ROUND(H156,2),"OK","MISMATCH")))</f>
        <v/>
      </c>
      <c r="P156" s="16" t="n"/>
      <c r="Q156" s="16" t="n"/>
      <c r="R156" s="16" t="n"/>
      <c r="S156" s="17">
        <f>IF(C156="","",N(P156)+N(Q156)+N(R156))</f>
        <v/>
      </c>
      <c r="T156" s="17">
        <f>IF(C156="","",H156-S156)</f>
        <v/>
      </c>
      <c r="U156" s="54">
        <f>IFERROR(T156/H156,"")</f>
        <v/>
      </c>
      <c r="V156" s="14" t="n"/>
    </row>
    <row r="157" ht="15" customHeight="1">
      <c r="A157" s="51">
        <f>IF(C157="","",IFERROR(IF(SUMPRODUCT(MAX((tbl_Finance[Job Number]=C157&amp;"")*tbl_Finance[Date]))=0,"",SUMPRODUCT(MAX((tbl_Finance[Job Number]=C157&amp;"")*tbl_Finance[Date]))),""))</f>
        <v/>
      </c>
      <c r="B157" s="15">
        <f>IF(A157="","",IFERROR(LOOKUP(2,1/((tbl_Finance[Job Number]=C157&amp;"")*(tbl_Finance[Date]=A157)),tbl_Finance[Xero Invoice No]),""))</f>
        <v/>
      </c>
      <c r="C157" s="14" t="n"/>
      <c r="D157" s="15">
        <f>IF(C157="","",IF(COUNTIF(lst_Jobs,C157&amp;"")&gt;0,"OK","CHECK"))</f>
        <v/>
      </c>
      <c r="E157" s="15">
        <f>IF(C157="","",IFERROR(INDEX(lst_JobName,MATCH(C157&amp;"",lst_Jobs,0)),""))</f>
        <v/>
      </c>
      <c r="F157" s="15">
        <f>IF(C157="","",IFERROR(INDEX(tbl_Finance[Client],MATCH(C157&amp;"",tbl_Finance[Job Number],0)),""))</f>
        <v/>
      </c>
      <c r="G157" s="52">
        <f>IF(C157="","",COUNTIFS(tbl_Finance[Job Number],C157&amp;"",tbl_Finance[Ex GST],"&lt;&gt;"))</f>
        <v/>
      </c>
      <c r="H157" s="17">
        <f>IF(C157="","",SUMIFS(tbl_Finance[Ex GST],tbl_Finance[Job Number],C157&amp;""))</f>
        <v/>
      </c>
      <c r="I157" s="15">
        <f>IF(C157="","",IFERROR(INDEX(tbl_Finance[Cost Centre],MATCH(C157&amp;"",tbl_Finance[Job Number],0)),"not invoiced yet"))</f>
        <v/>
      </c>
      <c r="J157" s="14" t="n"/>
      <c r="K157" s="15">
        <f>IF(J157="","",HYPERLINK(IF(LEFT(J157,4)="http",J157,set_QwilrBase&amp;J157),"Open quote"))</f>
        <v/>
      </c>
      <c r="L157" s="16" t="n"/>
      <c r="M157" s="16" t="n"/>
      <c r="N157" s="16" t="n"/>
      <c r="O157" s="15">
        <f>IF(C157="","",IF(N(L157)+N(M157)+N(N157)=0,"Not split",IF(ROUND(N(L157)+N(M157)+N(N157),2)=ROUND(H157,2),"OK","MISMATCH")))</f>
        <v/>
      </c>
      <c r="P157" s="16" t="n"/>
      <c r="Q157" s="16" t="n"/>
      <c r="R157" s="16" t="n"/>
      <c r="S157" s="17">
        <f>IF(C157="","",N(P157)+N(Q157)+N(R157))</f>
        <v/>
      </c>
      <c r="T157" s="17">
        <f>IF(C157="","",H157-S157)</f>
        <v/>
      </c>
      <c r="U157" s="54">
        <f>IFERROR(T157/H157,"")</f>
        <v/>
      </c>
      <c r="V157" s="14" t="n"/>
    </row>
    <row r="158" ht="15" customHeight="1">
      <c r="A158" s="51">
        <f>IF(C158="","",IFERROR(IF(SUMPRODUCT(MAX((tbl_Finance[Job Number]=C158&amp;"")*tbl_Finance[Date]))=0,"",SUMPRODUCT(MAX((tbl_Finance[Job Number]=C158&amp;"")*tbl_Finance[Date]))),""))</f>
        <v/>
      </c>
      <c r="B158" s="15">
        <f>IF(A158="","",IFERROR(LOOKUP(2,1/((tbl_Finance[Job Number]=C158&amp;"")*(tbl_Finance[Date]=A158)),tbl_Finance[Xero Invoice No]),""))</f>
        <v/>
      </c>
      <c r="C158" s="14" t="n"/>
      <c r="D158" s="15">
        <f>IF(C158="","",IF(COUNTIF(lst_Jobs,C158&amp;"")&gt;0,"OK","CHECK"))</f>
        <v/>
      </c>
      <c r="E158" s="15">
        <f>IF(C158="","",IFERROR(INDEX(lst_JobName,MATCH(C158&amp;"",lst_Jobs,0)),""))</f>
        <v/>
      </c>
      <c r="F158" s="15">
        <f>IF(C158="","",IFERROR(INDEX(tbl_Finance[Client],MATCH(C158&amp;"",tbl_Finance[Job Number],0)),""))</f>
        <v/>
      </c>
      <c r="G158" s="52">
        <f>IF(C158="","",COUNTIFS(tbl_Finance[Job Number],C158&amp;"",tbl_Finance[Ex GST],"&lt;&gt;"))</f>
        <v/>
      </c>
      <c r="H158" s="17">
        <f>IF(C158="","",SUMIFS(tbl_Finance[Ex GST],tbl_Finance[Job Number],C158&amp;""))</f>
        <v/>
      </c>
      <c r="I158" s="15">
        <f>IF(C158="","",IFERROR(INDEX(tbl_Finance[Cost Centre],MATCH(C158&amp;"",tbl_Finance[Job Number],0)),"not invoiced yet"))</f>
        <v/>
      </c>
      <c r="J158" s="14" t="n"/>
      <c r="K158" s="15">
        <f>IF(J158="","",HYPERLINK(IF(LEFT(J158,4)="http",J158,set_QwilrBase&amp;J158),"Open quote"))</f>
        <v/>
      </c>
      <c r="L158" s="16" t="n"/>
      <c r="M158" s="16" t="n"/>
      <c r="N158" s="16" t="n"/>
      <c r="O158" s="15">
        <f>IF(C158="","",IF(N(L158)+N(M158)+N(N158)=0,"Not split",IF(ROUND(N(L158)+N(M158)+N(N158),2)=ROUND(H158,2),"OK","MISMATCH")))</f>
        <v/>
      </c>
      <c r="P158" s="16" t="n"/>
      <c r="Q158" s="16" t="n"/>
      <c r="R158" s="16" t="n"/>
      <c r="S158" s="17">
        <f>IF(C158="","",N(P158)+N(Q158)+N(R158))</f>
        <v/>
      </c>
      <c r="T158" s="17">
        <f>IF(C158="","",H158-S158)</f>
        <v/>
      </c>
      <c r="U158" s="54">
        <f>IFERROR(T158/H158,"")</f>
        <v/>
      </c>
      <c r="V158" s="14" t="n"/>
    </row>
    <row r="159" ht="15" customHeight="1">
      <c r="A159" s="51">
        <f>IF(C159="","",IFERROR(IF(SUMPRODUCT(MAX((tbl_Finance[Job Number]=C159&amp;"")*tbl_Finance[Date]))=0,"",SUMPRODUCT(MAX((tbl_Finance[Job Number]=C159&amp;"")*tbl_Finance[Date]))),""))</f>
        <v/>
      </c>
      <c r="B159" s="15">
        <f>IF(A159="","",IFERROR(LOOKUP(2,1/((tbl_Finance[Job Number]=C159&amp;"")*(tbl_Finance[Date]=A159)),tbl_Finance[Xero Invoice No]),""))</f>
        <v/>
      </c>
      <c r="C159" s="14" t="n"/>
      <c r="D159" s="15">
        <f>IF(C159="","",IF(COUNTIF(lst_Jobs,C159&amp;"")&gt;0,"OK","CHECK"))</f>
        <v/>
      </c>
      <c r="E159" s="15">
        <f>IF(C159="","",IFERROR(INDEX(lst_JobName,MATCH(C159&amp;"",lst_Jobs,0)),""))</f>
        <v/>
      </c>
      <c r="F159" s="15">
        <f>IF(C159="","",IFERROR(INDEX(tbl_Finance[Client],MATCH(C159&amp;"",tbl_Finance[Job Number],0)),""))</f>
        <v/>
      </c>
      <c r="G159" s="52">
        <f>IF(C159="","",COUNTIFS(tbl_Finance[Job Number],C159&amp;"",tbl_Finance[Ex GST],"&lt;&gt;"))</f>
        <v/>
      </c>
      <c r="H159" s="17">
        <f>IF(C159="","",SUMIFS(tbl_Finance[Ex GST],tbl_Finance[Job Number],C159&amp;""))</f>
        <v/>
      </c>
      <c r="I159" s="15">
        <f>IF(C159="","",IFERROR(INDEX(tbl_Finance[Cost Centre],MATCH(C159&amp;"",tbl_Finance[Job Number],0)),"not invoiced yet"))</f>
        <v/>
      </c>
      <c r="J159" s="14" t="n"/>
      <c r="K159" s="15">
        <f>IF(J159="","",HYPERLINK(IF(LEFT(J159,4)="http",J159,set_QwilrBase&amp;J159),"Open quote"))</f>
        <v/>
      </c>
      <c r="L159" s="16" t="n"/>
      <c r="M159" s="16" t="n"/>
      <c r="N159" s="16" t="n"/>
      <c r="O159" s="15">
        <f>IF(C159="","",IF(N(L159)+N(M159)+N(N159)=0,"Not split",IF(ROUND(N(L159)+N(M159)+N(N159),2)=ROUND(H159,2),"OK","MISMATCH")))</f>
        <v/>
      </c>
      <c r="P159" s="16" t="n"/>
      <c r="Q159" s="16" t="n"/>
      <c r="R159" s="16" t="n"/>
      <c r="S159" s="17">
        <f>IF(C159="","",N(P159)+N(Q159)+N(R159))</f>
        <v/>
      </c>
      <c r="T159" s="17">
        <f>IF(C159="","",H159-S159)</f>
        <v/>
      </c>
      <c r="U159" s="54">
        <f>IFERROR(T159/H159,"")</f>
        <v/>
      </c>
      <c r="V159" s="14" t="n"/>
    </row>
    <row r="160" ht="15" customHeight="1">
      <c r="A160" s="51">
        <f>IF(C160="","",IFERROR(IF(SUMPRODUCT(MAX((tbl_Finance[Job Number]=C160&amp;"")*tbl_Finance[Date]))=0,"",SUMPRODUCT(MAX((tbl_Finance[Job Number]=C160&amp;"")*tbl_Finance[Date]))),""))</f>
        <v/>
      </c>
      <c r="B160" s="15">
        <f>IF(A160="","",IFERROR(LOOKUP(2,1/((tbl_Finance[Job Number]=C160&amp;"")*(tbl_Finance[Date]=A160)),tbl_Finance[Xero Invoice No]),""))</f>
        <v/>
      </c>
      <c r="C160" s="14" t="n"/>
      <c r="D160" s="15">
        <f>IF(C160="","",IF(COUNTIF(lst_Jobs,C160&amp;"")&gt;0,"OK","CHECK"))</f>
        <v/>
      </c>
      <c r="E160" s="15">
        <f>IF(C160="","",IFERROR(INDEX(lst_JobName,MATCH(C160&amp;"",lst_Jobs,0)),""))</f>
        <v/>
      </c>
      <c r="F160" s="15">
        <f>IF(C160="","",IFERROR(INDEX(tbl_Finance[Client],MATCH(C160&amp;"",tbl_Finance[Job Number],0)),""))</f>
        <v/>
      </c>
      <c r="G160" s="52">
        <f>IF(C160="","",COUNTIFS(tbl_Finance[Job Number],C160&amp;"",tbl_Finance[Ex GST],"&lt;&gt;"))</f>
        <v/>
      </c>
      <c r="H160" s="17">
        <f>IF(C160="","",SUMIFS(tbl_Finance[Ex GST],tbl_Finance[Job Number],C160&amp;""))</f>
        <v/>
      </c>
      <c r="I160" s="15">
        <f>IF(C160="","",IFERROR(INDEX(tbl_Finance[Cost Centre],MATCH(C160&amp;"",tbl_Finance[Job Number],0)),"not invoiced yet"))</f>
        <v/>
      </c>
      <c r="J160" s="14" t="n"/>
      <c r="K160" s="15">
        <f>IF(J160="","",HYPERLINK(IF(LEFT(J160,4)="http",J160,set_QwilrBase&amp;J160),"Open quote"))</f>
        <v/>
      </c>
      <c r="L160" s="16" t="n"/>
      <c r="M160" s="16" t="n"/>
      <c r="N160" s="16" t="n"/>
      <c r="O160" s="15">
        <f>IF(C160="","",IF(N(L160)+N(M160)+N(N160)=0,"Not split",IF(ROUND(N(L160)+N(M160)+N(N160),2)=ROUND(H160,2),"OK","MISMATCH")))</f>
        <v/>
      </c>
      <c r="P160" s="16" t="n"/>
      <c r="Q160" s="16" t="n"/>
      <c r="R160" s="16" t="n"/>
      <c r="S160" s="17">
        <f>IF(C160="","",N(P160)+N(Q160)+N(R160))</f>
        <v/>
      </c>
      <c r="T160" s="17">
        <f>IF(C160="","",H160-S160)</f>
        <v/>
      </c>
      <c r="U160" s="54">
        <f>IFERROR(T160/H160,"")</f>
        <v/>
      </c>
      <c r="V160" s="14" t="n"/>
    </row>
    <row r="161" ht="15" customHeight="1">
      <c r="A161" s="51">
        <f>IF(C161="","",IFERROR(IF(SUMPRODUCT(MAX((tbl_Finance[Job Number]=C161&amp;"")*tbl_Finance[Date]))=0,"",SUMPRODUCT(MAX((tbl_Finance[Job Number]=C161&amp;"")*tbl_Finance[Date]))),""))</f>
        <v/>
      </c>
      <c r="B161" s="15">
        <f>IF(A161="","",IFERROR(LOOKUP(2,1/((tbl_Finance[Job Number]=C161&amp;"")*(tbl_Finance[Date]=A161)),tbl_Finance[Xero Invoice No]),""))</f>
        <v/>
      </c>
      <c r="C161" s="14" t="n"/>
      <c r="D161" s="15">
        <f>IF(C161="","",IF(COUNTIF(lst_Jobs,C161&amp;"")&gt;0,"OK","CHECK"))</f>
        <v/>
      </c>
      <c r="E161" s="15">
        <f>IF(C161="","",IFERROR(INDEX(lst_JobName,MATCH(C161&amp;"",lst_Jobs,0)),""))</f>
        <v/>
      </c>
      <c r="F161" s="15">
        <f>IF(C161="","",IFERROR(INDEX(tbl_Finance[Client],MATCH(C161&amp;"",tbl_Finance[Job Number],0)),""))</f>
        <v/>
      </c>
      <c r="G161" s="52">
        <f>IF(C161="","",COUNTIFS(tbl_Finance[Job Number],C161&amp;"",tbl_Finance[Ex GST],"&lt;&gt;"))</f>
        <v/>
      </c>
      <c r="H161" s="17">
        <f>IF(C161="","",SUMIFS(tbl_Finance[Ex GST],tbl_Finance[Job Number],C161&amp;""))</f>
        <v/>
      </c>
      <c r="I161" s="15">
        <f>IF(C161="","",IFERROR(INDEX(tbl_Finance[Cost Centre],MATCH(C161&amp;"",tbl_Finance[Job Number],0)),"not invoiced yet"))</f>
        <v/>
      </c>
      <c r="J161" s="14" t="n"/>
      <c r="K161" s="15">
        <f>IF(J161="","",HYPERLINK(IF(LEFT(J161,4)="http",J161,set_QwilrBase&amp;J161),"Open quote"))</f>
        <v/>
      </c>
      <c r="L161" s="16" t="n"/>
      <c r="M161" s="16" t="n"/>
      <c r="N161" s="16" t="n"/>
      <c r="O161" s="15">
        <f>IF(C161="","",IF(N(L161)+N(M161)+N(N161)=0,"Not split",IF(ROUND(N(L161)+N(M161)+N(N161),2)=ROUND(H161,2),"OK","MISMATCH")))</f>
        <v/>
      </c>
      <c r="P161" s="16" t="n"/>
      <c r="Q161" s="16" t="n"/>
      <c r="R161" s="16" t="n"/>
      <c r="S161" s="17">
        <f>IF(C161="","",N(P161)+N(Q161)+N(R161))</f>
        <v/>
      </c>
      <c r="T161" s="17">
        <f>IF(C161="","",H161-S161)</f>
        <v/>
      </c>
      <c r="U161" s="54">
        <f>IFERROR(T161/H161,"")</f>
        <v/>
      </c>
      <c r="V161" s="14" t="n"/>
    </row>
    <row r="162" ht="15" customHeight="1">
      <c r="A162" s="51">
        <f>IF(C162="","",IFERROR(IF(SUMPRODUCT(MAX((tbl_Finance[Job Number]=C162&amp;"")*tbl_Finance[Date]))=0,"",SUMPRODUCT(MAX((tbl_Finance[Job Number]=C162&amp;"")*tbl_Finance[Date]))),""))</f>
        <v/>
      </c>
      <c r="B162" s="15">
        <f>IF(A162="","",IFERROR(LOOKUP(2,1/((tbl_Finance[Job Number]=C162&amp;"")*(tbl_Finance[Date]=A162)),tbl_Finance[Xero Invoice No]),""))</f>
        <v/>
      </c>
      <c r="C162" s="14" t="n"/>
      <c r="D162" s="15">
        <f>IF(C162="","",IF(COUNTIF(lst_Jobs,C162&amp;"")&gt;0,"OK","CHECK"))</f>
        <v/>
      </c>
      <c r="E162" s="15">
        <f>IF(C162="","",IFERROR(INDEX(lst_JobName,MATCH(C162&amp;"",lst_Jobs,0)),""))</f>
        <v/>
      </c>
      <c r="F162" s="15">
        <f>IF(C162="","",IFERROR(INDEX(tbl_Finance[Client],MATCH(C162&amp;"",tbl_Finance[Job Number],0)),""))</f>
        <v/>
      </c>
      <c r="G162" s="52">
        <f>IF(C162="","",COUNTIFS(tbl_Finance[Job Number],C162&amp;"",tbl_Finance[Ex GST],"&lt;&gt;"))</f>
        <v/>
      </c>
      <c r="H162" s="17">
        <f>IF(C162="","",SUMIFS(tbl_Finance[Ex GST],tbl_Finance[Job Number],C162&amp;""))</f>
        <v/>
      </c>
      <c r="I162" s="15">
        <f>IF(C162="","",IFERROR(INDEX(tbl_Finance[Cost Centre],MATCH(C162&amp;"",tbl_Finance[Job Number],0)),"not invoiced yet"))</f>
        <v/>
      </c>
      <c r="J162" s="14" t="n"/>
      <c r="K162" s="15">
        <f>IF(J162="","",HYPERLINK(IF(LEFT(J162,4)="http",J162,set_QwilrBase&amp;J162),"Open quote"))</f>
        <v/>
      </c>
      <c r="L162" s="16" t="n"/>
      <c r="M162" s="16" t="n"/>
      <c r="N162" s="16" t="n"/>
      <c r="O162" s="15">
        <f>IF(C162="","",IF(N(L162)+N(M162)+N(N162)=0,"Not split",IF(ROUND(N(L162)+N(M162)+N(N162),2)=ROUND(H162,2),"OK","MISMATCH")))</f>
        <v/>
      </c>
      <c r="P162" s="16" t="n"/>
      <c r="Q162" s="16" t="n"/>
      <c r="R162" s="16" t="n"/>
      <c r="S162" s="17">
        <f>IF(C162="","",N(P162)+N(Q162)+N(R162))</f>
        <v/>
      </c>
      <c r="T162" s="17">
        <f>IF(C162="","",H162-S162)</f>
        <v/>
      </c>
      <c r="U162" s="54">
        <f>IFERROR(T162/H162,"")</f>
        <v/>
      </c>
      <c r="V162" s="14" t="n"/>
    </row>
    <row r="163" ht="15" customHeight="1">
      <c r="A163" s="51">
        <f>IF(C163="","",IFERROR(IF(SUMPRODUCT(MAX((tbl_Finance[Job Number]=C163&amp;"")*tbl_Finance[Date]))=0,"",SUMPRODUCT(MAX((tbl_Finance[Job Number]=C163&amp;"")*tbl_Finance[Date]))),""))</f>
        <v/>
      </c>
      <c r="B163" s="15">
        <f>IF(A163="","",IFERROR(LOOKUP(2,1/((tbl_Finance[Job Number]=C163&amp;"")*(tbl_Finance[Date]=A163)),tbl_Finance[Xero Invoice No]),""))</f>
        <v/>
      </c>
      <c r="C163" s="14" t="n"/>
      <c r="D163" s="15">
        <f>IF(C163="","",IF(COUNTIF(lst_Jobs,C163&amp;"")&gt;0,"OK","CHECK"))</f>
        <v/>
      </c>
      <c r="E163" s="15">
        <f>IF(C163="","",IFERROR(INDEX(lst_JobName,MATCH(C163&amp;"",lst_Jobs,0)),""))</f>
        <v/>
      </c>
      <c r="F163" s="15">
        <f>IF(C163="","",IFERROR(INDEX(tbl_Finance[Client],MATCH(C163&amp;"",tbl_Finance[Job Number],0)),""))</f>
        <v/>
      </c>
      <c r="G163" s="52">
        <f>IF(C163="","",COUNTIFS(tbl_Finance[Job Number],C163&amp;"",tbl_Finance[Ex GST],"&lt;&gt;"))</f>
        <v/>
      </c>
      <c r="H163" s="17">
        <f>IF(C163="","",SUMIFS(tbl_Finance[Ex GST],tbl_Finance[Job Number],C163&amp;""))</f>
        <v/>
      </c>
      <c r="I163" s="15">
        <f>IF(C163="","",IFERROR(INDEX(tbl_Finance[Cost Centre],MATCH(C163&amp;"",tbl_Finance[Job Number],0)),"not invoiced yet"))</f>
        <v/>
      </c>
      <c r="J163" s="14" t="n"/>
      <c r="K163" s="15">
        <f>IF(J163="","",HYPERLINK(IF(LEFT(J163,4)="http",J163,set_QwilrBase&amp;J163),"Open quote"))</f>
        <v/>
      </c>
      <c r="L163" s="16" t="n"/>
      <c r="M163" s="16" t="n"/>
      <c r="N163" s="16" t="n"/>
      <c r="O163" s="15">
        <f>IF(C163="","",IF(N(L163)+N(M163)+N(N163)=0,"Not split",IF(ROUND(N(L163)+N(M163)+N(N163),2)=ROUND(H163,2),"OK","MISMATCH")))</f>
        <v/>
      </c>
      <c r="P163" s="16" t="n"/>
      <c r="Q163" s="16" t="n"/>
      <c r="R163" s="16" t="n"/>
      <c r="S163" s="17">
        <f>IF(C163="","",N(P163)+N(Q163)+N(R163))</f>
        <v/>
      </c>
      <c r="T163" s="17">
        <f>IF(C163="","",H163-S163)</f>
        <v/>
      </c>
      <c r="U163" s="54">
        <f>IFERROR(T163/H163,"")</f>
        <v/>
      </c>
      <c r="V163" s="14" t="n"/>
    </row>
    <row r="164" ht="15" customHeight="1">
      <c r="A164" s="51">
        <f>IF(C164="","",IFERROR(IF(SUMPRODUCT(MAX((tbl_Finance[Job Number]=C164&amp;"")*tbl_Finance[Date]))=0,"",SUMPRODUCT(MAX((tbl_Finance[Job Number]=C164&amp;"")*tbl_Finance[Date]))),""))</f>
        <v/>
      </c>
      <c r="B164" s="15">
        <f>IF(A164="","",IFERROR(LOOKUP(2,1/((tbl_Finance[Job Number]=C164&amp;"")*(tbl_Finance[Date]=A164)),tbl_Finance[Xero Invoice No]),""))</f>
        <v/>
      </c>
      <c r="C164" s="14" t="n"/>
      <c r="D164" s="15">
        <f>IF(C164="","",IF(COUNTIF(lst_Jobs,C164&amp;"")&gt;0,"OK","CHECK"))</f>
        <v/>
      </c>
      <c r="E164" s="15">
        <f>IF(C164="","",IFERROR(INDEX(lst_JobName,MATCH(C164&amp;"",lst_Jobs,0)),""))</f>
        <v/>
      </c>
      <c r="F164" s="15">
        <f>IF(C164="","",IFERROR(INDEX(tbl_Finance[Client],MATCH(C164&amp;"",tbl_Finance[Job Number],0)),""))</f>
        <v/>
      </c>
      <c r="G164" s="52">
        <f>IF(C164="","",COUNTIFS(tbl_Finance[Job Number],C164&amp;"",tbl_Finance[Ex GST],"&lt;&gt;"))</f>
        <v/>
      </c>
      <c r="H164" s="17">
        <f>IF(C164="","",SUMIFS(tbl_Finance[Ex GST],tbl_Finance[Job Number],C164&amp;""))</f>
        <v/>
      </c>
      <c r="I164" s="15">
        <f>IF(C164="","",IFERROR(INDEX(tbl_Finance[Cost Centre],MATCH(C164&amp;"",tbl_Finance[Job Number],0)),"not invoiced yet"))</f>
        <v/>
      </c>
      <c r="J164" s="14" t="n"/>
      <c r="K164" s="15">
        <f>IF(J164="","",HYPERLINK(IF(LEFT(J164,4)="http",J164,set_QwilrBase&amp;J164),"Open quote"))</f>
        <v/>
      </c>
      <c r="L164" s="16" t="n"/>
      <c r="M164" s="16" t="n"/>
      <c r="N164" s="16" t="n"/>
      <c r="O164" s="15">
        <f>IF(C164="","",IF(N(L164)+N(M164)+N(N164)=0,"Not split",IF(ROUND(N(L164)+N(M164)+N(N164),2)=ROUND(H164,2),"OK","MISMATCH")))</f>
        <v/>
      </c>
      <c r="P164" s="16" t="n"/>
      <c r="Q164" s="16" t="n"/>
      <c r="R164" s="16" t="n"/>
      <c r="S164" s="17">
        <f>IF(C164="","",N(P164)+N(Q164)+N(R164))</f>
        <v/>
      </c>
      <c r="T164" s="17">
        <f>IF(C164="","",H164-S164)</f>
        <v/>
      </c>
      <c r="U164" s="54">
        <f>IFERROR(T164/H164,"")</f>
        <v/>
      </c>
      <c r="V164" s="14" t="n"/>
    </row>
    <row r="165" ht="15" customHeight="1">
      <c r="A165" s="51">
        <f>IF(C165="","",IFERROR(IF(SUMPRODUCT(MAX((tbl_Finance[Job Number]=C165&amp;"")*tbl_Finance[Date]))=0,"",SUMPRODUCT(MAX((tbl_Finance[Job Number]=C165&amp;"")*tbl_Finance[Date]))),""))</f>
        <v/>
      </c>
      <c r="B165" s="15">
        <f>IF(A165="","",IFERROR(LOOKUP(2,1/((tbl_Finance[Job Number]=C165&amp;"")*(tbl_Finance[Date]=A165)),tbl_Finance[Xero Invoice No]),""))</f>
        <v/>
      </c>
      <c r="C165" s="14" t="n"/>
      <c r="D165" s="15">
        <f>IF(C165="","",IF(COUNTIF(lst_Jobs,C165&amp;"")&gt;0,"OK","CHECK"))</f>
        <v/>
      </c>
      <c r="E165" s="15">
        <f>IF(C165="","",IFERROR(INDEX(lst_JobName,MATCH(C165&amp;"",lst_Jobs,0)),""))</f>
        <v/>
      </c>
      <c r="F165" s="15">
        <f>IF(C165="","",IFERROR(INDEX(tbl_Finance[Client],MATCH(C165&amp;"",tbl_Finance[Job Number],0)),""))</f>
        <v/>
      </c>
      <c r="G165" s="52">
        <f>IF(C165="","",COUNTIFS(tbl_Finance[Job Number],C165&amp;"",tbl_Finance[Ex GST],"&lt;&gt;"))</f>
        <v/>
      </c>
      <c r="H165" s="17">
        <f>IF(C165="","",SUMIFS(tbl_Finance[Ex GST],tbl_Finance[Job Number],C165&amp;""))</f>
        <v/>
      </c>
      <c r="I165" s="15">
        <f>IF(C165="","",IFERROR(INDEX(tbl_Finance[Cost Centre],MATCH(C165&amp;"",tbl_Finance[Job Number],0)),"not invoiced yet"))</f>
        <v/>
      </c>
      <c r="J165" s="14" t="n"/>
      <c r="K165" s="15">
        <f>IF(J165="","",HYPERLINK(IF(LEFT(J165,4)="http",J165,set_QwilrBase&amp;J165),"Open quote"))</f>
        <v/>
      </c>
      <c r="L165" s="16" t="n"/>
      <c r="M165" s="16" t="n"/>
      <c r="N165" s="16" t="n"/>
      <c r="O165" s="15">
        <f>IF(C165="","",IF(N(L165)+N(M165)+N(N165)=0,"Not split",IF(ROUND(N(L165)+N(M165)+N(N165),2)=ROUND(H165,2),"OK","MISMATCH")))</f>
        <v/>
      </c>
      <c r="P165" s="16" t="n"/>
      <c r="Q165" s="16" t="n"/>
      <c r="R165" s="16" t="n"/>
      <c r="S165" s="17">
        <f>IF(C165="","",N(P165)+N(Q165)+N(R165))</f>
        <v/>
      </c>
      <c r="T165" s="17">
        <f>IF(C165="","",H165-S165)</f>
        <v/>
      </c>
      <c r="U165" s="54">
        <f>IFERROR(T165/H165,"")</f>
        <v/>
      </c>
      <c r="V165" s="14" t="n"/>
    </row>
    <row r="166" ht="15" customHeight="1">
      <c r="A166" s="51">
        <f>IF(C166="","",IFERROR(IF(SUMPRODUCT(MAX((tbl_Finance[Job Number]=C166&amp;"")*tbl_Finance[Date]))=0,"",SUMPRODUCT(MAX((tbl_Finance[Job Number]=C166&amp;"")*tbl_Finance[Date]))),""))</f>
        <v/>
      </c>
      <c r="B166" s="15">
        <f>IF(A166="","",IFERROR(LOOKUP(2,1/((tbl_Finance[Job Number]=C166&amp;"")*(tbl_Finance[Date]=A166)),tbl_Finance[Xero Invoice No]),""))</f>
        <v/>
      </c>
      <c r="C166" s="14" t="n"/>
      <c r="D166" s="15">
        <f>IF(C166="","",IF(COUNTIF(lst_Jobs,C166&amp;"")&gt;0,"OK","CHECK"))</f>
        <v/>
      </c>
      <c r="E166" s="15">
        <f>IF(C166="","",IFERROR(INDEX(lst_JobName,MATCH(C166&amp;"",lst_Jobs,0)),""))</f>
        <v/>
      </c>
      <c r="F166" s="15">
        <f>IF(C166="","",IFERROR(INDEX(tbl_Finance[Client],MATCH(C166&amp;"",tbl_Finance[Job Number],0)),""))</f>
        <v/>
      </c>
      <c r="G166" s="52">
        <f>IF(C166="","",COUNTIFS(tbl_Finance[Job Number],C166&amp;"",tbl_Finance[Ex GST],"&lt;&gt;"))</f>
        <v/>
      </c>
      <c r="H166" s="17">
        <f>IF(C166="","",SUMIFS(tbl_Finance[Ex GST],tbl_Finance[Job Number],C166&amp;""))</f>
        <v/>
      </c>
      <c r="I166" s="15">
        <f>IF(C166="","",IFERROR(INDEX(tbl_Finance[Cost Centre],MATCH(C166&amp;"",tbl_Finance[Job Number],0)),"not invoiced yet"))</f>
        <v/>
      </c>
      <c r="J166" s="14" t="n"/>
      <c r="K166" s="15">
        <f>IF(J166="","",HYPERLINK(IF(LEFT(J166,4)="http",J166,set_QwilrBase&amp;J166),"Open quote"))</f>
        <v/>
      </c>
      <c r="L166" s="16" t="n"/>
      <c r="M166" s="16" t="n"/>
      <c r="N166" s="16" t="n"/>
      <c r="O166" s="15">
        <f>IF(C166="","",IF(N(L166)+N(M166)+N(N166)=0,"Not split",IF(ROUND(N(L166)+N(M166)+N(N166),2)=ROUND(H166,2),"OK","MISMATCH")))</f>
        <v/>
      </c>
      <c r="P166" s="16" t="n"/>
      <c r="Q166" s="16" t="n"/>
      <c r="R166" s="16" t="n"/>
      <c r="S166" s="17">
        <f>IF(C166="","",N(P166)+N(Q166)+N(R166))</f>
        <v/>
      </c>
      <c r="T166" s="17">
        <f>IF(C166="","",H166-S166)</f>
        <v/>
      </c>
      <c r="U166" s="54">
        <f>IFERROR(T166/H166,"")</f>
        <v/>
      </c>
      <c r="V166" s="14" t="n"/>
    </row>
    <row r="167" ht="15" customHeight="1">
      <c r="A167" s="51">
        <f>IF(C167="","",IFERROR(IF(SUMPRODUCT(MAX((tbl_Finance[Job Number]=C167&amp;"")*tbl_Finance[Date]))=0,"",SUMPRODUCT(MAX((tbl_Finance[Job Number]=C167&amp;"")*tbl_Finance[Date]))),""))</f>
        <v/>
      </c>
      <c r="B167" s="15">
        <f>IF(A167="","",IFERROR(LOOKUP(2,1/((tbl_Finance[Job Number]=C167&amp;"")*(tbl_Finance[Date]=A167)),tbl_Finance[Xero Invoice No]),""))</f>
        <v/>
      </c>
      <c r="C167" s="14" t="n"/>
      <c r="D167" s="15">
        <f>IF(C167="","",IF(COUNTIF(lst_Jobs,C167&amp;"")&gt;0,"OK","CHECK"))</f>
        <v/>
      </c>
      <c r="E167" s="15">
        <f>IF(C167="","",IFERROR(INDEX(lst_JobName,MATCH(C167&amp;"",lst_Jobs,0)),""))</f>
        <v/>
      </c>
      <c r="F167" s="15">
        <f>IF(C167="","",IFERROR(INDEX(tbl_Finance[Client],MATCH(C167&amp;"",tbl_Finance[Job Number],0)),""))</f>
        <v/>
      </c>
      <c r="G167" s="52">
        <f>IF(C167="","",COUNTIFS(tbl_Finance[Job Number],C167&amp;"",tbl_Finance[Ex GST],"&lt;&gt;"))</f>
        <v/>
      </c>
      <c r="H167" s="17">
        <f>IF(C167="","",SUMIFS(tbl_Finance[Ex GST],tbl_Finance[Job Number],C167&amp;""))</f>
        <v/>
      </c>
      <c r="I167" s="15">
        <f>IF(C167="","",IFERROR(INDEX(tbl_Finance[Cost Centre],MATCH(C167&amp;"",tbl_Finance[Job Number],0)),"not invoiced yet"))</f>
        <v/>
      </c>
      <c r="J167" s="14" t="n"/>
      <c r="K167" s="15">
        <f>IF(J167="","",HYPERLINK(IF(LEFT(J167,4)="http",J167,set_QwilrBase&amp;J167),"Open quote"))</f>
        <v/>
      </c>
      <c r="L167" s="16" t="n"/>
      <c r="M167" s="16" t="n"/>
      <c r="N167" s="16" t="n"/>
      <c r="O167" s="15">
        <f>IF(C167="","",IF(N(L167)+N(M167)+N(N167)=0,"Not split",IF(ROUND(N(L167)+N(M167)+N(N167),2)=ROUND(H167,2),"OK","MISMATCH")))</f>
        <v/>
      </c>
      <c r="P167" s="16" t="n"/>
      <c r="Q167" s="16" t="n"/>
      <c r="R167" s="16" t="n"/>
      <c r="S167" s="17">
        <f>IF(C167="","",N(P167)+N(Q167)+N(R167))</f>
        <v/>
      </c>
      <c r="T167" s="17">
        <f>IF(C167="","",H167-S167)</f>
        <v/>
      </c>
      <c r="U167" s="54">
        <f>IFERROR(T167/H167,"")</f>
        <v/>
      </c>
      <c r="V167" s="14" t="n"/>
    </row>
    <row r="168" ht="15" customHeight="1">
      <c r="A168" s="51">
        <f>IF(C168="","",IFERROR(IF(SUMPRODUCT(MAX((tbl_Finance[Job Number]=C168&amp;"")*tbl_Finance[Date]))=0,"",SUMPRODUCT(MAX((tbl_Finance[Job Number]=C168&amp;"")*tbl_Finance[Date]))),""))</f>
        <v/>
      </c>
      <c r="B168" s="15">
        <f>IF(A168="","",IFERROR(LOOKUP(2,1/((tbl_Finance[Job Number]=C168&amp;"")*(tbl_Finance[Date]=A168)),tbl_Finance[Xero Invoice No]),""))</f>
        <v/>
      </c>
      <c r="C168" s="14" t="n"/>
      <c r="D168" s="15">
        <f>IF(C168="","",IF(COUNTIF(lst_Jobs,C168&amp;"")&gt;0,"OK","CHECK"))</f>
        <v/>
      </c>
      <c r="E168" s="15">
        <f>IF(C168="","",IFERROR(INDEX(lst_JobName,MATCH(C168&amp;"",lst_Jobs,0)),""))</f>
        <v/>
      </c>
      <c r="F168" s="15">
        <f>IF(C168="","",IFERROR(INDEX(tbl_Finance[Client],MATCH(C168&amp;"",tbl_Finance[Job Number],0)),""))</f>
        <v/>
      </c>
      <c r="G168" s="52">
        <f>IF(C168="","",COUNTIFS(tbl_Finance[Job Number],C168&amp;"",tbl_Finance[Ex GST],"&lt;&gt;"))</f>
        <v/>
      </c>
      <c r="H168" s="17">
        <f>IF(C168="","",SUMIFS(tbl_Finance[Ex GST],tbl_Finance[Job Number],C168&amp;""))</f>
        <v/>
      </c>
      <c r="I168" s="15">
        <f>IF(C168="","",IFERROR(INDEX(tbl_Finance[Cost Centre],MATCH(C168&amp;"",tbl_Finance[Job Number],0)),"not invoiced yet"))</f>
        <v/>
      </c>
      <c r="J168" s="14" t="n"/>
      <c r="K168" s="15">
        <f>IF(J168="","",HYPERLINK(IF(LEFT(J168,4)="http",J168,set_QwilrBase&amp;J168),"Open quote"))</f>
        <v/>
      </c>
      <c r="L168" s="16" t="n"/>
      <c r="M168" s="16" t="n"/>
      <c r="N168" s="16" t="n"/>
      <c r="O168" s="15">
        <f>IF(C168="","",IF(N(L168)+N(M168)+N(N168)=0,"Not split",IF(ROUND(N(L168)+N(M168)+N(N168),2)=ROUND(H168,2),"OK","MISMATCH")))</f>
        <v/>
      </c>
      <c r="P168" s="16" t="n"/>
      <c r="Q168" s="16" t="n"/>
      <c r="R168" s="16" t="n"/>
      <c r="S168" s="17">
        <f>IF(C168="","",N(P168)+N(Q168)+N(R168))</f>
        <v/>
      </c>
      <c r="T168" s="17">
        <f>IF(C168="","",H168-S168)</f>
        <v/>
      </c>
      <c r="U168" s="54">
        <f>IFERROR(T168/H168,"")</f>
        <v/>
      </c>
      <c r="V168" s="14" t="n"/>
    </row>
    <row r="169" ht="15" customHeight="1">
      <c r="A169" s="51">
        <f>IF(C169="","",IFERROR(IF(SUMPRODUCT(MAX((tbl_Finance[Job Number]=C169&amp;"")*tbl_Finance[Date]))=0,"",SUMPRODUCT(MAX((tbl_Finance[Job Number]=C169&amp;"")*tbl_Finance[Date]))),""))</f>
        <v/>
      </c>
      <c r="B169" s="15">
        <f>IF(A169="","",IFERROR(LOOKUP(2,1/((tbl_Finance[Job Number]=C169&amp;"")*(tbl_Finance[Date]=A169)),tbl_Finance[Xero Invoice No]),""))</f>
        <v/>
      </c>
      <c r="C169" s="14" t="n"/>
      <c r="D169" s="15">
        <f>IF(C169="","",IF(COUNTIF(lst_Jobs,C169&amp;"")&gt;0,"OK","CHECK"))</f>
        <v/>
      </c>
      <c r="E169" s="15">
        <f>IF(C169="","",IFERROR(INDEX(lst_JobName,MATCH(C169&amp;"",lst_Jobs,0)),""))</f>
        <v/>
      </c>
      <c r="F169" s="15">
        <f>IF(C169="","",IFERROR(INDEX(tbl_Finance[Client],MATCH(C169&amp;"",tbl_Finance[Job Number],0)),""))</f>
        <v/>
      </c>
      <c r="G169" s="52">
        <f>IF(C169="","",COUNTIFS(tbl_Finance[Job Number],C169&amp;"",tbl_Finance[Ex GST],"&lt;&gt;"))</f>
        <v/>
      </c>
      <c r="H169" s="17">
        <f>IF(C169="","",SUMIFS(tbl_Finance[Ex GST],tbl_Finance[Job Number],C169&amp;""))</f>
        <v/>
      </c>
      <c r="I169" s="15">
        <f>IF(C169="","",IFERROR(INDEX(tbl_Finance[Cost Centre],MATCH(C169&amp;"",tbl_Finance[Job Number],0)),"not invoiced yet"))</f>
        <v/>
      </c>
      <c r="J169" s="14" t="n"/>
      <c r="K169" s="15">
        <f>IF(J169="","",HYPERLINK(IF(LEFT(J169,4)="http",J169,set_QwilrBase&amp;J169),"Open quote"))</f>
        <v/>
      </c>
      <c r="L169" s="16" t="n"/>
      <c r="M169" s="16" t="n"/>
      <c r="N169" s="16" t="n"/>
      <c r="O169" s="15">
        <f>IF(C169="","",IF(N(L169)+N(M169)+N(N169)=0,"Not split",IF(ROUND(N(L169)+N(M169)+N(N169),2)=ROUND(H169,2),"OK","MISMATCH")))</f>
        <v/>
      </c>
      <c r="P169" s="16" t="n"/>
      <c r="Q169" s="16" t="n"/>
      <c r="R169" s="16" t="n"/>
      <c r="S169" s="17">
        <f>IF(C169="","",N(P169)+N(Q169)+N(R169))</f>
        <v/>
      </c>
      <c r="T169" s="17">
        <f>IF(C169="","",H169-S169)</f>
        <v/>
      </c>
      <c r="U169" s="54">
        <f>IFERROR(T169/H169,"")</f>
        <v/>
      </c>
      <c r="V169" s="14" t="n"/>
    </row>
    <row r="170" ht="15" customHeight="1">
      <c r="A170" s="51">
        <f>IF(C170="","",IFERROR(IF(SUMPRODUCT(MAX((tbl_Finance[Job Number]=C170&amp;"")*tbl_Finance[Date]))=0,"",SUMPRODUCT(MAX((tbl_Finance[Job Number]=C170&amp;"")*tbl_Finance[Date]))),""))</f>
        <v/>
      </c>
      <c r="B170" s="15">
        <f>IF(A170="","",IFERROR(LOOKUP(2,1/((tbl_Finance[Job Number]=C170&amp;"")*(tbl_Finance[Date]=A170)),tbl_Finance[Xero Invoice No]),""))</f>
        <v/>
      </c>
      <c r="C170" s="14" t="n"/>
      <c r="D170" s="15">
        <f>IF(C170="","",IF(COUNTIF(lst_Jobs,C170&amp;"")&gt;0,"OK","CHECK"))</f>
        <v/>
      </c>
      <c r="E170" s="15">
        <f>IF(C170="","",IFERROR(INDEX(lst_JobName,MATCH(C170&amp;"",lst_Jobs,0)),""))</f>
        <v/>
      </c>
      <c r="F170" s="15">
        <f>IF(C170="","",IFERROR(INDEX(tbl_Finance[Client],MATCH(C170&amp;"",tbl_Finance[Job Number],0)),""))</f>
        <v/>
      </c>
      <c r="G170" s="52">
        <f>IF(C170="","",COUNTIFS(tbl_Finance[Job Number],C170&amp;"",tbl_Finance[Ex GST],"&lt;&gt;"))</f>
        <v/>
      </c>
      <c r="H170" s="17">
        <f>IF(C170="","",SUMIFS(tbl_Finance[Ex GST],tbl_Finance[Job Number],C170&amp;""))</f>
        <v/>
      </c>
      <c r="I170" s="15">
        <f>IF(C170="","",IFERROR(INDEX(tbl_Finance[Cost Centre],MATCH(C170&amp;"",tbl_Finance[Job Number],0)),"not invoiced yet"))</f>
        <v/>
      </c>
      <c r="J170" s="14" t="n"/>
      <c r="K170" s="15">
        <f>IF(J170="","",HYPERLINK(IF(LEFT(J170,4)="http",J170,set_QwilrBase&amp;J170),"Open quote"))</f>
        <v/>
      </c>
      <c r="L170" s="16" t="n"/>
      <c r="M170" s="16" t="n"/>
      <c r="N170" s="16" t="n"/>
      <c r="O170" s="15">
        <f>IF(C170="","",IF(N(L170)+N(M170)+N(N170)=0,"Not split",IF(ROUND(N(L170)+N(M170)+N(N170),2)=ROUND(H170,2),"OK","MISMATCH")))</f>
        <v/>
      </c>
      <c r="P170" s="16" t="n"/>
      <c r="Q170" s="16" t="n"/>
      <c r="R170" s="16" t="n"/>
      <c r="S170" s="17">
        <f>IF(C170="","",N(P170)+N(Q170)+N(R170))</f>
        <v/>
      </c>
      <c r="T170" s="17">
        <f>IF(C170="","",H170-S170)</f>
        <v/>
      </c>
      <c r="U170" s="54">
        <f>IFERROR(T170/H170,"")</f>
        <v/>
      </c>
      <c r="V170" s="14" t="n"/>
    </row>
    <row r="171" ht="15" customHeight="1">
      <c r="A171" s="51">
        <f>IF(C171="","",IFERROR(IF(SUMPRODUCT(MAX((tbl_Finance[Job Number]=C171&amp;"")*tbl_Finance[Date]))=0,"",SUMPRODUCT(MAX((tbl_Finance[Job Number]=C171&amp;"")*tbl_Finance[Date]))),""))</f>
        <v/>
      </c>
      <c r="B171" s="15">
        <f>IF(A171="","",IFERROR(LOOKUP(2,1/((tbl_Finance[Job Number]=C171&amp;"")*(tbl_Finance[Date]=A171)),tbl_Finance[Xero Invoice No]),""))</f>
        <v/>
      </c>
      <c r="C171" s="14" t="n"/>
      <c r="D171" s="15">
        <f>IF(C171="","",IF(COUNTIF(lst_Jobs,C171&amp;"")&gt;0,"OK","CHECK"))</f>
        <v/>
      </c>
      <c r="E171" s="15">
        <f>IF(C171="","",IFERROR(INDEX(lst_JobName,MATCH(C171&amp;"",lst_Jobs,0)),""))</f>
        <v/>
      </c>
      <c r="F171" s="15">
        <f>IF(C171="","",IFERROR(INDEX(tbl_Finance[Client],MATCH(C171&amp;"",tbl_Finance[Job Number],0)),""))</f>
        <v/>
      </c>
      <c r="G171" s="52">
        <f>IF(C171="","",COUNTIFS(tbl_Finance[Job Number],C171&amp;"",tbl_Finance[Ex GST],"&lt;&gt;"))</f>
        <v/>
      </c>
      <c r="H171" s="17">
        <f>IF(C171="","",SUMIFS(tbl_Finance[Ex GST],tbl_Finance[Job Number],C171&amp;""))</f>
        <v/>
      </c>
      <c r="I171" s="15">
        <f>IF(C171="","",IFERROR(INDEX(tbl_Finance[Cost Centre],MATCH(C171&amp;"",tbl_Finance[Job Number],0)),"not invoiced yet"))</f>
        <v/>
      </c>
      <c r="J171" s="14" t="n"/>
      <c r="K171" s="15">
        <f>IF(J171="","",HYPERLINK(IF(LEFT(J171,4)="http",J171,set_QwilrBase&amp;J171),"Open quote"))</f>
        <v/>
      </c>
      <c r="L171" s="16" t="n"/>
      <c r="M171" s="16" t="n"/>
      <c r="N171" s="16" t="n"/>
      <c r="O171" s="15">
        <f>IF(C171="","",IF(N(L171)+N(M171)+N(N171)=0,"Not split",IF(ROUND(N(L171)+N(M171)+N(N171),2)=ROUND(H171,2),"OK","MISMATCH")))</f>
        <v/>
      </c>
      <c r="P171" s="16" t="n"/>
      <c r="Q171" s="16" t="n"/>
      <c r="R171" s="16" t="n"/>
      <c r="S171" s="17">
        <f>IF(C171="","",N(P171)+N(Q171)+N(R171))</f>
        <v/>
      </c>
      <c r="T171" s="17">
        <f>IF(C171="","",H171-S171)</f>
        <v/>
      </c>
      <c r="U171" s="54">
        <f>IFERROR(T171/H171,"")</f>
        <v/>
      </c>
      <c r="V171" s="14" t="n"/>
    </row>
    <row r="172" ht="15" customHeight="1">
      <c r="A172" s="51">
        <f>IF(C172="","",IFERROR(IF(SUMPRODUCT(MAX((tbl_Finance[Job Number]=C172&amp;"")*tbl_Finance[Date]))=0,"",SUMPRODUCT(MAX((tbl_Finance[Job Number]=C172&amp;"")*tbl_Finance[Date]))),""))</f>
        <v/>
      </c>
      <c r="B172" s="15">
        <f>IF(A172="","",IFERROR(LOOKUP(2,1/((tbl_Finance[Job Number]=C172&amp;"")*(tbl_Finance[Date]=A172)),tbl_Finance[Xero Invoice No]),""))</f>
        <v/>
      </c>
      <c r="C172" s="14" t="n"/>
      <c r="D172" s="15">
        <f>IF(C172="","",IF(COUNTIF(lst_Jobs,C172&amp;"")&gt;0,"OK","CHECK"))</f>
        <v/>
      </c>
      <c r="E172" s="15">
        <f>IF(C172="","",IFERROR(INDEX(lst_JobName,MATCH(C172&amp;"",lst_Jobs,0)),""))</f>
        <v/>
      </c>
      <c r="F172" s="15">
        <f>IF(C172="","",IFERROR(INDEX(tbl_Finance[Client],MATCH(C172&amp;"",tbl_Finance[Job Number],0)),""))</f>
        <v/>
      </c>
      <c r="G172" s="52">
        <f>IF(C172="","",COUNTIFS(tbl_Finance[Job Number],C172&amp;"",tbl_Finance[Ex GST],"&lt;&gt;"))</f>
        <v/>
      </c>
      <c r="H172" s="17">
        <f>IF(C172="","",SUMIFS(tbl_Finance[Ex GST],tbl_Finance[Job Number],C172&amp;""))</f>
        <v/>
      </c>
      <c r="I172" s="15">
        <f>IF(C172="","",IFERROR(INDEX(tbl_Finance[Cost Centre],MATCH(C172&amp;"",tbl_Finance[Job Number],0)),"not invoiced yet"))</f>
        <v/>
      </c>
      <c r="J172" s="14" t="n"/>
      <c r="K172" s="15">
        <f>IF(J172="","",HYPERLINK(IF(LEFT(J172,4)="http",J172,set_QwilrBase&amp;J172),"Open quote"))</f>
        <v/>
      </c>
      <c r="L172" s="16" t="n"/>
      <c r="M172" s="16" t="n"/>
      <c r="N172" s="16" t="n"/>
      <c r="O172" s="15">
        <f>IF(C172="","",IF(N(L172)+N(M172)+N(N172)=0,"Not split",IF(ROUND(N(L172)+N(M172)+N(N172),2)=ROUND(H172,2),"OK","MISMATCH")))</f>
        <v/>
      </c>
      <c r="P172" s="16" t="n"/>
      <c r="Q172" s="16" t="n"/>
      <c r="R172" s="16" t="n"/>
      <c r="S172" s="17">
        <f>IF(C172="","",N(P172)+N(Q172)+N(R172))</f>
        <v/>
      </c>
      <c r="T172" s="17">
        <f>IF(C172="","",H172-S172)</f>
        <v/>
      </c>
      <c r="U172" s="54">
        <f>IFERROR(T172/H172,"")</f>
        <v/>
      </c>
      <c r="V172" s="14" t="n"/>
    </row>
    <row r="173" ht="15" customHeight="1">
      <c r="A173" s="51">
        <f>IF(C173="","",IFERROR(IF(SUMPRODUCT(MAX((tbl_Finance[Job Number]=C173&amp;"")*tbl_Finance[Date]))=0,"",SUMPRODUCT(MAX((tbl_Finance[Job Number]=C173&amp;"")*tbl_Finance[Date]))),""))</f>
        <v/>
      </c>
      <c r="B173" s="15">
        <f>IF(A173="","",IFERROR(LOOKUP(2,1/((tbl_Finance[Job Number]=C173&amp;"")*(tbl_Finance[Date]=A173)),tbl_Finance[Xero Invoice No]),""))</f>
        <v/>
      </c>
      <c r="C173" s="14" t="n"/>
      <c r="D173" s="15">
        <f>IF(C173="","",IF(COUNTIF(lst_Jobs,C173&amp;"")&gt;0,"OK","CHECK"))</f>
        <v/>
      </c>
      <c r="E173" s="15">
        <f>IF(C173="","",IFERROR(INDEX(lst_JobName,MATCH(C173&amp;"",lst_Jobs,0)),""))</f>
        <v/>
      </c>
      <c r="F173" s="15">
        <f>IF(C173="","",IFERROR(INDEX(tbl_Finance[Client],MATCH(C173&amp;"",tbl_Finance[Job Number],0)),""))</f>
        <v/>
      </c>
      <c r="G173" s="52">
        <f>IF(C173="","",COUNTIFS(tbl_Finance[Job Number],C173&amp;"",tbl_Finance[Ex GST],"&lt;&gt;"))</f>
        <v/>
      </c>
      <c r="H173" s="17">
        <f>IF(C173="","",SUMIFS(tbl_Finance[Ex GST],tbl_Finance[Job Number],C173&amp;""))</f>
        <v/>
      </c>
      <c r="I173" s="15">
        <f>IF(C173="","",IFERROR(INDEX(tbl_Finance[Cost Centre],MATCH(C173&amp;"",tbl_Finance[Job Number],0)),"not invoiced yet"))</f>
        <v/>
      </c>
      <c r="J173" s="14" t="n"/>
      <c r="K173" s="15">
        <f>IF(J173="","",HYPERLINK(IF(LEFT(J173,4)="http",J173,set_QwilrBase&amp;J173),"Open quote"))</f>
        <v/>
      </c>
      <c r="L173" s="16" t="n"/>
      <c r="M173" s="16" t="n"/>
      <c r="N173" s="16" t="n"/>
      <c r="O173" s="15">
        <f>IF(C173="","",IF(N(L173)+N(M173)+N(N173)=0,"Not split",IF(ROUND(N(L173)+N(M173)+N(N173),2)=ROUND(H173,2),"OK","MISMATCH")))</f>
        <v/>
      </c>
      <c r="P173" s="16" t="n"/>
      <c r="Q173" s="16" t="n"/>
      <c r="R173" s="16" t="n"/>
      <c r="S173" s="17">
        <f>IF(C173="","",N(P173)+N(Q173)+N(R173))</f>
        <v/>
      </c>
      <c r="T173" s="17">
        <f>IF(C173="","",H173-S173)</f>
        <v/>
      </c>
      <c r="U173" s="54">
        <f>IFERROR(T173/H173,"")</f>
        <v/>
      </c>
      <c r="V173" s="14" t="n"/>
    </row>
    <row r="174" ht="15" customHeight="1">
      <c r="A174" s="51">
        <f>IF(C174="","",IFERROR(IF(SUMPRODUCT(MAX((tbl_Finance[Job Number]=C174&amp;"")*tbl_Finance[Date]))=0,"",SUMPRODUCT(MAX((tbl_Finance[Job Number]=C174&amp;"")*tbl_Finance[Date]))),""))</f>
        <v/>
      </c>
      <c r="B174" s="15">
        <f>IF(A174="","",IFERROR(LOOKUP(2,1/((tbl_Finance[Job Number]=C174&amp;"")*(tbl_Finance[Date]=A174)),tbl_Finance[Xero Invoice No]),""))</f>
        <v/>
      </c>
      <c r="C174" s="14" t="n"/>
      <c r="D174" s="15">
        <f>IF(C174="","",IF(COUNTIF(lst_Jobs,C174&amp;"")&gt;0,"OK","CHECK"))</f>
        <v/>
      </c>
      <c r="E174" s="15">
        <f>IF(C174="","",IFERROR(INDEX(lst_JobName,MATCH(C174&amp;"",lst_Jobs,0)),""))</f>
        <v/>
      </c>
      <c r="F174" s="15">
        <f>IF(C174="","",IFERROR(INDEX(tbl_Finance[Client],MATCH(C174&amp;"",tbl_Finance[Job Number],0)),""))</f>
        <v/>
      </c>
      <c r="G174" s="52">
        <f>IF(C174="","",COUNTIFS(tbl_Finance[Job Number],C174&amp;"",tbl_Finance[Ex GST],"&lt;&gt;"))</f>
        <v/>
      </c>
      <c r="H174" s="17">
        <f>IF(C174="","",SUMIFS(tbl_Finance[Ex GST],tbl_Finance[Job Number],C174&amp;""))</f>
        <v/>
      </c>
      <c r="I174" s="15">
        <f>IF(C174="","",IFERROR(INDEX(tbl_Finance[Cost Centre],MATCH(C174&amp;"",tbl_Finance[Job Number],0)),"not invoiced yet"))</f>
        <v/>
      </c>
      <c r="J174" s="14" t="n"/>
      <c r="K174" s="15">
        <f>IF(J174="","",HYPERLINK(IF(LEFT(J174,4)="http",J174,set_QwilrBase&amp;J174),"Open quote"))</f>
        <v/>
      </c>
      <c r="L174" s="16" t="n"/>
      <c r="M174" s="16" t="n"/>
      <c r="N174" s="16" t="n"/>
      <c r="O174" s="15">
        <f>IF(C174="","",IF(N(L174)+N(M174)+N(N174)=0,"Not split",IF(ROUND(N(L174)+N(M174)+N(N174),2)=ROUND(H174,2),"OK","MISMATCH")))</f>
        <v/>
      </c>
      <c r="P174" s="16" t="n"/>
      <c r="Q174" s="16" t="n"/>
      <c r="R174" s="16" t="n"/>
      <c r="S174" s="17">
        <f>IF(C174="","",N(P174)+N(Q174)+N(R174))</f>
        <v/>
      </c>
      <c r="T174" s="17">
        <f>IF(C174="","",H174-S174)</f>
        <v/>
      </c>
      <c r="U174" s="54">
        <f>IFERROR(T174/H174,"")</f>
        <v/>
      </c>
      <c r="V174" s="14" t="n"/>
    </row>
    <row r="175" ht="15" customHeight="1">
      <c r="A175" s="51">
        <f>IF(C175="","",IFERROR(IF(SUMPRODUCT(MAX((tbl_Finance[Job Number]=C175&amp;"")*tbl_Finance[Date]))=0,"",SUMPRODUCT(MAX((tbl_Finance[Job Number]=C175&amp;"")*tbl_Finance[Date]))),""))</f>
        <v/>
      </c>
      <c r="B175" s="15">
        <f>IF(A175="","",IFERROR(LOOKUP(2,1/((tbl_Finance[Job Number]=C175&amp;"")*(tbl_Finance[Date]=A175)),tbl_Finance[Xero Invoice No]),""))</f>
        <v/>
      </c>
      <c r="C175" s="14" t="n"/>
      <c r="D175" s="15">
        <f>IF(C175="","",IF(COUNTIF(lst_Jobs,C175&amp;"")&gt;0,"OK","CHECK"))</f>
        <v/>
      </c>
      <c r="E175" s="15">
        <f>IF(C175="","",IFERROR(INDEX(lst_JobName,MATCH(C175&amp;"",lst_Jobs,0)),""))</f>
        <v/>
      </c>
      <c r="F175" s="15">
        <f>IF(C175="","",IFERROR(INDEX(tbl_Finance[Client],MATCH(C175&amp;"",tbl_Finance[Job Number],0)),""))</f>
        <v/>
      </c>
      <c r="G175" s="52">
        <f>IF(C175="","",COUNTIFS(tbl_Finance[Job Number],C175&amp;"",tbl_Finance[Ex GST],"&lt;&gt;"))</f>
        <v/>
      </c>
      <c r="H175" s="17">
        <f>IF(C175="","",SUMIFS(tbl_Finance[Ex GST],tbl_Finance[Job Number],C175&amp;""))</f>
        <v/>
      </c>
      <c r="I175" s="15">
        <f>IF(C175="","",IFERROR(INDEX(tbl_Finance[Cost Centre],MATCH(C175&amp;"",tbl_Finance[Job Number],0)),"not invoiced yet"))</f>
        <v/>
      </c>
      <c r="J175" s="14" t="n"/>
      <c r="K175" s="15">
        <f>IF(J175="","",HYPERLINK(IF(LEFT(J175,4)="http",J175,set_QwilrBase&amp;J175),"Open quote"))</f>
        <v/>
      </c>
      <c r="L175" s="16" t="n"/>
      <c r="M175" s="16" t="n"/>
      <c r="N175" s="16" t="n"/>
      <c r="O175" s="15">
        <f>IF(C175="","",IF(N(L175)+N(M175)+N(N175)=0,"Not split",IF(ROUND(N(L175)+N(M175)+N(N175),2)=ROUND(H175,2),"OK","MISMATCH")))</f>
        <v/>
      </c>
      <c r="P175" s="16" t="n"/>
      <c r="Q175" s="16" t="n"/>
      <c r="R175" s="16" t="n"/>
      <c r="S175" s="17">
        <f>IF(C175="","",N(P175)+N(Q175)+N(R175))</f>
        <v/>
      </c>
      <c r="T175" s="17">
        <f>IF(C175="","",H175-S175)</f>
        <v/>
      </c>
      <c r="U175" s="54">
        <f>IFERROR(T175/H175,"")</f>
        <v/>
      </c>
      <c r="V175" s="14" t="n"/>
    </row>
    <row r="176" ht="15" customHeight="1">
      <c r="A176" s="51">
        <f>IF(C176="","",IFERROR(IF(SUMPRODUCT(MAX((tbl_Finance[Job Number]=C176&amp;"")*tbl_Finance[Date]))=0,"",SUMPRODUCT(MAX((tbl_Finance[Job Number]=C176&amp;"")*tbl_Finance[Date]))),""))</f>
        <v/>
      </c>
      <c r="B176" s="15">
        <f>IF(A176="","",IFERROR(LOOKUP(2,1/((tbl_Finance[Job Number]=C176&amp;"")*(tbl_Finance[Date]=A176)),tbl_Finance[Xero Invoice No]),""))</f>
        <v/>
      </c>
      <c r="C176" s="14" t="n"/>
      <c r="D176" s="15">
        <f>IF(C176="","",IF(COUNTIF(lst_Jobs,C176&amp;"")&gt;0,"OK","CHECK"))</f>
        <v/>
      </c>
      <c r="E176" s="15">
        <f>IF(C176="","",IFERROR(INDEX(lst_JobName,MATCH(C176&amp;"",lst_Jobs,0)),""))</f>
        <v/>
      </c>
      <c r="F176" s="15">
        <f>IF(C176="","",IFERROR(INDEX(tbl_Finance[Client],MATCH(C176&amp;"",tbl_Finance[Job Number],0)),""))</f>
        <v/>
      </c>
      <c r="G176" s="52">
        <f>IF(C176="","",COUNTIFS(tbl_Finance[Job Number],C176&amp;"",tbl_Finance[Ex GST],"&lt;&gt;"))</f>
        <v/>
      </c>
      <c r="H176" s="17">
        <f>IF(C176="","",SUMIFS(tbl_Finance[Ex GST],tbl_Finance[Job Number],C176&amp;""))</f>
        <v/>
      </c>
      <c r="I176" s="15">
        <f>IF(C176="","",IFERROR(INDEX(tbl_Finance[Cost Centre],MATCH(C176&amp;"",tbl_Finance[Job Number],0)),"not invoiced yet"))</f>
        <v/>
      </c>
      <c r="J176" s="14" t="n"/>
      <c r="K176" s="15">
        <f>IF(J176="","",HYPERLINK(IF(LEFT(J176,4)="http",J176,set_QwilrBase&amp;J176),"Open quote"))</f>
        <v/>
      </c>
      <c r="L176" s="16" t="n"/>
      <c r="M176" s="16" t="n"/>
      <c r="N176" s="16" t="n"/>
      <c r="O176" s="15">
        <f>IF(C176="","",IF(N(L176)+N(M176)+N(N176)=0,"Not split",IF(ROUND(N(L176)+N(M176)+N(N176),2)=ROUND(H176,2),"OK","MISMATCH")))</f>
        <v/>
      </c>
      <c r="P176" s="16" t="n"/>
      <c r="Q176" s="16" t="n"/>
      <c r="R176" s="16" t="n"/>
      <c r="S176" s="17">
        <f>IF(C176="","",N(P176)+N(Q176)+N(R176))</f>
        <v/>
      </c>
      <c r="T176" s="17">
        <f>IF(C176="","",H176-S176)</f>
        <v/>
      </c>
      <c r="U176" s="54">
        <f>IFERROR(T176/H176,"")</f>
        <v/>
      </c>
      <c r="V176" s="14" t="n"/>
    </row>
    <row r="177" ht="15" customHeight="1">
      <c r="A177" s="51">
        <f>IF(C177="","",IFERROR(IF(SUMPRODUCT(MAX((tbl_Finance[Job Number]=C177&amp;"")*tbl_Finance[Date]))=0,"",SUMPRODUCT(MAX((tbl_Finance[Job Number]=C177&amp;"")*tbl_Finance[Date]))),""))</f>
        <v/>
      </c>
      <c r="B177" s="15">
        <f>IF(A177="","",IFERROR(LOOKUP(2,1/((tbl_Finance[Job Number]=C177&amp;"")*(tbl_Finance[Date]=A177)),tbl_Finance[Xero Invoice No]),""))</f>
        <v/>
      </c>
      <c r="C177" s="14" t="n"/>
      <c r="D177" s="15">
        <f>IF(C177="","",IF(COUNTIF(lst_Jobs,C177&amp;"")&gt;0,"OK","CHECK"))</f>
        <v/>
      </c>
      <c r="E177" s="15">
        <f>IF(C177="","",IFERROR(INDEX(lst_JobName,MATCH(C177&amp;"",lst_Jobs,0)),""))</f>
        <v/>
      </c>
      <c r="F177" s="15">
        <f>IF(C177="","",IFERROR(INDEX(tbl_Finance[Client],MATCH(C177&amp;"",tbl_Finance[Job Number],0)),""))</f>
        <v/>
      </c>
      <c r="G177" s="52">
        <f>IF(C177="","",COUNTIFS(tbl_Finance[Job Number],C177&amp;"",tbl_Finance[Ex GST],"&lt;&gt;"))</f>
        <v/>
      </c>
      <c r="H177" s="17">
        <f>IF(C177="","",SUMIFS(tbl_Finance[Ex GST],tbl_Finance[Job Number],C177&amp;""))</f>
        <v/>
      </c>
      <c r="I177" s="15">
        <f>IF(C177="","",IFERROR(INDEX(tbl_Finance[Cost Centre],MATCH(C177&amp;"",tbl_Finance[Job Number],0)),"not invoiced yet"))</f>
        <v/>
      </c>
      <c r="J177" s="14" t="n"/>
      <c r="K177" s="15">
        <f>IF(J177="","",HYPERLINK(IF(LEFT(J177,4)="http",J177,set_QwilrBase&amp;J177),"Open quote"))</f>
        <v/>
      </c>
      <c r="L177" s="16" t="n"/>
      <c r="M177" s="16" t="n"/>
      <c r="N177" s="16" t="n"/>
      <c r="O177" s="15">
        <f>IF(C177="","",IF(N(L177)+N(M177)+N(N177)=0,"Not split",IF(ROUND(N(L177)+N(M177)+N(N177),2)=ROUND(H177,2),"OK","MISMATCH")))</f>
        <v/>
      </c>
      <c r="P177" s="16" t="n"/>
      <c r="Q177" s="16" t="n"/>
      <c r="R177" s="16" t="n"/>
      <c r="S177" s="17">
        <f>IF(C177="","",N(P177)+N(Q177)+N(R177))</f>
        <v/>
      </c>
      <c r="T177" s="17">
        <f>IF(C177="","",H177-S177)</f>
        <v/>
      </c>
      <c r="U177" s="54">
        <f>IFERROR(T177/H177,"")</f>
        <v/>
      </c>
      <c r="V177" s="14" t="n"/>
    </row>
    <row r="178" ht="15" customHeight="1">
      <c r="A178" s="51">
        <f>IF(C178="","",IFERROR(IF(SUMPRODUCT(MAX((tbl_Finance[Job Number]=C178&amp;"")*tbl_Finance[Date]))=0,"",SUMPRODUCT(MAX((tbl_Finance[Job Number]=C178&amp;"")*tbl_Finance[Date]))),""))</f>
        <v/>
      </c>
      <c r="B178" s="15">
        <f>IF(A178="","",IFERROR(LOOKUP(2,1/((tbl_Finance[Job Number]=C178&amp;"")*(tbl_Finance[Date]=A178)),tbl_Finance[Xero Invoice No]),""))</f>
        <v/>
      </c>
      <c r="C178" s="14" t="n"/>
      <c r="D178" s="15">
        <f>IF(C178="","",IF(COUNTIF(lst_Jobs,C178&amp;"")&gt;0,"OK","CHECK"))</f>
        <v/>
      </c>
      <c r="E178" s="15">
        <f>IF(C178="","",IFERROR(INDEX(lst_JobName,MATCH(C178&amp;"",lst_Jobs,0)),""))</f>
        <v/>
      </c>
      <c r="F178" s="15">
        <f>IF(C178="","",IFERROR(INDEX(tbl_Finance[Client],MATCH(C178&amp;"",tbl_Finance[Job Number],0)),""))</f>
        <v/>
      </c>
      <c r="G178" s="52">
        <f>IF(C178="","",COUNTIFS(tbl_Finance[Job Number],C178&amp;"",tbl_Finance[Ex GST],"&lt;&gt;"))</f>
        <v/>
      </c>
      <c r="H178" s="17">
        <f>IF(C178="","",SUMIFS(tbl_Finance[Ex GST],tbl_Finance[Job Number],C178&amp;""))</f>
        <v/>
      </c>
      <c r="I178" s="15">
        <f>IF(C178="","",IFERROR(INDEX(tbl_Finance[Cost Centre],MATCH(C178&amp;"",tbl_Finance[Job Number],0)),"not invoiced yet"))</f>
        <v/>
      </c>
      <c r="J178" s="14" t="n"/>
      <c r="K178" s="15">
        <f>IF(J178="","",HYPERLINK(IF(LEFT(J178,4)="http",J178,set_QwilrBase&amp;J178),"Open quote"))</f>
        <v/>
      </c>
      <c r="L178" s="16" t="n"/>
      <c r="M178" s="16" t="n"/>
      <c r="N178" s="16" t="n"/>
      <c r="O178" s="15">
        <f>IF(C178="","",IF(N(L178)+N(M178)+N(N178)=0,"Not split",IF(ROUND(N(L178)+N(M178)+N(N178),2)=ROUND(H178,2),"OK","MISMATCH")))</f>
        <v/>
      </c>
      <c r="P178" s="16" t="n"/>
      <c r="Q178" s="16" t="n"/>
      <c r="R178" s="16" t="n"/>
      <c r="S178" s="17">
        <f>IF(C178="","",N(P178)+N(Q178)+N(R178))</f>
        <v/>
      </c>
      <c r="T178" s="17">
        <f>IF(C178="","",H178-S178)</f>
        <v/>
      </c>
      <c r="U178" s="54">
        <f>IFERROR(T178/H178,"")</f>
        <v/>
      </c>
      <c r="V178" s="14" t="n"/>
    </row>
    <row r="179" ht="15" customHeight="1">
      <c r="A179" s="51">
        <f>IF(C179="","",IFERROR(IF(SUMPRODUCT(MAX((tbl_Finance[Job Number]=C179&amp;"")*tbl_Finance[Date]))=0,"",SUMPRODUCT(MAX((tbl_Finance[Job Number]=C179&amp;"")*tbl_Finance[Date]))),""))</f>
        <v/>
      </c>
      <c r="B179" s="15">
        <f>IF(A179="","",IFERROR(LOOKUP(2,1/((tbl_Finance[Job Number]=C179&amp;"")*(tbl_Finance[Date]=A179)),tbl_Finance[Xero Invoice No]),""))</f>
        <v/>
      </c>
      <c r="C179" s="14" t="n"/>
      <c r="D179" s="15">
        <f>IF(C179="","",IF(COUNTIF(lst_Jobs,C179&amp;"")&gt;0,"OK","CHECK"))</f>
        <v/>
      </c>
      <c r="E179" s="15">
        <f>IF(C179="","",IFERROR(INDEX(lst_JobName,MATCH(C179&amp;"",lst_Jobs,0)),""))</f>
        <v/>
      </c>
      <c r="F179" s="15">
        <f>IF(C179="","",IFERROR(INDEX(tbl_Finance[Client],MATCH(C179&amp;"",tbl_Finance[Job Number],0)),""))</f>
        <v/>
      </c>
      <c r="G179" s="52">
        <f>IF(C179="","",COUNTIFS(tbl_Finance[Job Number],C179&amp;"",tbl_Finance[Ex GST],"&lt;&gt;"))</f>
        <v/>
      </c>
      <c r="H179" s="17">
        <f>IF(C179="","",SUMIFS(tbl_Finance[Ex GST],tbl_Finance[Job Number],C179&amp;""))</f>
        <v/>
      </c>
      <c r="I179" s="15">
        <f>IF(C179="","",IFERROR(INDEX(tbl_Finance[Cost Centre],MATCH(C179&amp;"",tbl_Finance[Job Number],0)),"not invoiced yet"))</f>
        <v/>
      </c>
      <c r="J179" s="14" t="n"/>
      <c r="K179" s="15">
        <f>IF(J179="","",HYPERLINK(IF(LEFT(J179,4)="http",J179,set_QwilrBase&amp;J179),"Open quote"))</f>
        <v/>
      </c>
      <c r="L179" s="16" t="n"/>
      <c r="M179" s="16" t="n"/>
      <c r="N179" s="16" t="n"/>
      <c r="O179" s="15">
        <f>IF(C179="","",IF(N(L179)+N(M179)+N(N179)=0,"Not split",IF(ROUND(N(L179)+N(M179)+N(N179),2)=ROUND(H179,2),"OK","MISMATCH")))</f>
        <v/>
      </c>
      <c r="P179" s="16" t="n"/>
      <c r="Q179" s="16" t="n"/>
      <c r="R179" s="16" t="n"/>
      <c r="S179" s="17">
        <f>IF(C179="","",N(P179)+N(Q179)+N(R179))</f>
        <v/>
      </c>
      <c r="T179" s="17">
        <f>IF(C179="","",H179-S179)</f>
        <v/>
      </c>
      <c r="U179" s="54">
        <f>IFERROR(T179/H179,"")</f>
        <v/>
      </c>
      <c r="V179" s="14" t="n"/>
    </row>
    <row r="180" ht="15" customHeight="1">
      <c r="A180" s="51">
        <f>IF(C180="","",IFERROR(IF(SUMPRODUCT(MAX((tbl_Finance[Job Number]=C180&amp;"")*tbl_Finance[Date]))=0,"",SUMPRODUCT(MAX((tbl_Finance[Job Number]=C180&amp;"")*tbl_Finance[Date]))),""))</f>
        <v/>
      </c>
      <c r="B180" s="15">
        <f>IF(A180="","",IFERROR(LOOKUP(2,1/((tbl_Finance[Job Number]=C180&amp;"")*(tbl_Finance[Date]=A180)),tbl_Finance[Xero Invoice No]),""))</f>
        <v/>
      </c>
      <c r="C180" s="14" t="n"/>
      <c r="D180" s="15">
        <f>IF(C180="","",IF(COUNTIF(lst_Jobs,C180&amp;"")&gt;0,"OK","CHECK"))</f>
        <v/>
      </c>
      <c r="E180" s="15">
        <f>IF(C180="","",IFERROR(INDEX(lst_JobName,MATCH(C180&amp;"",lst_Jobs,0)),""))</f>
        <v/>
      </c>
      <c r="F180" s="15">
        <f>IF(C180="","",IFERROR(INDEX(tbl_Finance[Client],MATCH(C180&amp;"",tbl_Finance[Job Number],0)),""))</f>
        <v/>
      </c>
      <c r="G180" s="52">
        <f>IF(C180="","",COUNTIFS(tbl_Finance[Job Number],C180&amp;"",tbl_Finance[Ex GST],"&lt;&gt;"))</f>
        <v/>
      </c>
      <c r="H180" s="17">
        <f>IF(C180="","",SUMIFS(tbl_Finance[Ex GST],tbl_Finance[Job Number],C180&amp;""))</f>
        <v/>
      </c>
      <c r="I180" s="15">
        <f>IF(C180="","",IFERROR(INDEX(tbl_Finance[Cost Centre],MATCH(C180&amp;"",tbl_Finance[Job Number],0)),"not invoiced yet"))</f>
        <v/>
      </c>
      <c r="J180" s="14" t="n"/>
      <c r="K180" s="15">
        <f>IF(J180="","",HYPERLINK(IF(LEFT(J180,4)="http",J180,set_QwilrBase&amp;J180),"Open quote"))</f>
        <v/>
      </c>
      <c r="L180" s="16" t="n"/>
      <c r="M180" s="16" t="n"/>
      <c r="N180" s="16" t="n"/>
      <c r="O180" s="15">
        <f>IF(C180="","",IF(N(L180)+N(M180)+N(N180)=0,"Not split",IF(ROUND(N(L180)+N(M180)+N(N180),2)=ROUND(H180,2),"OK","MISMATCH")))</f>
        <v/>
      </c>
      <c r="P180" s="16" t="n"/>
      <c r="Q180" s="16" t="n"/>
      <c r="R180" s="16" t="n"/>
      <c r="S180" s="17">
        <f>IF(C180="","",N(P180)+N(Q180)+N(R180))</f>
        <v/>
      </c>
      <c r="T180" s="17">
        <f>IF(C180="","",H180-S180)</f>
        <v/>
      </c>
      <c r="U180" s="54">
        <f>IFERROR(T180/H180,"")</f>
        <v/>
      </c>
      <c r="V180" s="14" t="n"/>
    </row>
    <row r="181" ht="15" customHeight="1">
      <c r="A181" s="51">
        <f>IF(C181="","",IFERROR(IF(SUMPRODUCT(MAX((tbl_Finance[Job Number]=C181&amp;"")*tbl_Finance[Date]))=0,"",SUMPRODUCT(MAX((tbl_Finance[Job Number]=C181&amp;"")*tbl_Finance[Date]))),""))</f>
        <v/>
      </c>
      <c r="B181" s="15">
        <f>IF(A181="","",IFERROR(LOOKUP(2,1/((tbl_Finance[Job Number]=C181&amp;"")*(tbl_Finance[Date]=A181)),tbl_Finance[Xero Invoice No]),""))</f>
        <v/>
      </c>
      <c r="C181" s="14" t="n"/>
      <c r="D181" s="15">
        <f>IF(C181="","",IF(COUNTIF(lst_Jobs,C181&amp;"")&gt;0,"OK","CHECK"))</f>
        <v/>
      </c>
      <c r="E181" s="15">
        <f>IF(C181="","",IFERROR(INDEX(lst_JobName,MATCH(C181&amp;"",lst_Jobs,0)),""))</f>
        <v/>
      </c>
      <c r="F181" s="15">
        <f>IF(C181="","",IFERROR(INDEX(tbl_Finance[Client],MATCH(C181&amp;"",tbl_Finance[Job Number],0)),""))</f>
        <v/>
      </c>
      <c r="G181" s="52">
        <f>IF(C181="","",COUNTIFS(tbl_Finance[Job Number],C181&amp;"",tbl_Finance[Ex GST],"&lt;&gt;"))</f>
        <v/>
      </c>
      <c r="H181" s="17">
        <f>IF(C181="","",SUMIFS(tbl_Finance[Ex GST],tbl_Finance[Job Number],C181&amp;""))</f>
        <v/>
      </c>
      <c r="I181" s="15">
        <f>IF(C181="","",IFERROR(INDEX(tbl_Finance[Cost Centre],MATCH(C181&amp;"",tbl_Finance[Job Number],0)),"not invoiced yet"))</f>
        <v/>
      </c>
      <c r="J181" s="14" t="n"/>
      <c r="K181" s="15">
        <f>IF(J181="","",HYPERLINK(IF(LEFT(J181,4)="http",J181,set_QwilrBase&amp;J181),"Open quote"))</f>
        <v/>
      </c>
      <c r="L181" s="16" t="n"/>
      <c r="M181" s="16" t="n"/>
      <c r="N181" s="16" t="n"/>
      <c r="O181" s="15">
        <f>IF(C181="","",IF(N(L181)+N(M181)+N(N181)=0,"Not split",IF(ROUND(N(L181)+N(M181)+N(N181),2)=ROUND(H181,2),"OK","MISMATCH")))</f>
        <v/>
      </c>
      <c r="P181" s="16" t="n"/>
      <c r="Q181" s="16" t="n"/>
      <c r="R181" s="16" t="n"/>
      <c r="S181" s="17">
        <f>IF(C181="","",N(P181)+N(Q181)+N(R181))</f>
        <v/>
      </c>
      <c r="T181" s="17">
        <f>IF(C181="","",H181-S181)</f>
        <v/>
      </c>
      <c r="U181" s="54">
        <f>IFERROR(T181/H181,"")</f>
        <v/>
      </c>
      <c r="V181" s="14" t="n"/>
    </row>
    <row r="182" ht="15" customHeight="1">
      <c r="A182" s="51">
        <f>IF(C182="","",IFERROR(IF(SUMPRODUCT(MAX((tbl_Finance[Job Number]=C182&amp;"")*tbl_Finance[Date]))=0,"",SUMPRODUCT(MAX((tbl_Finance[Job Number]=C182&amp;"")*tbl_Finance[Date]))),""))</f>
        <v/>
      </c>
      <c r="B182" s="15">
        <f>IF(A182="","",IFERROR(LOOKUP(2,1/((tbl_Finance[Job Number]=C182&amp;"")*(tbl_Finance[Date]=A182)),tbl_Finance[Xero Invoice No]),""))</f>
        <v/>
      </c>
      <c r="C182" s="14" t="n"/>
      <c r="D182" s="15">
        <f>IF(C182="","",IF(COUNTIF(lst_Jobs,C182&amp;"")&gt;0,"OK","CHECK"))</f>
        <v/>
      </c>
      <c r="E182" s="15">
        <f>IF(C182="","",IFERROR(INDEX(lst_JobName,MATCH(C182&amp;"",lst_Jobs,0)),""))</f>
        <v/>
      </c>
      <c r="F182" s="15">
        <f>IF(C182="","",IFERROR(INDEX(tbl_Finance[Client],MATCH(C182&amp;"",tbl_Finance[Job Number],0)),""))</f>
        <v/>
      </c>
      <c r="G182" s="52">
        <f>IF(C182="","",COUNTIFS(tbl_Finance[Job Number],C182&amp;"",tbl_Finance[Ex GST],"&lt;&gt;"))</f>
        <v/>
      </c>
      <c r="H182" s="17">
        <f>IF(C182="","",SUMIFS(tbl_Finance[Ex GST],tbl_Finance[Job Number],C182&amp;""))</f>
        <v/>
      </c>
      <c r="I182" s="15">
        <f>IF(C182="","",IFERROR(INDEX(tbl_Finance[Cost Centre],MATCH(C182&amp;"",tbl_Finance[Job Number],0)),"not invoiced yet"))</f>
        <v/>
      </c>
      <c r="J182" s="14" t="n"/>
      <c r="K182" s="15">
        <f>IF(J182="","",HYPERLINK(IF(LEFT(J182,4)="http",J182,set_QwilrBase&amp;J182),"Open quote"))</f>
        <v/>
      </c>
      <c r="L182" s="16" t="n"/>
      <c r="M182" s="16" t="n"/>
      <c r="N182" s="16" t="n"/>
      <c r="O182" s="15">
        <f>IF(C182="","",IF(N(L182)+N(M182)+N(N182)=0,"Not split",IF(ROUND(N(L182)+N(M182)+N(N182),2)=ROUND(H182,2),"OK","MISMATCH")))</f>
        <v/>
      </c>
      <c r="P182" s="16" t="n"/>
      <c r="Q182" s="16" t="n"/>
      <c r="R182" s="16" t="n"/>
      <c r="S182" s="17">
        <f>IF(C182="","",N(P182)+N(Q182)+N(R182))</f>
        <v/>
      </c>
      <c r="T182" s="17">
        <f>IF(C182="","",H182-S182)</f>
        <v/>
      </c>
      <c r="U182" s="54">
        <f>IFERROR(T182/H182,"")</f>
        <v/>
      </c>
      <c r="V182" s="14" t="n"/>
    </row>
    <row r="183" ht="15" customHeight="1">
      <c r="A183" s="51">
        <f>IF(C183="","",IFERROR(IF(SUMPRODUCT(MAX((tbl_Finance[Job Number]=C183&amp;"")*tbl_Finance[Date]))=0,"",SUMPRODUCT(MAX((tbl_Finance[Job Number]=C183&amp;"")*tbl_Finance[Date]))),""))</f>
        <v/>
      </c>
      <c r="B183" s="15">
        <f>IF(A183="","",IFERROR(LOOKUP(2,1/((tbl_Finance[Job Number]=C183&amp;"")*(tbl_Finance[Date]=A183)),tbl_Finance[Xero Invoice No]),""))</f>
        <v/>
      </c>
      <c r="C183" s="14" t="n"/>
      <c r="D183" s="15">
        <f>IF(C183="","",IF(COUNTIF(lst_Jobs,C183&amp;"")&gt;0,"OK","CHECK"))</f>
        <v/>
      </c>
      <c r="E183" s="15">
        <f>IF(C183="","",IFERROR(INDEX(lst_JobName,MATCH(C183&amp;"",lst_Jobs,0)),""))</f>
        <v/>
      </c>
      <c r="F183" s="15">
        <f>IF(C183="","",IFERROR(INDEX(tbl_Finance[Client],MATCH(C183&amp;"",tbl_Finance[Job Number],0)),""))</f>
        <v/>
      </c>
      <c r="G183" s="52">
        <f>IF(C183="","",COUNTIFS(tbl_Finance[Job Number],C183&amp;"",tbl_Finance[Ex GST],"&lt;&gt;"))</f>
        <v/>
      </c>
      <c r="H183" s="17">
        <f>IF(C183="","",SUMIFS(tbl_Finance[Ex GST],tbl_Finance[Job Number],C183&amp;""))</f>
        <v/>
      </c>
      <c r="I183" s="15">
        <f>IF(C183="","",IFERROR(INDEX(tbl_Finance[Cost Centre],MATCH(C183&amp;"",tbl_Finance[Job Number],0)),"not invoiced yet"))</f>
        <v/>
      </c>
      <c r="J183" s="14" t="n"/>
      <c r="K183" s="15">
        <f>IF(J183="","",HYPERLINK(IF(LEFT(J183,4)="http",J183,set_QwilrBase&amp;J183),"Open quote"))</f>
        <v/>
      </c>
      <c r="L183" s="16" t="n"/>
      <c r="M183" s="16" t="n"/>
      <c r="N183" s="16" t="n"/>
      <c r="O183" s="15">
        <f>IF(C183="","",IF(N(L183)+N(M183)+N(N183)=0,"Not split",IF(ROUND(N(L183)+N(M183)+N(N183),2)=ROUND(H183,2),"OK","MISMATCH")))</f>
        <v/>
      </c>
      <c r="P183" s="16" t="n"/>
      <c r="Q183" s="16" t="n"/>
      <c r="R183" s="16" t="n"/>
      <c r="S183" s="17">
        <f>IF(C183="","",N(P183)+N(Q183)+N(R183))</f>
        <v/>
      </c>
      <c r="T183" s="17">
        <f>IF(C183="","",H183-S183)</f>
        <v/>
      </c>
      <c r="U183" s="54">
        <f>IFERROR(T183/H183,"")</f>
        <v/>
      </c>
      <c r="V183" s="14" t="n"/>
    </row>
    <row r="184" ht="15" customHeight="1">
      <c r="A184" s="51">
        <f>IF(C184="","",IFERROR(IF(SUMPRODUCT(MAX((tbl_Finance[Job Number]=C184&amp;"")*tbl_Finance[Date]))=0,"",SUMPRODUCT(MAX((tbl_Finance[Job Number]=C184&amp;"")*tbl_Finance[Date]))),""))</f>
        <v/>
      </c>
      <c r="B184" s="15">
        <f>IF(A184="","",IFERROR(LOOKUP(2,1/((tbl_Finance[Job Number]=C184&amp;"")*(tbl_Finance[Date]=A184)),tbl_Finance[Xero Invoice No]),""))</f>
        <v/>
      </c>
      <c r="C184" s="14" t="n"/>
      <c r="D184" s="15">
        <f>IF(C184="","",IF(COUNTIF(lst_Jobs,C184&amp;"")&gt;0,"OK","CHECK"))</f>
        <v/>
      </c>
      <c r="E184" s="15">
        <f>IF(C184="","",IFERROR(INDEX(lst_JobName,MATCH(C184&amp;"",lst_Jobs,0)),""))</f>
        <v/>
      </c>
      <c r="F184" s="15">
        <f>IF(C184="","",IFERROR(INDEX(tbl_Finance[Client],MATCH(C184&amp;"",tbl_Finance[Job Number],0)),""))</f>
        <v/>
      </c>
      <c r="G184" s="52">
        <f>IF(C184="","",COUNTIFS(tbl_Finance[Job Number],C184&amp;"",tbl_Finance[Ex GST],"&lt;&gt;"))</f>
        <v/>
      </c>
      <c r="H184" s="17">
        <f>IF(C184="","",SUMIFS(tbl_Finance[Ex GST],tbl_Finance[Job Number],C184&amp;""))</f>
        <v/>
      </c>
      <c r="I184" s="15">
        <f>IF(C184="","",IFERROR(INDEX(tbl_Finance[Cost Centre],MATCH(C184&amp;"",tbl_Finance[Job Number],0)),"not invoiced yet"))</f>
        <v/>
      </c>
      <c r="J184" s="14" t="n"/>
      <c r="K184" s="15">
        <f>IF(J184="","",HYPERLINK(IF(LEFT(J184,4)="http",J184,set_QwilrBase&amp;J184),"Open quote"))</f>
        <v/>
      </c>
      <c r="L184" s="16" t="n"/>
      <c r="M184" s="16" t="n"/>
      <c r="N184" s="16" t="n"/>
      <c r="O184" s="15">
        <f>IF(C184="","",IF(N(L184)+N(M184)+N(N184)=0,"Not split",IF(ROUND(N(L184)+N(M184)+N(N184),2)=ROUND(H184,2),"OK","MISMATCH")))</f>
        <v/>
      </c>
      <c r="P184" s="16" t="n"/>
      <c r="Q184" s="16" t="n"/>
      <c r="R184" s="16" t="n"/>
      <c r="S184" s="17">
        <f>IF(C184="","",N(P184)+N(Q184)+N(R184))</f>
        <v/>
      </c>
      <c r="T184" s="17">
        <f>IF(C184="","",H184-S184)</f>
        <v/>
      </c>
      <c r="U184" s="54">
        <f>IFERROR(T184/H184,"")</f>
        <v/>
      </c>
      <c r="V184" s="14" t="n"/>
    </row>
    <row r="185" ht="15" customHeight="1">
      <c r="A185" s="51">
        <f>IF(C185="","",IFERROR(IF(SUMPRODUCT(MAX((tbl_Finance[Job Number]=C185&amp;"")*tbl_Finance[Date]))=0,"",SUMPRODUCT(MAX((tbl_Finance[Job Number]=C185&amp;"")*tbl_Finance[Date]))),""))</f>
        <v/>
      </c>
      <c r="B185" s="15">
        <f>IF(A185="","",IFERROR(LOOKUP(2,1/((tbl_Finance[Job Number]=C185&amp;"")*(tbl_Finance[Date]=A185)),tbl_Finance[Xero Invoice No]),""))</f>
        <v/>
      </c>
      <c r="C185" s="14" t="n"/>
      <c r="D185" s="15">
        <f>IF(C185="","",IF(COUNTIF(lst_Jobs,C185&amp;"")&gt;0,"OK","CHECK"))</f>
        <v/>
      </c>
      <c r="E185" s="15">
        <f>IF(C185="","",IFERROR(INDEX(lst_JobName,MATCH(C185&amp;"",lst_Jobs,0)),""))</f>
        <v/>
      </c>
      <c r="F185" s="15">
        <f>IF(C185="","",IFERROR(INDEX(tbl_Finance[Client],MATCH(C185&amp;"",tbl_Finance[Job Number],0)),""))</f>
        <v/>
      </c>
      <c r="G185" s="52">
        <f>IF(C185="","",COUNTIFS(tbl_Finance[Job Number],C185&amp;"",tbl_Finance[Ex GST],"&lt;&gt;"))</f>
        <v/>
      </c>
      <c r="H185" s="17">
        <f>IF(C185="","",SUMIFS(tbl_Finance[Ex GST],tbl_Finance[Job Number],C185&amp;""))</f>
        <v/>
      </c>
      <c r="I185" s="15">
        <f>IF(C185="","",IFERROR(INDEX(tbl_Finance[Cost Centre],MATCH(C185&amp;"",tbl_Finance[Job Number],0)),"not invoiced yet"))</f>
        <v/>
      </c>
      <c r="J185" s="14" t="n"/>
      <c r="K185" s="15">
        <f>IF(J185="","",HYPERLINK(IF(LEFT(J185,4)="http",J185,set_QwilrBase&amp;J185),"Open quote"))</f>
        <v/>
      </c>
      <c r="L185" s="16" t="n"/>
      <c r="M185" s="16" t="n"/>
      <c r="N185" s="16" t="n"/>
      <c r="O185" s="15">
        <f>IF(C185="","",IF(N(L185)+N(M185)+N(N185)=0,"Not split",IF(ROUND(N(L185)+N(M185)+N(N185),2)=ROUND(H185,2),"OK","MISMATCH")))</f>
        <v/>
      </c>
      <c r="P185" s="16" t="n"/>
      <c r="Q185" s="16" t="n"/>
      <c r="R185" s="16" t="n"/>
      <c r="S185" s="17">
        <f>IF(C185="","",N(P185)+N(Q185)+N(R185))</f>
        <v/>
      </c>
      <c r="T185" s="17">
        <f>IF(C185="","",H185-S185)</f>
        <v/>
      </c>
      <c r="U185" s="54">
        <f>IFERROR(T185/H185,"")</f>
        <v/>
      </c>
      <c r="V185" s="14" t="n"/>
    </row>
    <row r="186" ht="15" customHeight="1">
      <c r="A186" s="51">
        <f>IF(C186="","",IFERROR(IF(SUMPRODUCT(MAX((tbl_Finance[Job Number]=C186&amp;"")*tbl_Finance[Date]))=0,"",SUMPRODUCT(MAX((tbl_Finance[Job Number]=C186&amp;"")*tbl_Finance[Date]))),""))</f>
        <v/>
      </c>
      <c r="B186" s="15">
        <f>IF(A186="","",IFERROR(LOOKUP(2,1/((tbl_Finance[Job Number]=C186&amp;"")*(tbl_Finance[Date]=A186)),tbl_Finance[Xero Invoice No]),""))</f>
        <v/>
      </c>
      <c r="C186" s="14" t="n"/>
      <c r="D186" s="15">
        <f>IF(C186="","",IF(COUNTIF(lst_Jobs,C186&amp;"")&gt;0,"OK","CHECK"))</f>
        <v/>
      </c>
      <c r="E186" s="15">
        <f>IF(C186="","",IFERROR(INDEX(lst_JobName,MATCH(C186&amp;"",lst_Jobs,0)),""))</f>
        <v/>
      </c>
      <c r="F186" s="15">
        <f>IF(C186="","",IFERROR(INDEX(tbl_Finance[Client],MATCH(C186&amp;"",tbl_Finance[Job Number],0)),""))</f>
        <v/>
      </c>
      <c r="G186" s="52">
        <f>IF(C186="","",COUNTIFS(tbl_Finance[Job Number],C186&amp;"",tbl_Finance[Ex GST],"&lt;&gt;"))</f>
        <v/>
      </c>
      <c r="H186" s="17">
        <f>IF(C186="","",SUMIFS(tbl_Finance[Ex GST],tbl_Finance[Job Number],C186&amp;""))</f>
        <v/>
      </c>
      <c r="I186" s="15">
        <f>IF(C186="","",IFERROR(INDEX(tbl_Finance[Cost Centre],MATCH(C186&amp;"",tbl_Finance[Job Number],0)),"not invoiced yet"))</f>
        <v/>
      </c>
      <c r="J186" s="14" t="n"/>
      <c r="K186" s="15">
        <f>IF(J186="","",HYPERLINK(IF(LEFT(J186,4)="http",J186,set_QwilrBase&amp;J186),"Open quote"))</f>
        <v/>
      </c>
      <c r="L186" s="16" t="n"/>
      <c r="M186" s="16" t="n"/>
      <c r="N186" s="16" t="n"/>
      <c r="O186" s="15">
        <f>IF(C186="","",IF(N(L186)+N(M186)+N(N186)=0,"Not split",IF(ROUND(N(L186)+N(M186)+N(N186),2)=ROUND(H186,2),"OK","MISMATCH")))</f>
        <v/>
      </c>
      <c r="P186" s="16" t="n"/>
      <c r="Q186" s="16" t="n"/>
      <c r="R186" s="16" t="n"/>
      <c r="S186" s="17">
        <f>IF(C186="","",N(P186)+N(Q186)+N(R186))</f>
        <v/>
      </c>
      <c r="T186" s="17">
        <f>IF(C186="","",H186-S186)</f>
        <v/>
      </c>
      <c r="U186" s="54">
        <f>IFERROR(T186/H186,"")</f>
        <v/>
      </c>
      <c r="V186" s="14" t="n"/>
    </row>
    <row r="187" ht="15" customHeight="1">
      <c r="A187" s="51">
        <f>IF(C187="","",IFERROR(IF(SUMPRODUCT(MAX((tbl_Finance[Job Number]=C187&amp;"")*tbl_Finance[Date]))=0,"",SUMPRODUCT(MAX((tbl_Finance[Job Number]=C187&amp;"")*tbl_Finance[Date]))),""))</f>
        <v/>
      </c>
      <c r="B187" s="15">
        <f>IF(A187="","",IFERROR(LOOKUP(2,1/((tbl_Finance[Job Number]=C187&amp;"")*(tbl_Finance[Date]=A187)),tbl_Finance[Xero Invoice No]),""))</f>
        <v/>
      </c>
      <c r="C187" s="14" t="n"/>
      <c r="D187" s="15">
        <f>IF(C187="","",IF(COUNTIF(lst_Jobs,C187&amp;"")&gt;0,"OK","CHECK"))</f>
        <v/>
      </c>
      <c r="E187" s="15">
        <f>IF(C187="","",IFERROR(INDEX(lst_JobName,MATCH(C187&amp;"",lst_Jobs,0)),""))</f>
        <v/>
      </c>
      <c r="F187" s="15">
        <f>IF(C187="","",IFERROR(INDEX(tbl_Finance[Client],MATCH(C187&amp;"",tbl_Finance[Job Number],0)),""))</f>
        <v/>
      </c>
      <c r="G187" s="52">
        <f>IF(C187="","",COUNTIFS(tbl_Finance[Job Number],C187&amp;"",tbl_Finance[Ex GST],"&lt;&gt;"))</f>
        <v/>
      </c>
      <c r="H187" s="17">
        <f>IF(C187="","",SUMIFS(tbl_Finance[Ex GST],tbl_Finance[Job Number],C187&amp;""))</f>
        <v/>
      </c>
      <c r="I187" s="15">
        <f>IF(C187="","",IFERROR(INDEX(tbl_Finance[Cost Centre],MATCH(C187&amp;"",tbl_Finance[Job Number],0)),"not invoiced yet"))</f>
        <v/>
      </c>
      <c r="J187" s="14" t="n"/>
      <c r="K187" s="15">
        <f>IF(J187="","",HYPERLINK(IF(LEFT(J187,4)="http",J187,set_QwilrBase&amp;J187),"Open quote"))</f>
        <v/>
      </c>
      <c r="L187" s="16" t="n"/>
      <c r="M187" s="16" t="n"/>
      <c r="N187" s="16" t="n"/>
      <c r="O187" s="15">
        <f>IF(C187="","",IF(N(L187)+N(M187)+N(N187)=0,"Not split",IF(ROUND(N(L187)+N(M187)+N(N187),2)=ROUND(H187,2),"OK","MISMATCH")))</f>
        <v/>
      </c>
      <c r="P187" s="16" t="n"/>
      <c r="Q187" s="16" t="n"/>
      <c r="R187" s="16" t="n"/>
      <c r="S187" s="17">
        <f>IF(C187="","",N(P187)+N(Q187)+N(R187))</f>
        <v/>
      </c>
      <c r="T187" s="17">
        <f>IF(C187="","",H187-S187)</f>
        <v/>
      </c>
      <c r="U187" s="54">
        <f>IFERROR(T187/H187,"")</f>
        <v/>
      </c>
      <c r="V187" s="14" t="n"/>
    </row>
    <row r="188" ht="15" customHeight="1">
      <c r="A188" s="51">
        <f>IF(C188="","",IFERROR(IF(SUMPRODUCT(MAX((tbl_Finance[Job Number]=C188&amp;"")*tbl_Finance[Date]))=0,"",SUMPRODUCT(MAX((tbl_Finance[Job Number]=C188&amp;"")*tbl_Finance[Date]))),""))</f>
        <v/>
      </c>
      <c r="B188" s="15">
        <f>IF(A188="","",IFERROR(LOOKUP(2,1/((tbl_Finance[Job Number]=C188&amp;"")*(tbl_Finance[Date]=A188)),tbl_Finance[Xero Invoice No]),""))</f>
        <v/>
      </c>
      <c r="C188" s="14" t="n"/>
      <c r="D188" s="15">
        <f>IF(C188="","",IF(COUNTIF(lst_Jobs,C188&amp;"")&gt;0,"OK","CHECK"))</f>
        <v/>
      </c>
      <c r="E188" s="15">
        <f>IF(C188="","",IFERROR(INDEX(lst_JobName,MATCH(C188&amp;"",lst_Jobs,0)),""))</f>
        <v/>
      </c>
      <c r="F188" s="15">
        <f>IF(C188="","",IFERROR(INDEX(tbl_Finance[Client],MATCH(C188&amp;"",tbl_Finance[Job Number],0)),""))</f>
        <v/>
      </c>
      <c r="G188" s="52">
        <f>IF(C188="","",COUNTIFS(tbl_Finance[Job Number],C188&amp;"",tbl_Finance[Ex GST],"&lt;&gt;"))</f>
        <v/>
      </c>
      <c r="H188" s="17">
        <f>IF(C188="","",SUMIFS(tbl_Finance[Ex GST],tbl_Finance[Job Number],C188&amp;""))</f>
        <v/>
      </c>
      <c r="I188" s="15">
        <f>IF(C188="","",IFERROR(INDEX(tbl_Finance[Cost Centre],MATCH(C188&amp;"",tbl_Finance[Job Number],0)),"not invoiced yet"))</f>
        <v/>
      </c>
      <c r="J188" s="14" t="n"/>
      <c r="K188" s="15">
        <f>IF(J188="","",HYPERLINK(IF(LEFT(J188,4)="http",J188,set_QwilrBase&amp;J188),"Open quote"))</f>
        <v/>
      </c>
      <c r="L188" s="16" t="n"/>
      <c r="M188" s="16" t="n"/>
      <c r="N188" s="16" t="n"/>
      <c r="O188" s="15">
        <f>IF(C188="","",IF(N(L188)+N(M188)+N(N188)=0,"Not split",IF(ROUND(N(L188)+N(M188)+N(N188),2)=ROUND(H188,2),"OK","MISMATCH")))</f>
        <v/>
      </c>
      <c r="P188" s="16" t="n"/>
      <c r="Q188" s="16" t="n"/>
      <c r="R188" s="16" t="n"/>
      <c r="S188" s="17">
        <f>IF(C188="","",N(P188)+N(Q188)+N(R188))</f>
        <v/>
      </c>
      <c r="T188" s="17">
        <f>IF(C188="","",H188-S188)</f>
        <v/>
      </c>
      <c r="U188" s="54">
        <f>IFERROR(T188/H188,"")</f>
        <v/>
      </c>
      <c r="V188" s="14" t="n"/>
    </row>
    <row r="189" ht="15" customHeight="1">
      <c r="A189" s="51">
        <f>IF(C189="","",IFERROR(IF(SUMPRODUCT(MAX((tbl_Finance[Job Number]=C189&amp;"")*tbl_Finance[Date]))=0,"",SUMPRODUCT(MAX((tbl_Finance[Job Number]=C189&amp;"")*tbl_Finance[Date]))),""))</f>
        <v/>
      </c>
      <c r="B189" s="15">
        <f>IF(A189="","",IFERROR(LOOKUP(2,1/((tbl_Finance[Job Number]=C189&amp;"")*(tbl_Finance[Date]=A189)),tbl_Finance[Xero Invoice No]),""))</f>
        <v/>
      </c>
      <c r="C189" s="14" t="n"/>
      <c r="D189" s="15">
        <f>IF(C189="","",IF(COUNTIF(lst_Jobs,C189&amp;"")&gt;0,"OK","CHECK"))</f>
        <v/>
      </c>
      <c r="E189" s="15">
        <f>IF(C189="","",IFERROR(INDEX(lst_JobName,MATCH(C189&amp;"",lst_Jobs,0)),""))</f>
        <v/>
      </c>
      <c r="F189" s="15">
        <f>IF(C189="","",IFERROR(INDEX(tbl_Finance[Client],MATCH(C189&amp;"",tbl_Finance[Job Number],0)),""))</f>
        <v/>
      </c>
      <c r="G189" s="52">
        <f>IF(C189="","",COUNTIFS(tbl_Finance[Job Number],C189&amp;"",tbl_Finance[Ex GST],"&lt;&gt;"))</f>
        <v/>
      </c>
      <c r="H189" s="17">
        <f>IF(C189="","",SUMIFS(tbl_Finance[Ex GST],tbl_Finance[Job Number],C189&amp;""))</f>
        <v/>
      </c>
      <c r="I189" s="15">
        <f>IF(C189="","",IFERROR(INDEX(tbl_Finance[Cost Centre],MATCH(C189&amp;"",tbl_Finance[Job Number],0)),"not invoiced yet"))</f>
        <v/>
      </c>
      <c r="J189" s="14" t="n"/>
      <c r="K189" s="15">
        <f>IF(J189="","",HYPERLINK(IF(LEFT(J189,4)="http",J189,set_QwilrBase&amp;J189),"Open quote"))</f>
        <v/>
      </c>
      <c r="L189" s="16" t="n"/>
      <c r="M189" s="16" t="n"/>
      <c r="N189" s="16" t="n"/>
      <c r="O189" s="15">
        <f>IF(C189="","",IF(N(L189)+N(M189)+N(N189)=0,"Not split",IF(ROUND(N(L189)+N(M189)+N(N189),2)=ROUND(H189,2),"OK","MISMATCH")))</f>
        <v/>
      </c>
      <c r="P189" s="16" t="n"/>
      <c r="Q189" s="16" t="n"/>
      <c r="R189" s="16" t="n"/>
      <c r="S189" s="17">
        <f>IF(C189="","",N(P189)+N(Q189)+N(R189))</f>
        <v/>
      </c>
      <c r="T189" s="17">
        <f>IF(C189="","",H189-S189)</f>
        <v/>
      </c>
      <c r="U189" s="54">
        <f>IFERROR(T189/H189,"")</f>
        <v/>
      </c>
      <c r="V189" s="14" t="n"/>
    </row>
    <row r="190" ht="15" customHeight="1">
      <c r="A190" s="51">
        <f>IF(C190="","",IFERROR(IF(SUMPRODUCT(MAX((tbl_Finance[Job Number]=C190&amp;"")*tbl_Finance[Date]))=0,"",SUMPRODUCT(MAX((tbl_Finance[Job Number]=C190&amp;"")*tbl_Finance[Date]))),""))</f>
        <v/>
      </c>
      <c r="B190" s="15">
        <f>IF(A190="","",IFERROR(LOOKUP(2,1/((tbl_Finance[Job Number]=C190&amp;"")*(tbl_Finance[Date]=A190)),tbl_Finance[Xero Invoice No]),""))</f>
        <v/>
      </c>
      <c r="C190" s="14" t="n"/>
      <c r="D190" s="15">
        <f>IF(C190="","",IF(COUNTIF(lst_Jobs,C190&amp;"")&gt;0,"OK","CHECK"))</f>
        <v/>
      </c>
      <c r="E190" s="15">
        <f>IF(C190="","",IFERROR(INDEX(lst_JobName,MATCH(C190&amp;"",lst_Jobs,0)),""))</f>
        <v/>
      </c>
      <c r="F190" s="15">
        <f>IF(C190="","",IFERROR(INDEX(tbl_Finance[Client],MATCH(C190&amp;"",tbl_Finance[Job Number],0)),""))</f>
        <v/>
      </c>
      <c r="G190" s="52">
        <f>IF(C190="","",COUNTIFS(tbl_Finance[Job Number],C190&amp;"",tbl_Finance[Ex GST],"&lt;&gt;"))</f>
        <v/>
      </c>
      <c r="H190" s="17">
        <f>IF(C190="","",SUMIFS(tbl_Finance[Ex GST],tbl_Finance[Job Number],C190&amp;""))</f>
        <v/>
      </c>
      <c r="I190" s="15">
        <f>IF(C190="","",IFERROR(INDEX(tbl_Finance[Cost Centre],MATCH(C190&amp;"",tbl_Finance[Job Number],0)),"not invoiced yet"))</f>
        <v/>
      </c>
      <c r="J190" s="14" t="n"/>
      <c r="K190" s="15">
        <f>IF(J190="","",HYPERLINK(IF(LEFT(J190,4)="http",J190,set_QwilrBase&amp;J190),"Open quote"))</f>
        <v/>
      </c>
      <c r="L190" s="16" t="n"/>
      <c r="M190" s="16" t="n"/>
      <c r="N190" s="16" t="n"/>
      <c r="O190" s="15">
        <f>IF(C190="","",IF(N(L190)+N(M190)+N(N190)=0,"Not split",IF(ROUND(N(L190)+N(M190)+N(N190),2)=ROUND(H190,2),"OK","MISMATCH")))</f>
        <v/>
      </c>
      <c r="P190" s="16" t="n"/>
      <c r="Q190" s="16" t="n"/>
      <c r="R190" s="16" t="n"/>
      <c r="S190" s="17">
        <f>IF(C190="","",N(P190)+N(Q190)+N(R190))</f>
        <v/>
      </c>
      <c r="T190" s="17">
        <f>IF(C190="","",H190-S190)</f>
        <v/>
      </c>
      <c r="U190" s="54">
        <f>IFERROR(T190/H190,"")</f>
        <v/>
      </c>
      <c r="V190" s="14" t="n"/>
    </row>
    <row r="191" ht="15" customHeight="1">
      <c r="A191" s="51">
        <f>IF(C191="","",IFERROR(IF(SUMPRODUCT(MAX((tbl_Finance[Job Number]=C191&amp;"")*tbl_Finance[Date]))=0,"",SUMPRODUCT(MAX((tbl_Finance[Job Number]=C191&amp;"")*tbl_Finance[Date]))),""))</f>
        <v/>
      </c>
      <c r="B191" s="15">
        <f>IF(A191="","",IFERROR(LOOKUP(2,1/((tbl_Finance[Job Number]=C191&amp;"")*(tbl_Finance[Date]=A191)),tbl_Finance[Xero Invoice No]),""))</f>
        <v/>
      </c>
      <c r="C191" s="14" t="n"/>
      <c r="D191" s="15">
        <f>IF(C191="","",IF(COUNTIF(lst_Jobs,C191&amp;"")&gt;0,"OK","CHECK"))</f>
        <v/>
      </c>
      <c r="E191" s="15">
        <f>IF(C191="","",IFERROR(INDEX(lst_JobName,MATCH(C191&amp;"",lst_Jobs,0)),""))</f>
        <v/>
      </c>
      <c r="F191" s="15">
        <f>IF(C191="","",IFERROR(INDEX(tbl_Finance[Client],MATCH(C191&amp;"",tbl_Finance[Job Number],0)),""))</f>
        <v/>
      </c>
      <c r="G191" s="52">
        <f>IF(C191="","",COUNTIFS(tbl_Finance[Job Number],C191&amp;"",tbl_Finance[Ex GST],"&lt;&gt;"))</f>
        <v/>
      </c>
      <c r="H191" s="17">
        <f>IF(C191="","",SUMIFS(tbl_Finance[Ex GST],tbl_Finance[Job Number],C191&amp;""))</f>
        <v/>
      </c>
      <c r="I191" s="15">
        <f>IF(C191="","",IFERROR(INDEX(tbl_Finance[Cost Centre],MATCH(C191&amp;"",tbl_Finance[Job Number],0)),"not invoiced yet"))</f>
        <v/>
      </c>
      <c r="J191" s="14" t="n"/>
      <c r="K191" s="15">
        <f>IF(J191="","",HYPERLINK(IF(LEFT(J191,4)="http",J191,set_QwilrBase&amp;J191),"Open quote"))</f>
        <v/>
      </c>
      <c r="L191" s="16" t="n"/>
      <c r="M191" s="16" t="n"/>
      <c r="N191" s="16" t="n"/>
      <c r="O191" s="15">
        <f>IF(C191="","",IF(N(L191)+N(M191)+N(N191)=0,"Not split",IF(ROUND(N(L191)+N(M191)+N(N191),2)=ROUND(H191,2),"OK","MISMATCH")))</f>
        <v/>
      </c>
      <c r="P191" s="16" t="n"/>
      <c r="Q191" s="16" t="n"/>
      <c r="R191" s="16" t="n"/>
      <c r="S191" s="17">
        <f>IF(C191="","",N(P191)+N(Q191)+N(R191))</f>
        <v/>
      </c>
      <c r="T191" s="17">
        <f>IF(C191="","",H191-S191)</f>
        <v/>
      </c>
      <c r="U191" s="54">
        <f>IFERROR(T191/H191,"")</f>
        <v/>
      </c>
      <c r="V191" s="14" t="n"/>
    </row>
    <row r="192" ht="15" customHeight="1">
      <c r="A192" s="51">
        <f>IF(C192="","",IFERROR(IF(SUMPRODUCT(MAX((tbl_Finance[Job Number]=C192&amp;"")*tbl_Finance[Date]))=0,"",SUMPRODUCT(MAX((tbl_Finance[Job Number]=C192&amp;"")*tbl_Finance[Date]))),""))</f>
        <v/>
      </c>
      <c r="B192" s="15">
        <f>IF(A192="","",IFERROR(LOOKUP(2,1/((tbl_Finance[Job Number]=C192&amp;"")*(tbl_Finance[Date]=A192)),tbl_Finance[Xero Invoice No]),""))</f>
        <v/>
      </c>
      <c r="C192" s="14" t="n"/>
      <c r="D192" s="15">
        <f>IF(C192="","",IF(COUNTIF(lst_Jobs,C192&amp;"")&gt;0,"OK","CHECK"))</f>
        <v/>
      </c>
      <c r="E192" s="15">
        <f>IF(C192="","",IFERROR(INDEX(lst_JobName,MATCH(C192&amp;"",lst_Jobs,0)),""))</f>
        <v/>
      </c>
      <c r="F192" s="15">
        <f>IF(C192="","",IFERROR(INDEX(tbl_Finance[Client],MATCH(C192&amp;"",tbl_Finance[Job Number],0)),""))</f>
        <v/>
      </c>
      <c r="G192" s="52">
        <f>IF(C192="","",COUNTIFS(tbl_Finance[Job Number],C192&amp;"",tbl_Finance[Ex GST],"&lt;&gt;"))</f>
        <v/>
      </c>
      <c r="H192" s="17">
        <f>IF(C192="","",SUMIFS(tbl_Finance[Ex GST],tbl_Finance[Job Number],C192&amp;""))</f>
        <v/>
      </c>
      <c r="I192" s="15">
        <f>IF(C192="","",IFERROR(INDEX(tbl_Finance[Cost Centre],MATCH(C192&amp;"",tbl_Finance[Job Number],0)),"not invoiced yet"))</f>
        <v/>
      </c>
      <c r="J192" s="14" t="n"/>
      <c r="K192" s="15">
        <f>IF(J192="","",HYPERLINK(IF(LEFT(J192,4)="http",J192,set_QwilrBase&amp;J192),"Open quote"))</f>
        <v/>
      </c>
      <c r="L192" s="16" t="n"/>
      <c r="M192" s="16" t="n"/>
      <c r="N192" s="16" t="n"/>
      <c r="O192" s="15">
        <f>IF(C192="","",IF(N(L192)+N(M192)+N(N192)=0,"Not split",IF(ROUND(N(L192)+N(M192)+N(N192),2)=ROUND(H192,2),"OK","MISMATCH")))</f>
        <v/>
      </c>
      <c r="P192" s="16" t="n"/>
      <c r="Q192" s="16" t="n"/>
      <c r="R192" s="16" t="n"/>
      <c r="S192" s="17">
        <f>IF(C192="","",N(P192)+N(Q192)+N(R192))</f>
        <v/>
      </c>
      <c r="T192" s="17">
        <f>IF(C192="","",H192-S192)</f>
        <v/>
      </c>
      <c r="U192" s="54">
        <f>IFERROR(T192/H192,"")</f>
        <v/>
      </c>
      <c r="V192" s="14" t="n"/>
    </row>
    <row r="193" ht="15" customHeight="1">
      <c r="A193" s="51">
        <f>IF(C193="","",IFERROR(IF(SUMPRODUCT(MAX((tbl_Finance[Job Number]=C193&amp;"")*tbl_Finance[Date]))=0,"",SUMPRODUCT(MAX((tbl_Finance[Job Number]=C193&amp;"")*tbl_Finance[Date]))),""))</f>
        <v/>
      </c>
      <c r="B193" s="15">
        <f>IF(A193="","",IFERROR(LOOKUP(2,1/((tbl_Finance[Job Number]=C193&amp;"")*(tbl_Finance[Date]=A193)),tbl_Finance[Xero Invoice No]),""))</f>
        <v/>
      </c>
      <c r="C193" s="14" t="n"/>
      <c r="D193" s="15">
        <f>IF(C193="","",IF(COUNTIF(lst_Jobs,C193&amp;"")&gt;0,"OK","CHECK"))</f>
        <v/>
      </c>
      <c r="E193" s="15">
        <f>IF(C193="","",IFERROR(INDEX(lst_JobName,MATCH(C193&amp;"",lst_Jobs,0)),""))</f>
        <v/>
      </c>
      <c r="F193" s="15">
        <f>IF(C193="","",IFERROR(INDEX(tbl_Finance[Client],MATCH(C193&amp;"",tbl_Finance[Job Number],0)),""))</f>
        <v/>
      </c>
      <c r="G193" s="52">
        <f>IF(C193="","",COUNTIFS(tbl_Finance[Job Number],C193&amp;"",tbl_Finance[Ex GST],"&lt;&gt;"))</f>
        <v/>
      </c>
      <c r="H193" s="17">
        <f>IF(C193="","",SUMIFS(tbl_Finance[Ex GST],tbl_Finance[Job Number],C193&amp;""))</f>
        <v/>
      </c>
      <c r="I193" s="15">
        <f>IF(C193="","",IFERROR(INDEX(tbl_Finance[Cost Centre],MATCH(C193&amp;"",tbl_Finance[Job Number],0)),"not invoiced yet"))</f>
        <v/>
      </c>
      <c r="J193" s="14" t="n"/>
      <c r="K193" s="15">
        <f>IF(J193="","",HYPERLINK(IF(LEFT(J193,4)="http",J193,set_QwilrBase&amp;J193),"Open quote"))</f>
        <v/>
      </c>
      <c r="L193" s="16" t="n"/>
      <c r="M193" s="16" t="n"/>
      <c r="N193" s="16" t="n"/>
      <c r="O193" s="15">
        <f>IF(C193="","",IF(N(L193)+N(M193)+N(N193)=0,"Not split",IF(ROUND(N(L193)+N(M193)+N(N193),2)=ROUND(H193,2),"OK","MISMATCH")))</f>
        <v/>
      </c>
      <c r="P193" s="16" t="n"/>
      <c r="Q193" s="16" t="n"/>
      <c r="R193" s="16" t="n"/>
      <c r="S193" s="17">
        <f>IF(C193="","",N(P193)+N(Q193)+N(R193))</f>
        <v/>
      </c>
      <c r="T193" s="17">
        <f>IF(C193="","",H193-S193)</f>
        <v/>
      </c>
      <c r="U193" s="54">
        <f>IFERROR(T193/H193,"")</f>
        <v/>
      </c>
      <c r="V193" s="14" t="n"/>
    </row>
    <row r="194" ht="15" customHeight="1">
      <c r="A194" s="51">
        <f>IF(C194="","",IFERROR(IF(SUMPRODUCT(MAX((tbl_Finance[Job Number]=C194&amp;"")*tbl_Finance[Date]))=0,"",SUMPRODUCT(MAX((tbl_Finance[Job Number]=C194&amp;"")*tbl_Finance[Date]))),""))</f>
        <v/>
      </c>
      <c r="B194" s="15">
        <f>IF(A194="","",IFERROR(LOOKUP(2,1/((tbl_Finance[Job Number]=C194&amp;"")*(tbl_Finance[Date]=A194)),tbl_Finance[Xero Invoice No]),""))</f>
        <v/>
      </c>
      <c r="C194" s="14" t="n"/>
      <c r="D194" s="15">
        <f>IF(C194="","",IF(COUNTIF(lst_Jobs,C194&amp;"")&gt;0,"OK","CHECK"))</f>
        <v/>
      </c>
      <c r="E194" s="15">
        <f>IF(C194="","",IFERROR(INDEX(lst_JobName,MATCH(C194&amp;"",lst_Jobs,0)),""))</f>
        <v/>
      </c>
      <c r="F194" s="15">
        <f>IF(C194="","",IFERROR(INDEX(tbl_Finance[Client],MATCH(C194&amp;"",tbl_Finance[Job Number],0)),""))</f>
        <v/>
      </c>
      <c r="G194" s="52">
        <f>IF(C194="","",COUNTIFS(tbl_Finance[Job Number],C194&amp;"",tbl_Finance[Ex GST],"&lt;&gt;"))</f>
        <v/>
      </c>
      <c r="H194" s="17">
        <f>IF(C194="","",SUMIFS(tbl_Finance[Ex GST],tbl_Finance[Job Number],C194&amp;""))</f>
        <v/>
      </c>
      <c r="I194" s="15">
        <f>IF(C194="","",IFERROR(INDEX(tbl_Finance[Cost Centre],MATCH(C194&amp;"",tbl_Finance[Job Number],0)),"not invoiced yet"))</f>
        <v/>
      </c>
      <c r="J194" s="14" t="n"/>
      <c r="K194" s="15">
        <f>IF(J194="","",HYPERLINK(IF(LEFT(J194,4)="http",J194,set_QwilrBase&amp;J194),"Open quote"))</f>
        <v/>
      </c>
      <c r="L194" s="16" t="n"/>
      <c r="M194" s="16" t="n"/>
      <c r="N194" s="16" t="n"/>
      <c r="O194" s="15">
        <f>IF(C194="","",IF(N(L194)+N(M194)+N(N194)=0,"Not split",IF(ROUND(N(L194)+N(M194)+N(N194),2)=ROUND(H194,2),"OK","MISMATCH")))</f>
        <v/>
      </c>
      <c r="P194" s="16" t="n"/>
      <c r="Q194" s="16" t="n"/>
      <c r="R194" s="16" t="n"/>
      <c r="S194" s="17">
        <f>IF(C194="","",N(P194)+N(Q194)+N(R194))</f>
        <v/>
      </c>
      <c r="T194" s="17">
        <f>IF(C194="","",H194-S194)</f>
        <v/>
      </c>
      <c r="U194" s="54">
        <f>IFERROR(T194/H194,"")</f>
        <v/>
      </c>
      <c r="V194" s="14" t="n"/>
    </row>
    <row r="195" ht="15" customHeight="1">
      <c r="A195" s="51">
        <f>IF(C195="","",IFERROR(IF(SUMPRODUCT(MAX((tbl_Finance[Job Number]=C195&amp;"")*tbl_Finance[Date]))=0,"",SUMPRODUCT(MAX((tbl_Finance[Job Number]=C195&amp;"")*tbl_Finance[Date]))),""))</f>
        <v/>
      </c>
      <c r="B195" s="15">
        <f>IF(A195="","",IFERROR(LOOKUP(2,1/((tbl_Finance[Job Number]=C195&amp;"")*(tbl_Finance[Date]=A195)),tbl_Finance[Xero Invoice No]),""))</f>
        <v/>
      </c>
      <c r="C195" s="14" t="n"/>
      <c r="D195" s="15">
        <f>IF(C195="","",IF(COUNTIF(lst_Jobs,C195&amp;"")&gt;0,"OK","CHECK"))</f>
        <v/>
      </c>
      <c r="E195" s="15">
        <f>IF(C195="","",IFERROR(INDEX(lst_JobName,MATCH(C195&amp;"",lst_Jobs,0)),""))</f>
        <v/>
      </c>
      <c r="F195" s="15">
        <f>IF(C195="","",IFERROR(INDEX(tbl_Finance[Client],MATCH(C195&amp;"",tbl_Finance[Job Number],0)),""))</f>
        <v/>
      </c>
      <c r="G195" s="52">
        <f>IF(C195="","",COUNTIFS(tbl_Finance[Job Number],C195&amp;"",tbl_Finance[Ex GST],"&lt;&gt;"))</f>
        <v/>
      </c>
      <c r="H195" s="17">
        <f>IF(C195="","",SUMIFS(tbl_Finance[Ex GST],tbl_Finance[Job Number],C195&amp;""))</f>
        <v/>
      </c>
      <c r="I195" s="15">
        <f>IF(C195="","",IFERROR(INDEX(tbl_Finance[Cost Centre],MATCH(C195&amp;"",tbl_Finance[Job Number],0)),"not invoiced yet"))</f>
        <v/>
      </c>
      <c r="J195" s="14" t="n"/>
      <c r="K195" s="15">
        <f>IF(J195="","",HYPERLINK(IF(LEFT(J195,4)="http",J195,set_QwilrBase&amp;J195),"Open quote"))</f>
        <v/>
      </c>
      <c r="L195" s="16" t="n"/>
      <c r="M195" s="16" t="n"/>
      <c r="N195" s="16" t="n"/>
      <c r="O195" s="15">
        <f>IF(C195="","",IF(N(L195)+N(M195)+N(N195)=0,"Not split",IF(ROUND(N(L195)+N(M195)+N(N195),2)=ROUND(H195,2),"OK","MISMATCH")))</f>
        <v/>
      </c>
      <c r="P195" s="16" t="n"/>
      <c r="Q195" s="16" t="n"/>
      <c r="R195" s="16" t="n"/>
      <c r="S195" s="17">
        <f>IF(C195="","",N(P195)+N(Q195)+N(R195))</f>
        <v/>
      </c>
      <c r="T195" s="17">
        <f>IF(C195="","",H195-S195)</f>
        <v/>
      </c>
      <c r="U195" s="54">
        <f>IFERROR(T195/H195,"")</f>
        <v/>
      </c>
      <c r="V195" s="14" t="n"/>
    </row>
    <row r="196" ht="15" customHeight="1">
      <c r="A196" s="51">
        <f>IF(C196="","",IFERROR(IF(SUMPRODUCT(MAX((tbl_Finance[Job Number]=C196&amp;"")*tbl_Finance[Date]))=0,"",SUMPRODUCT(MAX((tbl_Finance[Job Number]=C196&amp;"")*tbl_Finance[Date]))),""))</f>
        <v/>
      </c>
      <c r="B196" s="15">
        <f>IF(A196="","",IFERROR(LOOKUP(2,1/((tbl_Finance[Job Number]=C196&amp;"")*(tbl_Finance[Date]=A196)),tbl_Finance[Xero Invoice No]),""))</f>
        <v/>
      </c>
      <c r="C196" s="14" t="n"/>
      <c r="D196" s="15">
        <f>IF(C196="","",IF(COUNTIF(lst_Jobs,C196&amp;"")&gt;0,"OK","CHECK"))</f>
        <v/>
      </c>
      <c r="E196" s="15">
        <f>IF(C196="","",IFERROR(INDEX(lst_JobName,MATCH(C196&amp;"",lst_Jobs,0)),""))</f>
        <v/>
      </c>
      <c r="F196" s="15">
        <f>IF(C196="","",IFERROR(INDEX(tbl_Finance[Client],MATCH(C196&amp;"",tbl_Finance[Job Number],0)),""))</f>
        <v/>
      </c>
      <c r="G196" s="52">
        <f>IF(C196="","",COUNTIFS(tbl_Finance[Job Number],C196&amp;"",tbl_Finance[Ex GST],"&lt;&gt;"))</f>
        <v/>
      </c>
      <c r="H196" s="17">
        <f>IF(C196="","",SUMIFS(tbl_Finance[Ex GST],tbl_Finance[Job Number],C196&amp;""))</f>
        <v/>
      </c>
      <c r="I196" s="15">
        <f>IF(C196="","",IFERROR(INDEX(tbl_Finance[Cost Centre],MATCH(C196&amp;"",tbl_Finance[Job Number],0)),"not invoiced yet"))</f>
        <v/>
      </c>
      <c r="J196" s="14" t="n"/>
      <c r="K196" s="15">
        <f>IF(J196="","",HYPERLINK(IF(LEFT(J196,4)="http",J196,set_QwilrBase&amp;J196),"Open quote"))</f>
        <v/>
      </c>
      <c r="L196" s="16" t="n"/>
      <c r="M196" s="16" t="n"/>
      <c r="N196" s="16" t="n"/>
      <c r="O196" s="15">
        <f>IF(C196="","",IF(N(L196)+N(M196)+N(N196)=0,"Not split",IF(ROUND(N(L196)+N(M196)+N(N196),2)=ROUND(H196,2),"OK","MISMATCH")))</f>
        <v/>
      </c>
      <c r="P196" s="16" t="n"/>
      <c r="Q196" s="16" t="n"/>
      <c r="R196" s="16" t="n"/>
      <c r="S196" s="17">
        <f>IF(C196="","",N(P196)+N(Q196)+N(R196))</f>
        <v/>
      </c>
      <c r="T196" s="17">
        <f>IF(C196="","",H196-S196)</f>
        <v/>
      </c>
      <c r="U196" s="54">
        <f>IFERROR(T196/H196,"")</f>
        <v/>
      </c>
      <c r="V196" s="14" t="n"/>
    </row>
    <row r="197" ht="15" customHeight="1">
      <c r="A197" s="51">
        <f>IF(C197="","",IFERROR(IF(SUMPRODUCT(MAX((tbl_Finance[Job Number]=C197&amp;"")*tbl_Finance[Date]))=0,"",SUMPRODUCT(MAX((tbl_Finance[Job Number]=C197&amp;"")*tbl_Finance[Date]))),""))</f>
        <v/>
      </c>
      <c r="B197" s="15">
        <f>IF(A197="","",IFERROR(LOOKUP(2,1/((tbl_Finance[Job Number]=C197&amp;"")*(tbl_Finance[Date]=A197)),tbl_Finance[Xero Invoice No]),""))</f>
        <v/>
      </c>
      <c r="C197" s="14" t="n"/>
      <c r="D197" s="15">
        <f>IF(C197="","",IF(COUNTIF(lst_Jobs,C197&amp;"")&gt;0,"OK","CHECK"))</f>
        <v/>
      </c>
      <c r="E197" s="15">
        <f>IF(C197="","",IFERROR(INDEX(lst_JobName,MATCH(C197&amp;"",lst_Jobs,0)),""))</f>
        <v/>
      </c>
      <c r="F197" s="15">
        <f>IF(C197="","",IFERROR(INDEX(tbl_Finance[Client],MATCH(C197&amp;"",tbl_Finance[Job Number],0)),""))</f>
        <v/>
      </c>
      <c r="G197" s="52">
        <f>IF(C197="","",COUNTIFS(tbl_Finance[Job Number],C197&amp;"",tbl_Finance[Ex GST],"&lt;&gt;"))</f>
        <v/>
      </c>
      <c r="H197" s="17">
        <f>IF(C197="","",SUMIFS(tbl_Finance[Ex GST],tbl_Finance[Job Number],C197&amp;""))</f>
        <v/>
      </c>
      <c r="I197" s="15">
        <f>IF(C197="","",IFERROR(INDEX(tbl_Finance[Cost Centre],MATCH(C197&amp;"",tbl_Finance[Job Number],0)),"not invoiced yet"))</f>
        <v/>
      </c>
      <c r="J197" s="14" t="n"/>
      <c r="K197" s="15">
        <f>IF(J197="","",HYPERLINK(IF(LEFT(J197,4)="http",J197,set_QwilrBase&amp;J197),"Open quote"))</f>
        <v/>
      </c>
      <c r="L197" s="16" t="n"/>
      <c r="M197" s="16" t="n"/>
      <c r="N197" s="16" t="n"/>
      <c r="O197" s="15">
        <f>IF(C197="","",IF(N(L197)+N(M197)+N(N197)=0,"Not split",IF(ROUND(N(L197)+N(M197)+N(N197),2)=ROUND(H197,2),"OK","MISMATCH")))</f>
        <v/>
      </c>
      <c r="P197" s="16" t="n"/>
      <c r="Q197" s="16" t="n"/>
      <c r="R197" s="16" t="n"/>
      <c r="S197" s="17">
        <f>IF(C197="","",N(P197)+N(Q197)+N(R197))</f>
        <v/>
      </c>
      <c r="T197" s="17">
        <f>IF(C197="","",H197-S197)</f>
        <v/>
      </c>
      <c r="U197" s="54">
        <f>IFERROR(T197/H197,"")</f>
        <v/>
      </c>
      <c r="V197" s="14" t="n"/>
    </row>
    <row r="198" ht="15" customHeight="1">
      <c r="A198" s="51">
        <f>IF(C198="","",IFERROR(IF(SUMPRODUCT(MAX((tbl_Finance[Job Number]=C198&amp;"")*tbl_Finance[Date]))=0,"",SUMPRODUCT(MAX((tbl_Finance[Job Number]=C198&amp;"")*tbl_Finance[Date]))),""))</f>
        <v/>
      </c>
      <c r="B198" s="15">
        <f>IF(A198="","",IFERROR(LOOKUP(2,1/((tbl_Finance[Job Number]=C198&amp;"")*(tbl_Finance[Date]=A198)),tbl_Finance[Xero Invoice No]),""))</f>
        <v/>
      </c>
      <c r="C198" s="14" t="n"/>
      <c r="D198" s="15">
        <f>IF(C198="","",IF(COUNTIF(lst_Jobs,C198&amp;"")&gt;0,"OK","CHECK"))</f>
        <v/>
      </c>
      <c r="E198" s="15">
        <f>IF(C198="","",IFERROR(INDEX(lst_JobName,MATCH(C198&amp;"",lst_Jobs,0)),""))</f>
        <v/>
      </c>
      <c r="F198" s="15">
        <f>IF(C198="","",IFERROR(INDEX(tbl_Finance[Client],MATCH(C198&amp;"",tbl_Finance[Job Number],0)),""))</f>
        <v/>
      </c>
      <c r="G198" s="52">
        <f>IF(C198="","",COUNTIFS(tbl_Finance[Job Number],C198&amp;"",tbl_Finance[Ex GST],"&lt;&gt;"))</f>
        <v/>
      </c>
      <c r="H198" s="17">
        <f>IF(C198="","",SUMIFS(tbl_Finance[Ex GST],tbl_Finance[Job Number],C198&amp;""))</f>
        <v/>
      </c>
      <c r="I198" s="15">
        <f>IF(C198="","",IFERROR(INDEX(tbl_Finance[Cost Centre],MATCH(C198&amp;"",tbl_Finance[Job Number],0)),"not invoiced yet"))</f>
        <v/>
      </c>
      <c r="J198" s="14" t="n"/>
      <c r="K198" s="15">
        <f>IF(J198="","",HYPERLINK(IF(LEFT(J198,4)="http",J198,set_QwilrBase&amp;J198),"Open quote"))</f>
        <v/>
      </c>
      <c r="L198" s="16" t="n"/>
      <c r="M198" s="16" t="n"/>
      <c r="N198" s="16" t="n"/>
      <c r="O198" s="15">
        <f>IF(C198="","",IF(N(L198)+N(M198)+N(N198)=0,"Not split",IF(ROUND(N(L198)+N(M198)+N(N198),2)=ROUND(H198,2),"OK","MISMATCH")))</f>
        <v/>
      </c>
      <c r="P198" s="16" t="n"/>
      <c r="Q198" s="16" t="n"/>
      <c r="R198" s="16" t="n"/>
      <c r="S198" s="17">
        <f>IF(C198="","",N(P198)+N(Q198)+N(R198))</f>
        <v/>
      </c>
      <c r="T198" s="17">
        <f>IF(C198="","",H198-S198)</f>
        <v/>
      </c>
      <c r="U198" s="54">
        <f>IFERROR(T198/H198,"")</f>
        <v/>
      </c>
      <c r="V198" s="14" t="n"/>
    </row>
    <row r="199" ht="15" customHeight="1">
      <c r="A199" s="51">
        <f>IF(C199="","",IFERROR(IF(SUMPRODUCT(MAX((tbl_Finance[Job Number]=C199&amp;"")*tbl_Finance[Date]))=0,"",SUMPRODUCT(MAX((tbl_Finance[Job Number]=C199&amp;"")*tbl_Finance[Date]))),""))</f>
        <v/>
      </c>
      <c r="B199" s="15">
        <f>IF(A199="","",IFERROR(LOOKUP(2,1/((tbl_Finance[Job Number]=C199&amp;"")*(tbl_Finance[Date]=A199)),tbl_Finance[Xero Invoice No]),""))</f>
        <v/>
      </c>
      <c r="C199" s="14" t="n"/>
      <c r="D199" s="15">
        <f>IF(C199="","",IF(COUNTIF(lst_Jobs,C199&amp;"")&gt;0,"OK","CHECK"))</f>
        <v/>
      </c>
      <c r="E199" s="15">
        <f>IF(C199="","",IFERROR(INDEX(lst_JobName,MATCH(C199&amp;"",lst_Jobs,0)),""))</f>
        <v/>
      </c>
      <c r="F199" s="15">
        <f>IF(C199="","",IFERROR(INDEX(tbl_Finance[Client],MATCH(C199&amp;"",tbl_Finance[Job Number],0)),""))</f>
        <v/>
      </c>
      <c r="G199" s="52">
        <f>IF(C199="","",COUNTIFS(tbl_Finance[Job Number],C199&amp;"",tbl_Finance[Ex GST],"&lt;&gt;"))</f>
        <v/>
      </c>
      <c r="H199" s="17">
        <f>IF(C199="","",SUMIFS(tbl_Finance[Ex GST],tbl_Finance[Job Number],C199&amp;""))</f>
        <v/>
      </c>
      <c r="I199" s="15">
        <f>IF(C199="","",IFERROR(INDEX(tbl_Finance[Cost Centre],MATCH(C199&amp;"",tbl_Finance[Job Number],0)),"not invoiced yet"))</f>
        <v/>
      </c>
      <c r="J199" s="14" t="n"/>
      <c r="K199" s="15">
        <f>IF(J199="","",HYPERLINK(IF(LEFT(J199,4)="http",J199,set_QwilrBase&amp;J199),"Open quote"))</f>
        <v/>
      </c>
      <c r="L199" s="16" t="n"/>
      <c r="M199" s="16" t="n"/>
      <c r="N199" s="16" t="n"/>
      <c r="O199" s="15">
        <f>IF(C199="","",IF(N(L199)+N(M199)+N(N199)=0,"Not split",IF(ROUND(N(L199)+N(M199)+N(N199),2)=ROUND(H199,2),"OK","MISMATCH")))</f>
        <v/>
      </c>
      <c r="P199" s="16" t="n"/>
      <c r="Q199" s="16" t="n"/>
      <c r="R199" s="16" t="n"/>
      <c r="S199" s="17">
        <f>IF(C199="","",N(P199)+N(Q199)+N(R199))</f>
        <v/>
      </c>
      <c r="T199" s="17">
        <f>IF(C199="","",H199-S199)</f>
        <v/>
      </c>
      <c r="U199" s="54">
        <f>IFERROR(T199/H199,"")</f>
        <v/>
      </c>
      <c r="V199" s="14" t="n"/>
    </row>
    <row r="200" ht="15" customHeight="1">
      <c r="A200" s="51">
        <f>IF(C200="","",IFERROR(IF(SUMPRODUCT(MAX((tbl_Finance[Job Number]=C200&amp;"")*tbl_Finance[Date]))=0,"",SUMPRODUCT(MAX((tbl_Finance[Job Number]=C200&amp;"")*tbl_Finance[Date]))),""))</f>
        <v/>
      </c>
      <c r="B200" s="15">
        <f>IF(A200="","",IFERROR(LOOKUP(2,1/((tbl_Finance[Job Number]=C200&amp;"")*(tbl_Finance[Date]=A200)),tbl_Finance[Xero Invoice No]),""))</f>
        <v/>
      </c>
      <c r="C200" s="14" t="n"/>
      <c r="D200" s="15">
        <f>IF(C200="","",IF(COUNTIF(lst_Jobs,C200&amp;"")&gt;0,"OK","CHECK"))</f>
        <v/>
      </c>
      <c r="E200" s="15">
        <f>IF(C200="","",IFERROR(INDEX(lst_JobName,MATCH(C200&amp;"",lst_Jobs,0)),""))</f>
        <v/>
      </c>
      <c r="F200" s="15">
        <f>IF(C200="","",IFERROR(INDEX(tbl_Finance[Client],MATCH(C200&amp;"",tbl_Finance[Job Number],0)),""))</f>
        <v/>
      </c>
      <c r="G200" s="52">
        <f>IF(C200="","",COUNTIFS(tbl_Finance[Job Number],C200&amp;"",tbl_Finance[Ex GST],"&lt;&gt;"))</f>
        <v/>
      </c>
      <c r="H200" s="17">
        <f>IF(C200="","",SUMIFS(tbl_Finance[Ex GST],tbl_Finance[Job Number],C200&amp;""))</f>
        <v/>
      </c>
      <c r="I200" s="15">
        <f>IF(C200="","",IFERROR(INDEX(tbl_Finance[Cost Centre],MATCH(C200&amp;"",tbl_Finance[Job Number],0)),"not invoiced yet"))</f>
        <v/>
      </c>
      <c r="J200" s="14" t="n"/>
      <c r="K200" s="15">
        <f>IF(J200="","",HYPERLINK(IF(LEFT(J200,4)="http",J200,set_QwilrBase&amp;J200),"Open quote"))</f>
        <v/>
      </c>
      <c r="L200" s="16" t="n"/>
      <c r="M200" s="16" t="n"/>
      <c r="N200" s="16" t="n"/>
      <c r="O200" s="15">
        <f>IF(C200="","",IF(N(L200)+N(M200)+N(N200)=0,"Not split",IF(ROUND(N(L200)+N(M200)+N(N200),2)=ROUND(H200,2),"OK","MISMATCH")))</f>
        <v/>
      </c>
      <c r="P200" s="16" t="n"/>
      <c r="Q200" s="16" t="n"/>
      <c r="R200" s="16" t="n"/>
      <c r="S200" s="17">
        <f>IF(C200="","",N(P200)+N(Q200)+N(R200))</f>
        <v/>
      </c>
      <c r="T200" s="17">
        <f>IF(C200="","",H200-S200)</f>
        <v/>
      </c>
      <c r="U200" s="54">
        <f>IFERROR(T200/H200,"")</f>
        <v/>
      </c>
      <c r="V200" s="14" t="n"/>
    </row>
    <row r="201" ht="15" customHeight="1">
      <c r="A201" s="51">
        <f>IF(C201="","",IFERROR(IF(SUMPRODUCT(MAX((tbl_Finance[Job Number]=C201&amp;"")*tbl_Finance[Date]))=0,"",SUMPRODUCT(MAX((tbl_Finance[Job Number]=C201&amp;"")*tbl_Finance[Date]))),""))</f>
        <v/>
      </c>
      <c r="B201" s="15">
        <f>IF(A201="","",IFERROR(LOOKUP(2,1/((tbl_Finance[Job Number]=C201&amp;"")*(tbl_Finance[Date]=A201)),tbl_Finance[Xero Invoice No]),""))</f>
        <v/>
      </c>
      <c r="C201" s="14" t="n"/>
      <c r="D201" s="15">
        <f>IF(C201="","",IF(COUNTIF(lst_Jobs,C201&amp;"")&gt;0,"OK","CHECK"))</f>
        <v/>
      </c>
      <c r="E201" s="15">
        <f>IF(C201="","",IFERROR(INDEX(lst_JobName,MATCH(C201&amp;"",lst_Jobs,0)),""))</f>
        <v/>
      </c>
      <c r="F201" s="15">
        <f>IF(C201="","",IFERROR(INDEX(tbl_Finance[Client],MATCH(C201&amp;"",tbl_Finance[Job Number],0)),""))</f>
        <v/>
      </c>
      <c r="G201" s="52">
        <f>IF(C201="","",COUNTIFS(tbl_Finance[Job Number],C201&amp;"",tbl_Finance[Ex GST],"&lt;&gt;"))</f>
        <v/>
      </c>
      <c r="H201" s="17">
        <f>IF(C201="","",SUMIFS(tbl_Finance[Ex GST],tbl_Finance[Job Number],C201&amp;""))</f>
        <v/>
      </c>
      <c r="I201" s="15">
        <f>IF(C201="","",IFERROR(INDEX(tbl_Finance[Cost Centre],MATCH(C201&amp;"",tbl_Finance[Job Number],0)),"not invoiced yet"))</f>
        <v/>
      </c>
      <c r="J201" s="14" t="n"/>
      <c r="K201" s="15">
        <f>IF(J201="","",HYPERLINK(IF(LEFT(J201,4)="http",J201,set_QwilrBase&amp;J201),"Open quote"))</f>
        <v/>
      </c>
      <c r="L201" s="16" t="n"/>
      <c r="M201" s="16" t="n"/>
      <c r="N201" s="16" t="n"/>
      <c r="O201" s="15">
        <f>IF(C201="","",IF(N(L201)+N(M201)+N(N201)=0,"Not split",IF(ROUND(N(L201)+N(M201)+N(N201),2)=ROUND(H201,2),"OK","MISMATCH")))</f>
        <v/>
      </c>
      <c r="P201" s="16" t="n"/>
      <c r="Q201" s="16" t="n"/>
      <c r="R201" s="16" t="n"/>
      <c r="S201" s="17">
        <f>IF(C201="","",N(P201)+N(Q201)+N(R201))</f>
        <v/>
      </c>
      <c r="T201" s="17">
        <f>IF(C201="","",H201-S201)</f>
        <v/>
      </c>
      <c r="U201" s="54">
        <f>IFERROR(T201/H201,"")</f>
        <v/>
      </c>
      <c r="V201" s="14" t="n"/>
    </row>
    <row r="202" ht="15" customHeight="1">
      <c r="A202" s="51">
        <f>IF(C202="","",IFERROR(IF(SUMPRODUCT(MAX((tbl_Finance[Job Number]=C202&amp;"")*tbl_Finance[Date]))=0,"",SUMPRODUCT(MAX((tbl_Finance[Job Number]=C202&amp;"")*tbl_Finance[Date]))),""))</f>
        <v/>
      </c>
      <c r="B202" s="15">
        <f>IF(A202="","",IFERROR(LOOKUP(2,1/((tbl_Finance[Job Number]=C202&amp;"")*(tbl_Finance[Date]=A202)),tbl_Finance[Xero Invoice No]),""))</f>
        <v/>
      </c>
      <c r="C202" s="14" t="n"/>
      <c r="D202" s="15">
        <f>IF(C202="","",IF(COUNTIF(lst_Jobs,C202&amp;"")&gt;0,"OK","CHECK"))</f>
        <v/>
      </c>
      <c r="E202" s="15">
        <f>IF(C202="","",IFERROR(INDEX(lst_JobName,MATCH(C202&amp;"",lst_Jobs,0)),""))</f>
        <v/>
      </c>
      <c r="F202" s="15">
        <f>IF(C202="","",IFERROR(INDEX(tbl_Finance[Client],MATCH(C202&amp;"",tbl_Finance[Job Number],0)),""))</f>
        <v/>
      </c>
      <c r="G202" s="52">
        <f>IF(C202="","",COUNTIFS(tbl_Finance[Job Number],C202&amp;"",tbl_Finance[Ex GST],"&lt;&gt;"))</f>
        <v/>
      </c>
      <c r="H202" s="17">
        <f>IF(C202="","",SUMIFS(tbl_Finance[Ex GST],tbl_Finance[Job Number],C202&amp;""))</f>
        <v/>
      </c>
      <c r="I202" s="15">
        <f>IF(C202="","",IFERROR(INDEX(tbl_Finance[Cost Centre],MATCH(C202&amp;"",tbl_Finance[Job Number],0)),"not invoiced yet"))</f>
        <v/>
      </c>
      <c r="J202" s="14" t="n"/>
      <c r="K202" s="15">
        <f>IF(J202="","",HYPERLINK(IF(LEFT(J202,4)="http",J202,set_QwilrBase&amp;J202),"Open quote"))</f>
        <v/>
      </c>
      <c r="L202" s="16" t="n"/>
      <c r="M202" s="16" t="n"/>
      <c r="N202" s="16" t="n"/>
      <c r="O202" s="15">
        <f>IF(C202="","",IF(N(L202)+N(M202)+N(N202)=0,"Not split",IF(ROUND(N(L202)+N(M202)+N(N202),2)=ROUND(H202,2),"OK","MISMATCH")))</f>
        <v/>
      </c>
      <c r="P202" s="16" t="n"/>
      <c r="Q202" s="16" t="n"/>
      <c r="R202" s="16" t="n"/>
      <c r="S202" s="17">
        <f>IF(C202="","",N(P202)+N(Q202)+N(R202))</f>
        <v/>
      </c>
      <c r="T202" s="17">
        <f>IF(C202="","",H202-S202)</f>
        <v/>
      </c>
      <c r="U202" s="54">
        <f>IFERROR(T202/H202,"")</f>
        <v/>
      </c>
      <c r="V202" s="14" t="n"/>
    </row>
    <row r="203" ht="15" customHeight="1">
      <c r="A203" s="51">
        <f>IF(C203="","",IFERROR(IF(SUMPRODUCT(MAX((tbl_Finance[Job Number]=C203&amp;"")*tbl_Finance[Date]))=0,"",SUMPRODUCT(MAX((tbl_Finance[Job Number]=C203&amp;"")*tbl_Finance[Date]))),""))</f>
        <v/>
      </c>
      <c r="B203" s="15">
        <f>IF(A203="","",IFERROR(LOOKUP(2,1/((tbl_Finance[Job Number]=C203&amp;"")*(tbl_Finance[Date]=A203)),tbl_Finance[Xero Invoice No]),""))</f>
        <v/>
      </c>
      <c r="C203" s="14" t="n"/>
      <c r="D203" s="15">
        <f>IF(C203="","",IF(COUNTIF(lst_Jobs,C203&amp;"")&gt;0,"OK","CHECK"))</f>
        <v/>
      </c>
      <c r="E203" s="15">
        <f>IF(C203="","",IFERROR(INDEX(lst_JobName,MATCH(C203&amp;"",lst_Jobs,0)),""))</f>
        <v/>
      </c>
      <c r="F203" s="15">
        <f>IF(C203="","",IFERROR(INDEX(tbl_Finance[Client],MATCH(C203&amp;"",tbl_Finance[Job Number],0)),""))</f>
        <v/>
      </c>
      <c r="G203" s="52">
        <f>IF(C203="","",COUNTIFS(tbl_Finance[Job Number],C203&amp;"",tbl_Finance[Ex GST],"&lt;&gt;"))</f>
        <v/>
      </c>
      <c r="H203" s="17">
        <f>IF(C203="","",SUMIFS(tbl_Finance[Ex GST],tbl_Finance[Job Number],C203&amp;""))</f>
        <v/>
      </c>
      <c r="I203" s="15">
        <f>IF(C203="","",IFERROR(INDEX(tbl_Finance[Cost Centre],MATCH(C203&amp;"",tbl_Finance[Job Number],0)),"not invoiced yet"))</f>
        <v/>
      </c>
      <c r="J203" s="14" t="n"/>
      <c r="K203" s="15">
        <f>IF(J203="","",HYPERLINK(IF(LEFT(J203,4)="http",J203,set_QwilrBase&amp;J203),"Open quote"))</f>
        <v/>
      </c>
      <c r="L203" s="16" t="n"/>
      <c r="M203" s="16" t="n"/>
      <c r="N203" s="16" t="n"/>
      <c r="O203" s="15">
        <f>IF(C203="","",IF(N(L203)+N(M203)+N(N203)=0,"Not split",IF(ROUND(N(L203)+N(M203)+N(N203),2)=ROUND(H203,2),"OK","MISMATCH")))</f>
        <v/>
      </c>
      <c r="P203" s="16" t="n"/>
      <c r="Q203" s="16" t="n"/>
      <c r="R203" s="16" t="n"/>
      <c r="S203" s="17">
        <f>IF(C203="","",N(P203)+N(Q203)+N(R203))</f>
        <v/>
      </c>
      <c r="T203" s="17">
        <f>IF(C203="","",H203-S203)</f>
        <v/>
      </c>
      <c r="U203" s="54">
        <f>IFERROR(T203/H203,"")</f>
        <v/>
      </c>
      <c r="V203" s="14" t="n"/>
    </row>
    <row r="204" ht="15" customHeight="1">
      <c r="A204" s="51">
        <f>IF(C204="","",IFERROR(IF(SUMPRODUCT(MAX((tbl_Finance[Job Number]=C204&amp;"")*tbl_Finance[Date]))=0,"",SUMPRODUCT(MAX((tbl_Finance[Job Number]=C204&amp;"")*tbl_Finance[Date]))),""))</f>
        <v/>
      </c>
      <c r="B204" s="15">
        <f>IF(A204="","",IFERROR(LOOKUP(2,1/((tbl_Finance[Job Number]=C204&amp;"")*(tbl_Finance[Date]=A204)),tbl_Finance[Xero Invoice No]),""))</f>
        <v/>
      </c>
      <c r="C204" s="14" t="n"/>
      <c r="D204" s="15">
        <f>IF(C204="","",IF(COUNTIF(lst_Jobs,C204&amp;"")&gt;0,"OK","CHECK"))</f>
        <v/>
      </c>
      <c r="E204" s="15">
        <f>IF(C204="","",IFERROR(INDEX(lst_JobName,MATCH(C204&amp;"",lst_Jobs,0)),""))</f>
        <v/>
      </c>
      <c r="F204" s="15">
        <f>IF(C204="","",IFERROR(INDEX(tbl_Finance[Client],MATCH(C204&amp;"",tbl_Finance[Job Number],0)),""))</f>
        <v/>
      </c>
      <c r="G204" s="52">
        <f>IF(C204="","",COUNTIFS(tbl_Finance[Job Number],C204&amp;"",tbl_Finance[Ex GST],"&lt;&gt;"))</f>
        <v/>
      </c>
      <c r="H204" s="17">
        <f>IF(C204="","",SUMIFS(tbl_Finance[Ex GST],tbl_Finance[Job Number],C204&amp;""))</f>
        <v/>
      </c>
      <c r="I204" s="15">
        <f>IF(C204="","",IFERROR(INDEX(tbl_Finance[Cost Centre],MATCH(C204&amp;"",tbl_Finance[Job Number],0)),"not invoiced yet"))</f>
        <v/>
      </c>
      <c r="J204" s="14" t="n"/>
      <c r="K204" s="15">
        <f>IF(J204="","",HYPERLINK(IF(LEFT(J204,4)="http",J204,set_QwilrBase&amp;J204),"Open quote"))</f>
        <v/>
      </c>
      <c r="L204" s="16" t="n"/>
      <c r="M204" s="16" t="n"/>
      <c r="N204" s="16" t="n"/>
      <c r="O204" s="15">
        <f>IF(C204="","",IF(N(L204)+N(M204)+N(N204)=0,"Not split",IF(ROUND(N(L204)+N(M204)+N(N204),2)=ROUND(H204,2),"OK","MISMATCH")))</f>
        <v/>
      </c>
      <c r="P204" s="16" t="n"/>
      <c r="Q204" s="16" t="n"/>
      <c r="R204" s="16" t="n"/>
      <c r="S204" s="17">
        <f>IF(C204="","",N(P204)+N(Q204)+N(R204))</f>
        <v/>
      </c>
      <c r="T204" s="17">
        <f>IF(C204="","",H204-S204)</f>
        <v/>
      </c>
      <c r="U204" s="54">
        <f>IFERROR(T204/H204,"")</f>
        <v/>
      </c>
      <c r="V204" s="14" t="n"/>
    </row>
    <row r="205" ht="15" customHeight="1">
      <c r="A205" s="51">
        <f>IF(C205="","",IFERROR(IF(SUMPRODUCT(MAX((tbl_Finance[Job Number]=C205&amp;"")*tbl_Finance[Date]))=0,"",SUMPRODUCT(MAX((tbl_Finance[Job Number]=C205&amp;"")*tbl_Finance[Date]))),""))</f>
        <v/>
      </c>
      <c r="B205" s="15">
        <f>IF(A205="","",IFERROR(LOOKUP(2,1/((tbl_Finance[Job Number]=C205&amp;"")*(tbl_Finance[Date]=A205)),tbl_Finance[Xero Invoice No]),""))</f>
        <v/>
      </c>
      <c r="C205" s="14" t="n"/>
      <c r="D205" s="15">
        <f>IF(C205="","",IF(COUNTIF(lst_Jobs,C205&amp;"")&gt;0,"OK","CHECK"))</f>
        <v/>
      </c>
      <c r="E205" s="15">
        <f>IF(C205="","",IFERROR(INDEX(lst_JobName,MATCH(C205&amp;"",lst_Jobs,0)),""))</f>
        <v/>
      </c>
      <c r="F205" s="15">
        <f>IF(C205="","",IFERROR(INDEX(tbl_Finance[Client],MATCH(C205&amp;"",tbl_Finance[Job Number],0)),""))</f>
        <v/>
      </c>
      <c r="G205" s="52">
        <f>IF(C205="","",COUNTIFS(tbl_Finance[Job Number],C205&amp;"",tbl_Finance[Ex GST],"&lt;&gt;"))</f>
        <v/>
      </c>
      <c r="H205" s="17">
        <f>IF(C205="","",SUMIFS(tbl_Finance[Ex GST],tbl_Finance[Job Number],C205&amp;""))</f>
        <v/>
      </c>
      <c r="I205" s="15">
        <f>IF(C205="","",IFERROR(INDEX(tbl_Finance[Cost Centre],MATCH(C205&amp;"",tbl_Finance[Job Number],0)),"not invoiced yet"))</f>
        <v/>
      </c>
      <c r="J205" s="14" t="n"/>
      <c r="K205" s="15">
        <f>IF(J205="","",HYPERLINK(IF(LEFT(J205,4)="http",J205,set_QwilrBase&amp;J205),"Open quote"))</f>
        <v/>
      </c>
      <c r="L205" s="16" t="n"/>
      <c r="M205" s="16" t="n"/>
      <c r="N205" s="16" t="n"/>
      <c r="O205" s="15">
        <f>IF(C205="","",IF(N(L205)+N(M205)+N(N205)=0,"Not split",IF(ROUND(N(L205)+N(M205)+N(N205),2)=ROUND(H205,2),"OK","MISMATCH")))</f>
        <v/>
      </c>
      <c r="P205" s="16" t="n"/>
      <c r="Q205" s="16" t="n"/>
      <c r="R205" s="16" t="n"/>
      <c r="S205" s="17">
        <f>IF(C205="","",N(P205)+N(Q205)+N(R205))</f>
        <v/>
      </c>
      <c r="T205" s="17">
        <f>IF(C205="","",H205-S205)</f>
        <v/>
      </c>
      <c r="U205" s="54">
        <f>IFERROR(T205/H205,"")</f>
        <v/>
      </c>
      <c r="V205" s="14" t="n"/>
    </row>
    <row r="206" ht="15" customHeight="1">
      <c r="A206" s="51">
        <f>IF(C206="","",IFERROR(IF(SUMPRODUCT(MAX((tbl_Finance[Job Number]=C206&amp;"")*tbl_Finance[Date]))=0,"",SUMPRODUCT(MAX((tbl_Finance[Job Number]=C206&amp;"")*tbl_Finance[Date]))),""))</f>
        <v/>
      </c>
      <c r="B206" s="15">
        <f>IF(A206="","",IFERROR(LOOKUP(2,1/((tbl_Finance[Job Number]=C206&amp;"")*(tbl_Finance[Date]=A206)),tbl_Finance[Xero Invoice No]),""))</f>
        <v/>
      </c>
      <c r="C206" s="14" t="n"/>
      <c r="D206" s="15">
        <f>IF(C206="","",IF(COUNTIF(lst_Jobs,C206&amp;"")&gt;0,"OK","CHECK"))</f>
        <v/>
      </c>
      <c r="E206" s="15">
        <f>IF(C206="","",IFERROR(INDEX(lst_JobName,MATCH(C206&amp;"",lst_Jobs,0)),""))</f>
        <v/>
      </c>
      <c r="F206" s="15">
        <f>IF(C206="","",IFERROR(INDEX(tbl_Finance[Client],MATCH(C206&amp;"",tbl_Finance[Job Number],0)),""))</f>
        <v/>
      </c>
      <c r="G206" s="52">
        <f>IF(C206="","",COUNTIFS(tbl_Finance[Job Number],C206&amp;"",tbl_Finance[Ex GST],"&lt;&gt;"))</f>
        <v/>
      </c>
      <c r="H206" s="17">
        <f>IF(C206="","",SUMIFS(tbl_Finance[Ex GST],tbl_Finance[Job Number],C206&amp;""))</f>
        <v/>
      </c>
      <c r="I206" s="15">
        <f>IF(C206="","",IFERROR(INDEX(tbl_Finance[Cost Centre],MATCH(C206&amp;"",tbl_Finance[Job Number],0)),"not invoiced yet"))</f>
        <v/>
      </c>
      <c r="J206" s="14" t="n"/>
      <c r="K206" s="15">
        <f>IF(J206="","",HYPERLINK(IF(LEFT(J206,4)="http",J206,set_QwilrBase&amp;J206),"Open quote"))</f>
        <v/>
      </c>
      <c r="L206" s="16" t="n"/>
      <c r="M206" s="16" t="n"/>
      <c r="N206" s="16" t="n"/>
      <c r="O206" s="15">
        <f>IF(C206="","",IF(N(L206)+N(M206)+N(N206)=0,"Not split",IF(ROUND(N(L206)+N(M206)+N(N206),2)=ROUND(H206,2),"OK","MISMATCH")))</f>
        <v/>
      </c>
      <c r="P206" s="16" t="n"/>
      <c r="Q206" s="16" t="n"/>
      <c r="R206" s="16" t="n"/>
      <c r="S206" s="17">
        <f>IF(C206="","",N(P206)+N(Q206)+N(R206))</f>
        <v/>
      </c>
      <c r="T206" s="17">
        <f>IF(C206="","",H206-S206)</f>
        <v/>
      </c>
      <c r="U206" s="54">
        <f>IFERROR(T206/H206,"")</f>
        <v/>
      </c>
      <c r="V206" s="14" t="n"/>
    </row>
    <row r="207" ht="15" customHeight="1">
      <c r="A207" s="51">
        <f>IF(C207="","",IFERROR(IF(SUMPRODUCT(MAX((tbl_Finance[Job Number]=C207&amp;"")*tbl_Finance[Date]))=0,"",SUMPRODUCT(MAX((tbl_Finance[Job Number]=C207&amp;"")*tbl_Finance[Date]))),""))</f>
        <v/>
      </c>
      <c r="B207" s="15">
        <f>IF(A207="","",IFERROR(LOOKUP(2,1/((tbl_Finance[Job Number]=C207&amp;"")*(tbl_Finance[Date]=A207)),tbl_Finance[Xero Invoice No]),""))</f>
        <v/>
      </c>
      <c r="C207" s="14" t="n"/>
      <c r="D207" s="15">
        <f>IF(C207="","",IF(COUNTIF(lst_Jobs,C207&amp;"")&gt;0,"OK","CHECK"))</f>
        <v/>
      </c>
      <c r="E207" s="15">
        <f>IF(C207="","",IFERROR(INDEX(lst_JobName,MATCH(C207&amp;"",lst_Jobs,0)),""))</f>
        <v/>
      </c>
      <c r="F207" s="15">
        <f>IF(C207="","",IFERROR(INDEX(tbl_Finance[Client],MATCH(C207&amp;"",tbl_Finance[Job Number],0)),""))</f>
        <v/>
      </c>
      <c r="G207" s="52">
        <f>IF(C207="","",COUNTIFS(tbl_Finance[Job Number],C207&amp;"",tbl_Finance[Ex GST],"&lt;&gt;"))</f>
        <v/>
      </c>
      <c r="H207" s="17">
        <f>IF(C207="","",SUMIFS(tbl_Finance[Ex GST],tbl_Finance[Job Number],C207&amp;""))</f>
        <v/>
      </c>
      <c r="I207" s="15">
        <f>IF(C207="","",IFERROR(INDEX(tbl_Finance[Cost Centre],MATCH(C207&amp;"",tbl_Finance[Job Number],0)),"not invoiced yet"))</f>
        <v/>
      </c>
      <c r="J207" s="14" t="n"/>
      <c r="K207" s="15">
        <f>IF(J207="","",HYPERLINK(IF(LEFT(J207,4)="http",J207,set_QwilrBase&amp;J207),"Open quote"))</f>
        <v/>
      </c>
      <c r="L207" s="16" t="n"/>
      <c r="M207" s="16" t="n"/>
      <c r="N207" s="16" t="n"/>
      <c r="O207" s="15">
        <f>IF(C207="","",IF(N(L207)+N(M207)+N(N207)=0,"Not split",IF(ROUND(N(L207)+N(M207)+N(N207),2)=ROUND(H207,2),"OK","MISMATCH")))</f>
        <v/>
      </c>
      <c r="P207" s="16" t="n"/>
      <c r="Q207" s="16" t="n"/>
      <c r="R207" s="16" t="n"/>
      <c r="S207" s="17">
        <f>IF(C207="","",N(P207)+N(Q207)+N(R207))</f>
        <v/>
      </c>
      <c r="T207" s="17">
        <f>IF(C207="","",H207-S207)</f>
        <v/>
      </c>
      <c r="U207" s="54">
        <f>IFERROR(T207/H207,"")</f>
        <v/>
      </c>
      <c r="V207" s="14" t="n"/>
    </row>
    <row r="208" ht="15" customHeight="1">
      <c r="A208" s="51">
        <f>IF(C208="","",IFERROR(IF(SUMPRODUCT(MAX((tbl_Finance[Job Number]=C208&amp;"")*tbl_Finance[Date]))=0,"",SUMPRODUCT(MAX((tbl_Finance[Job Number]=C208&amp;"")*tbl_Finance[Date]))),""))</f>
        <v/>
      </c>
      <c r="B208" s="15">
        <f>IF(A208="","",IFERROR(LOOKUP(2,1/((tbl_Finance[Job Number]=C208&amp;"")*(tbl_Finance[Date]=A208)),tbl_Finance[Xero Invoice No]),""))</f>
        <v/>
      </c>
      <c r="C208" s="14" t="n"/>
      <c r="D208" s="15">
        <f>IF(C208="","",IF(COUNTIF(lst_Jobs,C208&amp;"")&gt;0,"OK","CHECK"))</f>
        <v/>
      </c>
      <c r="E208" s="15">
        <f>IF(C208="","",IFERROR(INDEX(lst_JobName,MATCH(C208&amp;"",lst_Jobs,0)),""))</f>
        <v/>
      </c>
      <c r="F208" s="15">
        <f>IF(C208="","",IFERROR(INDEX(tbl_Finance[Client],MATCH(C208&amp;"",tbl_Finance[Job Number],0)),""))</f>
        <v/>
      </c>
      <c r="G208" s="52">
        <f>IF(C208="","",COUNTIFS(tbl_Finance[Job Number],C208&amp;"",tbl_Finance[Ex GST],"&lt;&gt;"))</f>
        <v/>
      </c>
      <c r="H208" s="17">
        <f>IF(C208="","",SUMIFS(tbl_Finance[Ex GST],tbl_Finance[Job Number],C208&amp;""))</f>
        <v/>
      </c>
      <c r="I208" s="15">
        <f>IF(C208="","",IFERROR(INDEX(tbl_Finance[Cost Centre],MATCH(C208&amp;"",tbl_Finance[Job Number],0)),"not invoiced yet"))</f>
        <v/>
      </c>
      <c r="J208" s="14" t="n"/>
      <c r="K208" s="15">
        <f>IF(J208="","",HYPERLINK(IF(LEFT(J208,4)="http",J208,set_QwilrBase&amp;J208),"Open quote"))</f>
        <v/>
      </c>
      <c r="L208" s="16" t="n"/>
      <c r="M208" s="16" t="n"/>
      <c r="N208" s="16" t="n"/>
      <c r="O208" s="15">
        <f>IF(C208="","",IF(N(L208)+N(M208)+N(N208)=0,"Not split",IF(ROUND(N(L208)+N(M208)+N(N208),2)=ROUND(H208,2),"OK","MISMATCH")))</f>
        <v/>
      </c>
      <c r="P208" s="16" t="n"/>
      <c r="Q208" s="16" t="n"/>
      <c r="R208" s="16" t="n"/>
      <c r="S208" s="17">
        <f>IF(C208="","",N(P208)+N(Q208)+N(R208))</f>
        <v/>
      </c>
      <c r="T208" s="17">
        <f>IF(C208="","",H208-S208)</f>
        <v/>
      </c>
      <c r="U208" s="54">
        <f>IFERROR(T208/H208,"")</f>
        <v/>
      </c>
      <c r="V208" s="14" t="n"/>
    </row>
    <row r="209" ht="15" customHeight="1">
      <c r="A209" s="51">
        <f>IF(C209="","",IFERROR(IF(SUMPRODUCT(MAX((tbl_Finance[Job Number]=C209&amp;"")*tbl_Finance[Date]))=0,"",SUMPRODUCT(MAX((tbl_Finance[Job Number]=C209&amp;"")*tbl_Finance[Date]))),""))</f>
        <v/>
      </c>
      <c r="B209" s="15">
        <f>IF(A209="","",IFERROR(LOOKUP(2,1/((tbl_Finance[Job Number]=C209&amp;"")*(tbl_Finance[Date]=A209)),tbl_Finance[Xero Invoice No]),""))</f>
        <v/>
      </c>
      <c r="C209" s="14" t="n"/>
      <c r="D209" s="15">
        <f>IF(C209="","",IF(COUNTIF(lst_Jobs,C209&amp;"")&gt;0,"OK","CHECK"))</f>
        <v/>
      </c>
      <c r="E209" s="15">
        <f>IF(C209="","",IFERROR(INDEX(lst_JobName,MATCH(C209&amp;"",lst_Jobs,0)),""))</f>
        <v/>
      </c>
      <c r="F209" s="15">
        <f>IF(C209="","",IFERROR(INDEX(tbl_Finance[Client],MATCH(C209&amp;"",tbl_Finance[Job Number],0)),""))</f>
        <v/>
      </c>
      <c r="G209" s="52">
        <f>IF(C209="","",COUNTIFS(tbl_Finance[Job Number],C209&amp;"",tbl_Finance[Ex GST],"&lt;&gt;"))</f>
        <v/>
      </c>
      <c r="H209" s="17">
        <f>IF(C209="","",SUMIFS(tbl_Finance[Ex GST],tbl_Finance[Job Number],C209&amp;""))</f>
        <v/>
      </c>
      <c r="I209" s="15">
        <f>IF(C209="","",IFERROR(INDEX(tbl_Finance[Cost Centre],MATCH(C209&amp;"",tbl_Finance[Job Number],0)),"not invoiced yet"))</f>
        <v/>
      </c>
      <c r="J209" s="14" t="n"/>
      <c r="K209" s="15">
        <f>IF(J209="","",HYPERLINK(IF(LEFT(J209,4)="http",J209,set_QwilrBase&amp;J209),"Open quote"))</f>
        <v/>
      </c>
      <c r="L209" s="16" t="n"/>
      <c r="M209" s="16" t="n"/>
      <c r="N209" s="16" t="n"/>
      <c r="O209" s="15">
        <f>IF(C209="","",IF(N(L209)+N(M209)+N(N209)=0,"Not split",IF(ROUND(N(L209)+N(M209)+N(N209),2)=ROUND(H209,2),"OK","MISMATCH")))</f>
        <v/>
      </c>
      <c r="P209" s="16" t="n"/>
      <c r="Q209" s="16" t="n"/>
      <c r="R209" s="16" t="n"/>
      <c r="S209" s="17">
        <f>IF(C209="","",N(P209)+N(Q209)+N(R209))</f>
        <v/>
      </c>
      <c r="T209" s="17">
        <f>IF(C209="","",H209-S209)</f>
        <v/>
      </c>
      <c r="U209" s="54">
        <f>IFERROR(T209/H209,"")</f>
        <v/>
      </c>
      <c r="V209" s="14" t="n"/>
    </row>
    <row r="210" ht="15" customHeight="1">
      <c r="A210" s="51">
        <f>IF(C210="","",IFERROR(IF(SUMPRODUCT(MAX((tbl_Finance[Job Number]=C210&amp;"")*tbl_Finance[Date]))=0,"",SUMPRODUCT(MAX((tbl_Finance[Job Number]=C210&amp;"")*tbl_Finance[Date]))),""))</f>
        <v/>
      </c>
      <c r="B210" s="15">
        <f>IF(A210="","",IFERROR(LOOKUP(2,1/((tbl_Finance[Job Number]=C210&amp;"")*(tbl_Finance[Date]=A210)),tbl_Finance[Xero Invoice No]),""))</f>
        <v/>
      </c>
      <c r="C210" s="14" t="n"/>
      <c r="D210" s="15">
        <f>IF(C210="","",IF(COUNTIF(lst_Jobs,C210&amp;"")&gt;0,"OK","CHECK"))</f>
        <v/>
      </c>
      <c r="E210" s="15">
        <f>IF(C210="","",IFERROR(INDEX(lst_JobName,MATCH(C210&amp;"",lst_Jobs,0)),""))</f>
        <v/>
      </c>
      <c r="F210" s="15">
        <f>IF(C210="","",IFERROR(INDEX(tbl_Finance[Client],MATCH(C210&amp;"",tbl_Finance[Job Number],0)),""))</f>
        <v/>
      </c>
      <c r="G210" s="52">
        <f>IF(C210="","",COUNTIFS(tbl_Finance[Job Number],C210&amp;"",tbl_Finance[Ex GST],"&lt;&gt;"))</f>
        <v/>
      </c>
      <c r="H210" s="17">
        <f>IF(C210="","",SUMIFS(tbl_Finance[Ex GST],tbl_Finance[Job Number],C210&amp;""))</f>
        <v/>
      </c>
      <c r="I210" s="15">
        <f>IF(C210="","",IFERROR(INDEX(tbl_Finance[Cost Centre],MATCH(C210&amp;"",tbl_Finance[Job Number],0)),"not invoiced yet"))</f>
        <v/>
      </c>
      <c r="J210" s="14" t="n"/>
      <c r="K210" s="15">
        <f>IF(J210="","",HYPERLINK(IF(LEFT(J210,4)="http",J210,set_QwilrBase&amp;J210),"Open quote"))</f>
        <v/>
      </c>
      <c r="L210" s="16" t="n"/>
      <c r="M210" s="16" t="n"/>
      <c r="N210" s="16" t="n"/>
      <c r="O210" s="15">
        <f>IF(C210="","",IF(N(L210)+N(M210)+N(N210)=0,"Not split",IF(ROUND(N(L210)+N(M210)+N(N210),2)=ROUND(H210,2),"OK","MISMATCH")))</f>
        <v/>
      </c>
      <c r="P210" s="16" t="n"/>
      <c r="Q210" s="16" t="n"/>
      <c r="R210" s="16" t="n"/>
      <c r="S210" s="17">
        <f>IF(C210="","",N(P210)+N(Q210)+N(R210))</f>
        <v/>
      </c>
      <c r="T210" s="17">
        <f>IF(C210="","",H210-S210)</f>
        <v/>
      </c>
      <c r="U210" s="54">
        <f>IFERROR(T210/H210,"")</f>
        <v/>
      </c>
      <c r="V210" s="14" t="n"/>
    </row>
    <row r="211" ht="15" customHeight="1">
      <c r="A211" s="51">
        <f>IF(C211="","",IFERROR(IF(SUMPRODUCT(MAX((tbl_Finance[Job Number]=C211&amp;"")*tbl_Finance[Date]))=0,"",SUMPRODUCT(MAX((tbl_Finance[Job Number]=C211&amp;"")*tbl_Finance[Date]))),""))</f>
        <v/>
      </c>
      <c r="B211" s="15">
        <f>IF(A211="","",IFERROR(LOOKUP(2,1/((tbl_Finance[Job Number]=C211&amp;"")*(tbl_Finance[Date]=A211)),tbl_Finance[Xero Invoice No]),""))</f>
        <v/>
      </c>
      <c r="C211" s="14" t="n"/>
      <c r="D211" s="15">
        <f>IF(C211="","",IF(COUNTIF(lst_Jobs,C211&amp;"")&gt;0,"OK","CHECK"))</f>
        <v/>
      </c>
      <c r="E211" s="15">
        <f>IF(C211="","",IFERROR(INDEX(lst_JobName,MATCH(C211&amp;"",lst_Jobs,0)),""))</f>
        <v/>
      </c>
      <c r="F211" s="15">
        <f>IF(C211="","",IFERROR(INDEX(tbl_Finance[Client],MATCH(C211&amp;"",tbl_Finance[Job Number],0)),""))</f>
        <v/>
      </c>
      <c r="G211" s="52">
        <f>IF(C211="","",COUNTIFS(tbl_Finance[Job Number],C211&amp;"",tbl_Finance[Ex GST],"&lt;&gt;"))</f>
        <v/>
      </c>
      <c r="H211" s="17">
        <f>IF(C211="","",SUMIFS(tbl_Finance[Ex GST],tbl_Finance[Job Number],C211&amp;""))</f>
        <v/>
      </c>
      <c r="I211" s="15">
        <f>IF(C211="","",IFERROR(INDEX(tbl_Finance[Cost Centre],MATCH(C211&amp;"",tbl_Finance[Job Number],0)),"not invoiced yet"))</f>
        <v/>
      </c>
      <c r="J211" s="14" t="n"/>
      <c r="K211" s="15">
        <f>IF(J211="","",HYPERLINK(IF(LEFT(J211,4)="http",J211,set_QwilrBase&amp;J211),"Open quote"))</f>
        <v/>
      </c>
      <c r="L211" s="16" t="n"/>
      <c r="M211" s="16" t="n"/>
      <c r="N211" s="16" t="n"/>
      <c r="O211" s="15">
        <f>IF(C211="","",IF(N(L211)+N(M211)+N(N211)=0,"Not split",IF(ROUND(N(L211)+N(M211)+N(N211),2)=ROUND(H211,2),"OK","MISMATCH")))</f>
        <v/>
      </c>
      <c r="P211" s="16" t="n"/>
      <c r="Q211" s="16" t="n"/>
      <c r="R211" s="16" t="n"/>
      <c r="S211" s="17">
        <f>IF(C211="","",N(P211)+N(Q211)+N(R211))</f>
        <v/>
      </c>
      <c r="T211" s="17">
        <f>IF(C211="","",H211-S211)</f>
        <v/>
      </c>
      <c r="U211" s="54">
        <f>IFERROR(T211/H211,"")</f>
        <v/>
      </c>
      <c r="V211" s="14" t="n"/>
    </row>
    <row r="212" ht="15" customHeight="1">
      <c r="A212" s="51">
        <f>IF(C212="","",IFERROR(IF(SUMPRODUCT(MAX((tbl_Finance[Job Number]=C212&amp;"")*tbl_Finance[Date]))=0,"",SUMPRODUCT(MAX((tbl_Finance[Job Number]=C212&amp;"")*tbl_Finance[Date]))),""))</f>
        <v/>
      </c>
      <c r="B212" s="15">
        <f>IF(A212="","",IFERROR(LOOKUP(2,1/((tbl_Finance[Job Number]=C212&amp;"")*(tbl_Finance[Date]=A212)),tbl_Finance[Xero Invoice No]),""))</f>
        <v/>
      </c>
      <c r="C212" s="14" t="n"/>
      <c r="D212" s="15">
        <f>IF(C212="","",IF(COUNTIF(lst_Jobs,C212&amp;"")&gt;0,"OK","CHECK"))</f>
        <v/>
      </c>
      <c r="E212" s="15">
        <f>IF(C212="","",IFERROR(INDEX(lst_JobName,MATCH(C212&amp;"",lst_Jobs,0)),""))</f>
        <v/>
      </c>
      <c r="F212" s="15">
        <f>IF(C212="","",IFERROR(INDEX(tbl_Finance[Client],MATCH(C212&amp;"",tbl_Finance[Job Number],0)),""))</f>
        <v/>
      </c>
      <c r="G212" s="52">
        <f>IF(C212="","",COUNTIFS(tbl_Finance[Job Number],C212&amp;"",tbl_Finance[Ex GST],"&lt;&gt;"))</f>
        <v/>
      </c>
      <c r="H212" s="17">
        <f>IF(C212="","",SUMIFS(tbl_Finance[Ex GST],tbl_Finance[Job Number],C212&amp;""))</f>
        <v/>
      </c>
      <c r="I212" s="15">
        <f>IF(C212="","",IFERROR(INDEX(tbl_Finance[Cost Centre],MATCH(C212&amp;"",tbl_Finance[Job Number],0)),"not invoiced yet"))</f>
        <v/>
      </c>
      <c r="J212" s="14" t="n"/>
      <c r="K212" s="15">
        <f>IF(J212="","",HYPERLINK(IF(LEFT(J212,4)="http",J212,set_QwilrBase&amp;J212),"Open quote"))</f>
        <v/>
      </c>
      <c r="L212" s="16" t="n"/>
      <c r="M212" s="16" t="n"/>
      <c r="N212" s="16" t="n"/>
      <c r="O212" s="15">
        <f>IF(C212="","",IF(N(L212)+N(M212)+N(N212)=0,"Not split",IF(ROUND(N(L212)+N(M212)+N(N212),2)=ROUND(H212,2),"OK","MISMATCH")))</f>
        <v/>
      </c>
      <c r="P212" s="16" t="n"/>
      <c r="Q212" s="16" t="n"/>
      <c r="R212" s="16" t="n"/>
      <c r="S212" s="17">
        <f>IF(C212="","",N(P212)+N(Q212)+N(R212))</f>
        <v/>
      </c>
      <c r="T212" s="17">
        <f>IF(C212="","",H212-S212)</f>
        <v/>
      </c>
      <c r="U212" s="54">
        <f>IFERROR(T212/H212,"")</f>
        <v/>
      </c>
      <c r="V212" s="14" t="n"/>
    </row>
    <row r="213" ht="15" customHeight="1">
      <c r="A213" s="51">
        <f>IF(C213="","",IFERROR(IF(SUMPRODUCT(MAX((tbl_Finance[Job Number]=C213&amp;"")*tbl_Finance[Date]))=0,"",SUMPRODUCT(MAX((tbl_Finance[Job Number]=C213&amp;"")*tbl_Finance[Date]))),""))</f>
        <v/>
      </c>
      <c r="B213" s="15">
        <f>IF(A213="","",IFERROR(LOOKUP(2,1/((tbl_Finance[Job Number]=C213&amp;"")*(tbl_Finance[Date]=A213)),tbl_Finance[Xero Invoice No]),""))</f>
        <v/>
      </c>
      <c r="C213" s="14" t="n"/>
      <c r="D213" s="15">
        <f>IF(C213="","",IF(COUNTIF(lst_Jobs,C213&amp;"")&gt;0,"OK","CHECK"))</f>
        <v/>
      </c>
      <c r="E213" s="15">
        <f>IF(C213="","",IFERROR(INDEX(lst_JobName,MATCH(C213&amp;"",lst_Jobs,0)),""))</f>
        <v/>
      </c>
      <c r="F213" s="15">
        <f>IF(C213="","",IFERROR(INDEX(tbl_Finance[Client],MATCH(C213&amp;"",tbl_Finance[Job Number],0)),""))</f>
        <v/>
      </c>
      <c r="G213" s="52">
        <f>IF(C213="","",COUNTIFS(tbl_Finance[Job Number],C213&amp;"",tbl_Finance[Ex GST],"&lt;&gt;"))</f>
        <v/>
      </c>
      <c r="H213" s="17">
        <f>IF(C213="","",SUMIFS(tbl_Finance[Ex GST],tbl_Finance[Job Number],C213&amp;""))</f>
        <v/>
      </c>
      <c r="I213" s="15">
        <f>IF(C213="","",IFERROR(INDEX(tbl_Finance[Cost Centre],MATCH(C213&amp;"",tbl_Finance[Job Number],0)),"not invoiced yet"))</f>
        <v/>
      </c>
      <c r="J213" s="14" t="n"/>
      <c r="K213" s="15">
        <f>IF(J213="","",HYPERLINK(IF(LEFT(J213,4)="http",J213,set_QwilrBase&amp;J213),"Open quote"))</f>
        <v/>
      </c>
      <c r="L213" s="16" t="n"/>
      <c r="M213" s="16" t="n"/>
      <c r="N213" s="16" t="n"/>
      <c r="O213" s="15">
        <f>IF(C213="","",IF(N(L213)+N(M213)+N(N213)=0,"Not split",IF(ROUND(N(L213)+N(M213)+N(N213),2)=ROUND(H213,2),"OK","MISMATCH")))</f>
        <v/>
      </c>
      <c r="P213" s="16" t="n"/>
      <c r="Q213" s="16" t="n"/>
      <c r="R213" s="16" t="n"/>
      <c r="S213" s="17">
        <f>IF(C213="","",N(P213)+N(Q213)+N(R213))</f>
        <v/>
      </c>
      <c r="T213" s="17">
        <f>IF(C213="","",H213-S213)</f>
        <v/>
      </c>
      <c r="U213" s="54">
        <f>IFERROR(T213/H213,"")</f>
        <v/>
      </c>
      <c r="V213" s="14" t="n"/>
    </row>
    <row r="214" ht="15" customHeight="1">
      <c r="A214" s="51">
        <f>IF(C214="","",IFERROR(IF(SUMPRODUCT(MAX((tbl_Finance[Job Number]=C214&amp;"")*tbl_Finance[Date]))=0,"",SUMPRODUCT(MAX((tbl_Finance[Job Number]=C214&amp;"")*tbl_Finance[Date]))),""))</f>
        <v/>
      </c>
      <c r="B214" s="15">
        <f>IF(A214="","",IFERROR(LOOKUP(2,1/((tbl_Finance[Job Number]=C214&amp;"")*(tbl_Finance[Date]=A214)),tbl_Finance[Xero Invoice No]),""))</f>
        <v/>
      </c>
      <c r="C214" s="14" t="n"/>
      <c r="D214" s="15">
        <f>IF(C214="","",IF(COUNTIF(lst_Jobs,C214&amp;"")&gt;0,"OK","CHECK"))</f>
        <v/>
      </c>
      <c r="E214" s="15">
        <f>IF(C214="","",IFERROR(INDEX(lst_JobName,MATCH(C214&amp;"",lst_Jobs,0)),""))</f>
        <v/>
      </c>
      <c r="F214" s="15">
        <f>IF(C214="","",IFERROR(INDEX(tbl_Finance[Client],MATCH(C214&amp;"",tbl_Finance[Job Number],0)),""))</f>
        <v/>
      </c>
      <c r="G214" s="52">
        <f>IF(C214="","",COUNTIFS(tbl_Finance[Job Number],C214&amp;"",tbl_Finance[Ex GST],"&lt;&gt;"))</f>
        <v/>
      </c>
      <c r="H214" s="17">
        <f>IF(C214="","",SUMIFS(tbl_Finance[Ex GST],tbl_Finance[Job Number],C214&amp;""))</f>
        <v/>
      </c>
      <c r="I214" s="15">
        <f>IF(C214="","",IFERROR(INDEX(tbl_Finance[Cost Centre],MATCH(C214&amp;"",tbl_Finance[Job Number],0)),"not invoiced yet"))</f>
        <v/>
      </c>
      <c r="J214" s="14" t="n"/>
      <c r="K214" s="15">
        <f>IF(J214="","",HYPERLINK(IF(LEFT(J214,4)="http",J214,set_QwilrBase&amp;J214),"Open quote"))</f>
        <v/>
      </c>
      <c r="L214" s="16" t="n"/>
      <c r="M214" s="16" t="n"/>
      <c r="N214" s="16" t="n"/>
      <c r="O214" s="15">
        <f>IF(C214="","",IF(N(L214)+N(M214)+N(N214)=0,"Not split",IF(ROUND(N(L214)+N(M214)+N(N214),2)=ROUND(H214,2),"OK","MISMATCH")))</f>
        <v/>
      </c>
      <c r="P214" s="16" t="n"/>
      <c r="Q214" s="16" t="n"/>
      <c r="R214" s="16" t="n"/>
      <c r="S214" s="17">
        <f>IF(C214="","",N(P214)+N(Q214)+N(R214))</f>
        <v/>
      </c>
      <c r="T214" s="17">
        <f>IF(C214="","",H214-S214)</f>
        <v/>
      </c>
      <c r="U214" s="54">
        <f>IFERROR(T214/H214,"")</f>
        <v/>
      </c>
      <c r="V214" s="14" t="n"/>
    </row>
    <row r="215" ht="15" customHeight="1">
      <c r="A215" s="51">
        <f>IF(C215="","",IFERROR(IF(SUMPRODUCT(MAX((tbl_Finance[Job Number]=C215&amp;"")*tbl_Finance[Date]))=0,"",SUMPRODUCT(MAX((tbl_Finance[Job Number]=C215&amp;"")*tbl_Finance[Date]))),""))</f>
        <v/>
      </c>
      <c r="B215" s="15">
        <f>IF(A215="","",IFERROR(LOOKUP(2,1/((tbl_Finance[Job Number]=C215&amp;"")*(tbl_Finance[Date]=A215)),tbl_Finance[Xero Invoice No]),""))</f>
        <v/>
      </c>
      <c r="C215" s="14" t="n"/>
      <c r="D215" s="15">
        <f>IF(C215="","",IF(COUNTIF(lst_Jobs,C215&amp;"")&gt;0,"OK","CHECK"))</f>
        <v/>
      </c>
      <c r="E215" s="15">
        <f>IF(C215="","",IFERROR(INDEX(lst_JobName,MATCH(C215&amp;"",lst_Jobs,0)),""))</f>
        <v/>
      </c>
      <c r="F215" s="15">
        <f>IF(C215="","",IFERROR(INDEX(tbl_Finance[Client],MATCH(C215&amp;"",tbl_Finance[Job Number],0)),""))</f>
        <v/>
      </c>
      <c r="G215" s="52">
        <f>IF(C215="","",COUNTIFS(tbl_Finance[Job Number],C215&amp;"",tbl_Finance[Ex GST],"&lt;&gt;"))</f>
        <v/>
      </c>
      <c r="H215" s="17">
        <f>IF(C215="","",SUMIFS(tbl_Finance[Ex GST],tbl_Finance[Job Number],C215&amp;""))</f>
        <v/>
      </c>
      <c r="I215" s="15">
        <f>IF(C215="","",IFERROR(INDEX(tbl_Finance[Cost Centre],MATCH(C215&amp;"",tbl_Finance[Job Number],0)),"not invoiced yet"))</f>
        <v/>
      </c>
      <c r="J215" s="14" t="n"/>
      <c r="K215" s="15">
        <f>IF(J215="","",HYPERLINK(IF(LEFT(J215,4)="http",J215,set_QwilrBase&amp;J215),"Open quote"))</f>
        <v/>
      </c>
      <c r="L215" s="16" t="n"/>
      <c r="M215" s="16" t="n"/>
      <c r="N215" s="16" t="n"/>
      <c r="O215" s="15">
        <f>IF(C215="","",IF(N(L215)+N(M215)+N(N215)=0,"Not split",IF(ROUND(N(L215)+N(M215)+N(N215),2)=ROUND(H215,2),"OK","MISMATCH")))</f>
        <v/>
      </c>
      <c r="P215" s="16" t="n"/>
      <c r="Q215" s="16" t="n"/>
      <c r="R215" s="16" t="n"/>
      <c r="S215" s="17">
        <f>IF(C215="","",N(P215)+N(Q215)+N(R215))</f>
        <v/>
      </c>
      <c r="T215" s="17">
        <f>IF(C215="","",H215-S215)</f>
        <v/>
      </c>
      <c r="U215" s="54">
        <f>IFERROR(T215/H215,"")</f>
        <v/>
      </c>
      <c r="V215" s="14" t="n"/>
    </row>
    <row r="216" ht="15" customHeight="1">
      <c r="A216" s="51">
        <f>IF(C216="","",IFERROR(IF(SUMPRODUCT(MAX((tbl_Finance[Job Number]=C216&amp;"")*tbl_Finance[Date]))=0,"",SUMPRODUCT(MAX((tbl_Finance[Job Number]=C216&amp;"")*tbl_Finance[Date]))),""))</f>
        <v/>
      </c>
      <c r="B216" s="15">
        <f>IF(A216="","",IFERROR(LOOKUP(2,1/((tbl_Finance[Job Number]=C216&amp;"")*(tbl_Finance[Date]=A216)),tbl_Finance[Xero Invoice No]),""))</f>
        <v/>
      </c>
      <c r="C216" s="14" t="n"/>
      <c r="D216" s="15">
        <f>IF(C216="","",IF(COUNTIF(lst_Jobs,C216&amp;"")&gt;0,"OK","CHECK"))</f>
        <v/>
      </c>
      <c r="E216" s="15">
        <f>IF(C216="","",IFERROR(INDEX(lst_JobName,MATCH(C216&amp;"",lst_Jobs,0)),""))</f>
        <v/>
      </c>
      <c r="F216" s="15">
        <f>IF(C216="","",IFERROR(INDEX(tbl_Finance[Client],MATCH(C216&amp;"",tbl_Finance[Job Number],0)),""))</f>
        <v/>
      </c>
      <c r="G216" s="52">
        <f>IF(C216="","",COUNTIFS(tbl_Finance[Job Number],C216&amp;"",tbl_Finance[Ex GST],"&lt;&gt;"))</f>
        <v/>
      </c>
      <c r="H216" s="17">
        <f>IF(C216="","",SUMIFS(tbl_Finance[Ex GST],tbl_Finance[Job Number],C216&amp;""))</f>
        <v/>
      </c>
      <c r="I216" s="15">
        <f>IF(C216="","",IFERROR(INDEX(tbl_Finance[Cost Centre],MATCH(C216&amp;"",tbl_Finance[Job Number],0)),"not invoiced yet"))</f>
        <v/>
      </c>
      <c r="J216" s="14" t="n"/>
      <c r="K216" s="15">
        <f>IF(J216="","",HYPERLINK(IF(LEFT(J216,4)="http",J216,set_QwilrBase&amp;J216),"Open quote"))</f>
        <v/>
      </c>
      <c r="L216" s="16" t="n"/>
      <c r="M216" s="16" t="n"/>
      <c r="N216" s="16" t="n"/>
      <c r="O216" s="15">
        <f>IF(C216="","",IF(N(L216)+N(M216)+N(N216)=0,"Not split",IF(ROUND(N(L216)+N(M216)+N(N216),2)=ROUND(H216,2),"OK","MISMATCH")))</f>
        <v/>
      </c>
      <c r="P216" s="16" t="n"/>
      <c r="Q216" s="16" t="n"/>
      <c r="R216" s="16" t="n"/>
      <c r="S216" s="17">
        <f>IF(C216="","",N(P216)+N(Q216)+N(R216))</f>
        <v/>
      </c>
      <c r="T216" s="17">
        <f>IF(C216="","",H216-S216)</f>
        <v/>
      </c>
      <c r="U216" s="54">
        <f>IFERROR(T216/H216,"")</f>
        <v/>
      </c>
      <c r="V216" s="14" t="n"/>
    </row>
    <row r="217" ht="15" customHeight="1">
      <c r="A217" s="51">
        <f>IF(C217="","",IFERROR(IF(SUMPRODUCT(MAX((tbl_Finance[Job Number]=C217&amp;"")*tbl_Finance[Date]))=0,"",SUMPRODUCT(MAX((tbl_Finance[Job Number]=C217&amp;"")*tbl_Finance[Date]))),""))</f>
        <v/>
      </c>
      <c r="B217" s="15">
        <f>IF(A217="","",IFERROR(LOOKUP(2,1/((tbl_Finance[Job Number]=C217&amp;"")*(tbl_Finance[Date]=A217)),tbl_Finance[Xero Invoice No]),""))</f>
        <v/>
      </c>
      <c r="C217" s="14" t="n"/>
      <c r="D217" s="15">
        <f>IF(C217="","",IF(COUNTIF(lst_Jobs,C217&amp;"")&gt;0,"OK","CHECK"))</f>
        <v/>
      </c>
      <c r="E217" s="15">
        <f>IF(C217="","",IFERROR(INDEX(lst_JobName,MATCH(C217&amp;"",lst_Jobs,0)),""))</f>
        <v/>
      </c>
      <c r="F217" s="15">
        <f>IF(C217="","",IFERROR(INDEX(tbl_Finance[Client],MATCH(C217&amp;"",tbl_Finance[Job Number],0)),""))</f>
        <v/>
      </c>
      <c r="G217" s="52">
        <f>IF(C217="","",COUNTIFS(tbl_Finance[Job Number],C217&amp;"",tbl_Finance[Ex GST],"&lt;&gt;"))</f>
        <v/>
      </c>
      <c r="H217" s="17">
        <f>IF(C217="","",SUMIFS(tbl_Finance[Ex GST],tbl_Finance[Job Number],C217&amp;""))</f>
        <v/>
      </c>
      <c r="I217" s="15">
        <f>IF(C217="","",IFERROR(INDEX(tbl_Finance[Cost Centre],MATCH(C217&amp;"",tbl_Finance[Job Number],0)),"not invoiced yet"))</f>
        <v/>
      </c>
      <c r="J217" s="14" t="n"/>
      <c r="K217" s="15">
        <f>IF(J217="","",HYPERLINK(IF(LEFT(J217,4)="http",J217,set_QwilrBase&amp;J217),"Open quote"))</f>
        <v/>
      </c>
      <c r="L217" s="16" t="n"/>
      <c r="M217" s="16" t="n"/>
      <c r="N217" s="16" t="n"/>
      <c r="O217" s="15">
        <f>IF(C217="","",IF(N(L217)+N(M217)+N(N217)=0,"Not split",IF(ROUND(N(L217)+N(M217)+N(N217),2)=ROUND(H217,2),"OK","MISMATCH")))</f>
        <v/>
      </c>
      <c r="P217" s="16" t="n"/>
      <c r="Q217" s="16" t="n"/>
      <c r="R217" s="16" t="n"/>
      <c r="S217" s="17">
        <f>IF(C217="","",N(P217)+N(Q217)+N(R217))</f>
        <v/>
      </c>
      <c r="T217" s="17">
        <f>IF(C217="","",H217-S217)</f>
        <v/>
      </c>
      <c r="U217" s="54">
        <f>IFERROR(T217/H217,"")</f>
        <v/>
      </c>
      <c r="V217" s="14" t="n"/>
    </row>
    <row r="218" ht="15" customHeight="1">
      <c r="A218" s="51">
        <f>IF(C218="","",IFERROR(IF(SUMPRODUCT(MAX((tbl_Finance[Job Number]=C218&amp;"")*tbl_Finance[Date]))=0,"",SUMPRODUCT(MAX((tbl_Finance[Job Number]=C218&amp;"")*tbl_Finance[Date]))),""))</f>
        <v/>
      </c>
      <c r="B218" s="15">
        <f>IF(A218="","",IFERROR(LOOKUP(2,1/((tbl_Finance[Job Number]=C218&amp;"")*(tbl_Finance[Date]=A218)),tbl_Finance[Xero Invoice No]),""))</f>
        <v/>
      </c>
      <c r="C218" s="14" t="n"/>
      <c r="D218" s="15">
        <f>IF(C218="","",IF(COUNTIF(lst_Jobs,C218&amp;"")&gt;0,"OK","CHECK"))</f>
        <v/>
      </c>
      <c r="E218" s="15">
        <f>IF(C218="","",IFERROR(INDEX(lst_JobName,MATCH(C218&amp;"",lst_Jobs,0)),""))</f>
        <v/>
      </c>
      <c r="F218" s="15">
        <f>IF(C218="","",IFERROR(INDEX(tbl_Finance[Client],MATCH(C218&amp;"",tbl_Finance[Job Number],0)),""))</f>
        <v/>
      </c>
      <c r="G218" s="52">
        <f>IF(C218="","",COUNTIFS(tbl_Finance[Job Number],C218&amp;"",tbl_Finance[Ex GST],"&lt;&gt;"))</f>
        <v/>
      </c>
      <c r="H218" s="17">
        <f>IF(C218="","",SUMIFS(tbl_Finance[Ex GST],tbl_Finance[Job Number],C218&amp;""))</f>
        <v/>
      </c>
      <c r="I218" s="15">
        <f>IF(C218="","",IFERROR(INDEX(tbl_Finance[Cost Centre],MATCH(C218&amp;"",tbl_Finance[Job Number],0)),"not invoiced yet"))</f>
        <v/>
      </c>
      <c r="J218" s="14" t="n"/>
      <c r="K218" s="15">
        <f>IF(J218="","",HYPERLINK(IF(LEFT(J218,4)="http",J218,set_QwilrBase&amp;J218),"Open quote"))</f>
        <v/>
      </c>
      <c r="L218" s="16" t="n"/>
      <c r="M218" s="16" t="n"/>
      <c r="N218" s="16" t="n"/>
      <c r="O218" s="15">
        <f>IF(C218="","",IF(N(L218)+N(M218)+N(N218)=0,"Not split",IF(ROUND(N(L218)+N(M218)+N(N218),2)=ROUND(H218,2),"OK","MISMATCH")))</f>
        <v/>
      </c>
      <c r="P218" s="16" t="n"/>
      <c r="Q218" s="16" t="n"/>
      <c r="R218" s="16" t="n"/>
      <c r="S218" s="17">
        <f>IF(C218="","",N(P218)+N(Q218)+N(R218))</f>
        <v/>
      </c>
      <c r="T218" s="17">
        <f>IF(C218="","",H218-S218)</f>
        <v/>
      </c>
      <c r="U218" s="54">
        <f>IFERROR(T218/H218,"")</f>
        <v/>
      </c>
      <c r="V218" s="14" t="n"/>
    </row>
    <row r="219" ht="15" customHeight="1">
      <c r="A219" s="51">
        <f>IF(C219="","",IFERROR(IF(SUMPRODUCT(MAX((tbl_Finance[Job Number]=C219&amp;"")*tbl_Finance[Date]))=0,"",SUMPRODUCT(MAX((tbl_Finance[Job Number]=C219&amp;"")*tbl_Finance[Date]))),""))</f>
        <v/>
      </c>
      <c r="B219" s="15">
        <f>IF(A219="","",IFERROR(LOOKUP(2,1/((tbl_Finance[Job Number]=C219&amp;"")*(tbl_Finance[Date]=A219)),tbl_Finance[Xero Invoice No]),""))</f>
        <v/>
      </c>
      <c r="C219" s="14" t="n"/>
      <c r="D219" s="15">
        <f>IF(C219="","",IF(COUNTIF(lst_Jobs,C219&amp;"")&gt;0,"OK","CHECK"))</f>
        <v/>
      </c>
      <c r="E219" s="15">
        <f>IF(C219="","",IFERROR(INDEX(lst_JobName,MATCH(C219&amp;"",lst_Jobs,0)),""))</f>
        <v/>
      </c>
      <c r="F219" s="15">
        <f>IF(C219="","",IFERROR(INDEX(tbl_Finance[Client],MATCH(C219&amp;"",tbl_Finance[Job Number],0)),""))</f>
        <v/>
      </c>
      <c r="G219" s="52">
        <f>IF(C219="","",COUNTIFS(tbl_Finance[Job Number],C219&amp;"",tbl_Finance[Ex GST],"&lt;&gt;"))</f>
        <v/>
      </c>
      <c r="H219" s="17">
        <f>IF(C219="","",SUMIFS(tbl_Finance[Ex GST],tbl_Finance[Job Number],C219&amp;""))</f>
        <v/>
      </c>
      <c r="I219" s="15">
        <f>IF(C219="","",IFERROR(INDEX(tbl_Finance[Cost Centre],MATCH(C219&amp;"",tbl_Finance[Job Number],0)),"not invoiced yet"))</f>
        <v/>
      </c>
      <c r="J219" s="14" t="n"/>
      <c r="K219" s="15">
        <f>IF(J219="","",HYPERLINK(IF(LEFT(J219,4)="http",J219,set_QwilrBase&amp;J219),"Open quote"))</f>
        <v/>
      </c>
      <c r="L219" s="16" t="n"/>
      <c r="M219" s="16" t="n"/>
      <c r="N219" s="16" t="n"/>
      <c r="O219" s="15">
        <f>IF(C219="","",IF(N(L219)+N(M219)+N(N219)=0,"Not split",IF(ROUND(N(L219)+N(M219)+N(N219),2)=ROUND(H219,2),"OK","MISMATCH")))</f>
        <v/>
      </c>
      <c r="P219" s="16" t="n"/>
      <c r="Q219" s="16" t="n"/>
      <c r="R219" s="16" t="n"/>
      <c r="S219" s="17">
        <f>IF(C219="","",N(P219)+N(Q219)+N(R219))</f>
        <v/>
      </c>
      <c r="T219" s="17">
        <f>IF(C219="","",H219-S219)</f>
        <v/>
      </c>
      <c r="U219" s="54">
        <f>IFERROR(T219/H219,"")</f>
        <v/>
      </c>
      <c r="V219" s="14" t="n"/>
    </row>
    <row r="220" ht="15" customHeight="1">
      <c r="A220" s="51">
        <f>IF(C220="","",IFERROR(IF(SUMPRODUCT(MAX((tbl_Finance[Job Number]=C220&amp;"")*tbl_Finance[Date]))=0,"",SUMPRODUCT(MAX((tbl_Finance[Job Number]=C220&amp;"")*tbl_Finance[Date]))),""))</f>
        <v/>
      </c>
      <c r="B220" s="15">
        <f>IF(A220="","",IFERROR(LOOKUP(2,1/((tbl_Finance[Job Number]=C220&amp;"")*(tbl_Finance[Date]=A220)),tbl_Finance[Xero Invoice No]),""))</f>
        <v/>
      </c>
      <c r="C220" s="14" t="n"/>
      <c r="D220" s="15">
        <f>IF(C220="","",IF(COUNTIF(lst_Jobs,C220&amp;"")&gt;0,"OK","CHECK"))</f>
        <v/>
      </c>
      <c r="E220" s="15">
        <f>IF(C220="","",IFERROR(INDEX(lst_JobName,MATCH(C220&amp;"",lst_Jobs,0)),""))</f>
        <v/>
      </c>
      <c r="F220" s="15">
        <f>IF(C220="","",IFERROR(INDEX(tbl_Finance[Client],MATCH(C220&amp;"",tbl_Finance[Job Number],0)),""))</f>
        <v/>
      </c>
      <c r="G220" s="52">
        <f>IF(C220="","",COUNTIFS(tbl_Finance[Job Number],C220&amp;"",tbl_Finance[Ex GST],"&lt;&gt;"))</f>
        <v/>
      </c>
      <c r="H220" s="17">
        <f>IF(C220="","",SUMIFS(tbl_Finance[Ex GST],tbl_Finance[Job Number],C220&amp;""))</f>
        <v/>
      </c>
      <c r="I220" s="15">
        <f>IF(C220="","",IFERROR(INDEX(tbl_Finance[Cost Centre],MATCH(C220&amp;"",tbl_Finance[Job Number],0)),"not invoiced yet"))</f>
        <v/>
      </c>
      <c r="J220" s="14" t="n"/>
      <c r="K220" s="15">
        <f>IF(J220="","",HYPERLINK(IF(LEFT(J220,4)="http",J220,set_QwilrBase&amp;J220),"Open quote"))</f>
        <v/>
      </c>
      <c r="L220" s="16" t="n"/>
      <c r="M220" s="16" t="n"/>
      <c r="N220" s="16" t="n"/>
      <c r="O220" s="15">
        <f>IF(C220="","",IF(N(L220)+N(M220)+N(N220)=0,"Not split",IF(ROUND(N(L220)+N(M220)+N(N220),2)=ROUND(H220,2),"OK","MISMATCH")))</f>
        <v/>
      </c>
      <c r="P220" s="16" t="n"/>
      <c r="Q220" s="16" t="n"/>
      <c r="R220" s="16" t="n"/>
      <c r="S220" s="17">
        <f>IF(C220="","",N(P220)+N(Q220)+N(R220))</f>
        <v/>
      </c>
      <c r="T220" s="17">
        <f>IF(C220="","",H220-S220)</f>
        <v/>
      </c>
      <c r="U220" s="54">
        <f>IFERROR(T220/H220,"")</f>
        <v/>
      </c>
      <c r="V220" s="14" t="n"/>
    </row>
    <row r="221" ht="15" customHeight="1">
      <c r="A221" s="51">
        <f>IF(C221="","",IFERROR(IF(SUMPRODUCT(MAX((tbl_Finance[Job Number]=C221&amp;"")*tbl_Finance[Date]))=0,"",SUMPRODUCT(MAX((tbl_Finance[Job Number]=C221&amp;"")*tbl_Finance[Date]))),""))</f>
        <v/>
      </c>
      <c r="B221" s="15">
        <f>IF(A221="","",IFERROR(LOOKUP(2,1/((tbl_Finance[Job Number]=C221&amp;"")*(tbl_Finance[Date]=A221)),tbl_Finance[Xero Invoice No]),""))</f>
        <v/>
      </c>
      <c r="C221" s="14" t="n"/>
      <c r="D221" s="15">
        <f>IF(C221="","",IF(COUNTIF(lst_Jobs,C221&amp;"")&gt;0,"OK","CHECK"))</f>
        <v/>
      </c>
      <c r="E221" s="15">
        <f>IF(C221="","",IFERROR(INDEX(lst_JobName,MATCH(C221&amp;"",lst_Jobs,0)),""))</f>
        <v/>
      </c>
      <c r="F221" s="15">
        <f>IF(C221="","",IFERROR(INDEX(tbl_Finance[Client],MATCH(C221&amp;"",tbl_Finance[Job Number],0)),""))</f>
        <v/>
      </c>
      <c r="G221" s="52">
        <f>IF(C221="","",COUNTIFS(tbl_Finance[Job Number],C221&amp;"",tbl_Finance[Ex GST],"&lt;&gt;"))</f>
        <v/>
      </c>
      <c r="H221" s="17">
        <f>IF(C221="","",SUMIFS(tbl_Finance[Ex GST],tbl_Finance[Job Number],C221&amp;""))</f>
        <v/>
      </c>
      <c r="I221" s="15">
        <f>IF(C221="","",IFERROR(INDEX(tbl_Finance[Cost Centre],MATCH(C221&amp;"",tbl_Finance[Job Number],0)),"not invoiced yet"))</f>
        <v/>
      </c>
      <c r="J221" s="14" t="n"/>
      <c r="K221" s="15">
        <f>IF(J221="","",HYPERLINK(IF(LEFT(J221,4)="http",J221,set_QwilrBase&amp;J221),"Open quote"))</f>
        <v/>
      </c>
      <c r="L221" s="16" t="n"/>
      <c r="M221" s="16" t="n"/>
      <c r="N221" s="16" t="n"/>
      <c r="O221" s="15">
        <f>IF(C221="","",IF(N(L221)+N(M221)+N(N221)=0,"Not split",IF(ROUND(N(L221)+N(M221)+N(N221),2)=ROUND(H221,2),"OK","MISMATCH")))</f>
        <v/>
      </c>
      <c r="P221" s="16" t="n"/>
      <c r="Q221" s="16" t="n"/>
      <c r="R221" s="16" t="n"/>
      <c r="S221" s="17">
        <f>IF(C221="","",N(P221)+N(Q221)+N(R221))</f>
        <v/>
      </c>
      <c r="T221" s="17">
        <f>IF(C221="","",H221-S221)</f>
        <v/>
      </c>
      <c r="U221" s="54">
        <f>IFERROR(T221/H221,"")</f>
        <v/>
      </c>
      <c r="V221" s="14" t="n"/>
    </row>
    <row r="222" ht="15" customHeight="1">
      <c r="A222" s="51">
        <f>IF(C222="","",IFERROR(IF(SUMPRODUCT(MAX((tbl_Finance[Job Number]=C222&amp;"")*tbl_Finance[Date]))=0,"",SUMPRODUCT(MAX((tbl_Finance[Job Number]=C222&amp;"")*tbl_Finance[Date]))),""))</f>
        <v/>
      </c>
      <c r="B222" s="15">
        <f>IF(A222="","",IFERROR(LOOKUP(2,1/((tbl_Finance[Job Number]=C222&amp;"")*(tbl_Finance[Date]=A222)),tbl_Finance[Xero Invoice No]),""))</f>
        <v/>
      </c>
      <c r="C222" s="14" t="n"/>
      <c r="D222" s="15">
        <f>IF(C222="","",IF(COUNTIF(lst_Jobs,C222&amp;"")&gt;0,"OK","CHECK"))</f>
        <v/>
      </c>
      <c r="E222" s="15">
        <f>IF(C222="","",IFERROR(INDEX(lst_JobName,MATCH(C222&amp;"",lst_Jobs,0)),""))</f>
        <v/>
      </c>
      <c r="F222" s="15">
        <f>IF(C222="","",IFERROR(INDEX(tbl_Finance[Client],MATCH(C222&amp;"",tbl_Finance[Job Number],0)),""))</f>
        <v/>
      </c>
      <c r="G222" s="52">
        <f>IF(C222="","",COUNTIFS(tbl_Finance[Job Number],C222&amp;"",tbl_Finance[Ex GST],"&lt;&gt;"))</f>
        <v/>
      </c>
      <c r="H222" s="17">
        <f>IF(C222="","",SUMIFS(tbl_Finance[Ex GST],tbl_Finance[Job Number],C222&amp;""))</f>
        <v/>
      </c>
      <c r="I222" s="15">
        <f>IF(C222="","",IFERROR(INDEX(tbl_Finance[Cost Centre],MATCH(C222&amp;"",tbl_Finance[Job Number],0)),"not invoiced yet"))</f>
        <v/>
      </c>
      <c r="J222" s="14" t="n"/>
      <c r="K222" s="15">
        <f>IF(J222="","",HYPERLINK(IF(LEFT(J222,4)="http",J222,set_QwilrBase&amp;J222),"Open quote"))</f>
        <v/>
      </c>
      <c r="L222" s="16" t="n"/>
      <c r="M222" s="16" t="n"/>
      <c r="N222" s="16" t="n"/>
      <c r="O222" s="15">
        <f>IF(C222="","",IF(N(L222)+N(M222)+N(N222)=0,"Not split",IF(ROUND(N(L222)+N(M222)+N(N222),2)=ROUND(H222,2),"OK","MISMATCH")))</f>
        <v/>
      </c>
      <c r="P222" s="16" t="n"/>
      <c r="Q222" s="16" t="n"/>
      <c r="R222" s="16" t="n"/>
      <c r="S222" s="17">
        <f>IF(C222="","",N(P222)+N(Q222)+N(R222))</f>
        <v/>
      </c>
      <c r="T222" s="17">
        <f>IF(C222="","",H222-S222)</f>
        <v/>
      </c>
      <c r="U222" s="54">
        <f>IFERROR(T222/H222,"")</f>
        <v/>
      </c>
      <c r="V222" s="14" t="n"/>
    </row>
    <row r="223" ht="15" customHeight="1">
      <c r="A223" s="51">
        <f>IF(C223="","",IFERROR(IF(SUMPRODUCT(MAX((tbl_Finance[Job Number]=C223&amp;"")*tbl_Finance[Date]))=0,"",SUMPRODUCT(MAX((tbl_Finance[Job Number]=C223&amp;"")*tbl_Finance[Date]))),""))</f>
        <v/>
      </c>
      <c r="B223" s="15">
        <f>IF(A223="","",IFERROR(LOOKUP(2,1/((tbl_Finance[Job Number]=C223&amp;"")*(tbl_Finance[Date]=A223)),tbl_Finance[Xero Invoice No]),""))</f>
        <v/>
      </c>
      <c r="C223" s="14" t="n"/>
      <c r="D223" s="15">
        <f>IF(C223="","",IF(COUNTIF(lst_Jobs,C223&amp;"")&gt;0,"OK","CHECK"))</f>
        <v/>
      </c>
      <c r="E223" s="15">
        <f>IF(C223="","",IFERROR(INDEX(lst_JobName,MATCH(C223&amp;"",lst_Jobs,0)),""))</f>
        <v/>
      </c>
      <c r="F223" s="15">
        <f>IF(C223="","",IFERROR(INDEX(tbl_Finance[Client],MATCH(C223&amp;"",tbl_Finance[Job Number],0)),""))</f>
        <v/>
      </c>
      <c r="G223" s="52">
        <f>IF(C223="","",COUNTIFS(tbl_Finance[Job Number],C223&amp;"",tbl_Finance[Ex GST],"&lt;&gt;"))</f>
        <v/>
      </c>
      <c r="H223" s="17">
        <f>IF(C223="","",SUMIFS(tbl_Finance[Ex GST],tbl_Finance[Job Number],C223&amp;""))</f>
        <v/>
      </c>
      <c r="I223" s="15">
        <f>IF(C223="","",IFERROR(INDEX(tbl_Finance[Cost Centre],MATCH(C223&amp;"",tbl_Finance[Job Number],0)),"not invoiced yet"))</f>
        <v/>
      </c>
      <c r="J223" s="14" t="n"/>
      <c r="K223" s="15">
        <f>IF(J223="","",HYPERLINK(IF(LEFT(J223,4)="http",J223,set_QwilrBase&amp;J223),"Open quote"))</f>
        <v/>
      </c>
      <c r="L223" s="16" t="n"/>
      <c r="M223" s="16" t="n"/>
      <c r="N223" s="16" t="n"/>
      <c r="O223" s="15">
        <f>IF(C223="","",IF(N(L223)+N(M223)+N(N223)=0,"Not split",IF(ROUND(N(L223)+N(M223)+N(N223),2)=ROUND(H223,2),"OK","MISMATCH")))</f>
        <v/>
      </c>
      <c r="P223" s="16" t="n"/>
      <c r="Q223" s="16" t="n"/>
      <c r="R223" s="16" t="n"/>
      <c r="S223" s="17">
        <f>IF(C223="","",N(P223)+N(Q223)+N(R223))</f>
        <v/>
      </c>
      <c r="T223" s="17">
        <f>IF(C223="","",H223-S223)</f>
        <v/>
      </c>
      <c r="U223" s="54">
        <f>IFERROR(T223/H223,"")</f>
        <v/>
      </c>
      <c r="V223" s="14" t="n"/>
    </row>
    <row r="224" ht="15" customHeight="1">
      <c r="A224" s="51">
        <f>IF(C224="","",IFERROR(IF(SUMPRODUCT(MAX((tbl_Finance[Job Number]=C224&amp;"")*tbl_Finance[Date]))=0,"",SUMPRODUCT(MAX((tbl_Finance[Job Number]=C224&amp;"")*tbl_Finance[Date]))),""))</f>
        <v/>
      </c>
      <c r="B224" s="15">
        <f>IF(A224="","",IFERROR(LOOKUP(2,1/((tbl_Finance[Job Number]=C224&amp;"")*(tbl_Finance[Date]=A224)),tbl_Finance[Xero Invoice No]),""))</f>
        <v/>
      </c>
      <c r="C224" s="14" t="n"/>
      <c r="D224" s="15">
        <f>IF(C224="","",IF(COUNTIF(lst_Jobs,C224&amp;"")&gt;0,"OK","CHECK"))</f>
        <v/>
      </c>
      <c r="E224" s="15">
        <f>IF(C224="","",IFERROR(INDEX(lst_JobName,MATCH(C224&amp;"",lst_Jobs,0)),""))</f>
        <v/>
      </c>
      <c r="F224" s="15">
        <f>IF(C224="","",IFERROR(INDEX(tbl_Finance[Client],MATCH(C224&amp;"",tbl_Finance[Job Number],0)),""))</f>
        <v/>
      </c>
      <c r="G224" s="52">
        <f>IF(C224="","",COUNTIFS(tbl_Finance[Job Number],C224&amp;"",tbl_Finance[Ex GST],"&lt;&gt;"))</f>
        <v/>
      </c>
      <c r="H224" s="17">
        <f>IF(C224="","",SUMIFS(tbl_Finance[Ex GST],tbl_Finance[Job Number],C224&amp;""))</f>
        <v/>
      </c>
      <c r="I224" s="15">
        <f>IF(C224="","",IFERROR(INDEX(tbl_Finance[Cost Centre],MATCH(C224&amp;"",tbl_Finance[Job Number],0)),"not invoiced yet"))</f>
        <v/>
      </c>
      <c r="J224" s="14" t="n"/>
      <c r="K224" s="15">
        <f>IF(J224="","",HYPERLINK(IF(LEFT(J224,4)="http",J224,set_QwilrBase&amp;J224),"Open quote"))</f>
        <v/>
      </c>
      <c r="L224" s="16" t="n"/>
      <c r="M224" s="16" t="n"/>
      <c r="N224" s="16" t="n"/>
      <c r="O224" s="15">
        <f>IF(C224="","",IF(N(L224)+N(M224)+N(N224)=0,"Not split",IF(ROUND(N(L224)+N(M224)+N(N224),2)=ROUND(H224,2),"OK","MISMATCH")))</f>
        <v/>
      </c>
      <c r="P224" s="16" t="n"/>
      <c r="Q224" s="16" t="n"/>
      <c r="R224" s="16" t="n"/>
      <c r="S224" s="17">
        <f>IF(C224="","",N(P224)+N(Q224)+N(R224))</f>
        <v/>
      </c>
      <c r="T224" s="17">
        <f>IF(C224="","",H224-S224)</f>
        <v/>
      </c>
      <c r="U224" s="54">
        <f>IFERROR(T224/H224,"")</f>
        <v/>
      </c>
      <c r="V224" s="14" t="n"/>
    </row>
    <row r="225" ht="15" customHeight="1">
      <c r="A225" s="51">
        <f>IF(C225="","",IFERROR(IF(SUMPRODUCT(MAX((tbl_Finance[Job Number]=C225&amp;"")*tbl_Finance[Date]))=0,"",SUMPRODUCT(MAX((tbl_Finance[Job Number]=C225&amp;"")*tbl_Finance[Date]))),""))</f>
        <v/>
      </c>
      <c r="B225" s="15">
        <f>IF(A225="","",IFERROR(LOOKUP(2,1/((tbl_Finance[Job Number]=C225&amp;"")*(tbl_Finance[Date]=A225)),tbl_Finance[Xero Invoice No]),""))</f>
        <v/>
      </c>
      <c r="C225" s="14" t="n"/>
      <c r="D225" s="15">
        <f>IF(C225="","",IF(COUNTIF(lst_Jobs,C225&amp;"")&gt;0,"OK","CHECK"))</f>
        <v/>
      </c>
      <c r="E225" s="15">
        <f>IF(C225="","",IFERROR(INDEX(lst_JobName,MATCH(C225&amp;"",lst_Jobs,0)),""))</f>
        <v/>
      </c>
      <c r="F225" s="15">
        <f>IF(C225="","",IFERROR(INDEX(tbl_Finance[Client],MATCH(C225&amp;"",tbl_Finance[Job Number],0)),""))</f>
        <v/>
      </c>
      <c r="G225" s="52">
        <f>IF(C225="","",COUNTIFS(tbl_Finance[Job Number],C225&amp;"",tbl_Finance[Ex GST],"&lt;&gt;"))</f>
        <v/>
      </c>
      <c r="H225" s="17">
        <f>IF(C225="","",SUMIFS(tbl_Finance[Ex GST],tbl_Finance[Job Number],C225&amp;""))</f>
        <v/>
      </c>
      <c r="I225" s="15">
        <f>IF(C225="","",IFERROR(INDEX(tbl_Finance[Cost Centre],MATCH(C225&amp;"",tbl_Finance[Job Number],0)),"not invoiced yet"))</f>
        <v/>
      </c>
      <c r="J225" s="14" t="n"/>
      <c r="K225" s="15">
        <f>IF(J225="","",HYPERLINK(IF(LEFT(J225,4)="http",J225,set_QwilrBase&amp;J225),"Open quote"))</f>
        <v/>
      </c>
      <c r="L225" s="16" t="n"/>
      <c r="M225" s="16" t="n"/>
      <c r="N225" s="16" t="n"/>
      <c r="O225" s="15">
        <f>IF(C225="","",IF(N(L225)+N(M225)+N(N225)=0,"Not split",IF(ROUND(N(L225)+N(M225)+N(N225),2)=ROUND(H225,2),"OK","MISMATCH")))</f>
        <v/>
      </c>
      <c r="P225" s="16" t="n"/>
      <c r="Q225" s="16" t="n"/>
      <c r="R225" s="16" t="n"/>
      <c r="S225" s="17">
        <f>IF(C225="","",N(P225)+N(Q225)+N(R225))</f>
        <v/>
      </c>
      <c r="T225" s="17">
        <f>IF(C225="","",H225-S225)</f>
        <v/>
      </c>
      <c r="U225" s="54">
        <f>IFERROR(T225/H225,"")</f>
        <v/>
      </c>
      <c r="V225" s="14" t="n"/>
    </row>
    <row r="226" ht="15" customHeight="1">
      <c r="A226" s="51">
        <f>IF(C226="","",IFERROR(IF(SUMPRODUCT(MAX((tbl_Finance[Job Number]=C226&amp;"")*tbl_Finance[Date]))=0,"",SUMPRODUCT(MAX((tbl_Finance[Job Number]=C226&amp;"")*tbl_Finance[Date]))),""))</f>
        <v/>
      </c>
      <c r="B226" s="15">
        <f>IF(A226="","",IFERROR(LOOKUP(2,1/((tbl_Finance[Job Number]=C226&amp;"")*(tbl_Finance[Date]=A226)),tbl_Finance[Xero Invoice No]),""))</f>
        <v/>
      </c>
      <c r="C226" s="14" t="n"/>
      <c r="D226" s="15">
        <f>IF(C226="","",IF(COUNTIF(lst_Jobs,C226&amp;"")&gt;0,"OK","CHECK"))</f>
        <v/>
      </c>
      <c r="E226" s="15">
        <f>IF(C226="","",IFERROR(INDEX(lst_JobName,MATCH(C226&amp;"",lst_Jobs,0)),""))</f>
        <v/>
      </c>
      <c r="F226" s="15">
        <f>IF(C226="","",IFERROR(INDEX(tbl_Finance[Client],MATCH(C226&amp;"",tbl_Finance[Job Number],0)),""))</f>
        <v/>
      </c>
      <c r="G226" s="52">
        <f>IF(C226="","",COUNTIFS(tbl_Finance[Job Number],C226&amp;"",tbl_Finance[Ex GST],"&lt;&gt;"))</f>
        <v/>
      </c>
      <c r="H226" s="17">
        <f>IF(C226="","",SUMIFS(tbl_Finance[Ex GST],tbl_Finance[Job Number],C226&amp;""))</f>
        <v/>
      </c>
      <c r="I226" s="15">
        <f>IF(C226="","",IFERROR(INDEX(tbl_Finance[Cost Centre],MATCH(C226&amp;"",tbl_Finance[Job Number],0)),"not invoiced yet"))</f>
        <v/>
      </c>
      <c r="J226" s="14" t="n"/>
      <c r="K226" s="15">
        <f>IF(J226="","",HYPERLINK(IF(LEFT(J226,4)="http",J226,set_QwilrBase&amp;J226),"Open quote"))</f>
        <v/>
      </c>
      <c r="L226" s="16" t="n"/>
      <c r="M226" s="16" t="n"/>
      <c r="N226" s="16" t="n"/>
      <c r="O226" s="15">
        <f>IF(C226="","",IF(N(L226)+N(M226)+N(N226)=0,"Not split",IF(ROUND(N(L226)+N(M226)+N(N226),2)=ROUND(H226,2),"OK","MISMATCH")))</f>
        <v/>
      </c>
      <c r="P226" s="16" t="n"/>
      <c r="Q226" s="16" t="n"/>
      <c r="R226" s="16" t="n"/>
      <c r="S226" s="17">
        <f>IF(C226="","",N(P226)+N(Q226)+N(R226))</f>
        <v/>
      </c>
      <c r="T226" s="17">
        <f>IF(C226="","",H226-S226)</f>
        <v/>
      </c>
      <c r="U226" s="54">
        <f>IFERROR(T226/H226,"")</f>
        <v/>
      </c>
      <c r="V226" s="14" t="n"/>
    </row>
    <row r="227" ht="15" customHeight="1">
      <c r="A227" s="51">
        <f>IF(C227="","",IFERROR(IF(SUMPRODUCT(MAX((tbl_Finance[Job Number]=C227&amp;"")*tbl_Finance[Date]))=0,"",SUMPRODUCT(MAX((tbl_Finance[Job Number]=C227&amp;"")*tbl_Finance[Date]))),""))</f>
        <v/>
      </c>
      <c r="B227" s="15">
        <f>IF(A227="","",IFERROR(LOOKUP(2,1/((tbl_Finance[Job Number]=C227&amp;"")*(tbl_Finance[Date]=A227)),tbl_Finance[Xero Invoice No]),""))</f>
        <v/>
      </c>
      <c r="C227" s="14" t="n"/>
      <c r="D227" s="15">
        <f>IF(C227="","",IF(COUNTIF(lst_Jobs,C227&amp;"")&gt;0,"OK","CHECK"))</f>
        <v/>
      </c>
      <c r="E227" s="15">
        <f>IF(C227="","",IFERROR(INDEX(lst_JobName,MATCH(C227&amp;"",lst_Jobs,0)),""))</f>
        <v/>
      </c>
      <c r="F227" s="15">
        <f>IF(C227="","",IFERROR(INDEX(tbl_Finance[Client],MATCH(C227&amp;"",tbl_Finance[Job Number],0)),""))</f>
        <v/>
      </c>
      <c r="G227" s="52">
        <f>IF(C227="","",COUNTIFS(tbl_Finance[Job Number],C227&amp;"",tbl_Finance[Ex GST],"&lt;&gt;"))</f>
        <v/>
      </c>
      <c r="H227" s="17">
        <f>IF(C227="","",SUMIFS(tbl_Finance[Ex GST],tbl_Finance[Job Number],C227&amp;""))</f>
        <v/>
      </c>
      <c r="I227" s="15">
        <f>IF(C227="","",IFERROR(INDEX(tbl_Finance[Cost Centre],MATCH(C227&amp;"",tbl_Finance[Job Number],0)),"not invoiced yet"))</f>
        <v/>
      </c>
      <c r="J227" s="14" t="n"/>
      <c r="K227" s="15">
        <f>IF(J227="","",HYPERLINK(IF(LEFT(J227,4)="http",J227,set_QwilrBase&amp;J227),"Open quote"))</f>
        <v/>
      </c>
      <c r="L227" s="16" t="n"/>
      <c r="M227" s="16" t="n"/>
      <c r="N227" s="16" t="n"/>
      <c r="O227" s="15">
        <f>IF(C227="","",IF(N(L227)+N(M227)+N(N227)=0,"Not split",IF(ROUND(N(L227)+N(M227)+N(N227),2)=ROUND(H227,2),"OK","MISMATCH")))</f>
        <v/>
      </c>
      <c r="P227" s="16" t="n"/>
      <c r="Q227" s="16" t="n"/>
      <c r="R227" s="16" t="n"/>
      <c r="S227" s="17">
        <f>IF(C227="","",N(P227)+N(Q227)+N(R227))</f>
        <v/>
      </c>
      <c r="T227" s="17">
        <f>IF(C227="","",H227-S227)</f>
        <v/>
      </c>
      <c r="U227" s="54">
        <f>IFERROR(T227/H227,"")</f>
        <v/>
      </c>
      <c r="V227" s="14" t="n"/>
    </row>
    <row r="228" ht="15" customHeight="1">
      <c r="A228" s="51">
        <f>IF(C228="","",IFERROR(IF(SUMPRODUCT(MAX((tbl_Finance[Job Number]=C228&amp;"")*tbl_Finance[Date]))=0,"",SUMPRODUCT(MAX((tbl_Finance[Job Number]=C228&amp;"")*tbl_Finance[Date]))),""))</f>
        <v/>
      </c>
      <c r="B228" s="15">
        <f>IF(A228="","",IFERROR(LOOKUP(2,1/((tbl_Finance[Job Number]=C228&amp;"")*(tbl_Finance[Date]=A228)),tbl_Finance[Xero Invoice No]),""))</f>
        <v/>
      </c>
      <c r="C228" s="14" t="n"/>
      <c r="D228" s="15">
        <f>IF(C228="","",IF(COUNTIF(lst_Jobs,C228&amp;"")&gt;0,"OK","CHECK"))</f>
        <v/>
      </c>
      <c r="E228" s="15">
        <f>IF(C228="","",IFERROR(INDEX(lst_JobName,MATCH(C228&amp;"",lst_Jobs,0)),""))</f>
        <v/>
      </c>
      <c r="F228" s="15">
        <f>IF(C228="","",IFERROR(INDEX(tbl_Finance[Client],MATCH(C228&amp;"",tbl_Finance[Job Number],0)),""))</f>
        <v/>
      </c>
      <c r="G228" s="52">
        <f>IF(C228="","",COUNTIFS(tbl_Finance[Job Number],C228&amp;"",tbl_Finance[Ex GST],"&lt;&gt;"))</f>
        <v/>
      </c>
      <c r="H228" s="17">
        <f>IF(C228="","",SUMIFS(tbl_Finance[Ex GST],tbl_Finance[Job Number],C228&amp;""))</f>
        <v/>
      </c>
      <c r="I228" s="15">
        <f>IF(C228="","",IFERROR(INDEX(tbl_Finance[Cost Centre],MATCH(C228&amp;"",tbl_Finance[Job Number],0)),"not invoiced yet"))</f>
        <v/>
      </c>
      <c r="J228" s="14" t="n"/>
      <c r="K228" s="15">
        <f>IF(J228="","",HYPERLINK(IF(LEFT(J228,4)="http",J228,set_QwilrBase&amp;J228),"Open quote"))</f>
        <v/>
      </c>
      <c r="L228" s="16" t="n"/>
      <c r="M228" s="16" t="n"/>
      <c r="N228" s="16" t="n"/>
      <c r="O228" s="15">
        <f>IF(C228="","",IF(N(L228)+N(M228)+N(N228)=0,"Not split",IF(ROUND(N(L228)+N(M228)+N(N228),2)=ROUND(H228,2),"OK","MISMATCH")))</f>
        <v/>
      </c>
      <c r="P228" s="16" t="n"/>
      <c r="Q228" s="16" t="n"/>
      <c r="R228" s="16" t="n"/>
      <c r="S228" s="17">
        <f>IF(C228="","",N(P228)+N(Q228)+N(R228))</f>
        <v/>
      </c>
      <c r="T228" s="17">
        <f>IF(C228="","",H228-S228)</f>
        <v/>
      </c>
      <c r="U228" s="54">
        <f>IFERROR(T228/H228,"")</f>
        <v/>
      </c>
      <c r="V228" s="14" t="n"/>
    </row>
    <row r="229" ht="15" customHeight="1">
      <c r="A229" s="51">
        <f>IF(C229="","",IFERROR(IF(SUMPRODUCT(MAX((tbl_Finance[Job Number]=C229&amp;"")*tbl_Finance[Date]))=0,"",SUMPRODUCT(MAX((tbl_Finance[Job Number]=C229&amp;"")*tbl_Finance[Date]))),""))</f>
        <v/>
      </c>
      <c r="B229" s="15">
        <f>IF(A229="","",IFERROR(LOOKUP(2,1/((tbl_Finance[Job Number]=C229&amp;"")*(tbl_Finance[Date]=A229)),tbl_Finance[Xero Invoice No]),""))</f>
        <v/>
      </c>
      <c r="C229" s="14" t="n"/>
      <c r="D229" s="15">
        <f>IF(C229="","",IF(COUNTIF(lst_Jobs,C229&amp;"")&gt;0,"OK","CHECK"))</f>
        <v/>
      </c>
      <c r="E229" s="15">
        <f>IF(C229="","",IFERROR(INDEX(lst_JobName,MATCH(C229&amp;"",lst_Jobs,0)),""))</f>
        <v/>
      </c>
      <c r="F229" s="15">
        <f>IF(C229="","",IFERROR(INDEX(tbl_Finance[Client],MATCH(C229&amp;"",tbl_Finance[Job Number],0)),""))</f>
        <v/>
      </c>
      <c r="G229" s="52">
        <f>IF(C229="","",COUNTIFS(tbl_Finance[Job Number],C229&amp;"",tbl_Finance[Ex GST],"&lt;&gt;"))</f>
        <v/>
      </c>
      <c r="H229" s="17">
        <f>IF(C229="","",SUMIFS(tbl_Finance[Ex GST],tbl_Finance[Job Number],C229&amp;""))</f>
        <v/>
      </c>
      <c r="I229" s="15">
        <f>IF(C229="","",IFERROR(INDEX(tbl_Finance[Cost Centre],MATCH(C229&amp;"",tbl_Finance[Job Number],0)),"not invoiced yet"))</f>
        <v/>
      </c>
      <c r="J229" s="14" t="n"/>
      <c r="K229" s="15">
        <f>IF(J229="","",HYPERLINK(IF(LEFT(J229,4)="http",J229,set_QwilrBase&amp;J229),"Open quote"))</f>
        <v/>
      </c>
      <c r="L229" s="16" t="n"/>
      <c r="M229" s="16" t="n"/>
      <c r="N229" s="16" t="n"/>
      <c r="O229" s="15">
        <f>IF(C229="","",IF(N(L229)+N(M229)+N(N229)=0,"Not split",IF(ROUND(N(L229)+N(M229)+N(N229),2)=ROUND(H229,2),"OK","MISMATCH")))</f>
        <v/>
      </c>
      <c r="P229" s="16" t="n"/>
      <c r="Q229" s="16" t="n"/>
      <c r="R229" s="16" t="n"/>
      <c r="S229" s="17">
        <f>IF(C229="","",N(P229)+N(Q229)+N(R229))</f>
        <v/>
      </c>
      <c r="T229" s="17">
        <f>IF(C229="","",H229-S229)</f>
        <v/>
      </c>
      <c r="U229" s="54">
        <f>IFERROR(T229/H229,"")</f>
        <v/>
      </c>
      <c r="V229" s="14" t="n"/>
    </row>
    <row r="230" ht="15" customHeight="1">
      <c r="A230" s="51">
        <f>IF(C230="","",IFERROR(IF(SUMPRODUCT(MAX((tbl_Finance[Job Number]=C230&amp;"")*tbl_Finance[Date]))=0,"",SUMPRODUCT(MAX((tbl_Finance[Job Number]=C230&amp;"")*tbl_Finance[Date]))),""))</f>
        <v/>
      </c>
      <c r="B230" s="15">
        <f>IF(A230="","",IFERROR(LOOKUP(2,1/((tbl_Finance[Job Number]=C230&amp;"")*(tbl_Finance[Date]=A230)),tbl_Finance[Xero Invoice No]),""))</f>
        <v/>
      </c>
      <c r="C230" s="14" t="n"/>
      <c r="D230" s="15">
        <f>IF(C230="","",IF(COUNTIF(lst_Jobs,C230&amp;"")&gt;0,"OK","CHECK"))</f>
        <v/>
      </c>
      <c r="E230" s="15">
        <f>IF(C230="","",IFERROR(INDEX(lst_JobName,MATCH(C230&amp;"",lst_Jobs,0)),""))</f>
        <v/>
      </c>
      <c r="F230" s="15">
        <f>IF(C230="","",IFERROR(INDEX(tbl_Finance[Client],MATCH(C230&amp;"",tbl_Finance[Job Number],0)),""))</f>
        <v/>
      </c>
      <c r="G230" s="52">
        <f>IF(C230="","",COUNTIFS(tbl_Finance[Job Number],C230&amp;"",tbl_Finance[Ex GST],"&lt;&gt;"))</f>
        <v/>
      </c>
      <c r="H230" s="17">
        <f>IF(C230="","",SUMIFS(tbl_Finance[Ex GST],tbl_Finance[Job Number],C230&amp;""))</f>
        <v/>
      </c>
      <c r="I230" s="15">
        <f>IF(C230="","",IFERROR(INDEX(tbl_Finance[Cost Centre],MATCH(C230&amp;"",tbl_Finance[Job Number],0)),"not invoiced yet"))</f>
        <v/>
      </c>
      <c r="J230" s="14" t="n"/>
      <c r="K230" s="15">
        <f>IF(J230="","",HYPERLINK(IF(LEFT(J230,4)="http",J230,set_QwilrBase&amp;J230),"Open quote"))</f>
        <v/>
      </c>
      <c r="L230" s="16" t="n"/>
      <c r="M230" s="16" t="n"/>
      <c r="N230" s="16" t="n"/>
      <c r="O230" s="15">
        <f>IF(C230="","",IF(N(L230)+N(M230)+N(N230)=0,"Not split",IF(ROUND(N(L230)+N(M230)+N(N230),2)=ROUND(H230,2),"OK","MISMATCH")))</f>
        <v/>
      </c>
      <c r="P230" s="16" t="n"/>
      <c r="Q230" s="16" t="n"/>
      <c r="R230" s="16" t="n"/>
      <c r="S230" s="17">
        <f>IF(C230="","",N(P230)+N(Q230)+N(R230))</f>
        <v/>
      </c>
      <c r="T230" s="17">
        <f>IF(C230="","",H230-S230)</f>
        <v/>
      </c>
      <c r="U230" s="54">
        <f>IFERROR(T230/H230,"")</f>
        <v/>
      </c>
      <c r="V230" s="14" t="n"/>
    </row>
    <row r="231" ht="15" customHeight="1">
      <c r="A231" s="51">
        <f>IF(C231="","",IFERROR(IF(SUMPRODUCT(MAX((tbl_Finance[Job Number]=C231&amp;"")*tbl_Finance[Date]))=0,"",SUMPRODUCT(MAX((tbl_Finance[Job Number]=C231&amp;"")*tbl_Finance[Date]))),""))</f>
        <v/>
      </c>
      <c r="B231" s="15">
        <f>IF(A231="","",IFERROR(LOOKUP(2,1/((tbl_Finance[Job Number]=C231&amp;"")*(tbl_Finance[Date]=A231)),tbl_Finance[Xero Invoice No]),""))</f>
        <v/>
      </c>
      <c r="C231" s="14" t="n"/>
      <c r="D231" s="15">
        <f>IF(C231="","",IF(COUNTIF(lst_Jobs,C231&amp;"")&gt;0,"OK","CHECK"))</f>
        <v/>
      </c>
      <c r="E231" s="15">
        <f>IF(C231="","",IFERROR(INDEX(lst_JobName,MATCH(C231&amp;"",lst_Jobs,0)),""))</f>
        <v/>
      </c>
      <c r="F231" s="15">
        <f>IF(C231="","",IFERROR(INDEX(tbl_Finance[Client],MATCH(C231&amp;"",tbl_Finance[Job Number],0)),""))</f>
        <v/>
      </c>
      <c r="G231" s="52">
        <f>IF(C231="","",COUNTIFS(tbl_Finance[Job Number],C231&amp;"",tbl_Finance[Ex GST],"&lt;&gt;"))</f>
        <v/>
      </c>
      <c r="H231" s="17">
        <f>IF(C231="","",SUMIFS(tbl_Finance[Ex GST],tbl_Finance[Job Number],C231&amp;""))</f>
        <v/>
      </c>
      <c r="I231" s="15">
        <f>IF(C231="","",IFERROR(INDEX(tbl_Finance[Cost Centre],MATCH(C231&amp;"",tbl_Finance[Job Number],0)),"not invoiced yet"))</f>
        <v/>
      </c>
      <c r="J231" s="14" t="n"/>
      <c r="K231" s="15">
        <f>IF(J231="","",HYPERLINK(IF(LEFT(J231,4)="http",J231,set_QwilrBase&amp;J231),"Open quote"))</f>
        <v/>
      </c>
      <c r="L231" s="16" t="n"/>
      <c r="M231" s="16" t="n"/>
      <c r="N231" s="16" t="n"/>
      <c r="O231" s="15">
        <f>IF(C231="","",IF(N(L231)+N(M231)+N(N231)=0,"Not split",IF(ROUND(N(L231)+N(M231)+N(N231),2)=ROUND(H231,2),"OK","MISMATCH")))</f>
        <v/>
      </c>
      <c r="P231" s="16" t="n"/>
      <c r="Q231" s="16" t="n"/>
      <c r="R231" s="16" t="n"/>
      <c r="S231" s="17">
        <f>IF(C231="","",N(P231)+N(Q231)+N(R231))</f>
        <v/>
      </c>
      <c r="T231" s="17">
        <f>IF(C231="","",H231-S231)</f>
        <v/>
      </c>
      <c r="U231" s="54">
        <f>IFERROR(T231/H231,"")</f>
        <v/>
      </c>
      <c r="V231" s="14" t="n"/>
    </row>
    <row r="232" ht="15" customHeight="1">
      <c r="A232" s="51">
        <f>IF(C232="","",IFERROR(IF(SUMPRODUCT(MAX((tbl_Finance[Job Number]=C232&amp;"")*tbl_Finance[Date]))=0,"",SUMPRODUCT(MAX((tbl_Finance[Job Number]=C232&amp;"")*tbl_Finance[Date]))),""))</f>
        <v/>
      </c>
      <c r="B232" s="15">
        <f>IF(A232="","",IFERROR(LOOKUP(2,1/((tbl_Finance[Job Number]=C232&amp;"")*(tbl_Finance[Date]=A232)),tbl_Finance[Xero Invoice No]),""))</f>
        <v/>
      </c>
      <c r="C232" s="14" t="n"/>
      <c r="D232" s="15">
        <f>IF(C232="","",IF(COUNTIF(lst_Jobs,C232&amp;"")&gt;0,"OK","CHECK"))</f>
        <v/>
      </c>
      <c r="E232" s="15">
        <f>IF(C232="","",IFERROR(INDEX(lst_JobName,MATCH(C232&amp;"",lst_Jobs,0)),""))</f>
        <v/>
      </c>
      <c r="F232" s="15">
        <f>IF(C232="","",IFERROR(INDEX(tbl_Finance[Client],MATCH(C232&amp;"",tbl_Finance[Job Number],0)),""))</f>
        <v/>
      </c>
      <c r="G232" s="52">
        <f>IF(C232="","",COUNTIFS(tbl_Finance[Job Number],C232&amp;"",tbl_Finance[Ex GST],"&lt;&gt;"))</f>
        <v/>
      </c>
      <c r="H232" s="17">
        <f>IF(C232="","",SUMIFS(tbl_Finance[Ex GST],tbl_Finance[Job Number],C232&amp;""))</f>
        <v/>
      </c>
      <c r="I232" s="15">
        <f>IF(C232="","",IFERROR(INDEX(tbl_Finance[Cost Centre],MATCH(C232&amp;"",tbl_Finance[Job Number],0)),"not invoiced yet"))</f>
        <v/>
      </c>
      <c r="J232" s="14" t="n"/>
      <c r="K232" s="15">
        <f>IF(J232="","",HYPERLINK(IF(LEFT(J232,4)="http",J232,set_QwilrBase&amp;J232),"Open quote"))</f>
        <v/>
      </c>
      <c r="L232" s="16" t="n"/>
      <c r="M232" s="16" t="n"/>
      <c r="N232" s="16" t="n"/>
      <c r="O232" s="15">
        <f>IF(C232="","",IF(N(L232)+N(M232)+N(N232)=0,"Not split",IF(ROUND(N(L232)+N(M232)+N(N232),2)=ROUND(H232,2),"OK","MISMATCH")))</f>
        <v/>
      </c>
      <c r="P232" s="16" t="n"/>
      <c r="Q232" s="16" t="n"/>
      <c r="R232" s="16" t="n"/>
      <c r="S232" s="17">
        <f>IF(C232="","",N(P232)+N(Q232)+N(R232))</f>
        <v/>
      </c>
      <c r="T232" s="17">
        <f>IF(C232="","",H232-S232)</f>
        <v/>
      </c>
      <c r="U232" s="54">
        <f>IFERROR(T232/H232,"")</f>
        <v/>
      </c>
      <c r="V232" s="14" t="n"/>
    </row>
    <row r="233" ht="15" customHeight="1">
      <c r="A233" s="51">
        <f>IF(C233="","",IFERROR(IF(SUMPRODUCT(MAX((tbl_Finance[Job Number]=C233&amp;"")*tbl_Finance[Date]))=0,"",SUMPRODUCT(MAX((tbl_Finance[Job Number]=C233&amp;"")*tbl_Finance[Date]))),""))</f>
        <v/>
      </c>
      <c r="B233" s="15">
        <f>IF(A233="","",IFERROR(LOOKUP(2,1/((tbl_Finance[Job Number]=C233&amp;"")*(tbl_Finance[Date]=A233)),tbl_Finance[Xero Invoice No]),""))</f>
        <v/>
      </c>
      <c r="C233" s="14" t="n"/>
      <c r="D233" s="15">
        <f>IF(C233="","",IF(COUNTIF(lst_Jobs,C233&amp;"")&gt;0,"OK","CHECK"))</f>
        <v/>
      </c>
      <c r="E233" s="15">
        <f>IF(C233="","",IFERROR(INDEX(lst_JobName,MATCH(C233&amp;"",lst_Jobs,0)),""))</f>
        <v/>
      </c>
      <c r="F233" s="15">
        <f>IF(C233="","",IFERROR(INDEX(tbl_Finance[Client],MATCH(C233&amp;"",tbl_Finance[Job Number],0)),""))</f>
        <v/>
      </c>
      <c r="G233" s="52">
        <f>IF(C233="","",COUNTIFS(tbl_Finance[Job Number],C233&amp;"",tbl_Finance[Ex GST],"&lt;&gt;"))</f>
        <v/>
      </c>
      <c r="H233" s="17">
        <f>IF(C233="","",SUMIFS(tbl_Finance[Ex GST],tbl_Finance[Job Number],C233&amp;""))</f>
        <v/>
      </c>
      <c r="I233" s="15">
        <f>IF(C233="","",IFERROR(INDEX(tbl_Finance[Cost Centre],MATCH(C233&amp;"",tbl_Finance[Job Number],0)),"not invoiced yet"))</f>
        <v/>
      </c>
      <c r="J233" s="14" t="n"/>
      <c r="K233" s="15">
        <f>IF(J233="","",HYPERLINK(IF(LEFT(J233,4)="http",J233,set_QwilrBase&amp;J233),"Open quote"))</f>
        <v/>
      </c>
      <c r="L233" s="16" t="n"/>
      <c r="M233" s="16" t="n"/>
      <c r="N233" s="16" t="n"/>
      <c r="O233" s="15">
        <f>IF(C233="","",IF(N(L233)+N(M233)+N(N233)=0,"Not split",IF(ROUND(N(L233)+N(M233)+N(N233),2)=ROUND(H233,2),"OK","MISMATCH")))</f>
        <v/>
      </c>
      <c r="P233" s="16" t="n"/>
      <c r="Q233" s="16" t="n"/>
      <c r="R233" s="16" t="n"/>
      <c r="S233" s="17">
        <f>IF(C233="","",N(P233)+N(Q233)+N(R233))</f>
        <v/>
      </c>
      <c r="T233" s="17">
        <f>IF(C233="","",H233-S233)</f>
        <v/>
      </c>
      <c r="U233" s="54">
        <f>IFERROR(T233/H233,"")</f>
        <v/>
      </c>
      <c r="V233" s="14" t="n"/>
    </row>
    <row r="234" ht="15" customHeight="1">
      <c r="A234" s="51">
        <f>IF(C234="","",IFERROR(IF(SUMPRODUCT(MAX((tbl_Finance[Job Number]=C234&amp;"")*tbl_Finance[Date]))=0,"",SUMPRODUCT(MAX((tbl_Finance[Job Number]=C234&amp;"")*tbl_Finance[Date]))),""))</f>
        <v/>
      </c>
      <c r="B234" s="15">
        <f>IF(A234="","",IFERROR(LOOKUP(2,1/((tbl_Finance[Job Number]=C234&amp;"")*(tbl_Finance[Date]=A234)),tbl_Finance[Xero Invoice No]),""))</f>
        <v/>
      </c>
      <c r="C234" s="14" t="n"/>
      <c r="D234" s="15">
        <f>IF(C234="","",IF(COUNTIF(lst_Jobs,C234&amp;"")&gt;0,"OK","CHECK"))</f>
        <v/>
      </c>
      <c r="E234" s="15">
        <f>IF(C234="","",IFERROR(INDEX(lst_JobName,MATCH(C234&amp;"",lst_Jobs,0)),""))</f>
        <v/>
      </c>
      <c r="F234" s="15">
        <f>IF(C234="","",IFERROR(INDEX(tbl_Finance[Client],MATCH(C234&amp;"",tbl_Finance[Job Number],0)),""))</f>
        <v/>
      </c>
      <c r="G234" s="52">
        <f>IF(C234="","",COUNTIFS(tbl_Finance[Job Number],C234&amp;"",tbl_Finance[Ex GST],"&lt;&gt;"))</f>
        <v/>
      </c>
      <c r="H234" s="17">
        <f>IF(C234="","",SUMIFS(tbl_Finance[Ex GST],tbl_Finance[Job Number],C234&amp;""))</f>
        <v/>
      </c>
      <c r="I234" s="15">
        <f>IF(C234="","",IFERROR(INDEX(tbl_Finance[Cost Centre],MATCH(C234&amp;"",tbl_Finance[Job Number],0)),"not invoiced yet"))</f>
        <v/>
      </c>
      <c r="J234" s="14" t="n"/>
      <c r="K234" s="15">
        <f>IF(J234="","",HYPERLINK(IF(LEFT(J234,4)="http",J234,set_QwilrBase&amp;J234),"Open quote"))</f>
        <v/>
      </c>
      <c r="L234" s="16" t="n"/>
      <c r="M234" s="16" t="n"/>
      <c r="N234" s="16" t="n"/>
      <c r="O234" s="15">
        <f>IF(C234="","",IF(N(L234)+N(M234)+N(N234)=0,"Not split",IF(ROUND(N(L234)+N(M234)+N(N234),2)=ROUND(H234,2),"OK","MISMATCH")))</f>
        <v/>
      </c>
      <c r="P234" s="16" t="n"/>
      <c r="Q234" s="16" t="n"/>
      <c r="R234" s="16" t="n"/>
      <c r="S234" s="17">
        <f>IF(C234="","",N(P234)+N(Q234)+N(R234))</f>
        <v/>
      </c>
      <c r="T234" s="17">
        <f>IF(C234="","",H234-S234)</f>
        <v/>
      </c>
      <c r="U234" s="54">
        <f>IFERROR(T234/H234,"")</f>
        <v/>
      </c>
      <c r="V234" s="14" t="n"/>
    </row>
    <row r="235" ht="15" customHeight="1">
      <c r="A235" s="51">
        <f>IF(C235="","",IFERROR(IF(SUMPRODUCT(MAX((tbl_Finance[Job Number]=C235&amp;"")*tbl_Finance[Date]))=0,"",SUMPRODUCT(MAX((tbl_Finance[Job Number]=C235&amp;"")*tbl_Finance[Date]))),""))</f>
        <v/>
      </c>
      <c r="B235" s="15">
        <f>IF(A235="","",IFERROR(LOOKUP(2,1/((tbl_Finance[Job Number]=C235&amp;"")*(tbl_Finance[Date]=A235)),tbl_Finance[Xero Invoice No]),""))</f>
        <v/>
      </c>
      <c r="C235" s="14" t="n"/>
      <c r="D235" s="15">
        <f>IF(C235="","",IF(COUNTIF(lst_Jobs,C235&amp;"")&gt;0,"OK","CHECK"))</f>
        <v/>
      </c>
      <c r="E235" s="15">
        <f>IF(C235="","",IFERROR(INDEX(lst_JobName,MATCH(C235&amp;"",lst_Jobs,0)),""))</f>
        <v/>
      </c>
      <c r="F235" s="15">
        <f>IF(C235="","",IFERROR(INDEX(tbl_Finance[Client],MATCH(C235&amp;"",tbl_Finance[Job Number],0)),""))</f>
        <v/>
      </c>
      <c r="G235" s="52">
        <f>IF(C235="","",COUNTIFS(tbl_Finance[Job Number],C235&amp;"",tbl_Finance[Ex GST],"&lt;&gt;"))</f>
        <v/>
      </c>
      <c r="H235" s="17">
        <f>IF(C235="","",SUMIFS(tbl_Finance[Ex GST],tbl_Finance[Job Number],C235&amp;""))</f>
        <v/>
      </c>
      <c r="I235" s="15">
        <f>IF(C235="","",IFERROR(INDEX(tbl_Finance[Cost Centre],MATCH(C235&amp;"",tbl_Finance[Job Number],0)),"not invoiced yet"))</f>
        <v/>
      </c>
      <c r="J235" s="14" t="n"/>
      <c r="K235" s="15">
        <f>IF(J235="","",HYPERLINK(IF(LEFT(J235,4)="http",J235,set_QwilrBase&amp;J235),"Open quote"))</f>
        <v/>
      </c>
      <c r="L235" s="16" t="n"/>
      <c r="M235" s="16" t="n"/>
      <c r="N235" s="16" t="n"/>
      <c r="O235" s="15">
        <f>IF(C235="","",IF(N(L235)+N(M235)+N(N235)=0,"Not split",IF(ROUND(N(L235)+N(M235)+N(N235),2)=ROUND(H235,2),"OK","MISMATCH")))</f>
        <v/>
      </c>
      <c r="P235" s="16" t="n"/>
      <c r="Q235" s="16" t="n"/>
      <c r="R235" s="16" t="n"/>
      <c r="S235" s="17">
        <f>IF(C235="","",N(P235)+N(Q235)+N(R235))</f>
        <v/>
      </c>
      <c r="T235" s="17">
        <f>IF(C235="","",H235-S235)</f>
        <v/>
      </c>
      <c r="U235" s="54">
        <f>IFERROR(T235/H235,"")</f>
        <v/>
      </c>
      <c r="V235" s="14" t="n"/>
    </row>
    <row r="236" ht="15" customHeight="1">
      <c r="A236" s="51">
        <f>IF(C236="","",IFERROR(IF(SUMPRODUCT(MAX((tbl_Finance[Job Number]=C236&amp;"")*tbl_Finance[Date]))=0,"",SUMPRODUCT(MAX((tbl_Finance[Job Number]=C236&amp;"")*tbl_Finance[Date]))),""))</f>
        <v/>
      </c>
      <c r="B236" s="15">
        <f>IF(A236="","",IFERROR(LOOKUP(2,1/((tbl_Finance[Job Number]=C236&amp;"")*(tbl_Finance[Date]=A236)),tbl_Finance[Xero Invoice No]),""))</f>
        <v/>
      </c>
      <c r="C236" s="14" t="n"/>
      <c r="D236" s="15">
        <f>IF(C236="","",IF(COUNTIF(lst_Jobs,C236&amp;"")&gt;0,"OK","CHECK"))</f>
        <v/>
      </c>
      <c r="E236" s="15">
        <f>IF(C236="","",IFERROR(INDEX(lst_JobName,MATCH(C236&amp;"",lst_Jobs,0)),""))</f>
        <v/>
      </c>
      <c r="F236" s="15">
        <f>IF(C236="","",IFERROR(INDEX(tbl_Finance[Client],MATCH(C236&amp;"",tbl_Finance[Job Number],0)),""))</f>
        <v/>
      </c>
      <c r="G236" s="52">
        <f>IF(C236="","",COUNTIFS(tbl_Finance[Job Number],C236&amp;"",tbl_Finance[Ex GST],"&lt;&gt;"))</f>
        <v/>
      </c>
      <c r="H236" s="17">
        <f>IF(C236="","",SUMIFS(tbl_Finance[Ex GST],tbl_Finance[Job Number],C236&amp;""))</f>
        <v/>
      </c>
      <c r="I236" s="15">
        <f>IF(C236="","",IFERROR(INDEX(tbl_Finance[Cost Centre],MATCH(C236&amp;"",tbl_Finance[Job Number],0)),"not invoiced yet"))</f>
        <v/>
      </c>
      <c r="J236" s="14" t="n"/>
      <c r="K236" s="15">
        <f>IF(J236="","",HYPERLINK(IF(LEFT(J236,4)="http",J236,set_QwilrBase&amp;J236),"Open quote"))</f>
        <v/>
      </c>
      <c r="L236" s="16" t="n"/>
      <c r="M236" s="16" t="n"/>
      <c r="N236" s="16" t="n"/>
      <c r="O236" s="15">
        <f>IF(C236="","",IF(N(L236)+N(M236)+N(N236)=0,"Not split",IF(ROUND(N(L236)+N(M236)+N(N236),2)=ROUND(H236,2),"OK","MISMATCH")))</f>
        <v/>
      </c>
      <c r="P236" s="16" t="n"/>
      <c r="Q236" s="16" t="n"/>
      <c r="R236" s="16" t="n"/>
      <c r="S236" s="17">
        <f>IF(C236="","",N(P236)+N(Q236)+N(R236))</f>
        <v/>
      </c>
      <c r="T236" s="17">
        <f>IF(C236="","",H236-S236)</f>
        <v/>
      </c>
      <c r="U236" s="54">
        <f>IFERROR(T236/H236,"")</f>
        <v/>
      </c>
      <c r="V236" s="14" t="n"/>
    </row>
    <row r="237" ht="15" customHeight="1">
      <c r="A237" s="51">
        <f>IF(C237="","",IFERROR(IF(SUMPRODUCT(MAX((tbl_Finance[Job Number]=C237&amp;"")*tbl_Finance[Date]))=0,"",SUMPRODUCT(MAX((tbl_Finance[Job Number]=C237&amp;"")*tbl_Finance[Date]))),""))</f>
        <v/>
      </c>
      <c r="B237" s="15">
        <f>IF(A237="","",IFERROR(LOOKUP(2,1/((tbl_Finance[Job Number]=C237&amp;"")*(tbl_Finance[Date]=A237)),tbl_Finance[Xero Invoice No]),""))</f>
        <v/>
      </c>
      <c r="C237" s="14" t="n"/>
      <c r="D237" s="15">
        <f>IF(C237="","",IF(COUNTIF(lst_Jobs,C237&amp;"")&gt;0,"OK","CHECK"))</f>
        <v/>
      </c>
      <c r="E237" s="15">
        <f>IF(C237="","",IFERROR(INDEX(lst_JobName,MATCH(C237&amp;"",lst_Jobs,0)),""))</f>
        <v/>
      </c>
      <c r="F237" s="15">
        <f>IF(C237="","",IFERROR(INDEX(tbl_Finance[Client],MATCH(C237&amp;"",tbl_Finance[Job Number],0)),""))</f>
        <v/>
      </c>
      <c r="G237" s="52">
        <f>IF(C237="","",COUNTIFS(tbl_Finance[Job Number],C237&amp;"",tbl_Finance[Ex GST],"&lt;&gt;"))</f>
        <v/>
      </c>
      <c r="H237" s="17">
        <f>IF(C237="","",SUMIFS(tbl_Finance[Ex GST],tbl_Finance[Job Number],C237&amp;""))</f>
        <v/>
      </c>
      <c r="I237" s="15">
        <f>IF(C237="","",IFERROR(INDEX(tbl_Finance[Cost Centre],MATCH(C237&amp;"",tbl_Finance[Job Number],0)),"not invoiced yet"))</f>
        <v/>
      </c>
      <c r="J237" s="14" t="n"/>
      <c r="K237" s="15">
        <f>IF(J237="","",HYPERLINK(IF(LEFT(J237,4)="http",J237,set_QwilrBase&amp;J237),"Open quote"))</f>
        <v/>
      </c>
      <c r="L237" s="16" t="n"/>
      <c r="M237" s="16" t="n"/>
      <c r="N237" s="16" t="n"/>
      <c r="O237" s="15">
        <f>IF(C237="","",IF(N(L237)+N(M237)+N(N237)=0,"Not split",IF(ROUND(N(L237)+N(M237)+N(N237),2)=ROUND(H237,2),"OK","MISMATCH")))</f>
        <v/>
      </c>
      <c r="P237" s="16" t="n"/>
      <c r="Q237" s="16" t="n"/>
      <c r="R237" s="16" t="n"/>
      <c r="S237" s="17">
        <f>IF(C237="","",N(P237)+N(Q237)+N(R237))</f>
        <v/>
      </c>
      <c r="T237" s="17">
        <f>IF(C237="","",H237-S237)</f>
        <v/>
      </c>
      <c r="U237" s="54">
        <f>IFERROR(T237/H237,"")</f>
        <v/>
      </c>
      <c r="V237" s="14" t="n"/>
    </row>
    <row r="238" ht="15" customHeight="1">
      <c r="A238" s="51">
        <f>IF(C238="","",IFERROR(IF(SUMPRODUCT(MAX((tbl_Finance[Job Number]=C238&amp;"")*tbl_Finance[Date]))=0,"",SUMPRODUCT(MAX((tbl_Finance[Job Number]=C238&amp;"")*tbl_Finance[Date]))),""))</f>
        <v/>
      </c>
      <c r="B238" s="15">
        <f>IF(A238="","",IFERROR(LOOKUP(2,1/((tbl_Finance[Job Number]=C238&amp;"")*(tbl_Finance[Date]=A238)),tbl_Finance[Xero Invoice No]),""))</f>
        <v/>
      </c>
      <c r="C238" s="14" t="n"/>
      <c r="D238" s="15">
        <f>IF(C238="","",IF(COUNTIF(lst_Jobs,C238&amp;"")&gt;0,"OK","CHECK"))</f>
        <v/>
      </c>
      <c r="E238" s="15">
        <f>IF(C238="","",IFERROR(INDEX(lst_JobName,MATCH(C238&amp;"",lst_Jobs,0)),""))</f>
        <v/>
      </c>
      <c r="F238" s="15">
        <f>IF(C238="","",IFERROR(INDEX(tbl_Finance[Client],MATCH(C238&amp;"",tbl_Finance[Job Number],0)),""))</f>
        <v/>
      </c>
      <c r="G238" s="52">
        <f>IF(C238="","",COUNTIFS(tbl_Finance[Job Number],C238&amp;"",tbl_Finance[Ex GST],"&lt;&gt;"))</f>
        <v/>
      </c>
      <c r="H238" s="17">
        <f>IF(C238="","",SUMIFS(tbl_Finance[Ex GST],tbl_Finance[Job Number],C238&amp;""))</f>
        <v/>
      </c>
      <c r="I238" s="15">
        <f>IF(C238="","",IFERROR(INDEX(tbl_Finance[Cost Centre],MATCH(C238&amp;"",tbl_Finance[Job Number],0)),"not invoiced yet"))</f>
        <v/>
      </c>
      <c r="J238" s="14" t="n"/>
      <c r="K238" s="15">
        <f>IF(J238="","",HYPERLINK(IF(LEFT(J238,4)="http",J238,set_QwilrBase&amp;J238),"Open quote"))</f>
        <v/>
      </c>
      <c r="L238" s="16" t="n"/>
      <c r="M238" s="16" t="n"/>
      <c r="N238" s="16" t="n"/>
      <c r="O238" s="15">
        <f>IF(C238="","",IF(N(L238)+N(M238)+N(N238)=0,"Not split",IF(ROUND(N(L238)+N(M238)+N(N238),2)=ROUND(H238,2),"OK","MISMATCH")))</f>
        <v/>
      </c>
      <c r="P238" s="16" t="n"/>
      <c r="Q238" s="16" t="n"/>
      <c r="R238" s="16" t="n"/>
      <c r="S238" s="17">
        <f>IF(C238="","",N(P238)+N(Q238)+N(R238))</f>
        <v/>
      </c>
      <c r="T238" s="17">
        <f>IF(C238="","",H238-S238)</f>
        <v/>
      </c>
      <c r="U238" s="54">
        <f>IFERROR(T238/H238,"")</f>
        <v/>
      </c>
      <c r="V238" s="14" t="n"/>
    </row>
    <row r="239" ht="15" customHeight="1">
      <c r="A239" s="51">
        <f>IF(C239="","",IFERROR(IF(SUMPRODUCT(MAX((tbl_Finance[Job Number]=C239&amp;"")*tbl_Finance[Date]))=0,"",SUMPRODUCT(MAX((tbl_Finance[Job Number]=C239&amp;"")*tbl_Finance[Date]))),""))</f>
        <v/>
      </c>
      <c r="B239" s="15">
        <f>IF(A239="","",IFERROR(LOOKUP(2,1/((tbl_Finance[Job Number]=C239&amp;"")*(tbl_Finance[Date]=A239)),tbl_Finance[Xero Invoice No]),""))</f>
        <v/>
      </c>
      <c r="C239" s="14" t="n"/>
      <c r="D239" s="15">
        <f>IF(C239="","",IF(COUNTIF(lst_Jobs,C239&amp;"")&gt;0,"OK","CHECK"))</f>
        <v/>
      </c>
      <c r="E239" s="15">
        <f>IF(C239="","",IFERROR(INDEX(lst_JobName,MATCH(C239&amp;"",lst_Jobs,0)),""))</f>
        <v/>
      </c>
      <c r="F239" s="15">
        <f>IF(C239="","",IFERROR(INDEX(tbl_Finance[Client],MATCH(C239&amp;"",tbl_Finance[Job Number],0)),""))</f>
        <v/>
      </c>
      <c r="G239" s="52">
        <f>IF(C239="","",COUNTIFS(tbl_Finance[Job Number],C239&amp;"",tbl_Finance[Ex GST],"&lt;&gt;"))</f>
        <v/>
      </c>
      <c r="H239" s="17">
        <f>IF(C239="","",SUMIFS(tbl_Finance[Ex GST],tbl_Finance[Job Number],C239&amp;""))</f>
        <v/>
      </c>
      <c r="I239" s="15">
        <f>IF(C239="","",IFERROR(INDEX(tbl_Finance[Cost Centre],MATCH(C239&amp;"",tbl_Finance[Job Number],0)),"not invoiced yet"))</f>
        <v/>
      </c>
      <c r="J239" s="14" t="n"/>
      <c r="K239" s="15">
        <f>IF(J239="","",HYPERLINK(IF(LEFT(J239,4)="http",J239,set_QwilrBase&amp;J239),"Open quote"))</f>
        <v/>
      </c>
      <c r="L239" s="16" t="n"/>
      <c r="M239" s="16" t="n"/>
      <c r="N239" s="16" t="n"/>
      <c r="O239" s="15">
        <f>IF(C239="","",IF(N(L239)+N(M239)+N(N239)=0,"Not split",IF(ROUND(N(L239)+N(M239)+N(N239),2)=ROUND(H239,2),"OK","MISMATCH")))</f>
        <v/>
      </c>
      <c r="P239" s="16" t="n"/>
      <c r="Q239" s="16" t="n"/>
      <c r="R239" s="16" t="n"/>
      <c r="S239" s="17">
        <f>IF(C239="","",N(P239)+N(Q239)+N(R239))</f>
        <v/>
      </c>
      <c r="T239" s="17">
        <f>IF(C239="","",H239-S239)</f>
        <v/>
      </c>
      <c r="U239" s="54">
        <f>IFERROR(T239/H239,"")</f>
        <v/>
      </c>
      <c r="V239" s="14" t="n"/>
    </row>
    <row r="240" ht="15" customHeight="1">
      <c r="A240" s="51">
        <f>IF(C240="","",IFERROR(IF(SUMPRODUCT(MAX((tbl_Finance[Job Number]=C240&amp;"")*tbl_Finance[Date]))=0,"",SUMPRODUCT(MAX((tbl_Finance[Job Number]=C240&amp;"")*tbl_Finance[Date]))),""))</f>
        <v/>
      </c>
      <c r="B240" s="15">
        <f>IF(A240="","",IFERROR(LOOKUP(2,1/((tbl_Finance[Job Number]=C240&amp;"")*(tbl_Finance[Date]=A240)),tbl_Finance[Xero Invoice No]),""))</f>
        <v/>
      </c>
      <c r="C240" s="14" t="n"/>
      <c r="D240" s="15">
        <f>IF(C240="","",IF(COUNTIF(lst_Jobs,C240&amp;"")&gt;0,"OK","CHECK"))</f>
        <v/>
      </c>
      <c r="E240" s="15">
        <f>IF(C240="","",IFERROR(INDEX(lst_JobName,MATCH(C240&amp;"",lst_Jobs,0)),""))</f>
        <v/>
      </c>
      <c r="F240" s="15">
        <f>IF(C240="","",IFERROR(INDEX(tbl_Finance[Client],MATCH(C240&amp;"",tbl_Finance[Job Number],0)),""))</f>
        <v/>
      </c>
      <c r="G240" s="52">
        <f>IF(C240="","",COUNTIFS(tbl_Finance[Job Number],C240&amp;"",tbl_Finance[Ex GST],"&lt;&gt;"))</f>
        <v/>
      </c>
      <c r="H240" s="17">
        <f>IF(C240="","",SUMIFS(tbl_Finance[Ex GST],tbl_Finance[Job Number],C240&amp;""))</f>
        <v/>
      </c>
      <c r="I240" s="15">
        <f>IF(C240="","",IFERROR(INDEX(tbl_Finance[Cost Centre],MATCH(C240&amp;"",tbl_Finance[Job Number],0)),"not invoiced yet"))</f>
        <v/>
      </c>
      <c r="J240" s="14" t="n"/>
      <c r="K240" s="15">
        <f>IF(J240="","",HYPERLINK(IF(LEFT(J240,4)="http",J240,set_QwilrBase&amp;J240),"Open quote"))</f>
        <v/>
      </c>
      <c r="L240" s="16" t="n"/>
      <c r="M240" s="16" t="n"/>
      <c r="N240" s="16" t="n"/>
      <c r="O240" s="15">
        <f>IF(C240="","",IF(N(L240)+N(M240)+N(N240)=0,"Not split",IF(ROUND(N(L240)+N(M240)+N(N240),2)=ROUND(H240,2),"OK","MISMATCH")))</f>
        <v/>
      </c>
      <c r="P240" s="16" t="n"/>
      <c r="Q240" s="16" t="n"/>
      <c r="R240" s="16" t="n"/>
      <c r="S240" s="17">
        <f>IF(C240="","",N(P240)+N(Q240)+N(R240))</f>
        <v/>
      </c>
      <c r="T240" s="17">
        <f>IF(C240="","",H240-S240)</f>
        <v/>
      </c>
      <c r="U240" s="54">
        <f>IFERROR(T240/H240,"")</f>
        <v/>
      </c>
      <c r="V240" s="14" t="n"/>
    </row>
    <row r="241" ht="15" customHeight="1">
      <c r="A241" s="51">
        <f>IF(C241="","",IFERROR(IF(SUMPRODUCT(MAX((tbl_Finance[Job Number]=C241&amp;"")*tbl_Finance[Date]))=0,"",SUMPRODUCT(MAX((tbl_Finance[Job Number]=C241&amp;"")*tbl_Finance[Date]))),""))</f>
        <v/>
      </c>
      <c r="B241" s="15">
        <f>IF(A241="","",IFERROR(LOOKUP(2,1/((tbl_Finance[Job Number]=C241&amp;"")*(tbl_Finance[Date]=A241)),tbl_Finance[Xero Invoice No]),""))</f>
        <v/>
      </c>
      <c r="C241" s="14" t="n"/>
      <c r="D241" s="15">
        <f>IF(C241="","",IF(COUNTIF(lst_Jobs,C241&amp;"")&gt;0,"OK","CHECK"))</f>
        <v/>
      </c>
      <c r="E241" s="15">
        <f>IF(C241="","",IFERROR(INDEX(lst_JobName,MATCH(C241&amp;"",lst_Jobs,0)),""))</f>
        <v/>
      </c>
      <c r="F241" s="15">
        <f>IF(C241="","",IFERROR(INDEX(tbl_Finance[Client],MATCH(C241&amp;"",tbl_Finance[Job Number],0)),""))</f>
        <v/>
      </c>
      <c r="G241" s="52">
        <f>IF(C241="","",COUNTIFS(tbl_Finance[Job Number],C241&amp;"",tbl_Finance[Ex GST],"&lt;&gt;"))</f>
        <v/>
      </c>
      <c r="H241" s="17">
        <f>IF(C241="","",SUMIFS(tbl_Finance[Ex GST],tbl_Finance[Job Number],C241&amp;""))</f>
        <v/>
      </c>
      <c r="I241" s="15">
        <f>IF(C241="","",IFERROR(INDEX(tbl_Finance[Cost Centre],MATCH(C241&amp;"",tbl_Finance[Job Number],0)),"not invoiced yet"))</f>
        <v/>
      </c>
      <c r="J241" s="14" t="n"/>
      <c r="K241" s="15">
        <f>IF(J241="","",HYPERLINK(IF(LEFT(J241,4)="http",J241,set_QwilrBase&amp;J241),"Open quote"))</f>
        <v/>
      </c>
      <c r="L241" s="16" t="n"/>
      <c r="M241" s="16" t="n"/>
      <c r="N241" s="16" t="n"/>
      <c r="O241" s="15">
        <f>IF(C241="","",IF(N(L241)+N(M241)+N(N241)=0,"Not split",IF(ROUND(N(L241)+N(M241)+N(N241),2)=ROUND(H241,2),"OK","MISMATCH")))</f>
        <v/>
      </c>
      <c r="P241" s="16" t="n"/>
      <c r="Q241" s="16" t="n"/>
      <c r="R241" s="16" t="n"/>
      <c r="S241" s="17">
        <f>IF(C241="","",N(P241)+N(Q241)+N(R241))</f>
        <v/>
      </c>
      <c r="T241" s="17">
        <f>IF(C241="","",H241-S241)</f>
        <v/>
      </c>
      <c r="U241" s="54">
        <f>IFERROR(T241/H241,"")</f>
        <v/>
      </c>
      <c r="V241" s="14" t="n"/>
    </row>
    <row r="242" ht="15" customHeight="1">
      <c r="A242" s="51">
        <f>IF(C242="","",IFERROR(IF(SUMPRODUCT(MAX((tbl_Finance[Job Number]=C242&amp;"")*tbl_Finance[Date]))=0,"",SUMPRODUCT(MAX((tbl_Finance[Job Number]=C242&amp;"")*tbl_Finance[Date]))),""))</f>
        <v/>
      </c>
      <c r="B242" s="15">
        <f>IF(A242="","",IFERROR(LOOKUP(2,1/((tbl_Finance[Job Number]=C242&amp;"")*(tbl_Finance[Date]=A242)),tbl_Finance[Xero Invoice No]),""))</f>
        <v/>
      </c>
      <c r="C242" s="14" t="n"/>
      <c r="D242" s="15">
        <f>IF(C242="","",IF(COUNTIF(lst_Jobs,C242&amp;"")&gt;0,"OK","CHECK"))</f>
        <v/>
      </c>
      <c r="E242" s="15">
        <f>IF(C242="","",IFERROR(INDEX(lst_JobName,MATCH(C242&amp;"",lst_Jobs,0)),""))</f>
        <v/>
      </c>
      <c r="F242" s="15">
        <f>IF(C242="","",IFERROR(INDEX(tbl_Finance[Client],MATCH(C242&amp;"",tbl_Finance[Job Number],0)),""))</f>
        <v/>
      </c>
      <c r="G242" s="52">
        <f>IF(C242="","",COUNTIFS(tbl_Finance[Job Number],C242&amp;"",tbl_Finance[Ex GST],"&lt;&gt;"))</f>
        <v/>
      </c>
      <c r="H242" s="17">
        <f>IF(C242="","",SUMIFS(tbl_Finance[Ex GST],tbl_Finance[Job Number],C242&amp;""))</f>
        <v/>
      </c>
      <c r="I242" s="15">
        <f>IF(C242="","",IFERROR(INDEX(tbl_Finance[Cost Centre],MATCH(C242&amp;"",tbl_Finance[Job Number],0)),"not invoiced yet"))</f>
        <v/>
      </c>
      <c r="J242" s="14" t="n"/>
      <c r="K242" s="15">
        <f>IF(J242="","",HYPERLINK(IF(LEFT(J242,4)="http",J242,set_QwilrBase&amp;J242),"Open quote"))</f>
        <v/>
      </c>
      <c r="L242" s="16" t="n"/>
      <c r="M242" s="16" t="n"/>
      <c r="N242" s="16" t="n"/>
      <c r="O242" s="15">
        <f>IF(C242="","",IF(N(L242)+N(M242)+N(N242)=0,"Not split",IF(ROUND(N(L242)+N(M242)+N(N242),2)=ROUND(H242,2),"OK","MISMATCH")))</f>
        <v/>
      </c>
      <c r="P242" s="16" t="n"/>
      <c r="Q242" s="16" t="n"/>
      <c r="R242" s="16" t="n"/>
      <c r="S242" s="17">
        <f>IF(C242="","",N(P242)+N(Q242)+N(R242))</f>
        <v/>
      </c>
      <c r="T242" s="17">
        <f>IF(C242="","",H242-S242)</f>
        <v/>
      </c>
      <c r="U242" s="54">
        <f>IFERROR(T242/H242,"")</f>
        <v/>
      </c>
      <c r="V242" s="14" t="n"/>
    </row>
    <row r="243" ht="15" customHeight="1">
      <c r="A243" s="51">
        <f>IF(C243="","",IFERROR(IF(SUMPRODUCT(MAX((tbl_Finance[Job Number]=C243&amp;"")*tbl_Finance[Date]))=0,"",SUMPRODUCT(MAX((tbl_Finance[Job Number]=C243&amp;"")*tbl_Finance[Date]))),""))</f>
        <v/>
      </c>
      <c r="B243" s="15">
        <f>IF(A243="","",IFERROR(LOOKUP(2,1/((tbl_Finance[Job Number]=C243&amp;"")*(tbl_Finance[Date]=A243)),tbl_Finance[Xero Invoice No]),""))</f>
        <v/>
      </c>
      <c r="C243" s="14" t="n"/>
      <c r="D243" s="15">
        <f>IF(C243="","",IF(COUNTIF(lst_Jobs,C243&amp;"")&gt;0,"OK","CHECK"))</f>
        <v/>
      </c>
      <c r="E243" s="15">
        <f>IF(C243="","",IFERROR(INDEX(lst_JobName,MATCH(C243&amp;"",lst_Jobs,0)),""))</f>
        <v/>
      </c>
      <c r="F243" s="15">
        <f>IF(C243="","",IFERROR(INDEX(tbl_Finance[Client],MATCH(C243&amp;"",tbl_Finance[Job Number],0)),""))</f>
        <v/>
      </c>
      <c r="G243" s="52">
        <f>IF(C243="","",COUNTIFS(tbl_Finance[Job Number],C243&amp;"",tbl_Finance[Ex GST],"&lt;&gt;"))</f>
        <v/>
      </c>
      <c r="H243" s="17">
        <f>IF(C243="","",SUMIFS(tbl_Finance[Ex GST],tbl_Finance[Job Number],C243&amp;""))</f>
        <v/>
      </c>
      <c r="I243" s="15">
        <f>IF(C243="","",IFERROR(INDEX(tbl_Finance[Cost Centre],MATCH(C243&amp;"",tbl_Finance[Job Number],0)),"not invoiced yet"))</f>
        <v/>
      </c>
      <c r="J243" s="14" t="n"/>
      <c r="K243" s="15">
        <f>IF(J243="","",HYPERLINK(IF(LEFT(J243,4)="http",J243,set_QwilrBase&amp;J243),"Open quote"))</f>
        <v/>
      </c>
      <c r="L243" s="16" t="n"/>
      <c r="M243" s="16" t="n"/>
      <c r="N243" s="16" t="n"/>
      <c r="O243" s="15">
        <f>IF(C243="","",IF(N(L243)+N(M243)+N(N243)=0,"Not split",IF(ROUND(N(L243)+N(M243)+N(N243),2)=ROUND(H243,2),"OK","MISMATCH")))</f>
        <v/>
      </c>
      <c r="P243" s="16" t="n"/>
      <c r="Q243" s="16" t="n"/>
      <c r="R243" s="16" t="n"/>
      <c r="S243" s="17">
        <f>IF(C243="","",N(P243)+N(Q243)+N(R243))</f>
        <v/>
      </c>
      <c r="T243" s="17">
        <f>IF(C243="","",H243-S243)</f>
        <v/>
      </c>
      <c r="U243" s="54">
        <f>IFERROR(T243/H243,"")</f>
        <v/>
      </c>
      <c r="V243" s="14" t="n"/>
    </row>
    <row r="244" ht="15" customHeight="1">
      <c r="A244" s="51">
        <f>IF(C244="","",IFERROR(IF(SUMPRODUCT(MAX((tbl_Finance[Job Number]=C244&amp;"")*tbl_Finance[Date]))=0,"",SUMPRODUCT(MAX((tbl_Finance[Job Number]=C244&amp;"")*tbl_Finance[Date]))),""))</f>
        <v/>
      </c>
      <c r="B244" s="15">
        <f>IF(A244="","",IFERROR(LOOKUP(2,1/((tbl_Finance[Job Number]=C244&amp;"")*(tbl_Finance[Date]=A244)),tbl_Finance[Xero Invoice No]),""))</f>
        <v/>
      </c>
      <c r="C244" s="14" t="n"/>
      <c r="D244" s="15">
        <f>IF(C244="","",IF(COUNTIF(lst_Jobs,C244&amp;"")&gt;0,"OK","CHECK"))</f>
        <v/>
      </c>
      <c r="E244" s="15">
        <f>IF(C244="","",IFERROR(INDEX(lst_JobName,MATCH(C244&amp;"",lst_Jobs,0)),""))</f>
        <v/>
      </c>
      <c r="F244" s="15">
        <f>IF(C244="","",IFERROR(INDEX(tbl_Finance[Client],MATCH(C244&amp;"",tbl_Finance[Job Number],0)),""))</f>
        <v/>
      </c>
      <c r="G244" s="52">
        <f>IF(C244="","",COUNTIFS(tbl_Finance[Job Number],C244&amp;"",tbl_Finance[Ex GST],"&lt;&gt;"))</f>
        <v/>
      </c>
      <c r="H244" s="17">
        <f>IF(C244="","",SUMIFS(tbl_Finance[Ex GST],tbl_Finance[Job Number],C244&amp;""))</f>
        <v/>
      </c>
      <c r="I244" s="15">
        <f>IF(C244="","",IFERROR(INDEX(tbl_Finance[Cost Centre],MATCH(C244&amp;"",tbl_Finance[Job Number],0)),"not invoiced yet"))</f>
        <v/>
      </c>
      <c r="J244" s="14" t="n"/>
      <c r="K244" s="15">
        <f>IF(J244="","",HYPERLINK(IF(LEFT(J244,4)="http",J244,set_QwilrBase&amp;J244),"Open quote"))</f>
        <v/>
      </c>
      <c r="L244" s="16" t="n"/>
      <c r="M244" s="16" t="n"/>
      <c r="N244" s="16" t="n"/>
      <c r="O244" s="15">
        <f>IF(C244="","",IF(N(L244)+N(M244)+N(N244)=0,"Not split",IF(ROUND(N(L244)+N(M244)+N(N244),2)=ROUND(H244,2),"OK","MISMATCH")))</f>
        <v/>
      </c>
      <c r="P244" s="16" t="n"/>
      <c r="Q244" s="16" t="n"/>
      <c r="R244" s="16" t="n"/>
      <c r="S244" s="17">
        <f>IF(C244="","",N(P244)+N(Q244)+N(R244))</f>
        <v/>
      </c>
      <c r="T244" s="17">
        <f>IF(C244="","",H244-S244)</f>
        <v/>
      </c>
      <c r="U244" s="54">
        <f>IFERROR(T244/H244,"")</f>
        <v/>
      </c>
      <c r="V244" s="14" t="n"/>
    </row>
    <row r="245" ht="15" customHeight="1">
      <c r="A245" s="51">
        <f>IF(C245="","",IFERROR(IF(SUMPRODUCT(MAX((tbl_Finance[Job Number]=C245&amp;"")*tbl_Finance[Date]))=0,"",SUMPRODUCT(MAX((tbl_Finance[Job Number]=C245&amp;"")*tbl_Finance[Date]))),""))</f>
        <v/>
      </c>
      <c r="B245" s="15">
        <f>IF(A245="","",IFERROR(LOOKUP(2,1/((tbl_Finance[Job Number]=C245&amp;"")*(tbl_Finance[Date]=A245)),tbl_Finance[Xero Invoice No]),""))</f>
        <v/>
      </c>
      <c r="C245" s="14" t="n"/>
      <c r="D245" s="15">
        <f>IF(C245="","",IF(COUNTIF(lst_Jobs,C245&amp;"")&gt;0,"OK","CHECK"))</f>
        <v/>
      </c>
      <c r="E245" s="15">
        <f>IF(C245="","",IFERROR(INDEX(lst_JobName,MATCH(C245&amp;"",lst_Jobs,0)),""))</f>
        <v/>
      </c>
      <c r="F245" s="15">
        <f>IF(C245="","",IFERROR(INDEX(tbl_Finance[Client],MATCH(C245&amp;"",tbl_Finance[Job Number],0)),""))</f>
        <v/>
      </c>
      <c r="G245" s="52">
        <f>IF(C245="","",COUNTIFS(tbl_Finance[Job Number],C245&amp;"",tbl_Finance[Ex GST],"&lt;&gt;"))</f>
        <v/>
      </c>
      <c r="H245" s="17">
        <f>IF(C245="","",SUMIFS(tbl_Finance[Ex GST],tbl_Finance[Job Number],C245&amp;""))</f>
        <v/>
      </c>
      <c r="I245" s="15">
        <f>IF(C245="","",IFERROR(INDEX(tbl_Finance[Cost Centre],MATCH(C245&amp;"",tbl_Finance[Job Number],0)),"not invoiced yet"))</f>
        <v/>
      </c>
      <c r="J245" s="14" t="n"/>
      <c r="K245" s="15">
        <f>IF(J245="","",HYPERLINK(IF(LEFT(J245,4)="http",J245,set_QwilrBase&amp;J245),"Open quote"))</f>
        <v/>
      </c>
      <c r="L245" s="16" t="n"/>
      <c r="M245" s="16" t="n"/>
      <c r="N245" s="16" t="n"/>
      <c r="O245" s="15">
        <f>IF(C245="","",IF(N(L245)+N(M245)+N(N245)=0,"Not split",IF(ROUND(N(L245)+N(M245)+N(N245),2)=ROUND(H245,2),"OK","MISMATCH")))</f>
        <v/>
      </c>
      <c r="P245" s="16" t="n"/>
      <c r="Q245" s="16" t="n"/>
      <c r="R245" s="16" t="n"/>
      <c r="S245" s="17">
        <f>IF(C245="","",N(P245)+N(Q245)+N(R245))</f>
        <v/>
      </c>
      <c r="T245" s="17">
        <f>IF(C245="","",H245-S245)</f>
        <v/>
      </c>
      <c r="U245" s="54">
        <f>IFERROR(T245/H245,"")</f>
        <v/>
      </c>
      <c r="V245" s="14" t="n"/>
    </row>
    <row r="246" ht="15" customHeight="1">
      <c r="A246" s="51">
        <f>IF(C246="","",IFERROR(IF(SUMPRODUCT(MAX((tbl_Finance[Job Number]=C246&amp;"")*tbl_Finance[Date]))=0,"",SUMPRODUCT(MAX((tbl_Finance[Job Number]=C246&amp;"")*tbl_Finance[Date]))),""))</f>
        <v/>
      </c>
      <c r="B246" s="15">
        <f>IF(A246="","",IFERROR(LOOKUP(2,1/((tbl_Finance[Job Number]=C246&amp;"")*(tbl_Finance[Date]=A246)),tbl_Finance[Xero Invoice No]),""))</f>
        <v/>
      </c>
      <c r="C246" s="14" t="n"/>
      <c r="D246" s="15">
        <f>IF(C246="","",IF(COUNTIF(lst_Jobs,C246&amp;"")&gt;0,"OK","CHECK"))</f>
        <v/>
      </c>
      <c r="E246" s="15">
        <f>IF(C246="","",IFERROR(INDEX(lst_JobName,MATCH(C246&amp;"",lst_Jobs,0)),""))</f>
        <v/>
      </c>
      <c r="F246" s="15">
        <f>IF(C246="","",IFERROR(INDEX(tbl_Finance[Client],MATCH(C246&amp;"",tbl_Finance[Job Number],0)),""))</f>
        <v/>
      </c>
      <c r="G246" s="52">
        <f>IF(C246="","",COUNTIFS(tbl_Finance[Job Number],C246&amp;"",tbl_Finance[Ex GST],"&lt;&gt;"))</f>
        <v/>
      </c>
      <c r="H246" s="17">
        <f>IF(C246="","",SUMIFS(tbl_Finance[Ex GST],tbl_Finance[Job Number],C246&amp;""))</f>
        <v/>
      </c>
      <c r="I246" s="15">
        <f>IF(C246="","",IFERROR(INDEX(tbl_Finance[Cost Centre],MATCH(C246&amp;"",tbl_Finance[Job Number],0)),"not invoiced yet"))</f>
        <v/>
      </c>
      <c r="J246" s="14" t="n"/>
      <c r="K246" s="15">
        <f>IF(J246="","",HYPERLINK(IF(LEFT(J246,4)="http",J246,set_QwilrBase&amp;J246),"Open quote"))</f>
        <v/>
      </c>
      <c r="L246" s="16" t="n"/>
      <c r="M246" s="16" t="n"/>
      <c r="N246" s="16" t="n"/>
      <c r="O246" s="15">
        <f>IF(C246="","",IF(N(L246)+N(M246)+N(N246)=0,"Not split",IF(ROUND(N(L246)+N(M246)+N(N246),2)=ROUND(H246,2),"OK","MISMATCH")))</f>
        <v/>
      </c>
      <c r="P246" s="16" t="n"/>
      <c r="Q246" s="16" t="n"/>
      <c r="R246" s="16" t="n"/>
      <c r="S246" s="17">
        <f>IF(C246="","",N(P246)+N(Q246)+N(R246))</f>
        <v/>
      </c>
      <c r="T246" s="17">
        <f>IF(C246="","",H246-S246)</f>
        <v/>
      </c>
      <c r="U246" s="54">
        <f>IFERROR(T246/H246,"")</f>
        <v/>
      </c>
      <c r="V246" s="14" t="n"/>
    </row>
    <row r="247" ht="15" customHeight="1">
      <c r="A247" s="51">
        <f>IF(C247="","",IFERROR(IF(SUMPRODUCT(MAX((tbl_Finance[Job Number]=C247&amp;"")*tbl_Finance[Date]))=0,"",SUMPRODUCT(MAX((tbl_Finance[Job Number]=C247&amp;"")*tbl_Finance[Date]))),""))</f>
        <v/>
      </c>
      <c r="B247" s="15">
        <f>IF(A247="","",IFERROR(LOOKUP(2,1/((tbl_Finance[Job Number]=C247&amp;"")*(tbl_Finance[Date]=A247)),tbl_Finance[Xero Invoice No]),""))</f>
        <v/>
      </c>
      <c r="C247" s="14" t="n"/>
      <c r="D247" s="15">
        <f>IF(C247="","",IF(COUNTIF(lst_Jobs,C247&amp;"")&gt;0,"OK","CHECK"))</f>
        <v/>
      </c>
      <c r="E247" s="15">
        <f>IF(C247="","",IFERROR(INDEX(lst_JobName,MATCH(C247&amp;"",lst_Jobs,0)),""))</f>
        <v/>
      </c>
      <c r="F247" s="15">
        <f>IF(C247="","",IFERROR(INDEX(tbl_Finance[Client],MATCH(C247&amp;"",tbl_Finance[Job Number],0)),""))</f>
        <v/>
      </c>
      <c r="G247" s="52">
        <f>IF(C247="","",COUNTIFS(tbl_Finance[Job Number],C247&amp;"",tbl_Finance[Ex GST],"&lt;&gt;"))</f>
        <v/>
      </c>
      <c r="H247" s="17">
        <f>IF(C247="","",SUMIFS(tbl_Finance[Ex GST],tbl_Finance[Job Number],C247&amp;""))</f>
        <v/>
      </c>
      <c r="I247" s="15">
        <f>IF(C247="","",IFERROR(INDEX(tbl_Finance[Cost Centre],MATCH(C247&amp;"",tbl_Finance[Job Number],0)),"not invoiced yet"))</f>
        <v/>
      </c>
      <c r="J247" s="14" t="n"/>
      <c r="K247" s="15">
        <f>IF(J247="","",HYPERLINK(IF(LEFT(J247,4)="http",J247,set_QwilrBase&amp;J247),"Open quote"))</f>
        <v/>
      </c>
      <c r="L247" s="16" t="n"/>
      <c r="M247" s="16" t="n"/>
      <c r="N247" s="16" t="n"/>
      <c r="O247" s="15">
        <f>IF(C247="","",IF(N(L247)+N(M247)+N(N247)=0,"Not split",IF(ROUND(N(L247)+N(M247)+N(N247),2)=ROUND(H247,2),"OK","MISMATCH")))</f>
        <v/>
      </c>
      <c r="P247" s="16" t="n"/>
      <c r="Q247" s="16" t="n"/>
      <c r="R247" s="16" t="n"/>
      <c r="S247" s="17">
        <f>IF(C247="","",N(P247)+N(Q247)+N(R247))</f>
        <v/>
      </c>
      <c r="T247" s="17">
        <f>IF(C247="","",H247-S247)</f>
        <v/>
      </c>
      <c r="U247" s="54">
        <f>IFERROR(T247/H247,"")</f>
        <v/>
      </c>
      <c r="V247" s="14" t="n"/>
    </row>
    <row r="248" ht="15" customHeight="1">
      <c r="A248" s="51">
        <f>IF(C248="","",IFERROR(IF(SUMPRODUCT(MAX((tbl_Finance[Job Number]=C248&amp;"")*tbl_Finance[Date]))=0,"",SUMPRODUCT(MAX((tbl_Finance[Job Number]=C248&amp;"")*tbl_Finance[Date]))),""))</f>
        <v/>
      </c>
      <c r="B248" s="15">
        <f>IF(A248="","",IFERROR(LOOKUP(2,1/((tbl_Finance[Job Number]=C248&amp;"")*(tbl_Finance[Date]=A248)),tbl_Finance[Xero Invoice No]),""))</f>
        <v/>
      </c>
      <c r="C248" s="14" t="n"/>
      <c r="D248" s="15">
        <f>IF(C248="","",IF(COUNTIF(lst_Jobs,C248&amp;"")&gt;0,"OK","CHECK"))</f>
        <v/>
      </c>
      <c r="E248" s="15">
        <f>IF(C248="","",IFERROR(INDEX(lst_JobName,MATCH(C248&amp;"",lst_Jobs,0)),""))</f>
        <v/>
      </c>
      <c r="F248" s="15">
        <f>IF(C248="","",IFERROR(INDEX(tbl_Finance[Client],MATCH(C248&amp;"",tbl_Finance[Job Number],0)),""))</f>
        <v/>
      </c>
      <c r="G248" s="52">
        <f>IF(C248="","",COUNTIFS(tbl_Finance[Job Number],C248&amp;"",tbl_Finance[Ex GST],"&lt;&gt;"))</f>
        <v/>
      </c>
      <c r="H248" s="17">
        <f>IF(C248="","",SUMIFS(tbl_Finance[Ex GST],tbl_Finance[Job Number],C248&amp;""))</f>
        <v/>
      </c>
      <c r="I248" s="15">
        <f>IF(C248="","",IFERROR(INDEX(tbl_Finance[Cost Centre],MATCH(C248&amp;"",tbl_Finance[Job Number],0)),"not invoiced yet"))</f>
        <v/>
      </c>
      <c r="J248" s="14" t="n"/>
      <c r="K248" s="15">
        <f>IF(J248="","",HYPERLINK(IF(LEFT(J248,4)="http",J248,set_QwilrBase&amp;J248),"Open quote"))</f>
        <v/>
      </c>
      <c r="L248" s="16" t="n"/>
      <c r="M248" s="16" t="n"/>
      <c r="N248" s="16" t="n"/>
      <c r="O248" s="15">
        <f>IF(C248="","",IF(N(L248)+N(M248)+N(N248)=0,"Not split",IF(ROUND(N(L248)+N(M248)+N(N248),2)=ROUND(H248,2),"OK","MISMATCH")))</f>
        <v/>
      </c>
      <c r="P248" s="16" t="n"/>
      <c r="Q248" s="16" t="n"/>
      <c r="R248" s="16" t="n"/>
      <c r="S248" s="17">
        <f>IF(C248="","",N(P248)+N(Q248)+N(R248))</f>
        <v/>
      </c>
      <c r="T248" s="17">
        <f>IF(C248="","",H248-S248)</f>
        <v/>
      </c>
      <c r="U248" s="54">
        <f>IFERROR(T248/H248,"")</f>
        <v/>
      </c>
      <c r="V248" s="14" t="n"/>
    </row>
    <row r="249" ht="15" customHeight="1">
      <c r="A249" s="51">
        <f>IF(C249="","",IFERROR(IF(SUMPRODUCT(MAX((tbl_Finance[Job Number]=C249&amp;"")*tbl_Finance[Date]))=0,"",SUMPRODUCT(MAX((tbl_Finance[Job Number]=C249&amp;"")*tbl_Finance[Date]))),""))</f>
        <v/>
      </c>
      <c r="B249" s="15">
        <f>IF(A249="","",IFERROR(LOOKUP(2,1/((tbl_Finance[Job Number]=C249&amp;"")*(tbl_Finance[Date]=A249)),tbl_Finance[Xero Invoice No]),""))</f>
        <v/>
      </c>
      <c r="C249" s="14" t="n"/>
      <c r="D249" s="15">
        <f>IF(C249="","",IF(COUNTIF(lst_Jobs,C249&amp;"")&gt;0,"OK","CHECK"))</f>
        <v/>
      </c>
      <c r="E249" s="15">
        <f>IF(C249="","",IFERROR(INDEX(lst_JobName,MATCH(C249&amp;"",lst_Jobs,0)),""))</f>
        <v/>
      </c>
      <c r="F249" s="15">
        <f>IF(C249="","",IFERROR(INDEX(tbl_Finance[Client],MATCH(C249&amp;"",tbl_Finance[Job Number],0)),""))</f>
        <v/>
      </c>
      <c r="G249" s="52">
        <f>IF(C249="","",COUNTIFS(tbl_Finance[Job Number],C249&amp;"",tbl_Finance[Ex GST],"&lt;&gt;"))</f>
        <v/>
      </c>
      <c r="H249" s="17">
        <f>IF(C249="","",SUMIFS(tbl_Finance[Ex GST],tbl_Finance[Job Number],C249&amp;""))</f>
        <v/>
      </c>
      <c r="I249" s="15">
        <f>IF(C249="","",IFERROR(INDEX(tbl_Finance[Cost Centre],MATCH(C249&amp;"",tbl_Finance[Job Number],0)),"not invoiced yet"))</f>
        <v/>
      </c>
      <c r="J249" s="14" t="n"/>
      <c r="K249" s="15">
        <f>IF(J249="","",HYPERLINK(IF(LEFT(J249,4)="http",J249,set_QwilrBase&amp;J249),"Open quote"))</f>
        <v/>
      </c>
      <c r="L249" s="16" t="n"/>
      <c r="M249" s="16" t="n"/>
      <c r="N249" s="16" t="n"/>
      <c r="O249" s="15">
        <f>IF(C249="","",IF(N(L249)+N(M249)+N(N249)=0,"Not split",IF(ROUND(N(L249)+N(M249)+N(N249),2)=ROUND(H249,2),"OK","MISMATCH")))</f>
        <v/>
      </c>
      <c r="P249" s="16" t="n"/>
      <c r="Q249" s="16" t="n"/>
      <c r="R249" s="16" t="n"/>
      <c r="S249" s="17">
        <f>IF(C249="","",N(P249)+N(Q249)+N(R249))</f>
        <v/>
      </c>
      <c r="T249" s="17">
        <f>IF(C249="","",H249-S249)</f>
        <v/>
      </c>
      <c r="U249" s="54">
        <f>IFERROR(T249/H249,"")</f>
        <v/>
      </c>
      <c r="V249" s="14" t="n"/>
    </row>
    <row r="250" ht="15" customHeight="1">
      <c r="A250" s="51">
        <f>IF(C250="","",IFERROR(IF(SUMPRODUCT(MAX((tbl_Finance[Job Number]=C250&amp;"")*tbl_Finance[Date]))=0,"",SUMPRODUCT(MAX((tbl_Finance[Job Number]=C250&amp;"")*tbl_Finance[Date]))),""))</f>
        <v/>
      </c>
      <c r="B250" s="15">
        <f>IF(A250="","",IFERROR(LOOKUP(2,1/((tbl_Finance[Job Number]=C250&amp;"")*(tbl_Finance[Date]=A250)),tbl_Finance[Xero Invoice No]),""))</f>
        <v/>
      </c>
      <c r="C250" s="14" t="n"/>
      <c r="D250" s="15">
        <f>IF(C250="","",IF(COUNTIF(lst_Jobs,C250&amp;"")&gt;0,"OK","CHECK"))</f>
        <v/>
      </c>
      <c r="E250" s="15">
        <f>IF(C250="","",IFERROR(INDEX(lst_JobName,MATCH(C250&amp;"",lst_Jobs,0)),""))</f>
        <v/>
      </c>
      <c r="F250" s="15">
        <f>IF(C250="","",IFERROR(INDEX(tbl_Finance[Client],MATCH(C250&amp;"",tbl_Finance[Job Number],0)),""))</f>
        <v/>
      </c>
      <c r="G250" s="52">
        <f>IF(C250="","",COUNTIFS(tbl_Finance[Job Number],C250&amp;"",tbl_Finance[Ex GST],"&lt;&gt;"))</f>
        <v/>
      </c>
      <c r="H250" s="17">
        <f>IF(C250="","",SUMIFS(tbl_Finance[Ex GST],tbl_Finance[Job Number],C250&amp;""))</f>
        <v/>
      </c>
      <c r="I250" s="15">
        <f>IF(C250="","",IFERROR(INDEX(tbl_Finance[Cost Centre],MATCH(C250&amp;"",tbl_Finance[Job Number],0)),"not invoiced yet"))</f>
        <v/>
      </c>
      <c r="J250" s="14" t="n"/>
      <c r="K250" s="15">
        <f>IF(J250="","",HYPERLINK(IF(LEFT(J250,4)="http",J250,set_QwilrBase&amp;J250),"Open quote"))</f>
        <v/>
      </c>
      <c r="L250" s="16" t="n"/>
      <c r="M250" s="16" t="n"/>
      <c r="N250" s="16" t="n"/>
      <c r="O250" s="15">
        <f>IF(C250="","",IF(N(L250)+N(M250)+N(N250)=0,"Not split",IF(ROUND(N(L250)+N(M250)+N(N250),2)=ROUND(H250,2),"OK","MISMATCH")))</f>
        <v/>
      </c>
      <c r="P250" s="16" t="n"/>
      <c r="Q250" s="16" t="n"/>
      <c r="R250" s="16" t="n"/>
      <c r="S250" s="17">
        <f>IF(C250="","",N(P250)+N(Q250)+N(R250))</f>
        <v/>
      </c>
      <c r="T250" s="17">
        <f>IF(C250="","",H250-S250)</f>
        <v/>
      </c>
      <c r="U250" s="54">
        <f>IFERROR(T250/H250,"")</f>
        <v/>
      </c>
      <c r="V250" s="14" t="n"/>
    </row>
    <row r="251" ht="15" customHeight="1">
      <c r="A251" s="51">
        <f>IF(C251="","",IFERROR(IF(SUMPRODUCT(MAX((tbl_Finance[Job Number]=C251&amp;"")*tbl_Finance[Date]))=0,"",SUMPRODUCT(MAX((tbl_Finance[Job Number]=C251&amp;"")*tbl_Finance[Date]))),""))</f>
        <v/>
      </c>
      <c r="B251" s="15">
        <f>IF(A251="","",IFERROR(LOOKUP(2,1/((tbl_Finance[Job Number]=C251&amp;"")*(tbl_Finance[Date]=A251)),tbl_Finance[Xero Invoice No]),""))</f>
        <v/>
      </c>
      <c r="C251" s="14" t="n"/>
      <c r="D251" s="15">
        <f>IF(C251="","",IF(COUNTIF(lst_Jobs,C251&amp;"")&gt;0,"OK","CHECK"))</f>
        <v/>
      </c>
      <c r="E251" s="15">
        <f>IF(C251="","",IFERROR(INDEX(lst_JobName,MATCH(C251&amp;"",lst_Jobs,0)),""))</f>
        <v/>
      </c>
      <c r="F251" s="15">
        <f>IF(C251="","",IFERROR(INDEX(tbl_Finance[Client],MATCH(C251&amp;"",tbl_Finance[Job Number],0)),""))</f>
        <v/>
      </c>
      <c r="G251" s="52">
        <f>IF(C251="","",COUNTIFS(tbl_Finance[Job Number],C251&amp;"",tbl_Finance[Ex GST],"&lt;&gt;"))</f>
        <v/>
      </c>
      <c r="H251" s="17">
        <f>IF(C251="","",SUMIFS(tbl_Finance[Ex GST],tbl_Finance[Job Number],C251&amp;""))</f>
        <v/>
      </c>
      <c r="I251" s="15">
        <f>IF(C251="","",IFERROR(INDEX(tbl_Finance[Cost Centre],MATCH(C251&amp;"",tbl_Finance[Job Number],0)),"not invoiced yet"))</f>
        <v/>
      </c>
      <c r="J251" s="14" t="n"/>
      <c r="K251" s="15">
        <f>IF(J251="","",HYPERLINK(IF(LEFT(J251,4)="http",J251,set_QwilrBase&amp;J251),"Open quote"))</f>
        <v/>
      </c>
      <c r="L251" s="16" t="n"/>
      <c r="M251" s="16" t="n"/>
      <c r="N251" s="16" t="n"/>
      <c r="O251" s="15">
        <f>IF(C251="","",IF(N(L251)+N(M251)+N(N251)=0,"Not split",IF(ROUND(N(L251)+N(M251)+N(N251),2)=ROUND(H251,2),"OK","MISMATCH")))</f>
        <v/>
      </c>
      <c r="P251" s="16" t="n"/>
      <c r="Q251" s="16" t="n"/>
      <c r="R251" s="16" t="n"/>
      <c r="S251" s="17">
        <f>IF(C251="","",N(P251)+N(Q251)+N(R251))</f>
        <v/>
      </c>
      <c r="T251" s="17">
        <f>IF(C251="","",H251-S251)</f>
        <v/>
      </c>
      <c r="U251" s="54">
        <f>IFERROR(T251/H251,"")</f>
        <v/>
      </c>
      <c r="V251" s="14" t="n"/>
    </row>
    <row r="252" ht="15" customHeight="1">
      <c r="A252" s="51">
        <f>IF(C252="","",IFERROR(IF(SUMPRODUCT(MAX((tbl_Finance[Job Number]=C252&amp;"")*tbl_Finance[Date]))=0,"",SUMPRODUCT(MAX((tbl_Finance[Job Number]=C252&amp;"")*tbl_Finance[Date]))),""))</f>
        <v/>
      </c>
      <c r="B252" s="15">
        <f>IF(A252="","",IFERROR(LOOKUP(2,1/((tbl_Finance[Job Number]=C252&amp;"")*(tbl_Finance[Date]=A252)),tbl_Finance[Xero Invoice No]),""))</f>
        <v/>
      </c>
      <c r="C252" s="14" t="n"/>
      <c r="D252" s="15">
        <f>IF(C252="","",IF(COUNTIF(lst_Jobs,C252&amp;"")&gt;0,"OK","CHECK"))</f>
        <v/>
      </c>
      <c r="E252" s="15">
        <f>IF(C252="","",IFERROR(INDEX(lst_JobName,MATCH(C252&amp;"",lst_Jobs,0)),""))</f>
        <v/>
      </c>
      <c r="F252" s="15">
        <f>IF(C252="","",IFERROR(INDEX(tbl_Finance[Client],MATCH(C252&amp;"",tbl_Finance[Job Number],0)),""))</f>
        <v/>
      </c>
      <c r="G252" s="52">
        <f>IF(C252="","",COUNTIFS(tbl_Finance[Job Number],C252&amp;"",tbl_Finance[Ex GST],"&lt;&gt;"))</f>
        <v/>
      </c>
      <c r="H252" s="17">
        <f>IF(C252="","",SUMIFS(tbl_Finance[Ex GST],tbl_Finance[Job Number],C252&amp;""))</f>
        <v/>
      </c>
      <c r="I252" s="15">
        <f>IF(C252="","",IFERROR(INDEX(tbl_Finance[Cost Centre],MATCH(C252&amp;"",tbl_Finance[Job Number],0)),"not invoiced yet"))</f>
        <v/>
      </c>
      <c r="J252" s="14" t="n"/>
      <c r="K252" s="15">
        <f>IF(J252="","",HYPERLINK(IF(LEFT(J252,4)="http",J252,set_QwilrBase&amp;J252),"Open quote"))</f>
        <v/>
      </c>
      <c r="L252" s="16" t="n"/>
      <c r="M252" s="16" t="n"/>
      <c r="N252" s="16" t="n"/>
      <c r="O252" s="15">
        <f>IF(C252="","",IF(N(L252)+N(M252)+N(N252)=0,"Not split",IF(ROUND(N(L252)+N(M252)+N(N252),2)=ROUND(H252,2),"OK","MISMATCH")))</f>
        <v/>
      </c>
      <c r="P252" s="16" t="n"/>
      <c r="Q252" s="16" t="n"/>
      <c r="R252" s="16" t="n"/>
      <c r="S252" s="17">
        <f>IF(C252="","",N(P252)+N(Q252)+N(R252))</f>
        <v/>
      </c>
      <c r="T252" s="17">
        <f>IF(C252="","",H252-S252)</f>
        <v/>
      </c>
      <c r="U252" s="54">
        <f>IFERROR(T252/H252,"")</f>
        <v/>
      </c>
      <c r="V252" s="14" t="n"/>
    </row>
    <row r="253" ht="15" customHeight="1">
      <c r="A253" s="51">
        <f>IF(C253="","",IFERROR(IF(SUMPRODUCT(MAX((tbl_Finance[Job Number]=C253&amp;"")*tbl_Finance[Date]))=0,"",SUMPRODUCT(MAX((tbl_Finance[Job Number]=C253&amp;"")*tbl_Finance[Date]))),""))</f>
        <v/>
      </c>
      <c r="B253" s="15">
        <f>IF(A253="","",IFERROR(LOOKUP(2,1/((tbl_Finance[Job Number]=C253&amp;"")*(tbl_Finance[Date]=A253)),tbl_Finance[Xero Invoice No]),""))</f>
        <v/>
      </c>
      <c r="C253" s="14" t="n"/>
      <c r="D253" s="15">
        <f>IF(C253="","",IF(COUNTIF(lst_Jobs,C253&amp;"")&gt;0,"OK","CHECK"))</f>
        <v/>
      </c>
      <c r="E253" s="15">
        <f>IF(C253="","",IFERROR(INDEX(lst_JobName,MATCH(C253&amp;"",lst_Jobs,0)),""))</f>
        <v/>
      </c>
      <c r="F253" s="15">
        <f>IF(C253="","",IFERROR(INDEX(tbl_Finance[Client],MATCH(C253&amp;"",tbl_Finance[Job Number],0)),""))</f>
        <v/>
      </c>
      <c r="G253" s="52">
        <f>IF(C253="","",COUNTIFS(tbl_Finance[Job Number],C253&amp;"",tbl_Finance[Ex GST],"&lt;&gt;"))</f>
        <v/>
      </c>
      <c r="H253" s="17">
        <f>IF(C253="","",SUMIFS(tbl_Finance[Ex GST],tbl_Finance[Job Number],C253&amp;""))</f>
        <v/>
      </c>
      <c r="I253" s="15">
        <f>IF(C253="","",IFERROR(INDEX(tbl_Finance[Cost Centre],MATCH(C253&amp;"",tbl_Finance[Job Number],0)),"not invoiced yet"))</f>
        <v/>
      </c>
      <c r="J253" s="14" t="n"/>
      <c r="K253" s="15">
        <f>IF(J253="","",HYPERLINK(IF(LEFT(J253,4)="http",J253,set_QwilrBase&amp;J253),"Open quote"))</f>
        <v/>
      </c>
      <c r="L253" s="16" t="n"/>
      <c r="M253" s="16" t="n"/>
      <c r="N253" s="16" t="n"/>
      <c r="O253" s="15">
        <f>IF(C253="","",IF(N(L253)+N(M253)+N(N253)=0,"Not split",IF(ROUND(N(L253)+N(M253)+N(N253),2)=ROUND(H253,2),"OK","MISMATCH")))</f>
        <v/>
      </c>
      <c r="P253" s="16" t="n"/>
      <c r="Q253" s="16" t="n"/>
      <c r="R253" s="16" t="n"/>
      <c r="S253" s="17">
        <f>IF(C253="","",N(P253)+N(Q253)+N(R253))</f>
        <v/>
      </c>
      <c r="T253" s="17">
        <f>IF(C253="","",H253-S253)</f>
        <v/>
      </c>
      <c r="U253" s="54">
        <f>IFERROR(T253/H253,"")</f>
        <v/>
      </c>
      <c r="V253" s="14" t="n"/>
    </row>
    <row r="254" ht="15" customHeight="1">
      <c r="A254" s="51">
        <f>IF(C254="","",IFERROR(IF(SUMPRODUCT(MAX((tbl_Finance[Job Number]=C254&amp;"")*tbl_Finance[Date]))=0,"",SUMPRODUCT(MAX((tbl_Finance[Job Number]=C254&amp;"")*tbl_Finance[Date]))),""))</f>
        <v/>
      </c>
      <c r="B254" s="15">
        <f>IF(A254="","",IFERROR(LOOKUP(2,1/((tbl_Finance[Job Number]=C254&amp;"")*(tbl_Finance[Date]=A254)),tbl_Finance[Xero Invoice No]),""))</f>
        <v/>
      </c>
      <c r="C254" s="14" t="n"/>
      <c r="D254" s="15">
        <f>IF(C254="","",IF(COUNTIF(lst_Jobs,C254&amp;"")&gt;0,"OK","CHECK"))</f>
        <v/>
      </c>
      <c r="E254" s="15">
        <f>IF(C254="","",IFERROR(INDEX(lst_JobName,MATCH(C254&amp;"",lst_Jobs,0)),""))</f>
        <v/>
      </c>
      <c r="F254" s="15">
        <f>IF(C254="","",IFERROR(INDEX(tbl_Finance[Client],MATCH(C254&amp;"",tbl_Finance[Job Number],0)),""))</f>
        <v/>
      </c>
      <c r="G254" s="52">
        <f>IF(C254="","",COUNTIFS(tbl_Finance[Job Number],C254&amp;"",tbl_Finance[Ex GST],"&lt;&gt;"))</f>
        <v/>
      </c>
      <c r="H254" s="17">
        <f>IF(C254="","",SUMIFS(tbl_Finance[Ex GST],tbl_Finance[Job Number],C254&amp;""))</f>
        <v/>
      </c>
      <c r="I254" s="15">
        <f>IF(C254="","",IFERROR(INDEX(tbl_Finance[Cost Centre],MATCH(C254&amp;"",tbl_Finance[Job Number],0)),"not invoiced yet"))</f>
        <v/>
      </c>
      <c r="J254" s="14" t="n"/>
      <c r="K254" s="15">
        <f>IF(J254="","",HYPERLINK(IF(LEFT(J254,4)="http",J254,set_QwilrBase&amp;J254),"Open quote"))</f>
        <v/>
      </c>
      <c r="L254" s="16" t="n"/>
      <c r="M254" s="16" t="n"/>
      <c r="N254" s="16" t="n"/>
      <c r="O254" s="15">
        <f>IF(C254="","",IF(N(L254)+N(M254)+N(N254)=0,"Not split",IF(ROUND(N(L254)+N(M254)+N(N254),2)=ROUND(H254,2),"OK","MISMATCH")))</f>
        <v/>
      </c>
      <c r="P254" s="16" t="n"/>
      <c r="Q254" s="16" t="n"/>
      <c r="R254" s="16" t="n"/>
      <c r="S254" s="17">
        <f>IF(C254="","",N(P254)+N(Q254)+N(R254))</f>
        <v/>
      </c>
      <c r="T254" s="17">
        <f>IF(C254="","",H254-S254)</f>
        <v/>
      </c>
      <c r="U254" s="54">
        <f>IFERROR(T254/H254,"")</f>
        <v/>
      </c>
      <c r="V254" s="14" t="n"/>
    </row>
    <row r="255" ht="15" customHeight="1">
      <c r="A255" s="51">
        <f>IF(C255="","",IFERROR(IF(SUMPRODUCT(MAX((tbl_Finance[Job Number]=C255&amp;"")*tbl_Finance[Date]))=0,"",SUMPRODUCT(MAX((tbl_Finance[Job Number]=C255&amp;"")*tbl_Finance[Date]))),""))</f>
        <v/>
      </c>
      <c r="B255" s="15">
        <f>IF(A255="","",IFERROR(LOOKUP(2,1/((tbl_Finance[Job Number]=C255&amp;"")*(tbl_Finance[Date]=A255)),tbl_Finance[Xero Invoice No]),""))</f>
        <v/>
      </c>
      <c r="C255" s="14" t="n"/>
      <c r="D255" s="15">
        <f>IF(C255="","",IF(COUNTIF(lst_Jobs,C255&amp;"")&gt;0,"OK","CHECK"))</f>
        <v/>
      </c>
      <c r="E255" s="15">
        <f>IF(C255="","",IFERROR(INDEX(lst_JobName,MATCH(C255&amp;"",lst_Jobs,0)),""))</f>
        <v/>
      </c>
      <c r="F255" s="15">
        <f>IF(C255="","",IFERROR(INDEX(tbl_Finance[Client],MATCH(C255&amp;"",tbl_Finance[Job Number],0)),""))</f>
        <v/>
      </c>
      <c r="G255" s="52">
        <f>IF(C255="","",COUNTIFS(tbl_Finance[Job Number],C255&amp;"",tbl_Finance[Ex GST],"&lt;&gt;"))</f>
        <v/>
      </c>
      <c r="H255" s="17">
        <f>IF(C255="","",SUMIFS(tbl_Finance[Ex GST],tbl_Finance[Job Number],C255&amp;""))</f>
        <v/>
      </c>
      <c r="I255" s="15">
        <f>IF(C255="","",IFERROR(INDEX(tbl_Finance[Cost Centre],MATCH(C255&amp;"",tbl_Finance[Job Number],0)),"not invoiced yet"))</f>
        <v/>
      </c>
      <c r="J255" s="14" t="n"/>
      <c r="K255" s="15">
        <f>IF(J255="","",HYPERLINK(IF(LEFT(J255,4)="http",J255,set_QwilrBase&amp;J255),"Open quote"))</f>
        <v/>
      </c>
      <c r="L255" s="16" t="n"/>
      <c r="M255" s="16" t="n"/>
      <c r="N255" s="16" t="n"/>
      <c r="O255" s="15">
        <f>IF(C255="","",IF(N(L255)+N(M255)+N(N255)=0,"Not split",IF(ROUND(N(L255)+N(M255)+N(N255),2)=ROUND(H255,2),"OK","MISMATCH")))</f>
        <v/>
      </c>
      <c r="P255" s="16" t="n"/>
      <c r="Q255" s="16" t="n"/>
      <c r="R255" s="16" t="n"/>
      <c r="S255" s="17">
        <f>IF(C255="","",N(P255)+N(Q255)+N(R255))</f>
        <v/>
      </c>
      <c r="T255" s="17">
        <f>IF(C255="","",H255-S255)</f>
        <v/>
      </c>
      <c r="U255" s="54">
        <f>IFERROR(T255/H255,"")</f>
        <v/>
      </c>
      <c r="V255" s="14" t="n"/>
    </row>
    <row r="256" ht="15" customHeight="1">
      <c r="A256" s="51">
        <f>IF(C256="","",IFERROR(IF(SUMPRODUCT(MAX((tbl_Finance[Job Number]=C256&amp;"")*tbl_Finance[Date]))=0,"",SUMPRODUCT(MAX((tbl_Finance[Job Number]=C256&amp;"")*tbl_Finance[Date]))),""))</f>
        <v/>
      </c>
      <c r="B256" s="15">
        <f>IF(A256="","",IFERROR(LOOKUP(2,1/((tbl_Finance[Job Number]=C256&amp;"")*(tbl_Finance[Date]=A256)),tbl_Finance[Xero Invoice No]),""))</f>
        <v/>
      </c>
      <c r="C256" s="14" t="n"/>
      <c r="D256" s="15">
        <f>IF(C256="","",IF(COUNTIF(lst_Jobs,C256&amp;"")&gt;0,"OK","CHECK"))</f>
        <v/>
      </c>
      <c r="E256" s="15">
        <f>IF(C256="","",IFERROR(INDEX(lst_JobName,MATCH(C256&amp;"",lst_Jobs,0)),""))</f>
        <v/>
      </c>
      <c r="F256" s="15">
        <f>IF(C256="","",IFERROR(INDEX(tbl_Finance[Client],MATCH(C256&amp;"",tbl_Finance[Job Number],0)),""))</f>
        <v/>
      </c>
      <c r="G256" s="52">
        <f>IF(C256="","",COUNTIFS(tbl_Finance[Job Number],C256&amp;"",tbl_Finance[Ex GST],"&lt;&gt;"))</f>
        <v/>
      </c>
      <c r="H256" s="17">
        <f>IF(C256="","",SUMIFS(tbl_Finance[Ex GST],tbl_Finance[Job Number],C256&amp;""))</f>
        <v/>
      </c>
      <c r="I256" s="15">
        <f>IF(C256="","",IFERROR(INDEX(tbl_Finance[Cost Centre],MATCH(C256&amp;"",tbl_Finance[Job Number],0)),"not invoiced yet"))</f>
        <v/>
      </c>
      <c r="J256" s="14" t="n"/>
      <c r="K256" s="15">
        <f>IF(J256="","",HYPERLINK(IF(LEFT(J256,4)="http",J256,set_QwilrBase&amp;J256),"Open quote"))</f>
        <v/>
      </c>
      <c r="L256" s="16" t="n"/>
      <c r="M256" s="16" t="n"/>
      <c r="N256" s="16" t="n"/>
      <c r="O256" s="15">
        <f>IF(C256="","",IF(N(L256)+N(M256)+N(N256)=0,"Not split",IF(ROUND(N(L256)+N(M256)+N(N256),2)=ROUND(H256,2),"OK","MISMATCH")))</f>
        <v/>
      </c>
      <c r="P256" s="16" t="n"/>
      <c r="Q256" s="16" t="n"/>
      <c r="R256" s="16" t="n"/>
      <c r="S256" s="17">
        <f>IF(C256="","",N(P256)+N(Q256)+N(R256))</f>
        <v/>
      </c>
      <c r="T256" s="17">
        <f>IF(C256="","",H256-S256)</f>
        <v/>
      </c>
      <c r="U256" s="54">
        <f>IFERROR(T256/H256,"")</f>
        <v/>
      </c>
      <c r="V256" s="14" t="n"/>
    </row>
    <row r="257" ht="15" customHeight="1">
      <c r="A257" s="51">
        <f>IF(C257="","",IFERROR(IF(SUMPRODUCT(MAX((tbl_Finance[Job Number]=C257&amp;"")*tbl_Finance[Date]))=0,"",SUMPRODUCT(MAX((tbl_Finance[Job Number]=C257&amp;"")*tbl_Finance[Date]))),""))</f>
        <v/>
      </c>
      <c r="B257" s="15">
        <f>IF(A257="","",IFERROR(LOOKUP(2,1/((tbl_Finance[Job Number]=C257&amp;"")*(tbl_Finance[Date]=A257)),tbl_Finance[Xero Invoice No]),""))</f>
        <v/>
      </c>
      <c r="C257" s="14" t="n"/>
      <c r="D257" s="15">
        <f>IF(C257="","",IF(COUNTIF(lst_Jobs,C257&amp;"")&gt;0,"OK","CHECK"))</f>
        <v/>
      </c>
      <c r="E257" s="15">
        <f>IF(C257="","",IFERROR(INDEX(lst_JobName,MATCH(C257&amp;"",lst_Jobs,0)),""))</f>
        <v/>
      </c>
      <c r="F257" s="15">
        <f>IF(C257="","",IFERROR(INDEX(tbl_Finance[Client],MATCH(C257&amp;"",tbl_Finance[Job Number],0)),""))</f>
        <v/>
      </c>
      <c r="G257" s="52">
        <f>IF(C257="","",COUNTIFS(tbl_Finance[Job Number],C257&amp;"",tbl_Finance[Ex GST],"&lt;&gt;"))</f>
        <v/>
      </c>
      <c r="H257" s="17">
        <f>IF(C257="","",SUMIFS(tbl_Finance[Ex GST],tbl_Finance[Job Number],C257&amp;""))</f>
        <v/>
      </c>
      <c r="I257" s="15">
        <f>IF(C257="","",IFERROR(INDEX(tbl_Finance[Cost Centre],MATCH(C257&amp;"",tbl_Finance[Job Number],0)),"not invoiced yet"))</f>
        <v/>
      </c>
      <c r="J257" s="14" t="n"/>
      <c r="K257" s="15">
        <f>IF(J257="","",HYPERLINK(IF(LEFT(J257,4)="http",J257,set_QwilrBase&amp;J257),"Open quote"))</f>
        <v/>
      </c>
      <c r="L257" s="16" t="n"/>
      <c r="M257" s="16" t="n"/>
      <c r="N257" s="16" t="n"/>
      <c r="O257" s="15">
        <f>IF(C257="","",IF(N(L257)+N(M257)+N(N257)=0,"Not split",IF(ROUND(N(L257)+N(M257)+N(N257),2)=ROUND(H257,2),"OK","MISMATCH")))</f>
        <v/>
      </c>
      <c r="P257" s="16" t="n"/>
      <c r="Q257" s="16" t="n"/>
      <c r="R257" s="16" t="n"/>
      <c r="S257" s="17">
        <f>IF(C257="","",N(P257)+N(Q257)+N(R257))</f>
        <v/>
      </c>
      <c r="T257" s="17">
        <f>IF(C257="","",H257-S257)</f>
        <v/>
      </c>
      <c r="U257" s="54">
        <f>IFERROR(T257/H257,"")</f>
        <v/>
      </c>
      <c r="V257" s="14" t="n"/>
    </row>
    <row r="258" ht="15" customHeight="1">
      <c r="A258" s="51">
        <f>IF(C258="","",IFERROR(IF(SUMPRODUCT(MAX((tbl_Finance[Job Number]=C258&amp;"")*tbl_Finance[Date]))=0,"",SUMPRODUCT(MAX((tbl_Finance[Job Number]=C258&amp;"")*tbl_Finance[Date]))),""))</f>
        <v/>
      </c>
      <c r="B258" s="15">
        <f>IF(A258="","",IFERROR(LOOKUP(2,1/((tbl_Finance[Job Number]=C258&amp;"")*(tbl_Finance[Date]=A258)),tbl_Finance[Xero Invoice No]),""))</f>
        <v/>
      </c>
      <c r="C258" s="14" t="n"/>
      <c r="D258" s="15">
        <f>IF(C258="","",IF(COUNTIF(lst_Jobs,C258&amp;"")&gt;0,"OK","CHECK"))</f>
        <v/>
      </c>
      <c r="E258" s="15">
        <f>IF(C258="","",IFERROR(INDEX(lst_JobName,MATCH(C258&amp;"",lst_Jobs,0)),""))</f>
        <v/>
      </c>
      <c r="F258" s="15">
        <f>IF(C258="","",IFERROR(INDEX(tbl_Finance[Client],MATCH(C258&amp;"",tbl_Finance[Job Number],0)),""))</f>
        <v/>
      </c>
      <c r="G258" s="52">
        <f>IF(C258="","",COUNTIFS(tbl_Finance[Job Number],C258&amp;"",tbl_Finance[Ex GST],"&lt;&gt;"))</f>
        <v/>
      </c>
      <c r="H258" s="17">
        <f>IF(C258="","",SUMIFS(tbl_Finance[Ex GST],tbl_Finance[Job Number],C258&amp;""))</f>
        <v/>
      </c>
      <c r="I258" s="15">
        <f>IF(C258="","",IFERROR(INDEX(tbl_Finance[Cost Centre],MATCH(C258&amp;"",tbl_Finance[Job Number],0)),"not invoiced yet"))</f>
        <v/>
      </c>
      <c r="J258" s="14" t="n"/>
      <c r="K258" s="15">
        <f>IF(J258="","",HYPERLINK(IF(LEFT(J258,4)="http",J258,set_QwilrBase&amp;J258),"Open quote"))</f>
        <v/>
      </c>
      <c r="L258" s="16" t="n"/>
      <c r="M258" s="16" t="n"/>
      <c r="N258" s="16" t="n"/>
      <c r="O258" s="15">
        <f>IF(C258="","",IF(N(L258)+N(M258)+N(N258)=0,"Not split",IF(ROUND(N(L258)+N(M258)+N(N258),2)=ROUND(H258,2),"OK","MISMATCH")))</f>
        <v/>
      </c>
      <c r="P258" s="16" t="n"/>
      <c r="Q258" s="16" t="n"/>
      <c r="R258" s="16" t="n"/>
      <c r="S258" s="17">
        <f>IF(C258="","",N(P258)+N(Q258)+N(R258))</f>
        <v/>
      </c>
      <c r="T258" s="17">
        <f>IF(C258="","",H258-S258)</f>
        <v/>
      </c>
      <c r="U258" s="54">
        <f>IFERROR(T258/H258,"")</f>
        <v/>
      </c>
      <c r="V258" s="14" t="n"/>
    </row>
    <row r="259" ht="15" customHeight="1">
      <c r="A259" s="51">
        <f>IF(C259="","",IFERROR(IF(SUMPRODUCT(MAX((tbl_Finance[Job Number]=C259&amp;"")*tbl_Finance[Date]))=0,"",SUMPRODUCT(MAX((tbl_Finance[Job Number]=C259&amp;"")*tbl_Finance[Date]))),""))</f>
        <v/>
      </c>
      <c r="B259" s="15">
        <f>IF(A259="","",IFERROR(LOOKUP(2,1/((tbl_Finance[Job Number]=C259&amp;"")*(tbl_Finance[Date]=A259)),tbl_Finance[Xero Invoice No]),""))</f>
        <v/>
      </c>
      <c r="C259" s="14" t="n"/>
      <c r="D259" s="15">
        <f>IF(C259="","",IF(COUNTIF(lst_Jobs,C259&amp;"")&gt;0,"OK","CHECK"))</f>
        <v/>
      </c>
      <c r="E259" s="15">
        <f>IF(C259="","",IFERROR(INDEX(lst_JobName,MATCH(C259&amp;"",lst_Jobs,0)),""))</f>
        <v/>
      </c>
      <c r="F259" s="15">
        <f>IF(C259="","",IFERROR(INDEX(tbl_Finance[Client],MATCH(C259&amp;"",tbl_Finance[Job Number],0)),""))</f>
        <v/>
      </c>
      <c r="G259" s="52">
        <f>IF(C259="","",COUNTIFS(tbl_Finance[Job Number],C259&amp;"",tbl_Finance[Ex GST],"&lt;&gt;"))</f>
        <v/>
      </c>
      <c r="H259" s="17">
        <f>IF(C259="","",SUMIFS(tbl_Finance[Ex GST],tbl_Finance[Job Number],C259&amp;""))</f>
        <v/>
      </c>
      <c r="I259" s="15">
        <f>IF(C259="","",IFERROR(INDEX(tbl_Finance[Cost Centre],MATCH(C259&amp;"",tbl_Finance[Job Number],0)),"not invoiced yet"))</f>
        <v/>
      </c>
      <c r="J259" s="14" t="n"/>
      <c r="K259" s="15">
        <f>IF(J259="","",HYPERLINK(IF(LEFT(J259,4)="http",J259,set_QwilrBase&amp;J259),"Open quote"))</f>
        <v/>
      </c>
      <c r="L259" s="16" t="n"/>
      <c r="M259" s="16" t="n"/>
      <c r="N259" s="16" t="n"/>
      <c r="O259" s="15">
        <f>IF(C259="","",IF(N(L259)+N(M259)+N(N259)=0,"Not split",IF(ROUND(N(L259)+N(M259)+N(N259),2)=ROUND(H259,2),"OK","MISMATCH")))</f>
        <v/>
      </c>
      <c r="P259" s="16" t="n"/>
      <c r="Q259" s="16" t="n"/>
      <c r="R259" s="16" t="n"/>
      <c r="S259" s="17">
        <f>IF(C259="","",N(P259)+N(Q259)+N(R259))</f>
        <v/>
      </c>
      <c r="T259" s="17">
        <f>IF(C259="","",H259-S259)</f>
        <v/>
      </c>
      <c r="U259" s="54">
        <f>IFERROR(T259/H259,"")</f>
        <v/>
      </c>
      <c r="V259" s="14" t="n"/>
    </row>
    <row r="260" ht="15" customHeight="1">
      <c r="A260" s="51">
        <f>IF(C260="","",IFERROR(IF(SUMPRODUCT(MAX((tbl_Finance[Job Number]=C260&amp;"")*tbl_Finance[Date]))=0,"",SUMPRODUCT(MAX((tbl_Finance[Job Number]=C260&amp;"")*tbl_Finance[Date]))),""))</f>
        <v/>
      </c>
      <c r="B260" s="15">
        <f>IF(A260="","",IFERROR(LOOKUP(2,1/((tbl_Finance[Job Number]=C260&amp;"")*(tbl_Finance[Date]=A260)),tbl_Finance[Xero Invoice No]),""))</f>
        <v/>
      </c>
      <c r="C260" s="14" t="n"/>
      <c r="D260" s="15">
        <f>IF(C260="","",IF(COUNTIF(lst_Jobs,C260&amp;"")&gt;0,"OK","CHECK"))</f>
        <v/>
      </c>
      <c r="E260" s="15">
        <f>IF(C260="","",IFERROR(INDEX(lst_JobName,MATCH(C260&amp;"",lst_Jobs,0)),""))</f>
        <v/>
      </c>
      <c r="F260" s="15">
        <f>IF(C260="","",IFERROR(INDEX(tbl_Finance[Client],MATCH(C260&amp;"",tbl_Finance[Job Number],0)),""))</f>
        <v/>
      </c>
      <c r="G260" s="52">
        <f>IF(C260="","",COUNTIFS(tbl_Finance[Job Number],C260&amp;"",tbl_Finance[Ex GST],"&lt;&gt;"))</f>
        <v/>
      </c>
      <c r="H260" s="17">
        <f>IF(C260="","",SUMIFS(tbl_Finance[Ex GST],tbl_Finance[Job Number],C260&amp;""))</f>
        <v/>
      </c>
      <c r="I260" s="15">
        <f>IF(C260="","",IFERROR(INDEX(tbl_Finance[Cost Centre],MATCH(C260&amp;"",tbl_Finance[Job Number],0)),"not invoiced yet"))</f>
        <v/>
      </c>
      <c r="J260" s="14" t="n"/>
      <c r="K260" s="15">
        <f>IF(J260="","",HYPERLINK(IF(LEFT(J260,4)="http",J260,set_QwilrBase&amp;J260),"Open quote"))</f>
        <v/>
      </c>
      <c r="L260" s="16" t="n"/>
      <c r="M260" s="16" t="n"/>
      <c r="N260" s="16" t="n"/>
      <c r="O260" s="15">
        <f>IF(C260="","",IF(N(L260)+N(M260)+N(N260)=0,"Not split",IF(ROUND(N(L260)+N(M260)+N(N260),2)=ROUND(H260,2),"OK","MISMATCH")))</f>
        <v/>
      </c>
      <c r="P260" s="16" t="n"/>
      <c r="Q260" s="16" t="n"/>
      <c r="R260" s="16" t="n"/>
      <c r="S260" s="17">
        <f>IF(C260="","",N(P260)+N(Q260)+N(R260))</f>
        <v/>
      </c>
      <c r="T260" s="17">
        <f>IF(C260="","",H260-S260)</f>
        <v/>
      </c>
      <c r="U260" s="54">
        <f>IFERROR(T260/H260,"")</f>
        <v/>
      </c>
      <c r="V260" s="14" t="n"/>
    </row>
    <row r="261" ht="15" customHeight="1">
      <c r="A261" s="51">
        <f>IF(C261="","",IFERROR(IF(SUMPRODUCT(MAX((tbl_Finance[Job Number]=C261&amp;"")*tbl_Finance[Date]))=0,"",SUMPRODUCT(MAX((tbl_Finance[Job Number]=C261&amp;"")*tbl_Finance[Date]))),""))</f>
        <v/>
      </c>
      <c r="B261" s="15">
        <f>IF(A261="","",IFERROR(LOOKUP(2,1/((tbl_Finance[Job Number]=C261&amp;"")*(tbl_Finance[Date]=A261)),tbl_Finance[Xero Invoice No]),""))</f>
        <v/>
      </c>
      <c r="C261" s="14" t="n"/>
      <c r="D261" s="15">
        <f>IF(C261="","",IF(COUNTIF(lst_Jobs,C261&amp;"")&gt;0,"OK","CHECK"))</f>
        <v/>
      </c>
      <c r="E261" s="15">
        <f>IF(C261="","",IFERROR(INDEX(lst_JobName,MATCH(C261&amp;"",lst_Jobs,0)),""))</f>
        <v/>
      </c>
      <c r="F261" s="15">
        <f>IF(C261="","",IFERROR(INDEX(tbl_Finance[Client],MATCH(C261&amp;"",tbl_Finance[Job Number],0)),""))</f>
        <v/>
      </c>
      <c r="G261" s="52">
        <f>IF(C261="","",COUNTIFS(tbl_Finance[Job Number],C261&amp;"",tbl_Finance[Ex GST],"&lt;&gt;"))</f>
        <v/>
      </c>
      <c r="H261" s="17">
        <f>IF(C261="","",SUMIFS(tbl_Finance[Ex GST],tbl_Finance[Job Number],C261&amp;""))</f>
        <v/>
      </c>
      <c r="I261" s="15">
        <f>IF(C261="","",IFERROR(INDEX(tbl_Finance[Cost Centre],MATCH(C261&amp;"",tbl_Finance[Job Number],0)),"not invoiced yet"))</f>
        <v/>
      </c>
      <c r="J261" s="14" t="n"/>
      <c r="K261" s="15">
        <f>IF(J261="","",HYPERLINK(IF(LEFT(J261,4)="http",J261,set_QwilrBase&amp;J261),"Open quote"))</f>
        <v/>
      </c>
      <c r="L261" s="16" t="n"/>
      <c r="M261" s="16" t="n"/>
      <c r="N261" s="16" t="n"/>
      <c r="O261" s="15">
        <f>IF(C261="","",IF(N(L261)+N(M261)+N(N261)=0,"Not split",IF(ROUND(N(L261)+N(M261)+N(N261),2)=ROUND(H261,2),"OK","MISMATCH")))</f>
        <v/>
      </c>
      <c r="P261" s="16" t="n"/>
      <c r="Q261" s="16" t="n"/>
      <c r="R261" s="16" t="n"/>
      <c r="S261" s="17">
        <f>IF(C261="","",N(P261)+N(Q261)+N(R261))</f>
        <v/>
      </c>
      <c r="T261" s="17">
        <f>IF(C261="","",H261-S261)</f>
        <v/>
      </c>
      <c r="U261" s="54">
        <f>IFERROR(T261/H261,"")</f>
        <v/>
      </c>
      <c r="V261" s="14" t="n"/>
    </row>
    <row r="262" ht="15" customHeight="1">
      <c r="A262" s="51">
        <f>IF(C262="","",IFERROR(IF(SUMPRODUCT(MAX((tbl_Finance[Job Number]=C262&amp;"")*tbl_Finance[Date]))=0,"",SUMPRODUCT(MAX((tbl_Finance[Job Number]=C262&amp;"")*tbl_Finance[Date]))),""))</f>
        <v/>
      </c>
      <c r="B262" s="15">
        <f>IF(A262="","",IFERROR(LOOKUP(2,1/((tbl_Finance[Job Number]=C262&amp;"")*(tbl_Finance[Date]=A262)),tbl_Finance[Xero Invoice No]),""))</f>
        <v/>
      </c>
      <c r="C262" s="14" t="n"/>
      <c r="D262" s="15">
        <f>IF(C262="","",IF(COUNTIF(lst_Jobs,C262&amp;"")&gt;0,"OK","CHECK"))</f>
        <v/>
      </c>
      <c r="E262" s="15">
        <f>IF(C262="","",IFERROR(INDEX(lst_JobName,MATCH(C262&amp;"",lst_Jobs,0)),""))</f>
        <v/>
      </c>
      <c r="F262" s="15">
        <f>IF(C262="","",IFERROR(INDEX(tbl_Finance[Client],MATCH(C262&amp;"",tbl_Finance[Job Number],0)),""))</f>
        <v/>
      </c>
      <c r="G262" s="52">
        <f>IF(C262="","",COUNTIFS(tbl_Finance[Job Number],C262&amp;"",tbl_Finance[Ex GST],"&lt;&gt;"))</f>
        <v/>
      </c>
      <c r="H262" s="17">
        <f>IF(C262="","",SUMIFS(tbl_Finance[Ex GST],tbl_Finance[Job Number],C262&amp;""))</f>
        <v/>
      </c>
      <c r="I262" s="15">
        <f>IF(C262="","",IFERROR(INDEX(tbl_Finance[Cost Centre],MATCH(C262&amp;"",tbl_Finance[Job Number],0)),"not invoiced yet"))</f>
        <v/>
      </c>
      <c r="J262" s="14" t="n"/>
      <c r="K262" s="15">
        <f>IF(J262="","",HYPERLINK(IF(LEFT(J262,4)="http",J262,set_QwilrBase&amp;J262),"Open quote"))</f>
        <v/>
      </c>
      <c r="L262" s="16" t="n"/>
      <c r="M262" s="16" t="n"/>
      <c r="N262" s="16" t="n"/>
      <c r="O262" s="15">
        <f>IF(C262="","",IF(N(L262)+N(M262)+N(N262)=0,"Not split",IF(ROUND(N(L262)+N(M262)+N(N262),2)=ROUND(H262,2),"OK","MISMATCH")))</f>
        <v/>
      </c>
      <c r="P262" s="16" t="n"/>
      <c r="Q262" s="16" t="n"/>
      <c r="R262" s="16" t="n"/>
      <c r="S262" s="17">
        <f>IF(C262="","",N(P262)+N(Q262)+N(R262))</f>
        <v/>
      </c>
      <c r="T262" s="17">
        <f>IF(C262="","",H262-S262)</f>
        <v/>
      </c>
      <c r="U262" s="54">
        <f>IFERROR(T262/H262,"")</f>
        <v/>
      </c>
      <c r="V262" s="14" t="n"/>
    </row>
    <row r="263" ht="15" customHeight="1">
      <c r="A263" s="51">
        <f>IF(C263="","",IFERROR(IF(SUMPRODUCT(MAX((tbl_Finance[Job Number]=C263&amp;"")*tbl_Finance[Date]))=0,"",SUMPRODUCT(MAX((tbl_Finance[Job Number]=C263&amp;"")*tbl_Finance[Date]))),""))</f>
        <v/>
      </c>
      <c r="B263" s="15">
        <f>IF(A263="","",IFERROR(LOOKUP(2,1/((tbl_Finance[Job Number]=C263&amp;"")*(tbl_Finance[Date]=A263)),tbl_Finance[Xero Invoice No]),""))</f>
        <v/>
      </c>
      <c r="C263" s="14" t="n"/>
      <c r="D263" s="15">
        <f>IF(C263="","",IF(COUNTIF(lst_Jobs,C263&amp;"")&gt;0,"OK","CHECK"))</f>
        <v/>
      </c>
      <c r="E263" s="15">
        <f>IF(C263="","",IFERROR(INDEX(lst_JobName,MATCH(C263&amp;"",lst_Jobs,0)),""))</f>
        <v/>
      </c>
      <c r="F263" s="15">
        <f>IF(C263="","",IFERROR(INDEX(tbl_Finance[Client],MATCH(C263&amp;"",tbl_Finance[Job Number],0)),""))</f>
        <v/>
      </c>
      <c r="G263" s="52">
        <f>IF(C263="","",COUNTIFS(tbl_Finance[Job Number],C263&amp;"",tbl_Finance[Ex GST],"&lt;&gt;"))</f>
        <v/>
      </c>
      <c r="H263" s="17">
        <f>IF(C263="","",SUMIFS(tbl_Finance[Ex GST],tbl_Finance[Job Number],C263&amp;""))</f>
        <v/>
      </c>
      <c r="I263" s="15">
        <f>IF(C263="","",IFERROR(INDEX(tbl_Finance[Cost Centre],MATCH(C263&amp;"",tbl_Finance[Job Number],0)),"not invoiced yet"))</f>
        <v/>
      </c>
      <c r="J263" s="14" t="n"/>
      <c r="K263" s="15">
        <f>IF(J263="","",HYPERLINK(IF(LEFT(J263,4)="http",J263,set_QwilrBase&amp;J263),"Open quote"))</f>
        <v/>
      </c>
      <c r="L263" s="16" t="n"/>
      <c r="M263" s="16" t="n"/>
      <c r="N263" s="16" t="n"/>
      <c r="O263" s="15">
        <f>IF(C263="","",IF(N(L263)+N(M263)+N(N263)=0,"Not split",IF(ROUND(N(L263)+N(M263)+N(N263),2)=ROUND(H263,2),"OK","MISMATCH")))</f>
        <v/>
      </c>
      <c r="P263" s="16" t="n"/>
      <c r="Q263" s="16" t="n"/>
      <c r="R263" s="16" t="n"/>
      <c r="S263" s="17">
        <f>IF(C263="","",N(P263)+N(Q263)+N(R263))</f>
        <v/>
      </c>
      <c r="T263" s="17">
        <f>IF(C263="","",H263-S263)</f>
        <v/>
      </c>
      <c r="U263" s="54">
        <f>IFERROR(T263/H263,"")</f>
        <v/>
      </c>
      <c r="V263" s="14" t="n"/>
    </row>
    <row r="264" ht="15" customHeight="1">
      <c r="A264" s="51">
        <f>IF(C264="","",IFERROR(IF(SUMPRODUCT(MAX((tbl_Finance[Job Number]=C264&amp;"")*tbl_Finance[Date]))=0,"",SUMPRODUCT(MAX((tbl_Finance[Job Number]=C264&amp;"")*tbl_Finance[Date]))),""))</f>
        <v/>
      </c>
      <c r="B264" s="15">
        <f>IF(A264="","",IFERROR(LOOKUP(2,1/((tbl_Finance[Job Number]=C264&amp;"")*(tbl_Finance[Date]=A264)),tbl_Finance[Xero Invoice No]),""))</f>
        <v/>
      </c>
      <c r="C264" s="14" t="n"/>
      <c r="D264" s="15">
        <f>IF(C264="","",IF(COUNTIF(lst_Jobs,C264&amp;"")&gt;0,"OK","CHECK"))</f>
        <v/>
      </c>
      <c r="E264" s="15">
        <f>IF(C264="","",IFERROR(INDEX(lst_JobName,MATCH(C264&amp;"",lst_Jobs,0)),""))</f>
        <v/>
      </c>
      <c r="F264" s="15">
        <f>IF(C264="","",IFERROR(INDEX(tbl_Finance[Client],MATCH(C264&amp;"",tbl_Finance[Job Number],0)),""))</f>
        <v/>
      </c>
      <c r="G264" s="52">
        <f>IF(C264="","",COUNTIFS(tbl_Finance[Job Number],C264&amp;"",tbl_Finance[Ex GST],"&lt;&gt;"))</f>
        <v/>
      </c>
      <c r="H264" s="17">
        <f>IF(C264="","",SUMIFS(tbl_Finance[Ex GST],tbl_Finance[Job Number],C264&amp;""))</f>
        <v/>
      </c>
      <c r="I264" s="15">
        <f>IF(C264="","",IFERROR(INDEX(tbl_Finance[Cost Centre],MATCH(C264&amp;"",tbl_Finance[Job Number],0)),"not invoiced yet"))</f>
        <v/>
      </c>
      <c r="J264" s="14" t="n"/>
      <c r="K264" s="15">
        <f>IF(J264="","",HYPERLINK(IF(LEFT(J264,4)="http",J264,set_QwilrBase&amp;J264),"Open quote"))</f>
        <v/>
      </c>
      <c r="L264" s="16" t="n"/>
      <c r="M264" s="16" t="n"/>
      <c r="N264" s="16" t="n"/>
      <c r="O264" s="15">
        <f>IF(C264="","",IF(N(L264)+N(M264)+N(N264)=0,"Not split",IF(ROUND(N(L264)+N(M264)+N(N264),2)=ROUND(H264,2),"OK","MISMATCH")))</f>
        <v/>
      </c>
      <c r="P264" s="16" t="n"/>
      <c r="Q264" s="16" t="n"/>
      <c r="R264" s="16" t="n"/>
      <c r="S264" s="17">
        <f>IF(C264="","",N(P264)+N(Q264)+N(R264))</f>
        <v/>
      </c>
      <c r="T264" s="17">
        <f>IF(C264="","",H264-S264)</f>
        <v/>
      </c>
      <c r="U264" s="54">
        <f>IFERROR(T264/H264,"")</f>
        <v/>
      </c>
      <c r="V264" s="14" t="n"/>
    </row>
    <row r="265" ht="15" customHeight="1">
      <c r="A265" s="51">
        <f>IF(C265="","",IFERROR(IF(SUMPRODUCT(MAX((tbl_Finance[Job Number]=C265&amp;"")*tbl_Finance[Date]))=0,"",SUMPRODUCT(MAX((tbl_Finance[Job Number]=C265&amp;"")*tbl_Finance[Date]))),""))</f>
        <v/>
      </c>
      <c r="B265" s="15">
        <f>IF(A265="","",IFERROR(LOOKUP(2,1/((tbl_Finance[Job Number]=C265&amp;"")*(tbl_Finance[Date]=A265)),tbl_Finance[Xero Invoice No]),""))</f>
        <v/>
      </c>
      <c r="C265" s="14" t="n"/>
      <c r="D265" s="15">
        <f>IF(C265="","",IF(COUNTIF(lst_Jobs,C265&amp;"")&gt;0,"OK","CHECK"))</f>
        <v/>
      </c>
      <c r="E265" s="15">
        <f>IF(C265="","",IFERROR(INDEX(lst_JobName,MATCH(C265&amp;"",lst_Jobs,0)),""))</f>
        <v/>
      </c>
      <c r="F265" s="15">
        <f>IF(C265="","",IFERROR(INDEX(tbl_Finance[Client],MATCH(C265&amp;"",tbl_Finance[Job Number],0)),""))</f>
        <v/>
      </c>
      <c r="G265" s="52">
        <f>IF(C265="","",COUNTIFS(tbl_Finance[Job Number],C265&amp;"",tbl_Finance[Ex GST],"&lt;&gt;"))</f>
        <v/>
      </c>
      <c r="H265" s="17">
        <f>IF(C265="","",SUMIFS(tbl_Finance[Ex GST],tbl_Finance[Job Number],C265&amp;""))</f>
        <v/>
      </c>
      <c r="I265" s="15">
        <f>IF(C265="","",IFERROR(INDEX(tbl_Finance[Cost Centre],MATCH(C265&amp;"",tbl_Finance[Job Number],0)),"not invoiced yet"))</f>
        <v/>
      </c>
      <c r="J265" s="14" t="n"/>
      <c r="K265" s="15">
        <f>IF(J265="","",HYPERLINK(IF(LEFT(J265,4)="http",J265,set_QwilrBase&amp;J265),"Open quote"))</f>
        <v/>
      </c>
      <c r="L265" s="16" t="n"/>
      <c r="M265" s="16" t="n"/>
      <c r="N265" s="16" t="n"/>
      <c r="O265" s="15">
        <f>IF(C265="","",IF(N(L265)+N(M265)+N(N265)=0,"Not split",IF(ROUND(N(L265)+N(M265)+N(N265),2)=ROUND(H265,2),"OK","MISMATCH")))</f>
        <v/>
      </c>
      <c r="P265" s="16" t="n"/>
      <c r="Q265" s="16" t="n"/>
      <c r="R265" s="16" t="n"/>
      <c r="S265" s="17">
        <f>IF(C265="","",N(P265)+N(Q265)+N(R265))</f>
        <v/>
      </c>
      <c r="T265" s="17">
        <f>IF(C265="","",H265-S265)</f>
        <v/>
      </c>
      <c r="U265" s="54">
        <f>IFERROR(T265/H265,"")</f>
        <v/>
      </c>
      <c r="V265" s="14" t="n"/>
    </row>
    <row r="266" ht="15" customHeight="1">
      <c r="A266" s="51">
        <f>IF(C266="","",IFERROR(IF(SUMPRODUCT(MAX((tbl_Finance[Job Number]=C266&amp;"")*tbl_Finance[Date]))=0,"",SUMPRODUCT(MAX((tbl_Finance[Job Number]=C266&amp;"")*tbl_Finance[Date]))),""))</f>
        <v/>
      </c>
      <c r="B266" s="15">
        <f>IF(A266="","",IFERROR(LOOKUP(2,1/((tbl_Finance[Job Number]=C266&amp;"")*(tbl_Finance[Date]=A266)),tbl_Finance[Xero Invoice No]),""))</f>
        <v/>
      </c>
      <c r="C266" s="14" t="n"/>
      <c r="D266" s="15">
        <f>IF(C266="","",IF(COUNTIF(lst_Jobs,C266&amp;"")&gt;0,"OK","CHECK"))</f>
        <v/>
      </c>
      <c r="E266" s="15">
        <f>IF(C266="","",IFERROR(INDEX(lst_JobName,MATCH(C266&amp;"",lst_Jobs,0)),""))</f>
        <v/>
      </c>
      <c r="F266" s="15">
        <f>IF(C266="","",IFERROR(INDEX(tbl_Finance[Client],MATCH(C266&amp;"",tbl_Finance[Job Number],0)),""))</f>
        <v/>
      </c>
      <c r="G266" s="52">
        <f>IF(C266="","",COUNTIFS(tbl_Finance[Job Number],C266&amp;"",tbl_Finance[Ex GST],"&lt;&gt;"))</f>
        <v/>
      </c>
      <c r="H266" s="17">
        <f>IF(C266="","",SUMIFS(tbl_Finance[Ex GST],tbl_Finance[Job Number],C266&amp;""))</f>
        <v/>
      </c>
      <c r="I266" s="15">
        <f>IF(C266="","",IFERROR(INDEX(tbl_Finance[Cost Centre],MATCH(C266&amp;"",tbl_Finance[Job Number],0)),"not invoiced yet"))</f>
        <v/>
      </c>
      <c r="J266" s="14" t="n"/>
      <c r="K266" s="15">
        <f>IF(J266="","",HYPERLINK(IF(LEFT(J266,4)="http",J266,set_QwilrBase&amp;J266),"Open quote"))</f>
        <v/>
      </c>
      <c r="L266" s="16" t="n"/>
      <c r="M266" s="16" t="n"/>
      <c r="N266" s="16" t="n"/>
      <c r="O266" s="15">
        <f>IF(C266="","",IF(N(L266)+N(M266)+N(N266)=0,"Not split",IF(ROUND(N(L266)+N(M266)+N(N266),2)=ROUND(H266,2),"OK","MISMATCH")))</f>
        <v/>
      </c>
      <c r="P266" s="16" t="n"/>
      <c r="Q266" s="16" t="n"/>
      <c r="R266" s="16" t="n"/>
      <c r="S266" s="17">
        <f>IF(C266="","",N(P266)+N(Q266)+N(R266))</f>
        <v/>
      </c>
      <c r="T266" s="17">
        <f>IF(C266="","",H266-S266)</f>
        <v/>
      </c>
      <c r="U266" s="54">
        <f>IFERROR(T266/H266,"")</f>
        <v/>
      </c>
      <c r="V266" s="14" t="n"/>
    </row>
    <row r="267" ht="15" customHeight="1">
      <c r="A267" s="51">
        <f>IF(C267="","",IFERROR(IF(SUMPRODUCT(MAX((tbl_Finance[Job Number]=C267&amp;"")*tbl_Finance[Date]))=0,"",SUMPRODUCT(MAX((tbl_Finance[Job Number]=C267&amp;"")*tbl_Finance[Date]))),""))</f>
        <v/>
      </c>
      <c r="B267" s="15">
        <f>IF(A267="","",IFERROR(LOOKUP(2,1/((tbl_Finance[Job Number]=C267&amp;"")*(tbl_Finance[Date]=A267)),tbl_Finance[Xero Invoice No]),""))</f>
        <v/>
      </c>
      <c r="C267" s="14" t="n"/>
      <c r="D267" s="15">
        <f>IF(C267="","",IF(COUNTIF(lst_Jobs,C267&amp;"")&gt;0,"OK","CHECK"))</f>
        <v/>
      </c>
      <c r="E267" s="15">
        <f>IF(C267="","",IFERROR(INDEX(lst_JobName,MATCH(C267&amp;"",lst_Jobs,0)),""))</f>
        <v/>
      </c>
      <c r="F267" s="15">
        <f>IF(C267="","",IFERROR(INDEX(tbl_Finance[Client],MATCH(C267&amp;"",tbl_Finance[Job Number],0)),""))</f>
        <v/>
      </c>
      <c r="G267" s="52">
        <f>IF(C267="","",COUNTIFS(tbl_Finance[Job Number],C267&amp;"",tbl_Finance[Ex GST],"&lt;&gt;"))</f>
        <v/>
      </c>
      <c r="H267" s="17">
        <f>IF(C267="","",SUMIFS(tbl_Finance[Ex GST],tbl_Finance[Job Number],C267&amp;""))</f>
        <v/>
      </c>
      <c r="I267" s="15">
        <f>IF(C267="","",IFERROR(INDEX(tbl_Finance[Cost Centre],MATCH(C267&amp;"",tbl_Finance[Job Number],0)),"not invoiced yet"))</f>
        <v/>
      </c>
      <c r="J267" s="14" t="n"/>
      <c r="K267" s="15">
        <f>IF(J267="","",HYPERLINK(IF(LEFT(J267,4)="http",J267,set_QwilrBase&amp;J267),"Open quote"))</f>
        <v/>
      </c>
      <c r="L267" s="16" t="n"/>
      <c r="M267" s="16" t="n"/>
      <c r="N267" s="16" t="n"/>
      <c r="O267" s="15">
        <f>IF(C267="","",IF(N(L267)+N(M267)+N(N267)=0,"Not split",IF(ROUND(N(L267)+N(M267)+N(N267),2)=ROUND(H267,2),"OK","MISMATCH")))</f>
        <v/>
      </c>
      <c r="P267" s="16" t="n"/>
      <c r="Q267" s="16" t="n"/>
      <c r="R267" s="16" t="n"/>
      <c r="S267" s="17">
        <f>IF(C267="","",N(P267)+N(Q267)+N(R267))</f>
        <v/>
      </c>
      <c r="T267" s="17">
        <f>IF(C267="","",H267-S267)</f>
        <v/>
      </c>
      <c r="U267" s="54">
        <f>IFERROR(T267/H267,"")</f>
        <v/>
      </c>
      <c r="V267" s="14" t="n"/>
    </row>
    <row r="268" ht="15" customHeight="1">
      <c r="A268" s="51">
        <f>IF(C268="","",IFERROR(IF(SUMPRODUCT(MAX((tbl_Finance[Job Number]=C268&amp;"")*tbl_Finance[Date]))=0,"",SUMPRODUCT(MAX((tbl_Finance[Job Number]=C268&amp;"")*tbl_Finance[Date]))),""))</f>
        <v/>
      </c>
      <c r="B268" s="15">
        <f>IF(A268="","",IFERROR(LOOKUP(2,1/((tbl_Finance[Job Number]=C268&amp;"")*(tbl_Finance[Date]=A268)),tbl_Finance[Xero Invoice No]),""))</f>
        <v/>
      </c>
      <c r="C268" s="14" t="n"/>
      <c r="D268" s="15">
        <f>IF(C268="","",IF(COUNTIF(lst_Jobs,C268&amp;"")&gt;0,"OK","CHECK"))</f>
        <v/>
      </c>
      <c r="E268" s="15">
        <f>IF(C268="","",IFERROR(INDEX(lst_JobName,MATCH(C268&amp;"",lst_Jobs,0)),""))</f>
        <v/>
      </c>
      <c r="F268" s="15">
        <f>IF(C268="","",IFERROR(INDEX(tbl_Finance[Client],MATCH(C268&amp;"",tbl_Finance[Job Number],0)),""))</f>
        <v/>
      </c>
      <c r="G268" s="52">
        <f>IF(C268="","",COUNTIFS(tbl_Finance[Job Number],C268&amp;"",tbl_Finance[Ex GST],"&lt;&gt;"))</f>
        <v/>
      </c>
      <c r="H268" s="17">
        <f>IF(C268="","",SUMIFS(tbl_Finance[Ex GST],tbl_Finance[Job Number],C268&amp;""))</f>
        <v/>
      </c>
      <c r="I268" s="15">
        <f>IF(C268="","",IFERROR(INDEX(tbl_Finance[Cost Centre],MATCH(C268&amp;"",tbl_Finance[Job Number],0)),"not invoiced yet"))</f>
        <v/>
      </c>
      <c r="J268" s="14" t="n"/>
      <c r="K268" s="15">
        <f>IF(J268="","",HYPERLINK(IF(LEFT(J268,4)="http",J268,set_QwilrBase&amp;J268),"Open quote"))</f>
        <v/>
      </c>
      <c r="L268" s="16" t="n"/>
      <c r="M268" s="16" t="n"/>
      <c r="N268" s="16" t="n"/>
      <c r="O268" s="15">
        <f>IF(C268="","",IF(N(L268)+N(M268)+N(N268)=0,"Not split",IF(ROUND(N(L268)+N(M268)+N(N268),2)=ROUND(H268,2),"OK","MISMATCH")))</f>
        <v/>
      </c>
      <c r="P268" s="16" t="n"/>
      <c r="Q268" s="16" t="n"/>
      <c r="R268" s="16" t="n"/>
      <c r="S268" s="17">
        <f>IF(C268="","",N(P268)+N(Q268)+N(R268))</f>
        <v/>
      </c>
      <c r="T268" s="17">
        <f>IF(C268="","",H268-S268)</f>
        <v/>
      </c>
      <c r="U268" s="54">
        <f>IFERROR(T268/H268,"")</f>
        <v/>
      </c>
      <c r="V268" s="14" t="n"/>
    </row>
    <row r="269" ht="15" customHeight="1">
      <c r="A269" s="51">
        <f>IF(C269="","",IFERROR(IF(SUMPRODUCT(MAX((tbl_Finance[Job Number]=C269&amp;"")*tbl_Finance[Date]))=0,"",SUMPRODUCT(MAX((tbl_Finance[Job Number]=C269&amp;"")*tbl_Finance[Date]))),""))</f>
        <v/>
      </c>
      <c r="B269" s="15">
        <f>IF(A269="","",IFERROR(LOOKUP(2,1/((tbl_Finance[Job Number]=C269&amp;"")*(tbl_Finance[Date]=A269)),tbl_Finance[Xero Invoice No]),""))</f>
        <v/>
      </c>
      <c r="C269" s="14" t="n"/>
      <c r="D269" s="15">
        <f>IF(C269="","",IF(COUNTIF(lst_Jobs,C269&amp;"")&gt;0,"OK","CHECK"))</f>
        <v/>
      </c>
      <c r="E269" s="15">
        <f>IF(C269="","",IFERROR(INDEX(lst_JobName,MATCH(C269&amp;"",lst_Jobs,0)),""))</f>
        <v/>
      </c>
      <c r="F269" s="15">
        <f>IF(C269="","",IFERROR(INDEX(tbl_Finance[Client],MATCH(C269&amp;"",tbl_Finance[Job Number],0)),""))</f>
        <v/>
      </c>
      <c r="G269" s="52">
        <f>IF(C269="","",COUNTIFS(tbl_Finance[Job Number],C269&amp;"",tbl_Finance[Ex GST],"&lt;&gt;"))</f>
        <v/>
      </c>
      <c r="H269" s="17">
        <f>IF(C269="","",SUMIFS(tbl_Finance[Ex GST],tbl_Finance[Job Number],C269&amp;""))</f>
        <v/>
      </c>
      <c r="I269" s="15">
        <f>IF(C269="","",IFERROR(INDEX(tbl_Finance[Cost Centre],MATCH(C269&amp;"",tbl_Finance[Job Number],0)),"not invoiced yet"))</f>
        <v/>
      </c>
      <c r="J269" s="14" t="n"/>
      <c r="K269" s="15">
        <f>IF(J269="","",HYPERLINK(IF(LEFT(J269,4)="http",J269,set_QwilrBase&amp;J269),"Open quote"))</f>
        <v/>
      </c>
      <c r="L269" s="16" t="n"/>
      <c r="M269" s="16" t="n"/>
      <c r="N269" s="16" t="n"/>
      <c r="O269" s="15">
        <f>IF(C269="","",IF(N(L269)+N(M269)+N(N269)=0,"Not split",IF(ROUND(N(L269)+N(M269)+N(N269),2)=ROUND(H269,2),"OK","MISMATCH")))</f>
        <v/>
      </c>
      <c r="P269" s="16" t="n"/>
      <c r="Q269" s="16" t="n"/>
      <c r="R269" s="16" t="n"/>
      <c r="S269" s="17">
        <f>IF(C269="","",N(P269)+N(Q269)+N(R269))</f>
        <v/>
      </c>
      <c r="T269" s="17">
        <f>IF(C269="","",H269-S269)</f>
        <v/>
      </c>
      <c r="U269" s="54">
        <f>IFERROR(T269/H269,"")</f>
        <v/>
      </c>
      <c r="V269" s="14" t="n"/>
    </row>
    <row r="270" ht="15" customHeight="1">
      <c r="A270" s="51">
        <f>IF(C270="","",IFERROR(IF(SUMPRODUCT(MAX((tbl_Finance[Job Number]=C270&amp;"")*tbl_Finance[Date]))=0,"",SUMPRODUCT(MAX((tbl_Finance[Job Number]=C270&amp;"")*tbl_Finance[Date]))),""))</f>
        <v/>
      </c>
      <c r="B270" s="15">
        <f>IF(A270="","",IFERROR(LOOKUP(2,1/((tbl_Finance[Job Number]=C270&amp;"")*(tbl_Finance[Date]=A270)),tbl_Finance[Xero Invoice No]),""))</f>
        <v/>
      </c>
      <c r="C270" s="14" t="n"/>
      <c r="D270" s="15">
        <f>IF(C270="","",IF(COUNTIF(lst_Jobs,C270&amp;"")&gt;0,"OK","CHECK"))</f>
        <v/>
      </c>
      <c r="E270" s="15">
        <f>IF(C270="","",IFERROR(INDEX(lst_JobName,MATCH(C270&amp;"",lst_Jobs,0)),""))</f>
        <v/>
      </c>
      <c r="F270" s="15">
        <f>IF(C270="","",IFERROR(INDEX(tbl_Finance[Client],MATCH(C270&amp;"",tbl_Finance[Job Number],0)),""))</f>
        <v/>
      </c>
      <c r="G270" s="52">
        <f>IF(C270="","",COUNTIFS(tbl_Finance[Job Number],C270&amp;"",tbl_Finance[Ex GST],"&lt;&gt;"))</f>
        <v/>
      </c>
      <c r="H270" s="17">
        <f>IF(C270="","",SUMIFS(tbl_Finance[Ex GST],tbl_Finance[Job Number],C270&amp;""))</f>
        <v/>
      </c>
      <c r="I270" s="15">
        <f>IF(C270="","",IFERROR(INDEX(tbl_Finance[Cost Centre],MATCH(C270&amp;"",tbl_Finance[Job Number],0)),"not invoiced yet"))</f>
        <v/>
      </c>
      <c r="J270" s="14" t="n"/>
      <c r="K270" s="15">
        <f>IF(J270="","",HYPERLINK(IF(LEFT(J270,4)="http",J270,set_QwilrBase&amp;J270),"Open quote"))</f>
        <v/>
      </c>
      <c r="L270" s="16" t="n"/>
      <c r="M270" s="16" t="n"/>
      <c r="N270" s="16" t="n"/>
      <c r="O270" s="15">
        <f>IF(C270="","",IF(N(L270)+N(M270)+N(N270)=0,"Not split",IF(ROUND(N(L270)+N(M270)+N(N270),2)=ROUND(H270,2),"OK","MISMATCH")))</f>
        <v/>
      </c>
      <c r="P270" s="16" t="n"/>
      <c r="Q270" s="16" t="n"/>
      <c r="R270" s="16" t="n"/>
      <c r="S270" s="17">
        <f>IF(C270="","",N(P270)+N(Q270)+N(R270))</f>
        <v/>
      </c>
      <c r="T270" s="17">
        <f>IF(C270="","",H270-S270)</f>
        <v/>
      </c>
      <c r="U270" s="54">
        <f>IFERROR(T270/H270,"")</f>
        <v/>
      </c>
      <c r="V270" s="14" t="n"/>
    </row>
    <row r="271" ht="15" customHeight="1">
      <c r="A271" s="51">
        <f>IF(C271="","",IFERROR(IF(SUMPRODUCT(MAX((tbl_Finance[Job Number]=C271&amp;"")*tbl_Finance[Date]))=0,"",SUMPRODUCT(MAX((tbl_Finance[Job Number]=C271&amp;"")*tbl_Finance[Date]))),""))</f>
        <v/>
      </c>
      <c r="B271" s="15">
        <f>IF(A271="","",IFERROR(LOOKUP(2,1/((tbl_Finance[Job Number]=C271&amp;"")*(tbl_Finance[Date]=A271)),tbl_Finance[Xero Invoice No]),""))</f>
        <v/>
      </c>
      <c r="C271" s="14" t="n"/>
      <c r="D271" s="15">
        <f>IF(C271="","",IF(COUNTIF(lst_Jobs,C271&amp;"")&gt;0,"OK","CHECK"))</f>
        <v/>
      </c>
      <c r="E271" s="15">
        <f>IF(C271="","",IFERROR(INDEX(lst_JobName,MATCH(C271&amp;"",lst_Jobs,0)),""))</f>
        <v/>
      </c>
      <c r="F271" s="15">
        <f>IF(C271="","",IFERROR(INDEX(tbl_Finance[Client],MATCH(C271&amp;"",tbl_Finance[Job Number],0)),""))</f>
        <v/>
      </c>
      <c r="G271" s="52">
        <f>IF(C271="","",COUNTIFS(tbl_Finance[Job Number],C271&amp;"",tbl_Finance[Ex GST],"&lt;&gt;"))</f>
        <v/>
      </c>
      <c r="H271" s="17">
        <f>IF(C271="","",SUMIFS(tbl_Finance[Ex GST],tbl_Finance[Job Number],C271&amp;""))</f>
        <v/>
      </c>
      <c r="I271" s="15">
        <f>IF(C271="","",IFERROR(INDEX(tbl_Finance[Cost Centre],MATCH(C271&amp;"",tbl_Finance[Job Number],0)),"not invoiced yet"))</f>
        <v/>
      </c>
      <c r="J271" s="14" t="n"/>
      <c r="K271" s="15">
        <f>IF(J271="","",HYPERLINK(IF(LEFT(J271,4)="http",J271,set_QwilrBase&amp;J271),"Open quote"))</f>
        <v/>
      </c>
      <c r="L271" s="16" t="n"/>
      <c r="M271" s="16" t="n"/>
      <c r="N271" s="16" t="n"/>
      <c r="O271" s="15">
        <f>IF(C271="","",IF(N(L271)+N(M271)+N(N271)=0,"Not split",IF(ROUND(N(L271)+N(M271)+N(N271),2)=ROUND(H271,2),"OK","MISMATCH")))</f>
        <v/>
      </c>
      <c r="P271" s="16" t="n"/>
      <c r="Q271" s="16" t="n"/>
      <c r="R271" s="16" t="n"/>
      <c r="S271" s="17">
        <f>IF(C271="","",N(P271)+N(Q271)+N(R271))</f>
        <v/>
      </c>
      <c r="T271" s="17">
        <f>IF(C271="","",H271-S271)</f>
        <v/>
      </c>
      <c r="U271" s="54">
        <f>IFERROR(T271/H271,"")</f>
        <v/>
      </c>
      <c r="V271" s="14" t="n"/>
    </row>
    <row r="272" ht="15" customHeight="1">
      <c r="A272" s="51">
        <f>IF(C272="","",IFERROR(IF(SUMPRODUCT(MAX((tbl_Finance[Job Number]=C272&amp;"")*tbl_Finance[Date]))=0,"",SUMPRODUCT(MAX((tbl_Finance[Job Number]=C272&amp;"")*tbl_Finance[Date]))),""))</f>
        <v/>
      </c>
      <c r="B272" s="15">
        <f>IF(A272="","",IFERROR(LOOKUP(2,1/((tbl_Finance[Job Number]=C272&amp;"")*(tbl_Finance[Date]=A272)),tbl_Finance[Xero Invoice No]),""))</f>
        <v/>
      </c>
      <c r="C272" s="14" t="n"/>
      <c r="D272" s="15">
        <f>IF(C272="","",IF(COUNTIF(lst_Jobs,C272&amp;"")&gt;0,"OK","CHECK"))</f>
        <v/>
      </c>
      <c r="E272" s="15">
        <f>IF(C272="","",IFERROR(INDEX(lst_JobName,MATCH(C272&amp;"",lst_Jobs,0)),""))</f>
        <v/>
      </c>
      <c r="F272" s="15">
        <f>IF(C272="","",IFERROR(INDEX(tbl_Finance[Client],MATCH(C272&amp;"",tbl_Finance[Job Number],0)),""))</f>
        <v/>
      </c>
      <c r="G272" s="52">
        <f>IF(C272="","",COUNTIFS(tbl_Finance[Job Number],C272&amp;"",tbl_Finance[Ex GST],"&lt;&gt;"))</f>
        <v/>
      </c>
      <c r="H272" s="17">
        <f>IF(C272="","",SUMIFS(tbl_Finance[Ex GST],tbl_Finance[Job Number],C272&amp;""))</f>
        <v/>
      </c>
      <c r="I272" s="15">
        <f>IF(C272="","",IFERROR(INDEX(tbl_Finance[Cost Centre],MATCH(C272&amp;"",tbl_Finance[Job Number],0)),"not invoiced yet"))</f>
        <v/>
      </c>
      <c r="J272" s="14" t="n"/>
      <c r="K272" s="15">
        <f>IF(J272="","",HYPERLINK(IF(LEFT(J272,4)="http",J272,set_QwilrBase&amp;J272),"Open quote"))</f>
        <v/>
      </c>
      <c r="L272" s="16" t="n"/>
      <c r="M272" s="16" t="n"/>
      <c r="N272" s="16" t="n"/>
      <c r="O272" s="15">
        <f>IF(C272="","",IF(N(L272)+N(M272)+N(N272)=0,"Not split",IF(ROUND(N(L272)+N(M272)+N(N272),2)=ROUND(H272,2),"OK","MISMATCH")))</f>
        <v/>
      </c>
      <c r="P272" s="16" t="n"/>
      <c r="Q272" s="16" t="n"/>
      <c r="R272" s="16" t="n"/>
      <c r="S272" s="17">
        <f>IF(C272="","",N(P272)+N(Q272)+N(R272))</f>
        <v/>
      </c>
      <c r="T272" s="17">
        <f>IF(C272="","",H272-S272)</f>
        <v/>
      </c>
      <c r="U272" s="54">
        <f>IFERROR(T272/H272,"")</f>
        <v/>
      </c>
      <c r="V272" s="14" t="n"/>
    </row>
    <row r="273" ht="15" customHeight="1">
      <c r="A273" s="51">
        <f>IF(C273="","",IFERROR(IF(SUMPRODUCT(MAX((tbl_Finance[Job Number]=C273&amp;"")*tbl_Finance[Date]))=0,"",SUMPRODUCT(MAX((tbl_Finance[Job Number]=C273&amp;"")*tbl_Finance[Date]))),""))</f>
        <v/>
      </c>
      <c r="B273" s="15">
        <f>IF(A273="","",IFERROR(LOOKUP(2,1/((tbl_Finance[Job Number]=C273&amp;"")*(tbl_Finance[Date]=A273)),tbl_Finance[Xero Invoice No]),""))</f>
        <v/>
      </c>
      <c r="C273" s="14" t="n"/>
      <c r="D273" s="15">
        <f>IF(C273="","",IF(COUNTIF(lst_Jobs,C273&amp;"")&gt;0,"OK","CHECK"))</f>
        <v/>
      </c>
      <c r="E273" s="15">
        <f>IF(C273="","",IFERROR(INDEX(lst_JobName,MATCH(C273&amp;"",lst_Jobs,0)),""))</f>
        <v/>
      </c>
      <c r="F273" s="15">
        <f>IF(C273="","",IFERROR(INDEX(tbl_Finance[Client],MATCH(C273&amp;"",tbl_Finance[Job Number],0)),""))</f>
        <v/>
      </c>
      <c r="G273" s="52">
        <f>IF(C273="","",COUNTIFS(tbl_Finance[Job Number],C273&amp;"",tbl_Finance[Ex GST],"&lt;&gt;"))</f>
        <v/>
      </c>
      <c r="H273" s="17">
        <f>IF(C273="","",SUMIFS(tbl_Finance[Ex GST],tbl_Finance[Job Number],C273&amp;""))</f>
        <v/>
      </c>
      <c r="I273" s="15">
        <f>IF(C273="","",IFERROR(INDEX(tbl_Finance[Cost Centre],MATCH(C273&amp;"",tbl_Finance[Job Number],0)),"not invoiced yet"))</f>
        <v/>
      </c>
      <c r="J273" s="14" t="n"/>
      <c r="K273" s="15">
        <f>IF(J273="","",HYPERLINK(IF(LEFT(J273,4)="http",J273,set_QwilrBase&amp;J273),"Open quote"))</f>
        <v/>
      </c>
      <c r="L273" s="16" t="n"/>
      <c r="M273" s="16" t="n"/>
      <c r="N273" s="16" t="n"/>
      <c r="O273" s="15">
        <f>IF(C273="","",IF(N(L273)+N(M273)+N(N273)=0,"Not split",IF(ROUND(N(L273)+N(M273)+N(N273),2)=ROUND(H273,2),"OK","MISMATCH")))</f>
        <v/>
      </c>
      <c r="P273" s="16" t="n"/>
      <c r="Q273" s="16" t="n"/>
      <c r="R273" s="16" t="n"/>
      <c r="S273" s="17">
        <f>IF(C273="","",N(P273)+N(Q273)+N(R273))</f>
        <v/>
      </c>
      <c r="T273" s="17">
        <f>IF(C273="","",H273-S273)</f>
        <v/>
      </c>
      <c r="U273" s="54">
        <f>IFERROR(T273/H273,"")</f>
        <v/>
      </c>
      <c r="V273" s="14" t="n"/>
    </row>
    <row r="274" ht="15" customHeight="1">
      <c r="A274" s="51">
        <f>IF(C274="","",IFERROR(IF(SUMPRODUCT(MAX((tbl_Finance[Job Number]=C274&amp;"")*tbl_Finance[Date]))=0,"",SUMPRODUCT(MAX((tbl_Finance[Job Number]=C274&amp;"")*tbl_Finance[Date]))),""))</f>
        <v/>
      </c>
      <c r="B274" s="15">
        <f>IF(A274="","",IFERROR(LOOKUP(2,1/((tbl_Finance[Job Number]=C274&amp;"")*(tbl_Finance[Date]=A274)),tbl_Finance[Xero Invoice No]),""))</f>
        <v/>
      </c>
      <c r="C274" s="14" t="n"/>
      <c r="D274" s="15">
        <f>IF(C274="","",IF(COUNTIF(lst_Jobs,C274&amp;"")&gt;0,"OK","CHECK"))</f>
        <v/>
      </c>
      <c r="E274" s="15">
        <f>IF(C274="","",IFERROR(INDEX(lst_JobName,MATCH(C274&amp;"",lst_Jobs,0)),""))</f>
        <v/>
      </c>
      <c r="F274" s="15">
        <f>IF(C274="","",IFERROR(INDEX(tbl_Finance[Client],MATCH(C274&amp;"",tbl_Finance[Job Number],0)),""))</f>
        <v/>
      </c>
      <c r="G274" s="52">
        <f>IF(C274="","",COUNTIFS(tbl_Finance[Job Number],C274&amp;"",tbl_Finance[Ex GST],"&lt;&gt;"))</f>
        <v/>
      </c>
      <c r="H274" s="17">
        <f>IF(C274="","",SUMIFS(tbl_Finance[Ex GST],tbl_Finance[Job Number],C274&amp;""))</f>
        <v/>
      </c>
      <c r="I274" s="15">
        <f>IF(C274="","",IFERROR(INDEX(tbl_Finance[Cost Centre],MATCH(C274&amp;"",tbl_Finance[Job Number],0)),"not invoiced yet"))</f>
        <v/>
      </c>
      <c r="J274" s="14" t="n"/>
      <c r="K274" s="15">
        <f>IF(J274="","",HYPERLINK(IF(LEFT(J274,4)="http",J274,set_QwilrBase&amp;J274),"Open quote"))</f>
        <v/>
      </c>
      <c r="L274" s="16" t="n"/>
      <c r="M274" s="16" t="n"/>
      <c r="N274" s="16" t="n"/>
      <c r="O274" s="15">
        <f>IF(C274="","",IF(N(L274)+N(M274)+N(N274)=0,"Not split",IF(ROUND(N(L274)+N(M274)+N(N274),2)=ROUND(H274,2),"OK","MISMATCH")))</f>
        <v/>
      </c>
      <c r="P274" s="16" t="n"/>
      <c r="Q274" s="16" t="n"/>
      <c r="R274" s="16" t="n"/>
      <c r="S274" s="17">
        <f>IF(C274="","",N(P274)+N(Q274)+N(R274))</f>
        <v/>
      </c>
      <c r="T274" s="17">
        <f>IF(C274="","",H274-S274)</f>
        <v/>
      </c>
      <c r="U274" s="54">
        <f>IFERROR(T274/H274,"")</f>
        <v/>
      </c>
      <c r="V274" s="14" t="n"/>
    </row>
    <row r="275" ht="15" customHeight="1">
      <c r="A275" s="51">
        <f>IF(C275="","",IFERROR(IF(SUMPRODUCT(MAX((tbl_Finance[Job Number]=C275&amp;"")*tbl_Finance[Date]))=0,"",SUMPRODUCT(MAX((tbl_Finance[Job Number]=C275&amp;"")*tbl_Finance[Date]))),""))</f>
        <v/>
      </c>
      <c r="B275" s="15">
        <f>IF(A275="","",IFERROR(LOOKUP(2,1/((tbl_Finance[Job Number]=C275&amp;"")*(tbl_Finance[Date]=A275)),tbl_Finance[Xero Invoice No]),""))</f>
        <v/>
      </c>
      <c r="C275" s="14" t="n"/>
      <c r="D275" s="15">
        <f>IF(C275="","",IF(COUNTIF(lst_Jobs,C275&amp;"")&gt;0,"OK","CHECK"))</f>
        <v/>
      </c>
      <c r="E275" s="15">
        <f>IF(C275="","",IFERROR(INDEX(lst_JobName,MATCH(C275&amp;"",lst_Jobs,0)),""))</f>
        <v/>
      </c>
      <c r="F275" s="15">
        <f>IF(C275="","",IFERROR(INDEX(tbl_Finance[Client],MATCH(C275&amp;"",tbl_Finance[Job Number],0)),""))</f>
        <v/>
      </c>
      <c r="G275" s="52">
        <f>IF(C275="","",COUNTIFS(tbl_Finance[Job Number],C275&amp;"",tbl_Finance[Ex GST],"&lt;&gt;"))</f>
        <v/>
      </c>
      <c r="H275" s="17">
        <f>IF(C275="","",SUMIFS(tbl_Finance[Ex GST],tbl_Finance[Job Number],C275&amp;""))</f>
        <v/>
      </c>
      <c r="I275" s="15">
        <f>IF(C275="","",IFERROR(INDEX(tbl_Finance[Cost Centre],MATCH(C275&amp;"",tbl_Finance[Job Number],0)),"not invoiced yet"))</f>
        <v/>
      </c>
      <c r="J275" s="14" t="n"/>
      <c r="K275" s="15">
        <f>IF(J275="","",HYPERLINK(IF(LEFT(J275,4)="http",J275,set_QwilrBase&amp;J275),"Open quote"))</f>
        <v/>
      </c>
      <c r="L275" s="16" t="n"/>
      <c r="M275" s="16" t="n"/>
      <c r="N275" s="16" t="n"/>
      <c r="O275" s="15">
        <f>IF(C275="","",IF(N(L275)+N(M275)+N(N275)=0,"Not split",IF(ROUND(N(L275)+N(M275)+N(N275),2)=ROUND(H275,2),"OK","MISMATCH")))</f>
        <v/>
      </c>
      <c r="P275" s="16" t="n"/>
      <c r="Q275" s="16" t="n"/>
      <c r="R275" s="16" t="n"/>
      <c r="S275" s="17">
        <f>IF(C275="","",N(P275)+N(Q275)+N(R275))</f>
        <v/>
      </c>
      <c r="T275" s="17">
        <f>IF(C275="","",H275-S275)</f>
        <v/>
      </c>
      <c r="U275" s="54">
        <f>IFERROR(T275/H275,"")</f>
        <v/>
      </c>
      <c r="V275" s="14" t="n"/>
    </row>
    <row r="276" ht="15" customHeight="1">
      <c r="A276" s="51">
        <f>IF(C276="","",IFERROR(IF(SUMPRODUCT(MAX((tbl_Finance[Job Number]=C276&amp;"")*tbl_Finance[Date]))=0,"",SUMPRODUCT(MAX((tbl_Finance[Job Number]=C276&amp;"")*tbl_Finance[Date]))),""))</f>
        <v/>
      </c>
      <c r="B276" s="15">
        <f>IF(A276="","",IFERROR(LOOKUP(2,1/((tbl_Finance[Job Number]=C276&amp;"")*(tbl_Finance[Date]=A276)),tbl_Finance[Xero Invoice No]),""))</f>
        <v/>
      </c>
      <c r="C276" s="14" t="n"/>
      <c r="D276" s="15">
        <f>IF(C276="","",IF(COUNTIF(lst_Jobs,C276&amp;"")&gt;0,"OK","CHECK"))</f>
        <v/>
      </c>
      <c r="E276" s="15">
        <f>IF(C276="","",IFERROR(INDEX(lst_JobName,MATCH(C276&amp;"",lst_Jobs,0)),""))</f>
        <v/>
      </c>
      <c r="F276" s="15">
        <f>IF(C276="","",IFERROR(INDEX(tbl_Finance[Client],MATCH(C276&amp;"",tbl_Finance[Job Number],0)),""))</f>
        <v/>
      </c>
      <c r="G276" s="52">
        <f>IF(C276="","",COUNTIFS(tbl_Finance[Job Number],C276&amp;"",tbl_Finance[Ex GST],"&lt;&gt;"))</f>
        <v/>
      </c>
      <c r="H276" s="17">
        <f>IF(C276="","",SUMIFS(tbl_Finance[Ex GST],tbl_Finance[Job Number],C276&amp;""))</f>
        <v/>
      </c>
      <c r="I276" s="15">
        <f>IF(C276="","",IFERROR(INDEX(tbl_Finance[Cost Centre],MATCH(C276&amp;"",tbl_Finance[Job Number],0)),"not invoiced yet"))</f>
        <v/>
      </c>
      <c r="J276" s="14" t="n"/>
      <c r="K276" s="15">
        <f>IF(J276="","",HYPERLINK(IF(LEFT(J276,4)="http",J276,set_QwilrBase&amp;J276),"Open quote"))</f>
        <v/>
      </c>
      <c r="L276" s="16" t="n"/>
      <c r="M276" s="16" t="n"/>
      <c r="N276" s="16" t="n"/>
      <c r="O276" s="15">
        <f>IF(C276="","",IF(N(L276)+N(M276)+N(N276)=0,"Not split",IF(ROUND(N(L276)+N(M276)+N(N276),2)=ROUND(H276,2),"OK","MISMATCH")))</f>
        <v/>
      </c>
      <c r="P276" s="16" t="n"/>
      <c r="Q276" s="16" t="n"/>
      <c r="R276" s="16" t="n"/>
      <c r="S276" s="17">
        <f>IF(C276="","",N(P276)+N(Q276)+N(R276))</f>
        <v/>
      </c>
      <c r="T276" s="17">
        <f>IF(C276="","",H276-S276)</f>
        <v/>
      </c>
      <c r="U276" s="54">
        <f>IFERROR(T276/H276,"")</f>
        <v/>
      </c>
      <c r="V276" s="14" t="n"/>
    </row>
    <row r="277" ht="15" customHeight="1">
      <c r="A277" s="51">
        <f>IF(C277="","",IFERROR(IF(SUMPRODUCT(MAX((tbl_Finance[Job Number]=C277&amp;"")*tbl_Finance[Date]))=0,"",SUMPRODUCT(MAX((tbl_Finance[Job Number]=C277&amp;"")*tbl_Finance[Date]))),""))</f>
        <v/>
      </c>
      <c r="B277" s="15">
        <f>IF(A277="","",IFERROR(LOOKUP(2,1/((tbl_Finance[Job Number]=C277&amp;"")*(tbl_Finance[Date]=A277)),tbl_Finance[Xero Invoice No]),""))</f>
        <v/>
      </c>
      <c r="C277" s="14" t="n"/>
      <c r="D277" s="15">
        <f>IF(C277="","",IF(COUNTIF(lst_Jobs,C277&amp;"")&gt;0,"OK","CHECK"))</f>
        <v/>
      </c>
      <c r="E277" s="15">
        <f>IF(C277="","",IFERROR(INDEX(lst_JobName,MATCH(C277&amp;"",lst_Jobs,0)),""))</f>
        <v/>
      </c>
      <c r="F277" s="15">
        <f>IF(C277="","",IFERROR(INDEX(tbl_Finance[Client],MATCH(C277&amp;"",tbl_Finance[Job Number],0)),""))</f>
        <v/>
      </c>
      <c r="G277" s="52">
        <f>IF(C277="","",COUNTIFS(tbl_Finance[Job Number],C277&amp;"",tbl_Finance[Ex GST],"&lt;&gt;"))</f>
        <v/>
      </c>
      <c r="H277" s="17">
        <f>IF(C277="","",SUMIFS(tbl_Finance[Ex GST],tbl_Finance[Job Number],C277&amp;""))</f>
        <v/>
      </c>
      <c r="I277" s="15">
        <f>IF(C277="","",IFERROR(INDEX(tbl_Finance[Cost Centre],MATCH(C277&amp;"",tbl_Finance[Job Number],0)),"not invoiced yet"))</f>
        <v/>
      </c>
      <c r="J277" s="14" t="n"/>
      <c r="K277" s="15">
        <f>IF(J277="","",HYPERLINK(IF(LEFT(J277,4)="http",J277,set_QwilrBase&amp;J277),"Open quote"))</f>
        <v/>
      </c>
      <c r="L277" s="16" t="n"/>
      <c r="M277" s="16" t="n"/>
      <c r="N277" s="16" t="n"/>
      <c r="O277" s="15">
        <f>IF(C277="","",IF(N(L277)+N(M277)+N(N277)=0,"Not split",IF(ROUND(N(L277)+N(M277)+N(N277),2)=ROUND(H277,2),"OK","MISMATCH")))</f>
        <v/>
      </c>
      <c r="P277" s="16" t="n"/>
      <c r="Q277" s="16" t="n"/>
      <c r="R277" s="16" t="n"/>
      <c r="S277" s="17">
        <f>IF(C277="","",N(P277)+N(Q277)+N(R277))</f>
        <v/>
      </c>
      <c r="T277" s="17">
        <f>IF(C277="","",H277-S277)</f>
        <v/>
      </c>
      <c r="U277" s="54">
        <f>IFERROR(T277/H277,"")</f>
        <v/>
      </c>
      <c r="V277" s="14" t="n"/>
    </row>
    <row r="278" ht="15" customHeight="1">
      <c r="A278" s="51">
        <f>IF(C278="","",IFERROR(IF(SUMPRODUCT(MAX((tbl_Finance[Job Number]=C278&amp;"")*tbl_Finance[Date]))=0,"",SUMPRODUCT(MAX((tbl_Finance[Job Number]=C278&amp;"")*tbl_Finance[Date]))),""))</f>
        <v/>
      </c>
      <c r="B278" s="15">
        <f>IF(A278="","",IFERROR(LOOKUP(2,1/((tbl_Finance[Job Number]=C278&amp;"")*(tbl_Finance[Date]=A278)),tbl_Finance[Xero Invoice No]),""))</f>
        <v/>
      </c>
      <c r="C278" s="14" t="n"/>
      <c r="D278" s="15">
        <f>IF(C278="","",IF(COUNTIF(lst_Jobs,C278&amp;"")&gt;0,"OK","CHECK"))</f>
        <v/>
      </c>
      <c r="E278" s="15">
        <f>IF(C278="","",IFERROR(INDEX(lst_JobName,MATCH(C278&amp;"",lst_Jobs,0)),""))</f>
        <v/>
      </c>
      <c r="F278" s="15">
        <f>IF(C278="","",IFERROR(INDEX(tbl_Finance[Client],MATCH(C278&amp;"",tbl_Finance[Job Number],0)),""))</f>
        <v/>
      </c>
      <c r="G278" s="52">
        <f>IF(C278="","",COUNTIFS(tbl_Finance[Job Number],C278&amp;"",tbl_Finance[Ex GST],"&lt;&gt;"))</f>
        <v/>
      </c>
      <c r="H278" s="17">
        <f>IF(C278="","",SUMIFS(tbl_Finance[Ex GST],tbl_Finance[Job Number],C278&amp;""))</f>
        <v/>
      </c>
      <c r="I278" s="15">
        <f>IF(C278="","",IFERROR(INDEX(tbl_Finance[Cost Centre],MATCH(C278&amp;"",tbl_Finance[Job Number],0)),"not invoiced yet"))</f>
        <v/>
      </c>
      <c r="J278" s="14" t="n"/>
      <c r="K278" s="15">
        <f>IF(J278="","",HYPERLINK(IF(LEFT(J278,4)="http",J278,set_QwilrBase&amp;J278),"Open quote"))</f>
        <v/>
      </c>
      <c r="L278" s="16" t="n"/>
      <c r="M278" s="16" t="n"/>
      <c r="N278" s="16" t="n"/>
      <c r="O278" s="15">
        <f>IF(C278="","",IF(N(L278)+N(M278)+N(N278)=0,"Not split",IF(ROUND(N(L278)+N(M278)+N(N278),2)=ROUND(H278,2),"OK","MISMATCH")))</f>
        <v/>
      </c>
      <c r="P278" s="16" t="n"/>
      <c r="Q278" s="16" t="n"/>
      <c r="R278" s="16" t="n"/>
      <c r="S278" s="17">
        <f>IF(C278="","",N(P278)+N(Q278)+N(R278))</f>
        <v/>
      </c>
      <c r="T278" s="17">
        <f>IF(C278="","",H278-S278)</f>
        <v/>
      </c>
      <c r="U278" s="54">
        <f>IFERROR(T278/H278,"")</f>
        <v/>
      </c>
      <c r="V278" s="14" t="n"/>
    </row>
    <row r="279" ht="15" customHeight="1">
      <c r="A279" s="51">
        <f>IF(C279="","",IFERROR(IF(SUMPRODUCT(MAX((tbl_Finance[Job Number]=C279&amp;"")*tbl_Finance[Date]))=0,"",SUMPRODUCT(MAX((tbl_Finance[Job Number]=C279&amp;"")*tbl_Finance[Date]))),""))</f>
        <v/>
      </c>
      <c r="B279" s="15">
        <f>IF(A279="","",IFERROR(LOOKUP(2,1/((tbl_Finance[Job Number]=C279&amp;"")*(tbl_Finance[Date]=A279)),tbl_Finance[Xero Invoice No]),""))</f>
        <v/>
      </c>
      <c r="C279" s="14" t="n"/>
      <c r="D279" s="15">
        <f>IF(C279="","",IF(COUNTIF(lst_Jobs,C279&amp;"")&gt;0,"OK","CHECK"))</f>
        <v/>
      </c>
      <c r="E279" s="15">
        <f>IF(C279="","",IFERROR(INDEX(lst_JobName,MATCH(C279&amp;"",lst_Jobs,0)),""))</f>
        <v/>
      </c>
      <c r="F279" s="15">
        <f>IF(C279="","",IFERROR(INDEX(tbl_Finance[Client],MATCH(C279&amp;"",tbl_Finance[Job Number],0)),""))</f>
        <v/>
      </c>
      <c r="G279" s="52">
        <f>IF(C279="","",COUNTIFS(tbl_Finance[Job Number],C279&amp;"",tbl_Finance[Ex GST],"&lt;&gt;"))</f>
        <v/>
      </c>
      <c r="H279" s="17">
        <f>IF(C279="","",SUMIFS(tbl_Finance[Ex GST],tbl_Finance[Job Number],C279&amp;""))</f>
        <v/>
      </c>
      <c r="I279" s="15">
        <f>IF(C279="","",IFERROR(INDEX(tbl_Finance[Cost Centre],MATCH(C279&amp;"",tbl_Finance[Job Number],0)),"not invoiced yet"))</f>
        <v/>
      </c>
      <c r="J279" s="14" t="n"/>
      <c r="K279" s="15">
        <f>IF(J279="","",HYPERLINK(IF(LEFT(J279,4)="http",J279,set_QwilrBase&amp;J279),"Open quote"))</f>
        <v/>
      </c>
      <c r="L279" s="16" t="n"/>
      <c r="M279" s="16" t="n"/>
      <c r="N279" s="16" t="n"/>
      <c r="O279" s="15">
        <f>IF(C279="","",IF(N(L279)+N(M279)+N(N279)=0,"Not split",IF(ROUND(N(L279)+N(M279)+N(N279),2)=ROUND(H279,2),"OK","MISMATCH")))</f>
        <v/>
      </c>
      <c r="P279" s="16" t="n"/>
      <c r="Q279" s="16" t="n"/>
      <c r="R279" s="16" t="n"/>
      <c r="S279" s="17">
        <f>IF(C279="","",N(P279)+N(Q279)+N(R279))</f>
        <v/>
      </c>
      <c r="T279" s="17">
        <f>IF(C279="","",H279-S279)</f>
        <v/>
      </c>
      <c r="U279" s="54">
        <f>IFERROR(T279/H279,"")</f>
        <v/>
      </c>
      <c r="V279" s="14" t="n"/>
    </row>
    <row r="280" ht="15" customHeight="1">
      <c r="A280" s="51">
        <f>IF(C280="","",IFERROR(IF(SUMPRODUCT(MAX((tbl_Finance[Job Number]=C280&amp;"")*tbl_Finance[Date]))=0,"",SUMPRODUCT(MAX((tbl_Finance[Job Number]=C280&amp;"")*tbl_Finance[Date]))),""))</f>
        <v/>
      </c>
      <c r="B280" s="15">
        <f>IF(A280="","",IFERROR(LOOKUP(2,1/((tbl_Finance[Job Number]=C280&amp;"")*(tbl_Finance[Date]=A280)),tbl_Finance[Xero Invoice No]),""))</f>
        <v/>
      </c>
      <c r="C280" s="14" t="n"/>
      <c r="D280" s="15">
        <f>IF(C280="","",IF(COUNTIF(lst_Jobs,C280&amp;"")&gt;0,"OK","CHECK"))</f>
        <v/>
      </c>
      <c r="E280" s="15">
        <f>IF(C280="","",IFERROR(INDEX(lst_JobName,MATCH(C280&amp;"",lst_Jobs,0)),""))</f>
        <v/>
      </c>
      <c r="F280" s="15">
        <f>IF(C280="","",IFERROR(INDEX(tbl_Finance[Client],MATCH(C280&amp;"",tbl_Finance[Job Number],0)),""))</f>
        <v/>
      </c>
      <c r="G280" s="52">
        <f>IF(C280="","",COUNTIFS(tbl_Finance[Job Number],C280&amp;"",tbl_Finance[Ex GST],"&lt;&gt;"))</f>
        <v/>
      </c>
      <c r="H280" s="17">
        <f>IF(C280="","",SUMIFS(tbl_Finance[Ex GST],tbl_Finance[Job Number],C280&amp;""))</f>
        <v/>
      </c>
      <c r="I280" s="15">
        <f>IF(C280="","",IFERROR(INDEX(tbl_Finance[Cost Centre],MATCH(C280&amp;"",tbl_Finance[Job Number],0)),"not invoiced yet"))</f>
        <v/>
      </c>
      <c r="J280" s="14" t="n"/>
      <c r="K280" s="15">
        <f>IF(J280="","",HYPERLINK(IF(LEFT(J280,4)="http",J280,set_QwilrBase&amp;J280),"Open quote"))</f>
        <v/>
      </c>
      <c r="L280" s="16" t="n"/>
      <c r="M280" s="16" t="n"/>
      <c r="N280" s="16" t="n"/>
      <c r="O280" s="15">
        <f>IF(C280="","",IF(N(L280)+N(M280)+N(N280)=0,"Not split",IF(ROUND(N(L280)+N(M280)+N(N280),2)=ROUND(H280,2),"OK","MISMATCH")))</f>
        <v/>
      </c>
      <c r="P280" s="16" t="n"/>
      <c r="Q280" s="16" t="n"/>
      <c r="R280" s="16" t="n"/>
      <c r="S280" s="17">
        <f>IF(C280="","",N(P280)+N(Q280)+N(R280))</f>
        <v/>
      </c>
      <c r="T280" s="17">
        <f>IF(C280="","",H280-S280)</f>
        <v/>
      </c>
      <c r="U280" s="54">
        <f>IFERROR(T280/H280,"")</f>
        <v/>
      </c>
      <c r="V280" s="14" t="n"/>
    </row>
    <row r="281" ht="15" customHeight="1">
      <c r="A281" s="51">
        <f>IF(C281="","",IFERROR(IF(SUMPRODUCT(MAX((tbl_Finance[Job Number]=C281&amp;"")*tbl_Finance[Date]))=0,"",SUMPRODUCT(MAX((tbl_Finance[Job Number]=C281&amp;"")*tbl_Finance[Date]))),""))</f>
        <v/>
      </c>
      <c r="B281" s="15">
        <f>IF(A281="","",IFERROR(LOOKUP(2,1/((tbl_Finance[Job Number]=C281&amp;"")*(tbl_Finance[Date]=A281)),tbl_Finance[Xero Invoice No]),""))</f>
        <v/>
      </c>
      <c r="C281" s="14" t="n"/>
      <c r="D281" s="15">
        <f>IF(C281="","",IF(COUNTIF(lst_Jobs,C281&amp;"")&gt;0,"OK","CHECK"))</f>
        <v/>
      </c>
      <c r="E281" s="15">
        <f>IF(C281="","",IFERROR(INDEX(lst_JobName,MATCH(C281&amp;"",lst_Jobs,0)),""))</f>
        <v/>
      </c>
      <c r="F281" s="15">
        <f>IF(C281="","",IFERROR(INDEX(tbl_Finance[Client],MATCH(C281&amp;"",tbl_Finance[Job Number],0)),""))</f>
        <v/>
      </c>
      <c r="G281" s="52">
        <f>IF(C281="","",COUNTIFS(tbl_Finance[Job Number],C281&amp;"",tbl_Finance[Ex GST],"&lt;&gt;"))</f>
        <v/>
      </c>
      <c r="H281" s="17">
        <f>IF(C281="","",SUMIFS(tbl_Finance[Ex GST],tbl_Finance[Job Number],C281&amp;""))</f>
        <v/>
      </c>
      <c r="I281" s="15">
        <f>IF(C281="","",IFERROR(INDEX(tbl_Finance[Cost Centre],MATCH(C281&amp;"",tbl_Finance[Job Number],0)),"not invoiced yet"))</f>
        <v/>
      </c>
      <c r="J281" s="14" t="n"/>
      <c r="K281" s="15">
        <f>IF(J281="","",HYPERLINK(IF(LEFT(J281,4)="http",J281,set_QwilrBase&amp;J281),"Open quote"))</f>
        <v/>
      </c>
      <c r="L281" s="16" t="n"/>
      <c r="M281" s="16" t="n"/>
      <c r="N281" s="16" t="n"/>
      <c r="O281" s="15">
        <f>IF(C281="","",IF(N(L281)+N(M281)+N(N281)=0,"Not split",IF(ROUND(N(L281)+N(M281)+N(N281),2)=ROUND(H281,2),"OK","MISMATCH")))</f>
        <v/>
      </c>
      <c r="P281" s="16" t="n"/>
      <c r="Q281" s="16" t="n"/>
      <c r="R281" s="16" t="n"/>
      <c r="S281" s="17">
        <f>IF(C281="","",N(P281)+N(Q281)+N(R281))</f>
        <v/>
      </c>
      <c r="T281" s="17">
        <f>IF(C281="","",H281-S281)</f>
        <v/>
      </c>
      <c r="U281" s="54">
        <f>IFERROR(T281/H281,"")</f>
        <v/>
      </c>
      <c r="V281" s="14" t="n"/>
    </row>
    <row r="282" ht="15" customHeight="1">
      <c r="A282" s="51">
        <f>IF(C282="","",IFERROR(IF(SUMPRODUCT(MAX((tbl_Finance[Job Number]=C282&amp;"")*tbl_Finance[Date]))=0,"",SUMPRODUCT(MAX((tbl_Finance[Job Number]=C282&amp;"")*tbl_Finance[Date]))),""))</f>
        <v/>
      </c>
      <c r="B282" s="15">
        <f>IF(A282="","",IFERROR(LOOKUP(2,1/((tbl_Finance[Job Number]=C282&amp;"")*(tbl_Finance[Date]=A282)),tbl_Finance[Xero Invoice No]),""))</f>
        <v/>
      </c>
      <c r="C282" s="14" t="n"/>
      <c r="D282" s="15">
        <f>IF(C282="","",IF(COUNTIF(lst_Jobs,C282&amp;"")&gt;0,"OK","CHECK"))</f>
        <v/>
      </c>
      <c r="E282" s="15">
        <f>IF(C282="","",IFERROR(INDEX(lst_JobName,MATCH(C282&amp;"",lst_Jobs,0)),""))</f>
        <v/>
      </c>
      <c r="F282" s="15">
        <f>IF(C282="","",IFERROR(INDEX(tbl_Finance[Client],MATCH(C282&amp;"",tbl_Finance[Job Number],0)),""))</f>
        <v/>
      </c>
      <c r="G282" s="52">
        <f>IF(C282="","",COUNTIFS(tbl_Finance[Job Number],C282&amp;"",tbl_Finance[Ex GST],"&lt;&gt;"))</f>
        <v/>
      </c>
      <c r="H282" s="17">
        <f>IF(C282="","",SUMIFS(tbl_Finance[Ex GST],tbl_Finance[Job Number],C282&amp;""))</f>
        <v/>
      </c>
      <c r="I282" s="15">
        <f>IF(C282="","",IFERROR(INDEX(tbl_Finance[Cost Centre],MATCH(C282&amp;"",tbl_Finance[Job Number],0)),"not invoiced yet"))</f>
        <v/>
      </c>
      <c r="J282" s="14" t="n"/>
      <c r="K282" s="15">
        <f>IF(J282="","",HYPERLINK(IF(LEFT(J282,4)="http",J282,set_QwilrBase&amp;J282),"Open quote"))</f>
        <v/>
      </c>
      <c r="L282" s="16" t="n"/>
      <c r="M282" s="16" t="n"/>
      <c r="N282" s="16" t="n"/>
      <c r="O282" s="15">
        <f>IF(C282="","",IF(N(L282)+N(M282)+N(N282)=0,"Not split",IF(ROUND(N(L282)+N(M282)+N(N282),2)=ROUND(H282,2),"OK","MISMATCH")))</f>
        <v/>
      </c>
      <c r="P282" s="16" t="n"/>
      <c r="Q282" s="16" t="n"/>
      <c r="R282" s="16" t="n"/>
      <c r="S282" s="17">
        <f>IF(C282="","",N(P282)+N(Q282)+N(R282))</f>
        <v/>
      </c>
      <c r="T282" s="17">
        <f>IF(C282="","",H282-S282)</f>
        <v/>
      </c>
      <c r="U282" s="54">
        <f>IFERROR(T282/H282,"")</f>
        <v/>
      </c>
      <c r="V282" s="14" t="n"/>
    </row>
    <row r="283" ht="15" customHeight="1">
      <c r="A283" s="51">
        <f>IF(C283="","",IFERROR(IF(SUMPRODUCT(MAX((tbl_Finance[Job Number]=C283&amp;"")*tbl_Finance[Date]))=0,"",SUMPRODUCT(MAX((tbl_Finance[Job Number]=C283&amp;"")*tbl_Finance[Date]))),""))</f>
        <v/>
      </c>
      <c r="B283" s="15">
        <f>IF(A283="","",IFERROR(LOOKUP(2,1/((tbl_Finance[Job Number]=C283&amp;"")*(tbl_Finance[Date]=A283)),tbl_Finance[Xero Invoice No]),""))</f>
        <v/>
      </c>
      <c r="C283" s="14" t="n"/>
      <c r="D283" s="15">
        <f>IF(C283="","",IF(COUNTIF(lst_Jobs,C283&amp;"")&gt;0,"OK","CHECK"))</f>
        <v/>
      </c>
      <c r="E283" s="15">
        <f>IF(C283="","",IFERROR(INDEX(lst_JobName,MATCH(C283&amp;"",lst_Jobs,0)),""))</f>
        <v/>
      </c>
      <c r="F283" s="15">
        <f>IF(C283="","",IFERROR(INDEX(tbl_Finance[Client],MATCH(C283&amp;"",tbl_Finance[Job Number],0)),""))</f>
        <v/>
      </c>
      <c r="G283" s="52">
        <f>IF(C283="","",COUNTIFS(tbl_Finance[Job Number],C283&amp;"",tbl_Finance[Ex GST],"&lt;&gt;"))</f>
        <v/>
      </c>
      <c r="H283" s="17">
        <f>IF(C283="","",SUMIFS(tbl_Finance[Ex GST],tbl_Finance[Job Number],C283&amp;""))</f>
        <v/>
      </c>
      <c r="I283" s="15">
        <f>IF(C283="","",IFERROR(INDEX(tbl_Finance[Cost Centre],MATCH(C283&amp;"",tbl_Finance[Job Number],0)),"not invoiced yet"))</f>
        <v/>
      </c>
      <c r="J283" s="14" t="n"/>
      <c r="K283" s="15">
        <f>IF(J283="","",HYPERLINK(IF(LEFT(J283,4)="http",J283,set_QwilrBase&amp;J283),"Open quote"))</f>
        <v/>
      </c>
      <c r="L283" s="16" t="n"/>
      <c r="M283" s="16" t="n"/>
      <c r="N283" s="16" t="n"/>
      <c r="O283" s="15">
        <f>IF(C283="","",IF(N(L283)+N(M283)+N(N283)=0,"Not split",IF(ROUND(N(L283)+N(M283)+N(N283),2)=ROUND(H283,2),"OK","MISMATCH")))</f>
        <v/>
      </c>
      <c r="P283" s="16" t="n"/>
      <c r="Q283" s="16" t="n"/>
      <c r="R283" s="16" t="n"/>
      <c r="S283" s="17">
        <f>IF(C283="","",N(P283)+N(Q283)+N(R283))</f>
        <v/>
      </c>
      <c r="T283" s="17">
        <f>IF(C283="","",H283-S283)</f>
        <v/>
      </c>
      <c r="U283" s="54">
        <f>IFERROR(T283/H283,"")</f>
        <v/>
      </c>
      <c r="V283" s="14" t="n"/>
    </row>
    <row r="284" ht="15" customHeight="1">
      <c r="A284" s="51">
        <f>IF(C284="","",IFERROR(IF(SUMPRODUCT(MAX((tbl_Finance[Job Number]=C284&amp;"")*tbl_Finance[Date]))=0,"",SUMPRODUCT(MAX((tbl_Finance[Job Number]=C284&amp;"")*tbl_Finance[Date]))),""))</f>
        <v/>
      </c>
      <c r="B284" s="15">
        <f>IF(A284="","",IFERROR(LOOKUP(2,1/((tbl_Finance[Job Number]=C284&amp;"")*(tbl_Finance[Date]=A284)),tbl_Finance[Xero Invoice No]),""))</f>
        <v/>
      </c>
      <c r="C284" s="14" t="n"/>
      <c r="D284" s="15">
        <f>IF(C284="","",IF(COUNTIF(lst_Jobs,C284&amp;"")&gt;0,"OK","CHECK"))</f>
        <v/>
      </c>
      <c r="E284" s="15">
        <f>IF(C284="","",IFERROR(INDEX(lst_JobName,MATCH(C284&amp;"",lst_Jobs,0)),""))</f>
        <v/>
      </c>
      <c r="F284" s="15">
        <f>IF(C284="","",IFERROR(INDEX(tbl_Finance[Client],MATCH(C284&amp;"",tbl_Finance[Job Number],0)),""))</f>
        <v/>
      </c>
      <c r="G284" s="52">
        <f>IF(C284="","",COUNTIFS(tbl_Finance[Job Number],C284&amp;"",tbl_Finance[Ex GST],"&lt;&gt;"))</f>
        <v/>
      </c>
      <c r="H284" s="17">
        <f>IF(C284="","",SUMIFS(tbl_Finance[Ex GST],tbl_Finance[Job Number],C284&amp;""))</f>
        <v/>
      </c>
      <c r="I284" s="15">
        <f>IF(C284="","",IFERROR(INDEX(tbl_Finance[Cost Centre],MATCH(C284&amp;"",tbl_Finance[Job Number],0)),"not invoiced yet"))</f>
        <v/>
      </c>
      <c r="J284" s="14" t="n"/>
      <c r="K284" s="15">
        <f>IF(J284="","",HYPERLINK(IF(LEFT(J284,4)="http",J284,set_QwilrBase&amp;J284),"Open quote"))</f>
        <v/>
      </c>
      <c r="L284" s="16" t="n"/>
      <c r="M284" s="16" t="n"/>
      <c r="N284" s="16" t="n"/>
      <c r="O284" s="15">
        <f>IF(C284="","",IF(N(L284)+N(M284)+N(N284)=0,"Not split",IF(ROUND(N(L284)+N(M284)+N(N284),2)=ROUND(H284,2),"OK","MISMATCH")))</f>
        <v/>
      </c>
      <c r="P284" s="16" t="n"/>
      <c r="Q284" s="16" t="n"/>
      <c r="R284" s="16" t="n"/>
      <c r="S284" s="17">
        <f>IF(C284="","",N(P284)+N(Q284)+N(R284))</f>
        <v/>
      </c>
      <c r="T284" s="17">
        <f>IF(C284="","",H284-S284)</f>
        <v/>
      </c>
      <c r="U284" s="54">
        <f>IFERROR(T284/H284,"")</f>
        <v/>
      </c>
      <c r="V284" s="14" t="n"/>
    </row>
    <row r="285" ht="15" customHeight="1">
      <c r="A285" s="51">
        <f>IF(C285="","",IFERROR(IF(SUMPRODUCT(MAX((tbl_Finance[Job Number]=C285&amp;"")*tbl_Finance[Date]))=0,"",SUMPRODUCT(MAX((tbl_Finance[Job Number]=C285&amp;"")*tbl_Finance[Date]))),""))</f>
        <v/>
      </c>
      <c r="B285" s="15">
        <f>IF(A285="","",IFERROR(LOOKUP(2,1/((tbl_Finance[Job Number]=C285&amp;"")*(tbl_Finance[Date]=A285)),tbl_Finance[Xero Invoice No]),""))</f>
        <v/>
      </c>
      <c r="C285" s="14" t="n"/>
      <c r="D285" s="15">
        <f>IF(C285="","",IF(COUNTIF(lst_Jobs,C285&amp;"")&gt;0,"OK","CHECK"))</f>
        <v/>
      </c>
      <c r="E285" s="15">
        <f>IF(C285="","",IFERROR(INDEX(lst_JobName,MATCH(C285&amp;"",lst_Jobs,0)),""))</f>
        <v/>
      </c>
      <c r="F285" s="15">
        <f>IF(C285="","",IFERROR(INDEX(tbl_Finance[Client],MATCH(C285&amp;"",tbl_Finance[Job Number],0)),""))</f>
        <v/>
      </c>
      <c r="G285" s="52">
        <f>IF(C285="","",COUNTIFS(tbl_Finance[Job Number],C285&amp;"",tbl_Finance[Ex GST],"&lt;&gt;"))</f>
        <v/>
      </c>
      <c r="H285" s="17">
        <f>IF(C285="","",SUMIFS(tbl_Finance[Ex GST],tbl_Finance[Job Number],C285&amp;""))</f>
        <v/>
      </c>
      <c r="I285" s="15">
        <f>IF(C285="","",IFERROR(INDEX(tbl_Finance[Cost Centre],MATCH(C285&amp;"",tbl_Finance[Job Number],0)),"not invoiced yet"))</f>
        <v/>
      </c>
      <c r="J285" s="14" t="n"/>
      <c r="K285" s="15">
        <f>IF(J285="","",HYPERLINK(IF(LEFT(J285,4)="http",J285,set_QwilrBase&amp;J285),"Open quote"))</f>
        <v/>
      </c>
      <c r="L285" s="16" t="n"/>
      <c r="M285" s="16" t="n"/>
      <c r="N285" s="16" t="n"/>
      <c r="O285" s="15">
        <f>IF(C285="","",IF(N(L285)+N(M285)+N(N285)=0,"Not split",IF(ROUND(N(L285)+N(M285)+N(N285),2)=ROUND(H285,2),"OK","MISMATCH")))</f>
        <v/>
      </c>
      <c r="P285" s="16" t="n"/>
      <c r="Q285" s="16" t="n"/>
      <c r="R285" s="16" t="n"/>
      <c r="S285" s="17">
        <f>IF(C285="","",N(P285)+N(Q285)+N(R285))</f>
        <v/>
      </c>
      <c r="T285" s="17">
        <f>IF(C285="","",H285-S285)</f>
        <v/>
      </c>
      <c r="U285" s="54">
        <f>IFERROR(T285/H285,"")</f>
        <v/>
      </c>
      <c r="V285" s="14" t="n"/>
    </row>
    <row r="286" ht="15" customHeight="1">
      <c r="A286" s="51">
        <f>IF(C286="","",IFERROR(IF(SUMPRODUCT(MAX((tbl_Finance[Job Number]=C286&amp;"")*tbl_Finance[Date]))=0,"",SUMPRODUCT(MAX((tbl_Finance[Job Number]=C286&amp;"")*tbl_Finance[Date]))),""))</f>
        <v/>
      </c>
      <c r="B286" s="15">
        <f>IF(A286="","",IFERROR(LOOKUP(2,1/((tbl_Finance[Job Number]=C286&amp;"")*(tbl_Finance[Date]=A286)),tbl_Finance[Xero Invoice No]),""))</f>
        <v/>
      </c>
      <c r="C286" s="14" t="n"/>
      <c r="D286" s="15">
        <f>IF(C286="","",IF(COUNTIF(lst_Jobs,C286&amp;"")&gt;0,"OK","CHECK"))</f>
        <v/>
      </c>
      <c r="E286" s="15">
        <f>IF(C286="","",IFERROR(INDEX(lst_JobName,MATCH(C286&amp;"",lst_Jobs,0)),""))</f>
        <v/>
      </c>
      <c r="F286" s="15">
        <f>IF(C286="","",IFERROR(INDEX(tbl_Finance[Client],MATCH(C286&amp;"",tbl_Finance[Job Number],0)),""))</f>
        <v/>
      </c>
      <c r="G286" s="52">
        <f>IF(C286="","",COUNTIFS(tbl_Finance[Job Number],C286&amp;"",tbl_Finance[Ex GST],"&lt;&gt;"))</f>
        <v/>
      </c>
      <c r="H286" s="17">
        <f>IF(C286="","",SUMIFS(tbl_Finance[Ex GST],tbl_Finance[Job Number],C286&amp;""))</f>
        <v/>
      </c>
      <c r="I286" s="15">
        <f>IF(C286="","",IFERROR(INDEX(tbl_Finance[Cost Centre],MATCH(C286&amp;"",tbl_Finance[Job Number],0)),"not invoiced yet"))</f>
        <v/>
      </c>
      <c r="J286" s="14" t="n"/>
      <c r="K286" s="15">
        <f>IF(J286="","",HYPERLINK(IF(LEFT(J286,4)="http",J286,set_QwilrBase&amp;J286),"Open quote"))</f>
        <v/>
      </c>
      <c r="L286" s="16" t="n"/>
      <c r="M286" s="16" t="n"/>
      <c r="N286" s="16" t="n"/>
      <c r="O286" s="15">
        <f>IF(C286="","",IF(N(L286)+N(M286)+N(N286)=0,"Not split",IF(ROUND(N(L286)+N(M286)+N(N286),2)=ROUND(H286,2),"OK","MISMATCH")))</f>
        <v/>
      </c>
      <c r="P286" s="16" t="n"/>
      <c r="Q286" s="16" t="n"/>
      <c r="R286" s="16" t="n"/>
      <c r="S286" s="17">
        <f>IF(C286="","",N(P286)+N(Q286)+N(R286))</f>
        <v/>
      </c>
      <c r="T286" s="17">
        <f>IF(C286="","",H286-S286)</f>
        <v/>
      </c>
      <c r="U286" s="54">
        <f>IFERROR(T286/H286,"")</f>
        <v/>
      </c>
      <c r="V286" s="14" t="n"/>
    </row>
    <row r="287" ht="15" customHeight="1">
      <c r="A287" s="51">
        <f>IF(C287="","",IFERROR(IF(SUMPRODUCT(MAX((tbl_Finance[Job Number]=C287&amp;"")*tbl_Finance[Date]))=0,"",SUMPRODUCT(MAX((tbl_Finance[Job Number]=C287&amp;"")*tbl_Finance[Date]))),""))</f>
        <v/>
      </c>
      <c r="B287" s="15">
        <f>IF(A287="","",IFERROR(LOOKUP(2,1/((tbl_Finance[Job Number]=C287&amp;"")*(tbl_Finance[Date]=A287)),tbl_Finance[Xero Invoice No]),""))</f>
        <v/>
      </c>
      <c r="C287" s="14" t="n"/>
      <c r="D287" s="15">
        <f>IF(C287="","",IF(COUNTIF(lst_Jobs,C287&amp;"")&gt;0,"OK","CHECK"))</f>
        <v/>
      </c>
      <c r="E287" s="15">
        <f>IF(C287="","",IFERROR(INDEX(lst_JobName,MATCH(C287&amp;"",lst_Jobs,0)),""))</f>
        <v/>
      </c>
      <c r="F287" s="15">
        <f>IF(C287="","",IFERROR(INDEX(tbl_Finance[Client],MATCH(C287&amp;"",tbl_Finance[Job Number],0)),""))</f>
        <v/>
      </c>
      <c r="G287" s="52">
        <f>IF(C287="","",COUNTIFS(tbl_Finance[Job Number],C287&amp;"",tbl_Finance[Ex GST],"&lt;&gt;"))</f>
        <v/>
      </c>
      <c r="H287" s="17">
        <f>IF(C287="","",SUMIFS(tbl_Finance[Ex GST],tbl_Finance[Job Number],C287&amp;""))</f>
        <v/>
      </c>
      <c r="I287" s="15">
        <f>IF(C287="","",IFERROR(INDEX(tbl_Finance[Cost Centre],MATCH(C287&amp;"",tbl_Finance[Job Number],0)),"not invoiced yet"))</f>
        <v/>
      </c>
      <c r="J287" s="14" t="n"/>
      <c r="K287" s="15">
        <f>IF(J287="","",HYPERLINK(IF(LEFT(J287,4)="http",J287,set_QwilrBase&amp;J287),"Open quote"))</f>
        <v/>
      </c>
      <c r="L287" s="16" t="n"/>
      <c r="M287" s="16" t="n"/>
      <c r="N287" s="16" t="n"/>
      <c r="O287" s="15">
        <f>IF(C287="","",IF(N(L287)+N(M287)+N(N287)=0,"Not split",IF(ROUND(N(L287)+N(M287)+N(N287),2)=ROUND(H287,2),"OK","MISMATCH")))</f>
        <v/>
      </c>
      <c r="P287" s="16" t="n"/>
      <c r="Q287" s="16" t="n"/>
      <c r="R287" s="16" t="n"/>
      <c r="S287" s="17">
        <f>IF(C287="","",N(P287)+N(Q287)+N(R287))</f>
        <v/>
      </c>
      <c r="T287" s="17">
        <f>IF(C287="","",H287-S287)</f>
        <v/>
      </c>
      <c r="U287" s="54">
        <f>IFERROR(T287/H287,"")</f>
        <v/>
      </c>
      <c r="V287" s="14" t="n"/>
    </row>
    <row r="288" ht="15" customHeight="1">
      <c r="A288" s="51">
        <f>IF(C288="","",IFERROR(IF(SUMPRODUCT(MAX((tbl_Finance[Job Number]=C288&amp;"")*tbl_Finance[Date]))=0,"",SUMPRODUCT(MAX((tbl_Finance[Job Number]=C288&amp;"")*tbl_Finance[Date]))),""))</f>
        <v/>
      </c>
      <c r="B288" s="15">
        <f>IF(A288="","",IFERROR(LOOKUP(2,1/((tbl_Finance[Job Number]=C288&amp;"")*(tbl_Finance[Date]=A288)),tbl_Finance[Xero Invoice No]),""))</f>
        <v/>
      </c>
      <c r="C288" s="14" t="n"/>
      <c r="D288" s="15">
        <f>IF(C288="","",IF(COUNTIF(lst_Jobs,C288&amp;"")&gt;0,"OK","CHECK"))</f>
        <v/>
      </c>
      <c r="E288" s="15">
        <f>IF(C288="","",IFERROR(INDEX(lst_JobName,MATCH(C288&amp;"",lst_Jobs,0)),""))</f>
        <v/>
      </c>
      <c r="F288" s="15">
        <f>IF(C288="","",IFERROR(INDEX(tbl_Finance[Client],MATCH(C288&amp;"",tbl_Finance[Job Number],0)),""))</f>
        <v/>
      </c>
      <c r="G288" s="52">
        <f>IF(C288="","",COUNTIFS(tbl_Finance[Job Number],C288&amp;"",tbl_Finance[Ex GST],"&lt;&gt;"))</f>
        <v/>
      </c>
      <c r="H288" s="17">
        <f>IF(C288="","",SUMIFS(tbl_Finance[Ex GST],tbl_Finance[Job Number],C288&amp;""))</f>
        <v/>
      </c>
      <c r="I288" s="15">
        <f>IF(C288="","",IFERROR(INDEX(tbl_Finance[Cost Centre],MATCH(C288&amp;"",tbl_Finance[Job Number],0)),"not invoiced yet"))</f>
        <v/>
      </c>
      <c r="J288" s="14" t="n"/>
      <c r="K288" s="15">
        <f>IF(J288="","",HYPERLINK(IF(LEFT(J288,4)="http",J288,set_QwilrBase&amp;J288),"Open quote"))</f>
        <v/>
      </c>
      <c r="L288" s="16" t="n"/>
      <c r="M288" s="16" t="n"/>
      <c r="N288" s="16" t="n"/>
      <c r="O288" s="15">
        <f>IF(C288="","",IF(N(L288)+N(M288)+N(N288)=0,"Not split",IF(ROUND(N(L288)+N(M288)+N(N288),2)=ROUND(H288,2),"OK","MISMATCH")))</f>
        <v/>
      </c>
      <c r="P288" s="16" t="n"/>
      <c r="Q288" s="16" t="n"/>
      <c r="R288" s="16" t="n"/>
      <c r="S288" s="17">
        <f>IF(C288="","",N(P288)+N(Q288)+N(R288))</f>
        <v/>
      </c>
      <c r="T288" s="17">
        <f>IF(C288="","",H288-S288)</f>
        <v/>
      </c>
      <c r="U288" s="54">
        <f>IFERROR(T288/H288,"")</f>
        <v/>
      </c>
      <c r="V288" s="14" t="n"/>
    </row>
    <row r="289" ht="15" customHeight="1">
      <c r="A289" s="51">
        <f>IF(C289="","",IFERROR(IF(SUMPRODUCT(MAX((tbl_Finance[Job Number]=C289&amp;"")*tbl_Finance[Date]))=0,"",SUMPRODUCT(MAX((tbl_Finance[Job Number]=C289&amp;"")*tbl_Finance[Date]))),""))</f>
        <v/>
      </c>
      <c r="B289" s="15">
        <f>IF(A289="","",IFERROR(LOOKUP(2,1/((tbl_Finance[Job Number]=C289&amp;"")*(tbl_Finance[Date]=A289)),tbl_Finance[Xero Invoice No]),""))</f>
        <v/>
      </c>
      <c r="C289" s="14" t="n"/>
      <c r="D289" s="15">
        <f>IF(C289="","",IF(COUNTIF(lst_Jobs,C289&amp;"")&gt;0,"OK","CHECK"))</f>
        <v/>
      </c>
      <c r="E289" s="15">
        <f>IF(C289="","",IFERROR(INDEX(lst_JobName,MATCH(C289&amp;"",lst_Jobs,0)),""))</f>
        <v/>
      </c>
      <c r="F289" s="15">
        <f>IF(C289="","",IFERROR(INDEX(tbl_Finance[Client],MATCH(C289&amp;"",tbl_Finance[Job Number],0)),""))</f>
        <v/>
      </c>
      <c r="G289" s="52">
        <f>IF(C289="","",COUNTIFS(tbl_Finance[Job Number],C289&amp;"",tbl_Finance[Ex GST],"&lt;&gt;"))</f>
        <v/>
      </c>
      <c r="H289" s="17">
        <f>IF(C289="","",SUMIFS(tbl_Finance[Ex GST],tbl_Finance[Job Number],C289&amp;""))</f>
        <v/>
      </c>
      <c r="I289" s="15">
        <f>IF(C289="","",IFERROR(INDEX(tbl_Finance[Cost Centre],MATCH(C289&amp;"",tbl_Finance[Job Number],0)),"not invoiced yet"))</f>
        <v/>
      </c>
      <c r="J289" s="14" t="n"/>
      <c r="K289" s="15">
        <f>IF(J289="","",HYPERLINK(IF(LEFT(J289,4)="http",J289,set_QwilrBase&amp;J289),"Open quote"))</f>
        <v/>
      </c>
      <c r="L289" s="16" t="n"/>
      <c r="M289" s="16" t="n"/>
      <c r="N289" s="16" t="n"/>
      <c r="O289" s="15">
        <f>IF(C289="","",IF(N(L289)+N(M289)+N(N289)=0,"Not split",IF(ROUND(N(L289)+N(M289)+N(N289),2)=ROUND(H289,2),"OK","MISMATCH")))</f>
        <v/>
      </c>
      <c r="P289" s="16" t="n"/>
      <c r="Q289" s="16" t="n"/>
      <c r="R289" s="16" t="n"/>
      <c r="S289" s="17">
        <f>IF(C289="","",N(P289)+N(Q289)+N(R289))</f>
        <v/>
      </c>
      <c r="T289" s="17">
        <f>IF(C289="","",H289-S289)</f>
        <v/>
      </c>
      <c r="U289" s="54">
        <f>IFERROR(T289/H289,"")</f>
        <v/>
      </c>
      <c r="V289" s="14" t="n"/>
    </row>
    <row r="290" ht="15" customHeight="1">
      <c r="A290" s="51">
        <f>IF(C290="","",IFERROR(IF(SUMPRODUCT(MAX((tbl_Finance[Job Number]=C290&amp;"")*tbl_Finance[Date]))=0,"",SUMPRODUCT(MAX((tbl_Finance[Job Number]=C290&amp;"")*tbl_Finance[Date]))),""))</f>
        <v/>
      </c>
      <c r="B290" s="15">
        <f>IF(A290="","",IFERROR(LOOKUP(2,1/((tbl_Finance[Job Number]=C290&amp;"")*(tbl_Finance[Date]=A290)),tbl_Finance[Xero Invoice No]),""))</f>
        <v/>
      </c>
      <c r="C290" s="14" t="n"/>
      <c r="D290" s="15">
        <f>IF(C290="","",IF(COUNTIF(lst_Jobs,C290&amp;"")&gt;0,"OK","CHECK"))</f>
        <v/>
      </c>
      <c r="E290" s="15">
        <f>IF(C290="","",IFERROR(INDEX(lst_JobName,MATCH(C290&amp;"",lst_Jobs,0)),""))</f>
        <v/>
      </c>
      <c r="F290" s="15">
        <f>IF(C290="","",IFERROR(INDEX(tbl_Finance[Client],MATCH(C290&amp;"",tbl_Finance[Job Number],0)),""))</f>
        <v/>
      </c>
      <c r="G290" s="52">
        <f>IF(C290="","",COUNTIFS(tbl_Finance[Job Number],C290&amp;"",tbl_Finance[Ex GST],"&lt;&gt;"))</f>
        <v/>
      </c>
      <c r="H290" s="17">
        <f>IF(C290="","",SUMIFS(tbl_Finance[Ex GST],tbl_Finance[Job Number],C290&amp;""))</f>
        <v/>
      </c>
      <c r="I290" s="15">
        <f>IF(C290="","",IFERROR(INDEX(tbl_Finance[Cost Centre],MATCH(C290&amp;"",tbl_Finance[Job Number],0)),"not invoiced yet"))</f>
        <v/>
      </c>
      <c r="J290" s="14" t="n"/>
      <c r="K290" s="15">
        <f>IF(J290="","",HYPERLINK(IF(LEFT(J290,4)="http",J290,set_QwilrBase&amp;J290),"Open quote"))</f>
        <v/>
      </c>
      <c r="L290" s="16" t="n"/>
      <c r="M290" s="16" t="n"/>
      <c r="N290" s="16" t="n"/>
      <c r="O290" s="15">
        <f>IF(C290="","",IF(N(L290)+N(M290)+N(N290)=0,"Not split",IF(ROUND(N(L290)+N(M290)+N(N290),2)=ROUND(H290,2),"OK","MISMATCH")))</f>
        <v/>
      </c>
      <c r="P290" s="16" t="n"/>
      <c r="Q290" s="16" t="n"/>
      <c r="R290" s="16" t="n"/>
      <c r="S290" s="17">
        <f>IF(C290="","",N(P290)+N(Q290)+N(R290))</f>
        <v/>
      </c>
      <c r="T290" s="17">
        <f>IF(C290="","",H290-S290)</f>
        <v/>
      </c>
      <c r="U290" s="54">
        <f>IFERROR(T290/H290,"")</f>
        <v/>
      </c>
      <c r="V290" s="14" t="n"/>
    </row>
    <row r="291" ht="15" customHeight="1">
      <c r="A291" s="51">
        <f>IF(C291="","",IFERROR(IF(SUMPRODUCT(MAX((tbl_Finance[Job Number]=C291&amp;"")*tbl_Finance[Date]))=0,"",SUMPRODUCT(MAX((tbl_Finance[Job Number]=C291&amp;"")*tbl_Finance[Date]))),""))</f>
        <v/>
      </c>
      <c r="B291" s="15">
        <f>IF(A291="","",IFERROR(LOOKUP(2,1/((tbl_Finance[Job Number]=C291&amp;"")*(tbl_Finance[Date]=A291)),tbl_Finance[Xero Invoice No]),""))</f>
        <v/>
      </c>
      <c r="C291" s="14" t="n"/>
      <c r="D291" s="15">
        <f>IF(C291="","",IF(COUNTIF(lst_Jobs,C291&amp;"")&gt;0,"OK","CHECK"))</f>
        <v/>
      </c>
      <c r="E291" s="15">
        <f>IF(C291="","",IFERROR(INDEX(lst_JobName,MATCH(C291&amp;"",lst_Jobs,0)),""))</f>
        <v/>
      </c>
      <c r="F291" s="15">
        <f>IF(C291="","",IFERROR(INDEX(tbl_Finance[Client],MATCH(C291&amp;"",tbl_Finance[Job Number],0)),""))</f>
        <v/>
      </c>
      <c r="G291" s="52">
        <f>IF(C291="","",COUNTIFS(tbl_Finance[Job Number],C291&amp;"",tbl_Finance[Ex GST],"&lt;&gt;"))</f>
        <v/>
      </c>
      <c r="H291" s="17">
        <f>IF(C291="","",SUMIFS(tbl_Finance[Ex GST],tbl_Finance[Job Number],C291&amp;""))</f>
        <v/>
      </c>
      <c r="I291" s="15">
        <f>IF(C291="","",IFERROR(INDEX(tbl_Finance[Cost Centre],MATCH(C291&amp;"",tbl_Finance[Job Number],0)),"not invoiced yet"))</f>
        <v/>
      </c>
      <c r="J291" s="14" t="n"/>
      <c r="K291" s="15">
        <f>IF(J291="","",HYPERLINK(IF(LEFT(J291,4)="http",J291,set_QwilrBase&amp;J291),"Open quote"))</f>
        <v/>
      </c>
      <c r="L291" s="16" t="n"/>
      <c r="M291" s="16" t="n"/>
      <c r="N291" s="16" t="n"/>
      <c r="O291" s="15">
        <f>IF(C291="","",IF(N(L291)+N(M291)+N(N291)=0,"Not split",IF(ROUND(N(L291)+N(M291)+N(N291),2)=ROUND(H291,2),"OK","MISMATCH")))</f>
        <v/>
      </c>
      <c r="P291" s="16" t="n"/>
      <c r="Q291" s="16" t="n"/>
      <c r="R291" s="16" t="n"/>
      <c r="S291" s="17">
        <f>IF(C291="","",N(P291)+N(Q291)+N(R291))</f>
        <v/>
      </c>
      <c r="T291" s="17">
        <f>IF(C291="","",H291-S291)</f>
        <v/>
      </c>
      <c r="U291" s="54">
        <f>IFERROR(T291/H291,"")</f>
        <v/>
      </c>
      <c r="V291" s="14" t="n"/>
    </row>
    <row r="292" ht="15" customHeight="1">
      <c r="A292" s="51">
        <f>IF(C292="","",IFERROR(IF(SUMPRODUCT(MAX((tbl_Finance[Job Number]=C292&amp;"")*tbl_Finance[Date]))=0,"",SUMPRODUCT(MAX((tbl_Finance[Job Number]=C292&amp;"")*tbl_Finance[Date]))),""))</f>
        <v/>
      </c>
      <c r="B292" s="15">
        <f>IF(A292="","",IFERROR(LOOKUP(2,1/((tbl_Finance[Job Number]=C292&amp;"")*(tbl_Finance[Date]=A292)),tbl_Finance[Xero Invoice No]),""))</f>
        <v/>
      </c>
      <c r="C292" s="14" t="n"/>
      <c r="D292" s="15">
        <f>IF(C292="","",IF(COUNTIF(lst_Jobs,C292&amp;"")&gt;0,"OK","CHECK"))</f>
        <v/>
      </c>
      <c r="E292" s="15">
        <f>IF(C292="","",IFERROR(INDEX(lst_JobName,MATCH(C292&amp;"",lst_Jobs,0)),""))</f>
        <v/>
      </c>
      <c r="F292" s="15">
        <f>IF(C292="","",IFERROR(INDEX(tbl_Finance[Client],MATCH(C292&amp;"",tbl_Finance[Job Number],0)),""))</f>
        <v/>
      </c>
      <c r="G292" s="52">
        <f>IF(C292="","",COUNTIFS(tbl_Finance[Job Number],C292&amp;"",tbl_Finance[Ex GST],"&lt;&gt;"))</f>
        <v/>
      </c>
      <c r="H292" s="17">
        <f>IF(C292="","",SUMIFS(tbl_Finance[Ex GST],tbl_Finance[Job Number],C292&amp;""))</f>
        <v/>
      </c>
      <c r="I292" s="15">
        <f>IF(C292="","",IFERROR(INDEX(tbl_Finance[Cost Centre],MATCH(C292&amp;"",tbl_Finance[Job Number],0)),"not invoiced yet"))</f>
        <v/>
      </c>
      <c r="J292" s="14" t="n"/>
      <c r="K292" s="15">
        <f>IF(J292="","",HYPERLINK(IF(LEFT(J292,4)="http",J292,set_QwilrBase&amp;J292),"Open quote"))</f>
        <v/>
      </c>
      <c r="L292" s="16" t="n"/>
      <c r="M292" s="16" t="n"/>
      <c r="N292" s="16" t="n"/>
      <c r="O292" s="15">
        <f>IF(C292="","",IF(N(L292)+N(M292)+N(N292)=0,"Not split",IF(ROUND(N(L292)+N(M292)+N(N292),2)=ROUND(H292,2),"OK","MISMATCH")))</f>
        <v/>
      </c>
      <c r="P292" s="16" t="n"/>
      <c r="Q292" s="16" t="n"/>
      <c r="R292" s="16" t="n"/>
      <c r="S292" s="17">
        <f>IF(C292="","",N(P292)+N(Q292)+N(R292))</f>
        <v/>
      </c>
      <c r="T292" s="17">
        <f>IF(C292="","",H292-S292)</f>
        <v/>
      </c>
      <c r="U292" s="54">
        <f>IFERROR(T292/H292,"")</f>
        <v/>
      </c>
      <c r="V292" s="14" t="n"/>
    </row>
    <row r="293" ht="15" customHeight="1">
      <c r="A293" s="51">
        <f>IF(C293="","",IFERROR(IF(SUMPRODUCT(MAX((tbl_Finance[Job Number]=C293&amp;"")*tbl_Finance[Date]))=0,"",SUMPRODUCT(MAX((tbl_Finance[Job Number]=C293&amp;"")*tbl_Finance[Date]))),""))</f>
        <v/>
      </c>
      <c r="B293" s="15">
        <f>IF(A293="","",IFERROR(LOOKUP(2,1/((tbl_Finance[Job Number]=C293&amp;"")*(tbl_Finance[Date]=A293)),tbl_Finance[Xero Invoice No]),""))</f>
        <v/>
      </c>
      <c r="C293" s="14" t="n"/>
      <c r="D293" s="15">
        <f>IF(C293="","",IF(COUNTIF(lst_Jobs,C293&amp;"")&gt;0,"OK","CHECK"))</f>
        <v/>
      </c>
      <c r="E293" s="15">
        <f>IF(C293="","",IFERROR(INDEX(lst_JobName,MATCH(C293&amp;"",lst_Jobs,0)),""))</f>
        <v/>
      </c>
      <c r="F293" s="15">
        <f>IF(C293="","",IFERROR(INDEX(tbl_Finance[Client],MATCH(C293&amp;"",tbl_Finance[Job Number],0)),""))</f>
        <v/>
      </c>
      <c r="G293" s="52">
        <f>IF(C293="","",COUNTIFS(tbl_Finance[Job Number],C293&amp;"",tbl_Finance[Ex GST],"&lt;&gt;"))</f>
        <v/>
      </c>
      <c r="H293" s="17">
        <f>IF(C293="","",SUMIFS(tbl_Finance[Ex GST],tbl_Finance[Job Number],C293&amp;""))</f>
        <v/>
      </c>
      <c r="I293" s="15">
        <f>IF(C293="","",IFERROR(INDEX(tbl_Finance[Cost Centre],MATCH(C293&amp;"",tbl_Finance[Job Number],0)),"not invoiced yet"))</f>
        <v/>
      </c>
      <c r="J293" s="14" t="n"/>
      <c r="K293" s="15">
        <f>IF(J293="","",HYPERLINK(IF(LEFT(J293,4)="http",J293,set_QwilrBase&amp;J293),"Open quote"))</f>
        <v/>
      </c>
      <c r="L293" s="16" t="n"/>
      <c r="M293" s="16" t="n"/>
      <c r="N293" s="16" t="n"/>
      <c r="O293" s="15">
        <f>IF(C293="","",IF(N(L293)+N(M293)+N(N293)=0,"Not split",IF(ROUND(N(L293)+N(M293)+N(N293),2)=ROUND(H293,2),"OK","MISMATCH")))</f>
        <v/>
      </c>
      <c r="P293" s="16" t="n"/>
      <c r="Q293" s="16" t="n"/>
      <c r="R293" s="16" t="n"/>
      <c r="S293" s="17">
        <f>IF(C293="","",N(P293)+N(Q293)+N(R293))</f>
        <v/>
      </c>
      <c r="T293" s="17">
        <f>IF(C293="","",H293-S293)</f>
        <v/>
      </c>
      <c r="U293" s="54">
        <f>IFERROR(T293/H293,"")</f>
        <v/>
      </c>
      <c r="V293" s="14" t="n"/>
    </row>
    <row r="294" ht="15" customHeight="1">
      <c r="A294" s="51">
        <f>IF(C294="","",IFERROR(IF(SUMPRODUCT(MAX((tbl_Finance[Job Number]=C294&amp;"")*tbl_Finance[Date]))=0,"",SUMPRODUCT(MAX((tbl_Finance[Job Number]=C294&amp;"")*tbl_Finance[Date]))),""))</f>
        <v/>
      </c>
      <c r="B294" s="15">
        <f>IF(A294="","",IFERROR(LOOKUP(2,1/((tbl_Finance[Job Number]=C294&amp;"")*(tbl_Finance[Date]=A294)),tbl_Finance[Xero Invoice No]),""))</f>
        <v/>
      </c>
      <c r="C294" s="14" t="n"/>
      <c r="D294" s="15">
        <f>IF(C294="","",IF(COUNTIF(lst_Jobs,C294&amp;"")&gt;0,"OK","CHECK"))</f>
        <v/>
      </c>
      <c r="E294" s="15">
        <f>IF(C294="","",IFERROR(INDEX(lst_JobName,MATCH(C294&amp;"",lst_Jobs,0)),""))</f>
        <v/>
      </c>
      <c r="F294" s="15">
        <f>IF(C294="","",IFERROR(INDEX(tbl_Finance[Client],MATCH(C294&amp;"",tbl_Finance[Job Number],0)),""))</f>
        <v/>
      </c>
      <c r="G294" s="52">
        <f>IF(C294="","",COUNTIFS(tbl_Finance[Job Number],C294&amp;"",tbl_Finance[Ex GST],"&lt;&gt;"))</f>
        <v/>
      </c>
      <c r="H294" s="17">
        <f>IF(C294="","",SUMIFS(tbl_Finance[Ex GST],tbl_Finance[Job Number],C294&amp;""))</f>
        <v/>
      </c>
      <c r="I294" s="15">
        <f>IF(C294="","",IFERROR(INDEX(tbl_Finance[Cost Centre],MATCH(C294&amp;"",tbl_Finance[Job Number],0)),"not invoiced yet"))</f>
        <v/>
      </c>
      <c r="J294" s="14" t="n"/>
      <c r="K294" s="15">
        <f>IF(J294="","",HYPERLINK(IF(LEFT(J294,4)="http",J294,set_QwilrBase&amp;J294),"Open quote"))</f>
        <v/>
      </c>
      <c r="L294" s="16" t="n"/>
      <c r="M294" s="16" t="n"/>
      <c r="N294" s="16" t="n"/>
      <c r="O294" s="15">
        <f>IF(C294="","",IF(N(L294)+N(M294)+N(N294)=0,"Not split",IF(ROUND(N(L294)+N(M294)+N(N294),2)=ROUND(H294,2),"OK","MISMATCH")))</f>
        <v/>
      </c>
      <c r="P294" s="16" t="n"/>
      <c r="Q294" s="16" t="n"/>
      <c r="R294" s="16" t="n"/>
      <c r="S294" s="17">
        <f>IF(C294="","",N(P294)+N(Q294)+N(R294))</f>
        <v/>
      </c>
      <c r="T294" s="17">
        <f>IF(C294="","",H294-S294)</f>
        <v/>
      </c>
      <c r="U294" s="54">
        <f>IFERROR(T294/H294,"")</f>
        <v/>
      </c>
      <c r="V294" s="14" t="n"/>
    </row>
    <row r="295" ht="15" customHeight="1">
      <c r="A295" s="51">
        <f>IF(C295="","",IFERROR(IF(SUMPRODUCT(MAX((tbl_Finance[Job Number]=C295&amp;"")*tbl_Finance[Date]))=0,"",SUMPRODUCT(MAX((tbl_Finance[Job Number]=C295&amp;"")*tbl_Finance[Date]))),""))</f>
        <v/>
      </c>
      <c r="B295" s="15">
        <f>IF(A295="","",IFERROR(LOOKUP(2,1/((tbl_Finance[Job Number]=C295&amp;"")*(tbl_Finance[Date]=A295)),tbl_Finance[Xero Invoice No]),""))</f>
        <v/>
      </c>
      <c r="C295" s="14" t="n"/>
      <c r="D295" s="15">
        <f>IF(C295="","",IF(COUNTIF(lst_Jobs,C295&amp;"")&gt;0,"OK","CHECK"))</f>
        <v/>
      </c>
      <c r="E295" s="15">
        <f>IF(C295="","",IFERROR(INDEX(lst_JobName,MATCH(C295&amp;"",lst_Jobs,0)),""))</f>
        <v/>
      </c>
      <c r="F295" s="15">
        <f>IF(C295="","",IFERROR(INDEX(tbl_Finance[Client],MATCH(C295&amp;"",tbl_Finance[Job Number],0)),""))</f>
        <v/>
      </c>
      <c r="G295" s="52">
        <f>IF(C295="","",COUNTIFS(tbl_Finance[Job Number],C295&amp;"",tbl_Finance[Ex GST],"&lt;&gt;"))</f>
        <v/>
      </c>
      <c r="H295" s="17">
        <f>IF(C295="","",SUMIFS(tbl_Finance[Ex GST],tbl_Finance[Job Number],C295&amp;""))</f>
        <v/>
      </c>
      <c r="I295" s="15">
        <f>IF(C295="","",IFERROR(INDEX(tbl_Finance[Cost Centre],MATCH(C295&amp;"",tbl_Finance[Job Number],0)),"not invoiced yet"))</f>
        <v/>
      </c>
      <c r="J295" s="14" t="n"/>
      <c r="K295" s="15">
        <f>IF(J295="","",HYPERLINK(IF(LEFT(J295,4)="http",J295,set_QwilrBase&amp;J295),"Open quote"))</f>
        <v/>
      </c>
      <c r="L295" s="16" t="n"/>
      <c r="M295" s="16" t="n"/>
      <c r="N295" s="16" t="n"/>
      <c r="O295" s="15">
        <f>IF(C295="","",IF(N(L295)+N(M295)+N(N295)=0,"Not split",IF(ROUND(N(L295)+N(M295)+N(N295),2)=ROUND(H295,2),"OK","MISMATCH")))</f>
        <v/>
      </c>
      <c r="P295" s="16" t="n"/>
      <c r="Q295" s="16" t="n"/>
      <c r="R295" s="16" t="n"/>
      <c r="S295" s="17">
        <f>IF(C295="","",N(P295)+N(Q295)+N(R295))</f>
        <v/>
      </c>
      <c r="T295" s="17">
        <f>IF(C295="","",H295-S295)</f>
        <v/>
      </c>
      <c r="U295" s="54">
        <f>IFERROR(T295/H295,"")</f>
        <v/>
      </c>
      <c r="V295" s="14" t="n"/>
    </row>
    <row r="296" ht="15" customHeight="1">
      <c r="A296" s="51">
        <f>IF(C296="","",IFERROR(IF(SUMPRODUCT(MAX((tbl_Finance[Job Number]=C296&amp;"")*tbl_Finance[Date]))=0,"",SUMPRODUCT(MAX((tbl_Finance[Job Number]=C296&amp;"")*tbl_Finance[Date]))),""))</f>
        <v/>
      </c>
      <c r="B296" s="15">
        <f>IF(A296="","",IFERROR(LOOKUP(2,1/((tbl_Finance[Job Number]=C296&amp;"")*(tbl_Finance[Date]=A296)),tbl_Finance[Xero Invoice No]),""))</f>
        <v/>
      </c>
      <c r="C296" s="14" t="n"/>
      <c r="D296" s="15">
        <f>IF(C296="","",IF(COUNTIF(lst_Jobs,C296&amp;"")&gt;0,"OK","CHECK"))</f>
        <v/>
      </c>
      <c r="E296" s="15">
        <f>IF(C296="","",IFERROR(INDEX(lst_JobName,MATCH(C296&amp;"",lst_Jobs,0)),""))</f>
        <v/>
      </c>
      <c r="F296" s="15">
        <f>IF(C296="","",IFERROR(INDEX(tbl_Finance[Client],MATCH(C296&amp;"",tbl_Finance[Job Number],0)),""))</f>
        <v/>
      </c>
      <c r="G296" s="52">
        <f>IF(C296="","",COUNTIFS(tbl_Finance[Job Number],C296&amp;"",tbl_Finance[Ex GST],"&lt;&gt;"))</f>
        <v/>
      </c>
      <c r="H296" s="17">
        <f>IF(C296="","",SUMIFS(tbl_Finance[Ex GST],tbl_Finance[Job Number],C296&amp;""))</f>
        <v/>
      </c>
      <c r="I296" s="15">
        <f>IF(C296="","",IFERROR(INDEX(tbl_Finance[Cost Centre],MATCH(C296&amp;"",tbl_Finance[Job Number],0)),"not invoiced yet"))</f>
        <v/>
      </c>
      <c r="J296" s="14" t="n"/>
      <c r="K296" s="15">
        <f>IF(J296="","",HYPERLINK(IF(LEFT(J296,4)="http",J296,set_QwilrBase&amp;J296),"Open quote"))</f>
        <v/>
      </c>
      <c r="L296" s="16" t="n"/>
      <c r="M296" s="16" t="n"/>
      <c r="N296" s="16" t="n"/>
      <c r="O296" s="15">
        <f>IF(C296="","",IF(N(L296)+N(M296)+N(N296)=0,"Not split",IF(ROUND(N(L296)+N(M296)+N(N296),2)=ROUND(H296,2),"OK","MISMATCH")))</f>
        <v/>
      </c>
      <c r="P296" s="16" t="n"/>
      <c r="Q296" s="16" t="n"/>
      <c r="R296" s="16" t="n"/>
      <c r="S296" s="17">
        <f>IF(C296="","",N(P296)+N(Q296)+N(R296))</f>
        <v/>
      </c>
      <c r="T296" s="17">
        <f>IF(C296="","",H296-S296)</f>
        <v/>
      </c>
      <c r="U296" s="54">
        <f>IFERROR(T296/H296,"")</f>
        <v/>
      </c>
      <c r="V296" s="14" t="n"/>
    </row>
    <row r="297" ht="15" customHeight="1">
      <c r="A297" s="51">
        <f>IF(C297="","",IFERROR(IF(SUMPRODUCT(MAX((tbl_Finance[Job Number]=C297&amp;"")*tbl_Finance[Date]))=0,"",SUMPRODUCT(MAX((tbl_Finance[Job Number]=C297&amp;"")*tbl_Finance[Date]))),""))</f>
        <v/>
      </c>
      <c r="B297" s="15">
        <f>IF(A297="","",IFERROR(LOOKUP(2,1/((tbl_Finance[Job Number]=C297&amp;"")*(tbl_Finance[Date]=A297)),tbl_Finance[Xero Invoice No]),""))</f>
        <v/>
      </c>
      <c r="C297" s="14" t="n"/>
      <c r="D297" s="15">
        <f>IF(C297="","",IF(COUNTIF(lst_Jobs,C297&amp;"")&gt;0,"OK","CHECK"))</f>
        <v/>
      </c>
      <c r="E297" s="15">
        <f>IF(C297="","",IFERROR(INDEX(lst_JobName,MATCH(C297&amp;"",lst_Jobs,0)),""))</f>
        <v/>
      </c>
      <c r="F297" s="15">
        <f>IF(C297="","",IFERROR(INDEX(tbl_Finance[Client],MATCH(C297&amp;"",tbl_Finance[Job Number],0)),""))</f>
        <v/>
      </c>
      <c r="G297" s="52">
        <f>IF(C297="","",COUNTIFS(tbl_Finance[Job Number],C297&amp;"",tbl_Finance[Ex GST],"&lt;&gt;"))</f>
        <v/>
      </c>
      <c r="H297" s="17">
        <f>IF(C297="","",SUMIFS(tbl_Finance[Ex GST],tbl_Finance[Job Number],C297&amp;""))</f>
        <v/>
      </c>
      <c r="I297" s="15">
        <f>IF(C297="","",IFERROR(INDEX(tbl_Finance[Cost Centre],MATCH(C297&amp;"",tbl_Finance[Job Number],0)),"not invoiced yet"))</f>
        <v/>
      </c>
      <c r="J297" s="14" t="n"/>
      <c r="K297" s="15">
        <f>IF(J297="","",HYPERLINK(IF(LEFT(J297,4)="http",J297,set_QwilrBase&amp;J297),"Open quote"))</f>
        <v/>
      </c>
      <c r="L297" s="16" t="n"/>
      <c r="M297" s="16" t="n"/>
      <c r="N297" s="16" t="n"/>
      <c r="O297" s="15">
        <f>IF(C297="","",IF(N(L297)+N(M297)+N(N297)=0,"Not split",IF(ROUND(N(L297)+N(M297)+N(N297),2)=ROUND(H297,2),"OK","MISMATCH")))</f>
        <v/>
      </c>
      <c r="P297" s="16" t="n"/>
      <c r="Q297" s="16" t="n"/>
      <c r="R297" s="16" t="n"/>
      <c r="S297" s="17">
        <f>IF(C297="","",N(P297)+N(Q297)+N(R297))</f>
        <v/>
      </c>
      <c r="T297" s="17">
        <f>IF(C297="","",H297-S297)</f>
        <v/>
      </c>
      <c r="U297" s="54">
        <f>IFERROR(T297/H297,"")</f>
        <v/>
      </c>
      <c r="V297" s="14" t="n"/>
    </row>
    <row r="298" ht="15" customHeight="1">
      <c r="A298" s="51">
        <f>IF(C298="","",IFERROR(IF(SUMPRODUCT(MAX((tbl_Finance[Job Number]=C298&amp;"")*tbl_Finance[Date]))=0,"",SUMPRODUCT(MAX((tbl_Finance[Job Number]=C298&amp;"")*tbl_Finance[Date]))),""))</f>
        <v/>
      </c>
      <c r="B298" s="15">
        <f>IF(A298="","",IFERROR(LOOKUP(2,1/((tbl_Finance[Job Number]=C298&amp;"")*(tbl_Finance[Date]=A298)),tbl_Finance[Xero Invoice No]),""))</f>
        <v/>
      </c>
      <c r="C298" s="14" t="n"/>
      <c r="D298" s="15">
        <f>IF(C298="","",IF(COUNTIF(lst_Jobs,C298&amp;"")&gt;0,"OK","CHECK"))</f>
        <v/>
      </c>
      <c r="E298" s="15">
        <f>IF(C298="","",IFERROR(INDEX(lst_JobName,MATCH(C298&amp;"",lst_Jobs,0)),""))</f>
        <v/>
      </c>
      <c r="F298" s="15">
        <f>IF(C298="","",IFERROR(INDEX(tbl_Finance[Client],MATCH(C298&amp;"",tbl_Finance[Job Number],0)),""))</f>
        <v/>
      </c>
      <c r="G298" s="52">
        <f>IF(C298="","",COUNTIFS(tbl_Finance[Job Number],C298&amp;"",tbl_Finance[Ex GST],"&lt;&gt;"))</f>
        <v/>
      </c>
      <c r="H298" s="17">
        <f>IF(C298="","",SUMIFS(tbl_Finance[Ex GST],tbl_Finance[Job Number],C298&amp;""))</f>
        <v/>
      </c>
      <c r="I298" s="15">
        <f>IF(C298="","",IFERROR(INDEX(tbl_Finance[Cost Centre],MATCH(C298&amp;"",tbl_Finance[Job Number],0)),"not invoiced yet"))</f>
        <v/>
      </c>
      <c r="J298" s="14" t="n"/>
      <c r="K298" s="15">
        <f>IF(J298="","",HYPERLINK(IF(LEFT(J298,4)="http",J298,set_QwilrBase&amp;J298),"Open quote"))</f>
        <v/>
      </c>
      <c r="L298" s="16" t="n"/>
      <c r="M298" s="16" t="n"/>
      <c r="N298" s="16" t="n"/>
      <c r="O298" s="15">
        <f>IF(C298="","",IF(N(L298)+N(M298)+N(N298)=0,"Not split",IF(ROUND(N(L298)+N(M298)+N(N298),2)=ROUND(H298,2),"OK","MISMATCH")))</f>
        <v/>
      </c>
      <c r="P298" s="16" t="n"/>
      <c r="Q298" s="16" t="n"/>
      <c r="R298" s="16" t="n"/>
      <c r="S298" s="17">
        <f>IF(C298="","",N(P298)+N(Q298)+N(R298))</f>
        <v/>
      </c>
      <c r="T298" s="17">
        <f>IF(C298="","",H298-S298)</f>
        <v/>
      </c>
      <c r="U298" s="54">
        <f>IFERROR(T298/H298,"")</f>
        <v/>
      </c>
      <c r="V298" s="14" t="n"/>
    </row>
    <row r="299" ht="15" customHeight="1">
      <c r="A299" s="51">
        <f>IF(C299="","",IFERROR(IF(SUMPRODUCT(MAX((tbl_Finance[Job Number]=C299&amp;"")*tbl_Finance[Date]))=0,"",SUMPRODUCT(MAX((tbl_Finance[Job Number]=C299&amp;"")*tbl_Finance[Date]))),""))</f>
        <v/>
      </c>
      <c r="B299" s="15">
        <f>IF(A299="","",IFERROR(LOOKUP(2,1/((tbl_Finance[Job Number]=C299&amp;"")*(tbl_Finance[Date]=A299)),tbl_Finance[Xero Invoice No]),""))</f>
        <v/>
      </c>
      <c r="C299" s="14" t="n"/>
      <c r="D299" s="15">
        <f>IF(C299="","",IF(COUNTIF(lst_Jobs,C299&amp;"")&gt;0,"OK","CHECK"))</f>
        <v/>
      </c>
      <c r="E299" s="15">
        <f>IF(C299="","",IFERROR(INDEX(lst_JobName,MATCH(C299&amp;"",lst_Jobs,0)),""))</f>
        <v/>
      </c>
      <c r="F299" s="15">
        <f>IF(C299="","",IFERROR(INDEX(tbl_Finance[Client],MATCH(C299&amp;"",tbl_Finance[Job Number],0)),""))</f>
        <v/>
      </c>
      <c r="G299" s="52">
        <f>IF(C299="","",COUNTIFS(tbl_Finance[Job Number],C299&amp;"",tbl_Finance[Ex GST],"&lt;&gt;"))</f>
        <v/>
      </c>
      <c r="H299" s="17">
        <f>IF(C299="","",SUMIFS(tbl_Finance[Ex GST],tbl_Finance[Job Number],C299&amp;""))</f>
        <v/>
      </c>
      <c r="I299" s="15">
        <f>IF(C299="","",IFERROR(INDEX(tbl_Finance[Cost Centre],MATCH(C299&amp;"",tbl_Finance[Job Number],0)),"not invoiced yet"))</f>
        <v/>
      </c>
      <c r="J299" s="14" t="n"/>
      <c r="K299" s="15">
        <f>IF(J299="","",HYPERLINK(IF(LEFT(J299,4)="http",J299,set_QwilrBase&amp;J299),"Open quote"))</f>
        <v/>
      </c>
      <c r="L299" s="16" t="n"/>
      <c r="M299" s="16" t="n"/>
      <c r="N299" s="16" t="n"/>
      <c r="O299" s="15">
        <f>IF(C299="","",IF(N(L299)+N(M299)+N(N299)=0,"Not split",IF(ROUND(N(L299)+N(M299)+N(N299),2)=ROUND(H299,2),"OK","MISMATCH")))</f>
        <v/>
      </c>
      <c r="P299" s="16" t="n"/>
      <c r="Q299" s="16" t="n"/>
      <c r="R299" s="16" t="n"/>
      <c r="S299" s="17">
        <f>IF(C299="","",N(P299)+N(Q299)+N(R299))</f>
        <v/>
      </c>
      <c r="T299" s="17">
        <f>IF(C299="","",H299-S299)</f>
        <v/>
      </c>
      <c r="U299" s="54">
        <f>IFERROR(T299/H299,"")</f>
        <v/>
      </c>
      <c r="V299" s="14" t="n"/>
    </row>
    <row r="300" ht="15" customHeight="1">
      <c r="A300" s="51">
        <f>IF(C300="","",IFERROR(IF(SUMPRODUCT(MAX((tbl_Finance[Job Number]=C300&amp;"")*tbl_Finance[Date]))=0,"",SUMPRODUCT(MAX((tbl_Finance[Job Number]=C300&amp;"")*tbl_Finance[Date]))),""))</f>
        <v/>
      </c>
      <c r="B300" s="15">
        <f>IF(A300="","",IFERROR(LOOKUP(2,1/((tbl_Finance[Job Number]=C300&amp;"")*(tbl_Finance[Date]=A300)),tbl_Finance[Xero Invoice No]),""))</f>
        <v/>
      </c>
      <c r="C300" s="14" t="n"/>
      <c r="D300" s="15">
        <f>IF(C300="","",IF(COUNTIF(lst_Jobs,C300&amp;"")&gt;0,"OK","CHECK"))</f>
        <v/>
      </c>
      <c r="E300" s="15">
        <f>IF(C300="","",IFERROR(INDEX(lst_JobName,MATCH(C300&amp;"",lst_Jobs,0)),""))</f>
        <v/>
      </c>
      <c r="F300" s="15">
        <f>IF(C300="","",IFERROR(INDEX(tbl_Finance[Client],MATCH(C300&amp;"",tbl_Finance[Job Number],0)),""))</f>
        <v/>
      </c>
      <c r="G300" s="52">
        <f>IF(C300="","",COUNTIFS(tbl_Finance[Job Number],C300&amp;"",tbl_Finance[Ex GST],"&lt;&gt;"))</f>
        <v/>
      </c>
      <c r="H300" s="17">
        <f>IF(C300="","",SUMIFS(tbl_Finance[Ex GST],tbl_Finance[Job Number],C300&amp;""))</f>
        <v/>
      </c>
      <c r="I300" s="15">
        <f>IF(C300="","",IFERROR(INDEX(tbl_Finance[Cost Centre],MATCH(C300&amp;"",tbl_Finance[Job Number],0)),"not invoiced yet"))</f>
        <v/>
      </c>
      <c r="J300" s="14" t="n"/>
      <c r="K300" s="15">
        <f>IF(J300="","",HYPERLINK(IF(LEFT(J300,4)="http",J300,set_QwilrBase&amp;J300),"Open quote"))</f>
        <v/>
      </c>
      <c r="L300" s="16" t="n"/>
      <c r="M300" s="16" t="n"/>
      <c r="N300" s="16" t="n"/>
      <c r="O300" s="15">
        <f>IF(C300="","",IF(N(L300)+N(M300)+N(N300)=0,"Not split",IF(ROUND(N(L300)+N(M300)+N(N300),2)=ROUND(H300,2),"OK","MISMATCH")))</f>
        <v/>
      </c>
      <c r="P300" s="16" t="n"/>
      <c r="Q300" s="16" t="n"/>
      <c r="R300" s="16" t="n"/>
      <c r="S300" s="17">
        <f>IF(C300="","",N(P300)+N(Q300)+N(R300))</f>
        <v/>
      </c>
      <c r="T300" s="17">
        <f>IF(C300="","",H300-S300)</f>
        <v/>
      </c>
      <c r="U300" s="54">
        <f>IFERROR(T300/H300,"")</f>
        <v/>
      </c>
      <c r="V300" s="14" t="n"/>
    </row>
    <row r="301" ht="15" customHeight="1">
      <c r="A301" s="51">
        <f>IF(C301="","",IFERROR(IF(SUMPRODUCT(MAX((tbl_Finance[Job Number]=C301&amp;"")*tbl_Finance[Date]))=0,"",SUMPRODUCT(MAX((tbl_Finance[Job Number]=C301&amp;"")*tbl_Finance[Date]))),""))</f>
        <v/>
      </c>
      <c r="B301" s="15">
        <f>IF(A301="","",IFERROR(LOOKUP(2,1/((tbl_Finance[Job Number]=C301&amp;"")*(tbl_Finance[Date]=A301)),tbl_Finance[Xero Invoice No]),""))</f>
        <v/>
      </c>
      <c r="C301" s="14" t="n"/>
      <c r="D301" s="15">
        <f>IF(C301="","",IF(COUNTIF(lst_Jobs,C301&amp;"")&gt;0,"OK","CHECK"))</f>
        <v/>
      </c>
      <c r="E301" s="15">
        <f>IF(C301="","",IFERROR(INDEX(lst_JobName,MATCH(C301&amp;"",lst_Jobs,0)),""))</f>
        <v/>
      </c>
      <c r="F301" s="15">
        <f>IF(C301="","",IFERROR(INDEX(tbl_Finance[Client],MATCH(C301&amp;"",tbl_Finance[Job Number],0)),""))</f>
        <v/>
      </c>
      <c r="G301" s="52">
        <f>IF(C301="","",COUNTIFS(tbl_Finance[Job Number],C301&amp;"",tbl_Finance[Ex GST],"&lt;&gt;"))</f>
        <v/>
      </c>
      <c r="H301" s="17">
        <f>IF(C301="","",SUMIFS(tbl_Finance[Ex GST],tbl_Finance[Job Number],C301&amp;""))</f>
        <v/>
      </c>
      <c r="I301" s="15">
        <f>IF(C301="","",IFERROR(INDEX(tbl_Finance[Cost Centre],MATCH(C301&amp;"",tbl_Finance[Job Number],0)),"not invoiced yet"))</f>
        <v/>
      </c>
      <c r="J301" s="14" t="n"/>
      <c r="K301" s="15">
        <f>IF(J301="","",HYPERLINK(IF(LEFT(J301,4)="http",J301,set_QwilrBase&amp;J301),"Open quote"))</f>
        <v/>
      </c>
      <c r="L301" s="16" t="n"/>
      <c r="M301" s="16" t="n"/>
      <c r="N301" s="16" t="n"/>
      <c r="O301" s="15">
        <f>IF(C301="","",IF(N(L301)+N(M301)+N(N301)=0,"Not split",IF(ROUND(N(L301)+N(M301)+N(N301),2)=ROUND(H301,2),"OK","MISMATCH")))</f>
        <v/>
      </c>
      <c r="P301" s="16" t="n"/>
      <c r="Q301" s="16" t="n"/>
      <c r="R301" s="16" t="n"/>
      <c r="S301" s="17">
        <f>IF(C301="","",N(P301)+N(Q301)+N(R301))</f>
        <v/>
      </c>
      <c r="T301" s="17">
        <f>IF(C301="","",H301-S301)</f>
        <v/>
      </c>
      <c r="U301" s="54">
        <f>IFERROR(T301/H301,"")</f>
        <v/>
      </c>
      <c r="V301" s="14" t="n"/>
    </row>
    <row r="302" ht="15" customHeight="1">
      <c r="A302" s="51">
        <f>IF(C302="","",IFERROR(IF(SUMPRODUCT(MAX((tbl_Finance[Job Number]=C302&amp;"")*tbl_Finance[Date]))=0,"",SUMPRODUCT(MAX((tbl_Finance[Job Number]=C302&amp;"")*tbl_Finance[Date]))),""))</f>
        <v/>
      </c>
      <c r="B302" s="15">
        <f>IF(A302="","",IFERROR(LOOKUP(2,1/((tbl_Finance[Job Number]=C302&amp;"")*(tbl_Finance[Date]=A302)),tbl_Finance[Xero Invoice No]),""))</f>
        <v/>
      </c>
      <c r="C302" s="14" t="n"/>
      <c r="D302" s="15">
        <f>IF(C302="","",IF(COUNTIF(lst_Jobs,C302&amp;"")&gt;0,"OK","CHECK"))</f>
        <v/>
      </c>
      <c r="E302" s="15">
        <f>IF(C302="","",IFERROR(INDEX(lst_JobName,MATCH(C302&amp;"",lst_Jobs,0)),""))</f>
        <v/>
      </c>
      <c r="F302" s="15">
        <f>IF(C302="","",IFERROR(INDEX(tbl_Finance[Client],MATCH(C302&amp;"",tbl_Finance[Job Number],0)),""))</f>
        <v/>
      </c>
      <c r="G302" s="52">
        <f>IF(C302="","",COUNTIFS(tbl_Finance[Job Number],C302&amp;"",tbl_Finance[Ex GST],"&lt;&gt;"))</f>
        <v/>
      </c>
      <c r="H302" s="17">
        <f>IF(C302="","",SUMIFS(tbl_Finance[Ex GST],tbl_Finance[Job Number],C302&amp;""))</f>
        <v/>
      </c>
      <c r="I302" s="15">
        <f>IF(C302="","",IFERROR(INDEX(tbl_Finance[Cost Centre],MATCH(C302&amp;"",tbl_Finance[Job Number],0)),"not invoiced yet"))</f>
        <v/>
      </c>
      <c r="J302" s="14" t="n"/>
      <c r="K302" s="15">
        <f>IF(J302="","",HYPERLINK(IF(LEFT(J302,4)="http",J302,set_QwilrBase&amp;J302),"Open quote"))</f>
        <v/>
      </c>
      <c r="L302" s="16" t="n"/>
      <c r="M302" s="16" t="n"/>
      <c r="N302" s="16" t="n"/>
      <c r="O302" s="15">
        <f>IF(C302="","",IF(N(L302)+N(M302)+N(N302)=0,"Not split",IF(ROUND(N(L302)+N(M302)+N(N302),2)=ROUND(H302,2),"OK","MISMATCH")))</f>
        <v/>
      </c>
      <c r="P302" s="16" t="n"/>
      <c r="Q302" s="16" t="n"/>
      <c r="R302" s="16" t="n"/>
      <c r="S302" s="17">
        <f>IF(C302="","",N(P302)+N(Q302)+N(R302))</f>
        <v/>
      </c>
      <c r="T302" s="17">
        <f>IF(C302="","",H302-S302)</f>
        <v/>
      </c>
      <c r="U302" s="54">
        <f>IFERROR(T302/H302,"")</f>
        <v/>
      </c>
      <c r="V302" s="14" t="n"/>
    </row>
    <row r="303" ht="15" customHeight="1">
      <c r="A303" s="51">
        <f>IF(C303="","",IFERROR(IF(SUMPRODUCT(MAX((tbl_Finance[Job Number]=C303&amp;"")*tbl_Finance[Date]))=0,"",SUMPRODUCT(MAX((tbl_Finance[Job Number]=C303&amp;"")*tbl_Finance[Date]))),""))</f>
        <v/>
      </c>
      <c r="B303" s="15">
        <f>IF(A303="","",IFERROR(LOOKUP(2,1/((tbl_Finance[Job Number]=C303&amp;"")*(tbl_Finance[Date]=A303)),tbl_Finance[Xero Invoice No]),""))</f>
        <v/>
      </c>
      <c r="C303" s="14" t="n"/>
      <c r="D303" s="15">
        <f>IF(C303="","",IF(COUNTIF(lst_Jobs,C303&amp;"")&gt;0,"OK","CHECK"))</f>
        <v/>
      </c>
      <c r="E303" s="15">
        <f>IF(C303="","",IFERROR(INDEX(lst_JobName,MATCH(C303&amp;"",lst_Jobs,0)),""))</f>
        <v/>
      </c>
      <c r="F303" s="15">
        <f>IF(C303="","",IFERROR(INDEX(tbl_Finance[Client],MATCH(C303&amp;"",tbl_Finance[Job Number],0)),""))</f>
        <v/>
      </c>
      <c r="G303" s="52">
        <f>IF(C303="","",COUNTIFS(tbl_Finance[Job Number],C303&amp;"",tbl_Finance[Ex GST],"&lt;&gt;"))</f>
        <v/>
      </c>
      <c r="H303" s="17">
        <f>IF(C303="","",SUMIFS(tbl_Finance[Ex GST],tbl_Finance[Job Number],C303&amp;""))</f>
        <v/>
      </c>
      <c r="I303" s="15">
        <f>IF(C303="","",IFERROR(INDEX(tbl_Finance[Cost Centre],MATCH(C303&amp;"",tbl_Finance[Job Number],0)),"not invoiced yet"))</f>
        <v/>
      </c>
      <c r="J303" s="14" t="n"/>
      <c r="K303" s="15">
        <f>IF(J303="","",HYPERLINK(IF(LEFT(J303,4)="http",J303,set_QwilrBase&amp;J303),"Open quote"))</f>
        <v/>
      </c>
      <c r="L303" s="16" t="n"/>
      <c r="M303" s="16" t="n"/>
      <c r="N303" s="16" t="n"/>
      <c r="O303" s="15">
        <f>IF(C303="","",IF(N(L303)+N(M303)+N(N303)=0,"Not split",IF(ROUND(N(L303)+N(M303)+N(N303),2)=ROUND(H303,2),"OK","MISMATCH")))</f>
        <v/>
      </c>
      <c r="P303" s="16" t="n"/>
      <c r="Q303" s="16" t="n"/>
      <c r="R303" s="16" t="n"/>
      <c r="S303" s="17">
        <f>IF(C303="","",N(P303)+N(Q303)+N(R303))</f>
        <v/>
      </c>
      <c r="T303" s="17">
        <f>IF(C303="","",H303-S303)</f>
        <v/>
      </c>
      <c r="U303" s="54">
        <f>IFERROR(T303/H303,"")</f>
        <v/>
      </c>
      <c r="V303" s="14" t="n"/>
    </row>
    <row r="304" ht="15" customHeight="1">
      <c r="A304" s="51">
        <f>IF(C304="","",IFERROR(IF(SUMPRODUCT(MAX((tbl_Finance[Job Number]=C304&amp;"")*tbl_Finance[Date]))=0,"",SUMPRODUCT(MAX((tbl_Finance[Job Number]=C304&amp;"")*tbl_Finance[Date]))),""))</f>
        <v/>
      </c>
      <c r="B304" s="15">
        <f>IF(A304="","",IFERROR(LOOKUP(2,1/((tbl_Finance[Job Number]=C304&amp;"")*(tbl_Finance[Date]=A304)),tbl_Finance[Xero Invoice No]),""))</f>
        <v/>
      </c>
      <c r="C304" s="14" t="n"/>
      <c r="D304" s="15">
        <f>IF(C304="","",IF(COUNTIF(lst_Jobs,C304&amp;"")&gt;0,"OK","CHECK"))</f>
        <v/>
      </c>
      <c r="E304" s="15">
        <f>IF(C304="","",IFERROR(INDEX(lst_JobName,MATCH(C304&amp;"",lst_Jobs,0)),""))</f>
        <v/>
      </c>
      <c r="F304" s="15">
        <f>IF(C304="","",IFERROR(INDEX(tbl_Finance[Client],MATCH(C304&amp;"",tbl_Finance[Job Number],0)),""))</f>
        <v/>
      </c>
      <c r="G304" s="52">
        <f>IF(C304="","",COUNTIFS(tbl_Finance[Job Number],C304&amp;"",tbl_Finance[Ex GST],"&lt;&gt;"))</f>
        <v/>
      </c>
      <c r="H304" s="17">
        <f>IF(C304="","",SUMIFS(tbl_Finance[Ex GST],tbl_Finance[Job Number],C304&amp;""))</f>
        <v/>
      </c>
      <c r="I304" s="15">
        <f>IF(C304="","",IFERROR(INDEX(tbl_Finance[Cost Centre],MATCH(C304&amp;"",tbl_Finance[Job Number],0)),"not invoiced yet"))</f>
        <v/>
      </c>
      <c r="J304" s="14" t="n"/>
      <c r="K304" s="15">
        <f>IF(J304="","",HYPERLINK(IF(LEFT(J304,4)="http",J304,set_QwilrBase&amp;J304),"Open quote"))</f>
        <v/>
      </c>
      <c r="L304" s="16" t="n"/>
      <c r="M304" s="16" t="n"/>
      <c r="N304" s="16" t="n"/>
      <c r="O304" s="15">
        <f>IF(C304="","",IF(N(L304)+N(M304)+N(N304)=0,"Not split",IF(ROUND(N(L304)+N(M304)+N(N304),2)=ROUND(H304,2),"OK","MISMATCH")))</f>
        <v/>
      </c>
      <c r="P304" s="16" t="n"/>
      <c r="Q304" s="16" t="n"/>
      <c r="R304" s="16" t="n"/>
      <c r="S304" s="17">
        <f>IF(C304="","",N(P304)+N(Q304)+N(R304))</f>
        <v/>
      </c>
      <c r="T304" s="17">
        <f>IF(C304="","",H304-S304)</f>
        <v/>
      </c>
      <c r="U304" s="54">
        <f>IFERROR(T304/H304,"")</f>
        <v/>
      </c>
      <c r="V304" s="14" t="n"/>
    </row>
    <row r="305" ht="15" customHeight="1">
      <c r="A305" s="51">
        <f>IF(C305="","",IFERROR(IF(SUMPRODUCT(MAX((tbl_Finance[Job Number]=C305&amp;"")*tbl_Finance[Date]))=0,"",SUMPRODUCT(MAX((tbl_Finance[Job Number]=C305&amp;"")*tbl_Finance[Date]))),""))</f>
        <v/>
      </c>
      <c r="B305" s="15">
        <f>IF(A305="","",IFERROR(LOOKUP(2,1/((tbl_Finance[Job Number]=C305&amp;"")*(tbl_Finance[Date]=A305)),tbl_Finance[Xero Invoice No]),""))</f>
        <v/>
      </c>
      <c r="C305" s="14" t="n"/>
      <c r="D305" s="15">
        <f>IF(C305="","",IF(COUNTIF(lst_Jobs,C305&amp;"")&gt;0,"OK","CHECK"))</f>
        <v/>
      </c>
      <c r="E305" s="15">
        <f>IF(C305="","",IFERROR(INDEX(lst_JobName,MATCH(C305&amp;"",lst_Jobs,0)),""))</f>
        <v/>
      </c>
      <c r="F305" s="15">
        <f>IF(C305="","",IFERROR(INDEX(tbl_Finance[Client],MATCH(C305&amp;"",tbl_Finance[Job Number],0)),""))</f>
        <v/>
      </c>
      <c r="G305" s="52">
        <f>IF(C305="","",COUNTIFS(tbl_Finance[Job Number],C305&amp;"",tbl_Finance[Ex GST],"&lt;&gt;"))</f>
        <v/>
      </c>
      <c r="H305" s="17">
        <f>IF(C305="","",SUMIFS(tbl_Finance[Ex GST],tbl_Finance[Job Number],C305&amp;""))</f>
        <v/>
      </c>
      <c r="I305" s="15">
        <f>IF(C305="","",IFERROR(INDEX(tbl_Finance[Cost Centre],MATCH(C305&amp;"",tbl_Finance[Job Number],0)),"not invoiced yet"))</f>
        <v/>
      </c>
      <c r="J305" s="14" t="n"/>
      <c r="K305" s="15">
        <f>IF(J305="","",HYPERLINK(IF(LEFT(J305,4)="http",J305,set_QwilrBase&amp;J305),"Open quote"))</f>
        <v/>
      </c>
      <c r="L305" s="16" t="n"/>
      <c r="M305" s="16" t="n"/>
      <c r="N305" s="16" t="n"/>
      <c r="O305" s="15">
        <f>IF(C305="","",IF(N(L305)+N(M305)+N(N305)=0,"Not split",IF(ROUND(N(L305)+N(M305)+N(N305),2)=ROUND(H305,2),"OK","MISMATCH")))</f>
        <v/>
      </c>
      <c r="P305" s="16" t="n"/>
      <c r="Q305" s="16" t="n"/>
      <c r="R305" s="16" t="n"/>
      <c r="S305" s="17">
        <f>IF(C305="","",N(P305)+N(Q305)+N(R305))</f>
        <v/>
      </c>
      <c r="T305" s="17">
        <f>IF(C305="","",H305-S305)</f>
        <v/>
      </c>
      <c r="U305" s="54">
        <f>IFERROR(T305/H305,"")</f>
        <v/>
      </c>
      <c r="V305" s="14" t="n"/>
    </row>
    <row r="306" ht="15" customHeight="1">
      <c r="A306" s="51">
        <f>IF(C306="","",IFERROR(IF(SUMPRODUCT(MAX((tbl_Finance[Job Number]=C306&amp;"")*tbl_Finance[Date]))=0,"",SUMPRODUCT(MAX((tbl_Finance[Job Number]=C306&amp;"")*tbl_Finance[Date]))),""))</f>
        <v/>
      </c>
      <c r="B306" s="15">
        <f>IF(A306="","",IFERROR(LOOKUP(2,1/((tbl_Finance[Job Number]=C306&amp;"")*(tbl_Finance[Date]=A306)),tbl_Finance[Xero Invoice No]),""))</f>
        <v/>
      </c>
      <c r="C306" s="14" t="n"/>
      <c r="D306" s="15">
        <f>IF(C306="","",IF(COUNTIF(lst_Jobs,C306&amp;"")&gt;0,"OK","CHECK"))</f>
        <v/>
      </c>
      <c r="E306" s="15">
        <f>IF(C306="","",IFERROR(INDEX(lst_JobName,MATCH(C306&amp;"",lst_Jobs,0)),""))</f>
        <v/>
      </c>
      <c r="F306" s="15">
        <f>IF(C306="","",IFERROR(INDEX(tbl_Finance[Client],MATCH(C306&amp;"",tbl_Finance[Job Number],0)),""))</f>
        <v/>
      </c>
      <c r="G306" s="52">
        <f>IF(C306="","",COUNTIFS(tbl_Finance[Job Number],C306&amp;"",tbl_Finance[Ex GST],"&lt;&gt;"))</f>
        <v/>
      </c>
      <c r="H306" s="17">
        <f>IF(C306="","",SUMIFS(tbl_Finance[Ex GST],tbl_Finance[Job Number],C306&amp;""))</f>
        <v/>
      </c>
      <c r="I306" s="15">
        <f>IF(C306="","",IFERROR(INDEX(tbl_Finance[Cost Centre],MATCH(C306&amp;"",tbl_Finance[Job Number],0)),"not invoiced yet"))</f>
        <v/>
      </c>
      <c r="J306" s="14" t="n"/>
      <c r="K306" s="15">
        <f>IF(J306="","",HYPERLINK(IF(LEFT(J306,4)="http",J306,set_QwilrBase&amp;J306),"Open quote"))</f>
        <v/>
      </c>
      <c r="L306" s="16" t="n"/>
      <c r="M306" s="16" t="n"/>
      <c r="N306" s="16" t="n"/>
      <c r="O306" s="15">
        <f>IF(C306="","",IF(N(L306)+N(M306)+N(N306)=0,"Not split",IF(ROUND(N(L306)+N(M306)+N(N306),2)=ROUND(H306,2),"OK","MISMATCH")))</f>
        <v/>
      </c>
      <c r="P306" s="16" t="n"/>
      <c r="Q306" s="16" t="n"/>
      <c r="R306" s="16" t="n"/>
      <c r="S306" s="17">
        <f>IF(C306="","",N(P306)+N(Q306)+N(R306))</f>
        <v/>
      </c>
      <c r="T306" s="17">
        <f>IF(C306="","",H306-S306)</f>
        <v/>
      </c>
      <c r="U306" s="54">
        <f>IFERROR(T306/H306,"")</f>
        <v/>
      </c>
      <c r="V306" s="14" t="n"/>
    </row>
    <row r="307" ht="15" customHeight="1">
      <c r="A307" s="51">
        <f>IF(C307="","",IFERROR(IF(SUMPRODUCT(MAX((tbl_Finance[Job Number]=C307&amp;"")*tbl_Finance[Date]))=0,"",SUMPRODUCT(MAX((tbl_Finance[Job Number]=C307&amp;"")*tbl_Finance[Date]))),""))</f>
        <v/>
      </c>
      <c r="B307" s="15">
        <f>IF(A307="","",IFERROR(LOOKUP(2,1/((tbl_Finance[Job Number]=C307&amp;"")*(tbl_Finance[Date]=A307)),tbl_Finance[Xero Invoice No]),""))</f>
        <v/>
      </c>
      <c r="C307" s="14" t="n"/>
      <c r="D307" s="15">
        <f>IF(C307="","",IF(COUNTIF(lst_Jobs,C307&amp;"")&gt;0,"OK","CHECK"))</f>
        <v/>
      </c>
      <c r="E307" s="15">
        <f>IF(C307="","",IFERROR(INDEX(lst_JobName,MATCH(C307&amp;"",lst_Jobs,0)),""))</f>
        <v/>
      </c>
      <c r="F307" s="15">
        <f>IF(C307="","",IFERROR(INDEX(tbl_Finance[Client],MATCH(C307&amp;"",tbl_Finance[Job Number],0)),""))</f>
        <v/>
      </c>
      <c r="G307" s="52">
        <f>IF(C307="","",COUNTIFS(tbl_Finance[Job Number],C307&amp;"",tbl_Finance[Ex GST],"&lt;&gt;"))</f>
        <v/>
      </c>
      <c r="H307" s="17">
        <f>IF(C307="","",SUMIFS(tbl_Finance[Ex GST],tbl_Finance[Job Number],C307&amp;""))</f>
        <v/>
      </c>
      <c r="I307" s="15">
        <f>IF(C307="","",IFERROR(INDEX(tbl_Finance[Cost Centre],MATCH(C307&amp;"",tbl_Finance[Job Number],0)),"not invoiced yet"))</f>
        <v/>
      </c>
      <c r="J307" s="14" t="n"/>
      <c r="K307" s="15">
        <f>IF(J307="","",HYPERLINK(IF(LEFT(J307,4)="http",J307,set_QwilrBase&amp;J307),"Open quote"))</f>
        <v/>
      </c>
      <c r="L307" s="16" t="n"/>
      <c r="M307" s="16" t="n"/>
      <c r="N307" s="16" t="n"/>
      <c r="O307" s="15">
        <f>IF(C307="","",IF(N(L307)+N(M307)+N(N307)=0,"Not split",IF(ROUND(N(L307)+N(M307)+N(N307),2)=ROUND(H307,2),"OK","MISMATCH")))</f>
        <v/>
      </c>
      <c r="P307" s="16" t="n"/>
      <c r="Q307" s="16" t="n"/>
      <c r="R307" s="16" t="n"/>
      <c r="S307" s="17">
        <f>IF(C307="","",N(P307)+N(Q307)+N(R307))</f>
        <v/>
      </c>
      <c r="T307" s="17">
        <f>IF(C307="","",H307-S307)</f>
        <v/>
      </c>
      <c r="U307" s="54">
        <f>IFERROR(T307/H307,"")</f>
        <v/>
      </c>
      <c r="V307" s="14" t="n"/>
    </row>
    <row r="308" ht="15" customHeight="1">
      <c r="A308" s="51">
        <f>IF(C308="","",IFERROR(IF(SUMPRODUCT(MAX((tbl_Finance[Job Number]=C308&amp;"")*tbl_Finance[Date]))=0,"",SUMPRODUCT(MAX((tbl_Finance[Job Number]=C308&amp;"")*tbl_Finance[Date]))),""))</f>
        <v/>
      </c>
      <c r="B308" s="15">
        <f>IF(A308="","",IFERROR(LOOKUP(2,1/((tbl_Finance[Job Number]=C308&amp;"")*(tbl_Finance[Date]=A308)),tbl_Finance[Xero Invoice No]),""))</f>
        <v/>
      </c>
      <c r="C308" s="14" t="n"/>
      <c r="D308" s="15">
        <f>IF(C308="","",IF(COUNTIF(lst_Jobs,C308&amp;"")&gt;0,"OK","CHECK"))</f>
        <v/>
      </c>
      <c r="E308" s="15">
        <f>IF(C308="","",IFERROR(INDEX(lst_JobName,MATCH(C308&amp;"",lst_Jobs,0)),""))</f>
        <v/>
      </c>
      <c r="F308" s="15">
        <f>IF(C308="","",IFERROR(INDEX(tbl_Finance[Client],MATCH(C308&amp;"",tbl_Finance[Job Number],0)),""))</f>
        <v/>
      </c>
      <c r="G308" s="52">
        <f>IF(C308="","",COUNTIFS(tbl_Finance[Job Number],C308&amp;"",tbl_Finance[Ex GST],"&lt;&gt;"))</f>
        <v/>
      </c>
      <c r="H308" s="17">
        <f>IF(C308="","",SUMIFS(tbl_Finance[Ex GST],tbl_Finance[Job Number],C308&amp;""))</f>
        <v/>
      </c>
      <c r="I308" s="15">
        <f>IF(C308="","",IFERROR(INDEX(tbl_Finance[Cost Centre],MATCH(C308&amp;"",tbl_Finance[Job Number],0)),"not invoiced yet"))</f>
        <v/>
      </c>
      <c r="J308" s="14" t="n"/>
      <c r="K308" s="15">
        <f>IF(J308="","",HYPERLINK(IF(LEFT(J308,4)="http",J308,set_QwilrBase&amp;J308),"Open quote"))</f>
        <v/>
      </c>
      <c r="L308" s="16" t="n"/>
      <c r="M308" s="16" t="n"/>
      <c r="N308" s="16" t="n"/>
      <c r="O308" s="15">
        <f>IF(C308="","",IF(N(L308)+N(M308)+N(N308)=0,"Not split",IF(ROUND(N(L308)+N(M308)+N(N308),2)=ROUND(H308,2),"OK","MISMATCH")))</f>
        <v/>
      </c>
      <c r="P308" s="16" t="n"/>
      <c r="Q308" s="16" t="n"/>
      <c r="R308" s="16" t="n"/>
      <c r="S308" s="17">
        <f>IF(C308="","",N(P308)+N(Q308)+N(R308))</f>
        <v/>
      </c>
      <c r="T308" s="17">
        <f>IF(C308="","",H308-S308)</f>
        <v/>
      </c>
      <c r="U308" s="54">
        <f>IFERROR(T308/H308,"")</f>
        <v/>
      </c>
      <c r="V308" s="14" t="n"/>
    </row>
    <row r="309" ht="15" customHeight="1">
      <c r="A309" s="51">
        <f>IF(C309="","",IFERROR(IF(SUMPRODUCT(MAX((tbl_Finance[Job Number]=C309&amp;"")*tbl_Finance[Date]))=0,"",SUMPRODUCT(MAX((tbl_Finance[Job Number]=C309&amp;"")*tbl_Finance[Date]))),""))</f>
        <v/>
      </c>
      <c r="B309" s="15">
        <f>IF(A309="","",IFERROR(LOOKUP(2,1/((tbl_Finance[Job Number]=C309&amp;"")*(tbl_Finance[Date]=A309)),tbl_Finance[Xero Invoice No]),""))</f>
        <v/>
      </c>
      <c r="C309" s="14" t="n"/>
      <c r="D309" s="15">
        <f>IF(C309="","",IF(COUNTIF(lst_Jobs,C309&amp;"")&gt;0,"OK","CHECK"))</f>
        <v/>
      </c>
      <c r="E309" s="15">
        <f>IF(C309="","",IFERROR(INDEX(lst_JobName,MATCH(C309&amp;"",lst_Jobs,0)),""))</f>
        <v/>
      </c>
      <c r="F309" s="15">
        <f>IF(C309="","",IFERROR(INDEX(tbl_Finance[Client],MATCH(C309&amp;"",tbl_Finance[Job Number],0)),""))</f>
        <v/>
      </c>
      <c r="G309" s="52">
        <f>IF(C309="","",COUNTIFS(tbl_Finance[Job Number],C309&amp;"",tbl_Finance[Ex GST],"&lt;&gt;"))</f>
        <v/>
      </c>
      <c r="H309" s="17">
        <f>IF(C309="","",SUMIFS(tbl_Finance[Ex GST],tbl_Finance[Job Number],C309&amp;""))</f>
        <v/>
      </c>
      <c r="I309" s="15">
        <f>IF(C309="","",IFERROR(INDEX(tbl_Finance[Cost Centre],MATCH(C309&amp;"",tbl_Finance[Job Number],0)),"not invoiced yet"))</f>
        <v/>
      </c>
      <c r="J309" s="14" t="n"/>
      <c r="K309" s="15">
        <f>IF(J309="","",HYPERLINK(IF(LEFT(J309,4)="http",J309,set_QwilrBase&amp;J309),"Open quote"))</f>
        <v/>
      </c>
      <c r="L309" s="16" t="n"/>
      <c r="M309" s="16" t="n"/>
      <c r="N309" s="16" t="n"/>
      <c r="O309" s="15">
        <f>IF(C309="","",IF(N(L309)+N(M309)+N(N309)=0,"Not split",IF(ROUND(N(L309)+N(M309)+N(N309),2)=ROUND(H309,2),"OK","MISMATCH")))</f>
        <v/>
      </c>
      <c r="P309" s="16" t="n"/>
      <c r="Q309" s="16" t="n"/>
      <c r="R309" s="16" t="n"/>
      <c r="S309" s="17">
        <f>IF(C309="","",N(P309)+N(Q309)+N(R309))</f>
        <v/>
      </c>
      <c r="T309" s="17">
        <f>IF(C309="","",H309-S309)</f>
        <v/>
      </c>
      <c r="U309" s="54">
        <f>IFERROR(T309/H309,"")</f>
        <v/>
      </c>
      <c r="V309" s="14" t="n"/>
    </row>
    <row r="310" ht="15" customHeight="1">
      <c r="A310" s="51">
        <f>IF(C310="","",IFERROR(IF(SUMPRODUCT(MAX((tbl_Finance[Job Number]=C310&amp;"")*tbl_Finance[Date]))=0,"",SUMPRODUCT(MAX((tbl_Finance[Job Number]=C310&amp;"")*tbl_Finance[Date]))),""))</f>
        <v/>
      </c>
      <c r="B310" s="15">
        <f>IF(A310="","",IFERROR(LOOKUP(2,1/((tbl_Finance[Job Number]=C310&amp;"")*(tbl_Finance[Date]=A310)),tbl_Finance[Xero Invoice No]),""))</f>
        <v/>
      </c>
      <c r="C310" s="14" t="n"/>
      <c r="D310" s="15">
        <f>IF(C310="","",IF(COUNTIF(lst_Jobs,C310&amp;"")&gt;0,"OK","CHECK"))</f>
        <v/>
      </c>
      <c r="E310" s="15">
        <f>IF(C310="","",IFERROR(INDEX(lst_JobName,MATCH(C310&amp;"",lst_Jobs,0)),""))</f>
        <v/>
      </c>
      <c r="F310" s="15">
        <f>IF(C310="","",IFERROR(INDEX(tbl_Finance[Client],MATCH(C310&amp;"",tbl_Finance[Job Number],0)),""))</f>
        <v/>
      </c>
      <c r="G310" s="52">
        <f>IF(C310="","",COUNTIFS(tbl_Finance[Job Number],C310&amp;"",tbl_Finance[Ex GST],"&lt;&gt;"))</f>
        <v/>
      </c>
      <c r="H310" s="17">
        <f>IF(C310="","",SUMIFS(tbl_Finance[Ex GST],tbl_Finance[Job Number],C310&amp;""))</f>
        <v/>
      </c>
      <c r="I310" s="15">
        <f>IF(C310="","",IFERROR(INDEX(tbl_Finance[Cost Centre],MATCH(C310&amp;"",tbl_Finance[Job Number],0)),"not invoiced yet"))</f>
        <v/>
      </c>
      <c r="J310" s="14" t="n"/>
      <c r="K310" s="15">
        <f>IF(J310="","",HYPERLINK(IF(LEFT(J310,4)="http",J310,set_QwilrBase&amp;J310),"Open quote"))</f>
        <v/>
      </c>
      <c r="L310" s="16" t="n"/>
      <c r="M310" s="16" t="n"/>
      <c r="N310" s="16" t="n"/>
      <c r="O310" s="15">
        <f>IF(C310="","",IF(N(L310)+N(M310)+N(N310)=0,"Not split",IF(ROUND(N(L310)+N(M310)+N(N310),2)=ROUND(H310,2),"OK","MISMATCH")))</f>
        <v/>
      </c>
      <c r="P310" s="16" t="n"/>
      <c r="Q310" s="16" t="n"/>
      <c r="R310" s="16" t="n"/>
      <c r="S310" s="17">
        <f>IF(C310="","",N(P310)+N(Q310)+N(R310))</f>
        <v/>
      </c>
      <c r="T310" s="17">
        <f>IF(C310="","",H310-S310)</f>
        <v/>
      </c>
      <c r="U310" s="54">
        <f>IFERROR(T310/H310,"")</f>
        <v/>
      </c>
      <c r="V310" s="14" t="n"/>
    </row>
    <row r="311" ht="15" customHeight="1">
      <c r="A311" s="51">
        <f>IF(C311="","",IFERROR(IF(SUMPRODUCT(MAX((tbl_Finance[Job Number]=C311&amp;"")*tbl_Finance[Date]))=0,"",SUMPRODUCT(MAX((tbl_Finance[Job Number]=C311&amp;"")*tbl_Finance[Date]))),""))</f>
        <v/>
      </c>
      <c r="B311" s="15">
        <f>IF(A311="","",IFERROR(LOOKUP(2,1/((tbl_Finance[Job Number]=C311&amp;"")*(tbl_Finance[Date]=A311)),tbl_Finance[Xero Invoice No]),""))</f>
        <v/>
      </c>
      <c r="C311" s="14" t="n"/>
      <c r="D311" s="15">
        <f>IF(C311="","",IF(COUNTIF(lst_Jobs,C311&amp;"")&gt;0,"OK","CHECK"))</f>
        <v/>
      </c>
      <c r="E311" s="15">
        <f>IF(C311="","",IFERROR(INDEX(lst_JobName,MATCH(C311&amp;"",lst_Jobs,0)),""))</f>
        <v/>
      </c>
      <c r="F311" s="15">
        <f>IF(C311="","",IFERROR(INDEX(tbl_Finance[Client],MATCH(C311&amp;"",tbl_Finance[Job Number],0)),""))</f>
        <v/>
      </c>
      <c r="G311" s="52">
        <f>IF(C311="","",COUNTIFS(tbl_Finance[Job Number],C311&amp;"",tbl_Finance[Ex GST],"&lt;&gt;"))</f>
        <v/>
      </c>
      <c r="H311" s="17">
        <f>IF(C311="","",SUMIFS(tbl_Finance[Ex GST],tbl_Finance[Job Number],C311&amp;""))</f>
        <v/>
      </c>
      <c r="I311" s="15">
        <f>IF(C311="","",IFERROR(INDEX(tbl_Finance[Cost Centre],MATCH(C311&amp;"",tbl_Finance[Job Number],0)),"not invoiced yet"))</f>
        <v/>
      </c>
      <c r="J311" s="14" t="n"/>
      <c r="K311" s="15">
        <f>IF(J311="","",HYPERLINK(IF(LEFT(J311,4)="http",J311,set_QwilrBase&amp;J311),"Open quote"))</f>
        <v/>
      </c>
      <c r="L311" s="16" t="n"/>
      <c r="M311" s="16" t="n"/>
      <c r="N311" s="16" t="n"/>
      <c r="O311" s="15">
        <f>IF(C311="","",IF(N(L311)+N(M311)+N(N311)=0,"Not split",IF(ROUND(N(L311)+N(M311)+N(N311),2)=ROUND(H311,2),"OK","MISMATCH")))</f>
        <v/>
      </c>
      <c r="P311" s="16" t="n"/>
      <c r="Q311" s="16" t="n"/>
      <c r="R311" s="16" t="n"/>
      <c r="S311" s="17">
        <f>IF(C311="","",N(P311)+N(Q311)+N(R311))</f>
        <v/>
      </c>
      <c r="T311" s="17">
        <f>IF(C311="","",H311-S311)</f>
        <v/>
      </c>
      <c r="U311" s="54">
        <f>IFERROR(T311/H311,"")</f>
        <v/>
      </c>
      <c r="V311" s="14" t="n"/>
    </row>
    <row r="312" ht="15" customHeight="1">
      <c r="A312" s="51">
        <f>IF(C312="","",IFERROR(IF(SUMPRODUCT(MAX((tbl_Finance[Job Number]=C312&amp;"")*tbl_Finance[Date]))=0,"",SUMPRODUCT(MAX((tbl_Finance[Job Number]=C312&amp;"")*tbl_Finance[Date]))),""))</f>
        <v/>
      </c>
      <c r="B312" s="15">
        <f>IF(A312="","",IFERROR(LOOKUP(2,1/((tbl_Finance[Job Number]=C312&amp;"")*(tbl_Finance[Date]=A312)),tbl_Finance[Xero Invoice No]),""))</f>
        <v/>
      </c>
      <c r="C312" s="14" t="n"/>
      <c r="D312" s="15">
        <f>IF(C312="","",IF(COUNTIF(lst_Jobs,C312&amp;"")&gt;0,"OK","CHECK"))</f>
        <v/>
      </c>
      <c r="E312" s="15">
        <f>IF(C312="","",IFERROR(INDEX(lst_JobName,MATCH(C312&amp;"",lst_Jobs,0)),""))</f>
        <v/>
      </c>
      <c r="F312" s="15">
        <f>IF(C312="","",IFERROR(INDEX(tbl_Finance[Client],MATCH(C312&amp;"",tbl_Finance[Job Number],0)),""))</f>
        <v/>
      </c>
      <c r="G312" s="52">
        <f>IF(C312="","",COUNTIFS(tbl_Finance[Job Number],C312&amp;"",tbl_Finance[Ex GST],"&lt;&gt;"))</f>
        <v/>
      </c>
      <c r="H312" s="17">
        <f>IF(C312="","",SUMIFS(tbl_Finance[Ex GST],tbl_Finance[Job Number],C312&amp;""))</f>
        <v/>
      </c>
      <c r="I312" s="15">
        <f>IF(C312="","",IFERROR(INDEX(tbl_Finance[Cost Centre],MATCH(C312&amp;"",tbl_Finance[Job Number],0)),"not invoiced yet"))</f>
        <v/>
      </c>
      <c r="J312" s="14" t="n"/>
      <c r="K312" s="15">
        <f>IF(J312="","",HYPERLINK(IF(LEFT(J312,4)="http",J312,set_QwilrBase&amp;J312),"Open quote"))</f>
        <v/>
      </c>
      <c r="L312" s="16" t="n"/>
      <c r="M312" s="16" t="n"/>
      <c r="N312" s="16" t="n"/>
      <c r="O312" s="15">
        <f>IF(C312="","",IF(N(L312)+N(M312)+N(N312)=0,"Not split",IF(ROUND(N(L312)+N(M312)+N(N312),2)=ROUND(H312,2),"OK","MISMATCH")))</f>
        <v/>
      </c>
      <c r="P312" s="16" t="n"/>
      <c r="Q312" s="16" t="n"/>
      <c r="R312" s="16" t="n"/>
      <c r="S312" s="17">
        <f>IF(C312="","",N(P312)+N(Q312)+N(R312))</f>
        <v/>
      </c>
      <c r="T312" s="17">
        <f>IF(C312="","",H312-S312)</f>
        <v/>
      </c>
      <c r="U312" s="54">
        <f>IFERROR(T312/H312,"")</f>
        <v/>
      </c>
      <c r="V312" s="14" t="n"/>
    </row>
    <row r="313" ht="15" customHeight="1">
      <c r="A313" s="51">
        <f>IF(C313="","",IFERROR(IF(SUMPRODUCT(MAX((tbl_Finance[Job Number]=C313&amp;"")*tbl_Finance[Date]))=0,"",SUMPRODUCT(MAX((tbl_Finance[Job Number]=C313&amp;"")*tbl_Finance[Date]))),""))</f>
        <v/>
      </c>
      <c r="B313" s="15">
        <f>IF(A313="","",IFERROR(LOOKUP(2,1/((tbl_Finance[Job Number]=C313&amp;"")*(tbl_Finance[Date]=A313)),tbl_Finance[Xero Invoice No]),""))</f>
        <v/>
      </c>
      <c r="C313" s="14" t="n"/>
      <c r="D313" s="15">
        <f>IF(C313="","",IF(COUNTIF(lst_Jobs,C313&amp;"")&gt;0,"OK","CHECK"))</f>
        <v/>
      </c>
      <c r="E313" s="15">
        <f>IF(C313="","",IFERROR(INDEX(lst_JobName,MATCH(C313&amp;"",lst_Jobs,0)),""))</f>
        <v/>
      </c>
      <c r="F313" s="15">
        <f>IF(C313="","",IFERROR(INDEX(tbl_Finance[Client],MATCH(C313&amp;"",tbl_Finance[Job Number],0)),""))</f>
        <v/>
      </c>
      <c r="G313" s="52">
        <f>IF(C313="","",COUNTIFS(tbl_Finance[Job Number],C313&amp;"",tbl_Finance[Ex GST],"&lt;&gt;"))</f>
        <v/>
      </c>
      <c r="H313" s="17">
        <f>IF(C313="","",SUMIFS(tbl_Finance[Ex GST],tbl_Finance[Job Number],C313&amp;""))</f>
        <v/>
      </c>
      <c r="I313" s="15">
        <f>IF(C313="","",IFERROR(INDEX(tbl_Finance[Cost Centre],MATCH(C313&amp;"",tbl_Finance[Job Number],0)),"not invoiced yet"))</f>
        <v/>
      </c>
      <c r="J313" s="14" t="n"/>
      <c r="K313" s="15">
        <f>IF(J313="","",HYPERLINK(IF(LEFT(J313,4)="http",J313,set_QwilrBase&amp;J313),"Open quote"))</f>
        <v/>
      </c>
      <c r="L313" s="16" t="n"/>
      <c r="M313" s="16" t="n"/>
      <c r="N313" s="16" t="n"/>
      <c r="O313" s="15">
        <f>IF(C313="","",IF(N(L313)+N(M313)+N(N313)=0,"Not split",IF(ROUND(N(L313)+N(M313)+N(N313),2)=ROUND(H313,2),"OK","MISMATCH")))</f>
        <v/>
      </c>
      <c r="P313" s="16" t="n"/>
      <c r="Q313" s="16" t="n"/>
      <c r="R313" s="16" t="n"/>
      <c r="S313" s="17">
        <f>IF(C313="","",N(P313)+N(Q313)+N(R313))</f>
        <v/>
      </c>
      <c r="T313" s="17">
        <f>IF(C313="","",H313-S313)</f>
        <v/>
      </c>
      <c r="U313" s="54">
        <f>IFERROR(T313/H313,"")</f>
        <v/>
      </c>
      <c r="V313" s="14" t="n"/>
    </row>
    <row r="314" ht="15" customHeight="1">
      <c r="A314" s="51">
        <f>IF(C314="","",IFERROR(IF(SUMPRODUCT(MAX((tbl_Finance[Job Number]=C314&amp;"")*tbl_Finance[Date]))=0,"",SUMPRODUCT(MAX((tbl_Finance[Job Number]=C314&amp;"")*tbl_Finance[Date]))),""))</f>
        <v/>
      </c>
      <c r="B314" s="15">
        <f>IF(A314="","",IFERROR(LOOKUP(2,1/((tbl_Finance[Job Number]=C314&amp;"")*(tbl_Finance[Date]=A314)),tbl_Finance[Xero Invoice No]),""))</f>
        <v/>
      </c>
      <c r="C314" s="14" t="n"/>
      <c r="D314" s="15">
        <f>IF(C314="","",IF(COUNTIF(lst_Jobs,C314&amp;"")&gt;0,"OK","CHECK"))</f>
        <v/>
      </c>
      <c r="E314" s="15">
        <f>IF(C314="","",IFERROR(INDEX(lst_JobName,MATCH(C314&amp;"",lst_Jobs,0)),""))</f>
        <v/>
      </c>
      <c r="F314" s="15">
        <f>IF(C314="","",IFERROR(INDEX(tbl_Finance[Client],MATCH(C314&amp;"",tbl_Finance[Job Number],0)),""))</f>
        <v/>
      </c>
      <c r="G314" s="52">
        <f>IF(C314="","",COUNTIFS(tbl_Finance[Job Number],C314&amp;"",tbl_Finance[Ex GST],"&lt;&gt;"))</f>
        <v/>
      </c>
      <c r="H314" s="17">
        <f>IF(C314="","",SUMIFS(tbl_Finance[Ex GST],tbl_Finance[Job Number],C314&amp;""))</f>
        <v/>
      </c>
      <c r="I314" s="15">
        <f>IF(C314="","",IFERROR(INDEX(tbl_Finance[Cost Centre],MATCH(C314&amp;"",tbl_Finance[Job Number],0)),"not invoiced yet"))</f>
        <v/>
      </c>
      <c r="J314" s="14" t="n"/>
      <c r="K314" s="15">
        <f>IF(J314="","",HYPERLINK(IF(LEFT(J314,4)="http",J314,set_QwilrBase&amp;J314),"Open quote"))</f>
        <v/>
      </c>
      <c r="L314" s="16" t="n"/>
      <c r="M314" s="16" t="n"/>
      <c r="N314" s="16" t="n"/>
      <c r="O314" s="15">
        <f>IF(C314="","",IF(N(L314)+N(M314)+N(N314)=0,"Not split",IF(ROUND(N(L314)+N(M314)+N(N314),2)=ROUND(H314,2),"OK","MISMATCH")))</f>
        <v/>
      </c>
      <c r="P314" s="16" t="n"/>
      <c r="Q314" s="16" t="n"/>
      <c r="R314" s="16" t="n"/>
      <c r="S314" s="17">
        <f>IF(C314="","",N(P314)+N(Q314)+N(R314))</f>
        <v/>
      </c>
      <c r="T314" s="17">
        <f>IF(C314="","",H314-S314)</f>
        <v/>
      </c>
      <c r="U314" s="54">
        <f>IFERROR(T314/H314,"")</f>
        <v/>
      </c>
      <c r="V314" s="14" t="n"/>
    </row>
    <row r="315" ht="15" customHeight="1">
      <c r="A315" s="51">
        <f>IF(C315="","",IFERROR(IF(SUMPRODUCT(MAX((tbl_Finance[Job Number]=C315&amp;"")*tbl_Finance[Date]))=0,"",SUMPRODUCT(MAX((tbl_Finance[Job Number]=C315&amp;"")*tbl_Finance[Date]))),""))</f>
        <v/>
      </c>
      <c r="B315" s="15">
        <f>IF(A315="","",IFERROR(LOOKUP(2,1/((tbl_Finance[Job Number]=C315&amp;"")*(tbl_Finance[Date]=A315)),tbl_Finance[Xero Invoice No]),""))</f>
        <v/>
      </c>
      <c r="C315" s="14" t="n"/>
      <c r="D315" s="15">
        <f>IF(C315="","",IF(COUNTIF(lst_Jobs,C315&amp;"")&gt;0,"OK","CHECK"))</f>
        <v/>
      </c>
      <c r="E315" s="15">
        <f>IF(C315="","",IFERROR(INDEX(lst_JobName,MATCH(C315&amp;"",lst_Jobs,0)),""))</f>
        <v/>
      </c>
      <c r="F315" s="15">
        <f>IF(C315="","",IFERROR(INDEX(tbl_Finance[Client],MATCH(C315&amp;"",tbl_Finance[Job Number],0)),""))</f>
        <v/>
      </c>
      <c r="G315" s="52">
        <f>IF(C315="","",COUNTIFS(tbl_Finance[Job Number],C315&amp;"",tbl_Finance[Ex GST],"&lt;&gt;"))</f>
        <v/>
      </c>
      <c r="H315" s="17">
        <f>IF(C315="","",SUMIFS(tbl_Finance[Ex GST],tbl_Finance[Job Number],C315&amp;""))</f>
        <v/>
      </c>
      <c r="I315" s="15">
        <f>IF(C315="","",IFERROR(INDEX(tbl_Finance[Cost Centre],MATCH(C315&amp;"",tbl_Finance[Job Number],0)),"not invoiced yet"))</f>
        <v/>
      </c>
      <c r="J315" s="14" t="n"/>
      <c r="K315" s="15">
        <f>IF(J315="","",HYPERLINK(IF(LEFT(J315,4)="http",J315,set_QwilrBase&amp;J315),"Open quote"))</f>
        <v/>
      </c>
      <c r="L315" s="16" t="n"/>
      <c r="M315" s="16" t="n"/>
      <c r="N315" s="16" t="n"/>
      <c r="O315" s="15">
        <f>IF(C315="","",IF(N(L315)+N(M315)+N(N315)=0,"Not split",IF(ROUND(N(L315)+N(M315)+N(N315),2)=ROUND(H315,2),"OK","MISMATCH")))</f>
        <v/>
      </c>
      <c r="P315" s="16" t="n"/>
      <c r="Q315" s="16" t="n"/>
      <c r="R315" s="16" t="n"/>
      <c r="S315" s="17">
        <f>IF(C315="","",N(P315)+N(Q315)+N(R315))</f>
        <v/>
      </c>
      <c r="T315" s="17">
        <f>IF(C315="","",H315-S315)</f>
        <v/>
      </c>
      <c r="U315" s="54">
        <f>IFERROR(T315/H315,"")</f>
        <v/>
      </c>
      <c r="V315" s="14" t="n"/>
    </row>
    <row r="316" ht="15" customHeight="1">
      <c r="A316" s="51">
        <f>IF(C316="","",IFERROR(IF(SUMPRODUCT(MAX((tbl_Finance[Job Number]=C316&amp;"")*tbl_Finance[Date]))=0,"",SUMPRODUCT(MAX((tbl_Finance[Job Number]=C316&amp;"")*tbl_Finance[Date]))),""))</f>
        <v/>
      </c>
      <c r="B316" s="15">
        <f>IF(A316="","",IFERROR(LOOKUP(2,1/((tbl_Finance[Job Number]=C316&amp;"")*(tbl_Finance[Date]=A316)),tbl_Finance[Xero Invoice No]),""))</f>
        <v/>
      </c>
      <c r="C316" s="14" t="n"/>
      <c r="D316" s="15">
        <f>IF(C316="","",IF(COUNTIF(lst_Jobs,C316&amp;"")&gt;0,"OK","CHECK"))</f>
        <v/>
      </c>
      <c r="E316" s="15">
        <f>IF(C316="","",IFERROR(INDEX(lst_JobName,MATCH(C316&amp;"",lst_Jobs,0)),""))</f>
        <v/>
      </c>
      <c r="F316" s="15">
        <f>IF(C316="","",IFERROR(INDEX(tbl_Finance[Client],MATCH(C316&amp;"",tbl_Finance[Job Number],0)),""))</f>
        <v/>
      </c>
      <c r="G316" s="52">
        <f>IF(C316="","",COUNTIFS(tbl_Finance[Job Number],C316&amp;"",tbl_Finance[Ex GST],"&lt;&gt;"))</f>
        <v/>
      </c>
      <c r="H316" s="17">
        <f>IF(C316="","",SUMIFS(tbl_Finance[Ex GST],tbl_Finance[Job Number],C316&amp;""))</f>
        <v/>
      </c>
      <c r="I316" s="15">
        <f>IF(C316="","",IFERROR(INDEX(tbl_Finance[Cost Centre],MATCH(C316&amp;"",tbl_Finance[Job Number],0)),"not invoiced yet"))</f>
        <v/>
      </c>
      <c r="J316" s="14" t="n"/>
      <c r="K316" s="15">
        <f>IF(J316="","",HYPERLINK(IF(LEFT(J316,4)="http",J316,set_QwilrBase&amp;J316),"Open quote"))</f>
        <v/>
      </c>
      <c r="L316" s="16" t="n"/>
      <c r="M316" s="16" t="n"/>
      <c r="N316" s="16" t="n"/>
      <c r="O316" s="15">
        <f>IF(C316="","",IF(N(L316)+N(M316)+N(N316)=0,"Not split",IF(ROUND(N(L316)+N(M316)+N(N316),2)=ROUND(H316,2),"OK","MISMATCH")))</f>
        <v/>
      </c>
      <c r="P316" s="16" t="n"/>
      <c r="Q316" s="16" t="n"/>
      <c r="R316" s="16" t="n"/>
      <c r="S316" s="17">
        <f>IF(C316="","",N(P316)+N(Q316)+N(R316))</f>
        <v/>
      </c>
      <c r="T316" s="17">
        <f>IF(C316="","",H316-S316)</f>
        <v/>
      </c>
      <c r="U316" s="54">
        <f>IFERROR(T316/H316,"")</f>
        <v/>
      </c>
      <c r="V316" s="14" t="n"/>
    </row>
    <row r="317" ht="15" customHeight="1">
      <c r="A317" s="51">
        <f>IF(C317="","",IFERROR(IF(SUMPRODUCT(MAX((tbl_Finance[Job Number]=C317&amp;"")*tbl_Finance[Date]))=0,"",SUMPRODUCT(MAX((tbl_Finance[Job Number]=C317&amp;"")*tbl_Finance[Date]))),""))</f>
        <v/>
      </c>
      <c r="B317" s="15">
        <f>IF(A317="","",IFERROR(LOOKUP(2,1/((tbl_Finance[Job Number]=C317&amp;"")*(tbl_Finance[Date]=A317)),tbl_Finance[Xero Invoice No]),""))</f>
        <v/>
      </c>
      <c r="C317" s="14" t="n"/>
      <c r="D317" s="15">
        <f>IF(C317="","",IF(COUNTIF(lst_Jobs,C317&amp;"")&gt;0,"OK","CHECK"))</f>
        <v/>
      </c>
      <c r="E317" s="15">
        <f>IF(C317="","",IFERROR(INDEX(lst_JobName,MATCH(C317&amp;"",lst_Jobs,0)),""))</f>
        <v/>
      </c>
      <c r="F317" s="15">
        <f>IF(C317="","",IFERROR(INDEX(tbl_Finance[Client],MATCH(C317&amp;"",tbl_Finance[Job Number],0)),""))</f>
        <v/>
      </c>
      <c r="G317" s="52">
        <f>IF(C317="","",COUNTIFS(tbl_Finance[Job Number],C317&amp;"",tbl_Finance[Ex GST],"&lt;&gt;"))</f>
        <v/>
      </c>
      <c r="H317" s="17">
        <f>IF(C317="","",SUMIFS(tbl_Finance[Ex GST],tbl_Finance[Job Number],C317&amp;""))</f>
        <v/>
      </c>
      <c r="I317" s="15">
        <f>IF(C317="","",IFERROR(INDEX(tbl_Finance[Cost Centre],MATCH(C317&amp;"",tbl_Finance[Job Number],0)),"not invoiced yet"))</f>
        <v/>
      </c>
      <c r="J317" s="14" t="n"/>
      <c r="K317" s="15">
        <f>IF(J317="","",HYPERLINK(IF(LEFT(J317,4)="http",J317,set_QwilrBase&amp;J317),"Open quote"))</f>
        <v/>
      </c>
      <c r="L317" s="16" t="n"/>
      <c r="M317" s="16" t="n"/>
      <c r="N317" s="16" t="n"/>
      <c r="O317" s="15">
        <f>IF(C317="","",IF(N(L317)+N(M317)+N(N317)=0,"Not split",IF(ROUND(N(L317)+N(M317)+N(N317),2)=ROUND(H317,2),"OK","MISMATCH")))</f>
        <v/>
      </c>
      <c r="P317" s="16" t="n"/>
      <c r="Q317" s="16" t="n"/>
      <c r="R317" s="16" t="n"/>
      <c r="S317" s="17">
        <f>IF(C317="","",N(P317)+N(Q317)+N(R317))</f>
        <v/>
      </c>
      <c r="T317" s="17">
        <f>IF(C317="","",H317-S317)</f>
        <v/>
      </c>
      <c r="U317" s="54">
        <f>IFERROR(T317/H317,"")</f>
        <v/>
      </c>
      <c r="V317" s="14" t="n"/>
    </row>
    <row r="318" ht="15" customHeight="1">
      <c r="A318" s="51">
        <f>IF(C318="","",IFERROR(IF(SUMPRODUCT(MAX((tbl_Finance[Job Number]=C318&amp;"")*tbl_Finance[Date]))=0,"",SUMPRODUCT(MAX((tbl_Finance[Job Number]=C318&amp;"")*tbl_Finance[Date]))),""))</f>
        <v/>
      </c>
      <c r="B318" s="15">
        <f>IF(A318="","",IFERROR(LOOKUP(2,1/((tbl_Finance[Job Number]=C318&amp;"")*(tbl_Finance[Date]=A318)),tbl_Finance[Xero Invoice No]),""))</f>
        <v/>
      </c>
      <c r="C318" s="14" t="n"/>
      <c r="D318" s="15">
        <f>IF(C318="","",IF(COUNTIF(lst_Jobs,C318&amp;"")&gt;0,"OK","CHECK"))</f>
        <v/>
      </c>
      <c r="E318" s="15">
        <f>IF(C318="","",IFERROR(INDEX(lst_JobName,MATCH(C318&amp;"",lst_Jobs,0)),""))</f>
        <v/>
      </c>
      <c r="F318" s="15">
        <f>IF(C318="","",IFERROR(INDEX(tbl_Finance[Client],MATCH(C318&amp;"",tbl_Finance[Job Number],0)),""))</f>
        <v/>
      </c>
      <c r="G318" s="52">
        <f>IF(C318="","",COUNTIFS(tbl_Finance[Job Number],C318&amp;"",tbl_Finance[Ex GST],"&lt;&gt;"))</f>
        <v/>
      </c>
      <c r="H318" s="17">
        <f>IF(C318="","",SUMIFS(tbl_Finance[Ex GST],tbl_Finance[Job Number],C318&amp;""))</f>
        <v/>
      </c>
      <c r="I318" s="15">
        <f>IF(C318="","",IFERROR(INDEX(tbl_Finance[Cost Centre],MATCH(C318&amp;"",tbl_Finance[Job Number],0)),"not invoiced yet"))</f>
        <v/>
      </c>
      <c r="J318" s="14" t="n"/>
      <c r="K318" s="15">
        <f>IF(J318="","",HYPERLINK(IF(LEFT(J318,4)="http",J318,set_QwilrBase&amp;J318),"Open quote"))</f>
        <v/>
      </c>
      <c r="L318" s="16" t="n"/>
      <c r="M318" s="16" t="n"/>
      <c r="N318" s="16" t="n"/>
      <c r="O318" s="15">
        <f>IF(C318="","",IF(N(L318)+N(M318)+N(N318)=0,"Not split",IF(ROUND(N(L318)+N(M318)+N(N318),2)=ROUND(H318,2),"OK","MISMATCH")))</f>
        <v/>
      </c>
      <c r="P318" s="16" t="n"/>
      <c r="Q318" s="16" t="n"/>
      <c r="R318" s="16" t="n"/>
      <c r="S318" s="17">
        <f>IF(C318="","",N(P318)+N(Q318)+N(R318))</f>
        <v/>
      </c>
      <c r="T318" s="17">
        <f>IF(C318="","",H318-S318)</f>
        <v/>
      </c>
      <c r="U318" s="54">
        <f>IFERROR(T318/H318,"")</f>
        <v/>
      </c>
      <c r="V318" s="14" t="n"/>
    </row>
    <row r="319" ht="15" customHeight="1">
      <c r="A319" s="51">
        <f>IF(C319="","",IFERROR(IF(SUMPRODUCT(MAX((tbl_Finance[Job Number]=C319&amp;"")*tbl_Finance[Date]))=0,"",SUMPRODUCT(MAX((tbl_Finance[Job Number]=C319&amp;"")*tbl_Finance[Date]))),""))</f>
        <v/>
      </c>
      <c r="B319" s="15">
        <f>IF(A319="","",IFERROR(LOOKUP(2,1/((tbl_Finance[Job Number]=C319&amp;"")*(tbl_Finance[Date]=A319)),tbl_Finance[Xero Invoice No]),""))</f>
        <v/>
      </c>
      <c r="C319" s="14" t="n"/>
      <c r="D319" s="15">
        <f>IF(C319="","",IF(COUNTIF(lst_Jobs,C319&amp;"")&gt;0,"OK","CHECK"))</f>
        <v/>
      </c>
      <c r="E319" s="15">
        <f>IF(C319="","",IFERROR(INDEX(lst_JobName,MATCH(C319&amp;"",lst_Jobs,0)),""))</f>
        <v/>
      </c>
      <c r="F319" s="15">
        <f>IF(C319="","",IFERROR(INDEX(tbl_Finance[Client],MATCH(C319&amp;"",tbl_Finance[Job Number],0)),""))</f>
        <v/>
      </c>
      <c r="G319" s="52">
        <f>IF(C319="","",COUNTIFS(tbl_Finance[Job Number],C319&amp;"",tbl_Finance[Ex GST],"&lt;&gt;"))</f>
        <v/>
      </c>
      <c r="H319" s="17">
        <f>IF(C319="","",SUMIFS(tbl_Finance[Ex GST],tbl_Finance[Job Number],C319&amp;""))</f>
        <v/>
      </c>
      <c r="I319" s="15">
        <f>IF(C319="","",IFERROR(INDEX(tbl_Finance[Cost Centre],MATCH(C319&amp;"",tbl_Finance[Job Number],0)),"not invoiced yet"))</f>
        <v/>
      </c>
      <c r="J319" s="14" t="n"/>
      <c r="K319" s="15">
        <f>IF(J319="","",HYPERLINK(IF(LEFT(J319,4)="http",J319,set_QwilrBase&amp;J319),"Open quote"))</f>
        <v/>
      </c>
      <c r="L319" s="16" t="n"/>
      <c r="M319" s="16" t="n"/>
      <c r="N319" s="16" t="n"/>
      <c r="O319" s="15">
        <f>IF(C319="","",IF(N(L319)+N(M319)+N(N319)=0,"Not split",IF(ROUND(N(L319)+N(M319)+N(N319),2)=ROUND(H319,2),"OK","MISMATCH")))</f>
        <v/>
      </c>
      <c r="P319" s="16" t="n"/>
      <c r="Q319" s="16" t="n"/>
      <c r="R319" s="16" t="n"/>
      <c r="S319" s="17">
        <f>IF(C319="","",N(P319)+N(Q319)+N(R319))</f>
        <v/>
      </c>
      <c r="T319" s="17">
        <f>IF(C319="","",H319-S319)</f>
        <v/>
      </c>
      <c r="U319" s="54">
        <f>IFERROR(T319/H319,"")</f>
        <v/>
      </c>
      <c r="V319" s="14" t="n"/>
    </row>
    <row r="320" ht="15" customHeight="1">
      <c r="A320" s="51">
        <f>IF(C320="","",IFERROR(IF(SUMPRODUCT(MAX((tbl_Finance[Job Number]=C320&amp;"")*tbl_Finance[Date]))=0,"",SUMPRODUCT(MAX((tbl_Finance[Job Number]=C320&amp;"")*tbl_Finance[Date]))),""))</f>
        <v/>
      </c>
      <c r="B320" s="15">
        <f>IF(A320="","",IFERROR(LOOKUP(2,1/((tbl_Finance[Job Number]=C320&amp;"")*(tbl_Finance[Date]=A320)),tbl_Finance[Xero Invoice No]),""))</f>
        <v/>
      </c>
      <c r="C320" s="14" t="n"/>
      <c r="D320" s="15">
        <f>IF(C320="","",IF(COUNTIF(lst_Jobs,C320&amp;"")&gt;0,"OK","CHECK"))</f>
        <v/>
      </c>
      <c r="E320" s="15">
        <f>IF(C320="","",IFERROR(INDEX(lst_JobName,MATCH(C320&amp;"",lst_Jobs,0)),""))</f>
        <v/>
      </c>
      <c r="F320" s="15">
        <f>IF(C320="","",IFERROR(INDEX(tbl_Finance[Client],MATCH(C320&amp;"",tbl_Finance[Job Number],0)),""))</f>
        <v/>
      </c>
      <c r="G320" s="52">
        <f>IF(C320="","",COUNTIFS(tbl_Finance[Job Number],C320&amp;"",tbl_Finance[Ex GST],"&lt;&gt;"))</f>
        <v/>
      </c>
      <c r="H320" s="17">
        <f>IF(C320="","",SUMIFS(tbl_Finance[Ex GST],tbl_Finance[Job Number],C320&amp;""))</f>
        <v/>
      </c>
      <c r="I320" s="15">
        <f>IF(C320="","",IFERROR(INDEX(tbl_Finance[Cost Centre],MATCH(C320&amp;"",tbl_Finance[Job Number],0)),"not invoiced yet"))</f>
        <v/>
      </c>
      <c r="J320" s="14" t="n"/>
      <c r="K320" s="15">
        <f>IF(J320="","",HYPERLINK(IF(LEFT(J320,4)="http",J320,set_QwilrBase&amp;J320),"Open quote"))</f>
        <v/>
      </c>
      <c r="L320" s="16" t="n"/>
      <c r="M320" s="16" t="n"/>
      <c r="N320" s="16" t="n"/>
      <c r="O320" s="15">
        <f>IF(C320="","",IF(N(L320)+N(M320)+N(N320)=0,"Not split",IF(ROUND(N(L320)+N(M320)+N(N320),2)=ROUND(H320,2),"OK","MISMATCH")))</f>
        <v/>
      </c>
      <c r="P320" s="16" t="n"/>
      <c r="Q320" s="16" t="n"/>
      <c r="R320" s="16" t="n"/>
      <c r="S320" s="17">
        <f>IF(C320="","",N(P320)+N(Q320)+N(R320))</f>
        <v/>
      </c>
      <c r="T320" s="17">
        <f>IF(C320="","",H320-S320)</f>
        <v/>
      </c>
      <c r="U320" s="54">
        <f>IFERROR(T320/H320,"")</f>
        <v/>
      </c>
      <c r="V320" s="14" t="n"/>
    </row>
    <row r="321" ht="15" customHeight="1">
      <c r="A321" s="51">
        <f>IF(C321="","",IFERROR(IF(SUMPRODUCT(MAX((tbl_Finance[Job Number]=C321&amp;"")*tbl_Finance[Date]))=0,"",SUMPRODUCT(MAX((tbl_Finance[Job Number]=C321&amp;"")*tbl_Finance[Date]))),""))</f>
        <v/>
      </c>
      <c r="B321" s="15">
        <f>IF(A321="","",IFERROR(LOOKUP(2,1/((tbl_Finance[Job Number]=C321&amp;"")*(tbl_Finance[Date]=A321)),tbl_Finance[Xero Invoice No]),""))</f>
        <v/>
      </c>
      <c r="C321" s="14" t="n"/>
      <c r="D321" s="15">
        <f>IF(C321="","",IF(COUNTIF(lst_Jobs,C321&amp;"")&gt;0,"OK","CHECK"))</f>
        <v/>
      </c>
      <c r="E321" s="15">
        <f>IF(C321="","",IFERROR(INDEX(lst_JobName,MATCH(C321&amp;"",lst_Jobs,0)),""))</f>
        <v/>
      </c>
      <c r="F321" s="15">
        <f>IF(C321="","",IFERROR(INDEX(tbl_Finance[Client],MATCH(C321&amp;"",tbl_Finance[Job Number],0)),""))</f>
        <v/>
      </c>
      <c r="G321" s="52">
        <f>IF(C321="","",COUNTIFS(tbl_Finance[Job Number],C321&amp;"",tbl_Finance[Ex GST],"&lt;&gt;"))</f>
        <v/>
      </c>
      <c r="H321" s="17">
        <f>IF(C321="","",SUMIFS(tbl_Finance[Ex GST],tbl_Finance[Job Number],C321&amp;""))</f>
        <v/>
      </c>
      <c r="I321" s="15">
        <f>IF(C321="","",IFERROR(INDEX(tbl_Finance[Cost Centre],MATCH(C321&amp;"",tbl_Finance[Job Number],0)),"not invoiced yet"))</f>
        <v/>
      </c>
      <c r="J321" s="14" t="n"/>
      <c r="K321" s="15">
        <f>IF(J321="","",HYPERLINK(IF(LEFT(J321,4)="http",J321,set_QwilrBase&amp;J321),"Open quote"))</f>
        <v/>
      </c>
      <c r="L321" s="16" t="n"/>
      <c r="M321" s="16" t="n"/>
      <c r="N321" s="16" t="n"/>
      <c r="O321" s="15">
        <f>IF(C321="","",IF(N(L321)+N(M321)+N(N321)=0,"Not split",IF(ROUND(N(L321)+N(M321)+N(N321),2)=ROUND(H321,2),"OK","MISMATCH")))</f>
        <v/>
      </c>
      <c r="P321" s="16" t="n"/>
      <c r="Q321" s="16" t="n"/>
      <c r="R321" s="16" t="n"/>
      <c r="S321" s="17">
        <f>IF(C321="","",N(P321)+N(Q321)+N(R321))</f>
        <v/>
      </c>
      <c r="T321" s="17">
        <f>IF(C321="","",H321-S321)</f>
        <v/>
      </c>
      <c r="U321" s="54">
        <f>IFERROR(T321/H321,"")</f>
        <v/>
      </c>
      <c r="V321" s="14" t="n"/>
    </row>
    <row r="322" ht="15" customHeight="1">
      <c r="A322" s="51">
        <f>IF(C322="","",IFERROR(IF(SUMPRODUCT(MAX((tbl_Finance[Job Number]=C322&amp;"")*tbl_Finance[Date]))=0,"",SUMPRODUCT(MAX((tbl_Finance[Job Number]=C322&amp;"")*tbl_Finance[Date]))),""))</f>
        <v/>
      </c>
      <c r="B322" s="15">
        <f>IF(A322="","",IFERROR(LOOKUP(2,1/((tbl_Finance[Job Number]=C322&amp;"")*(tbl_Finance[Date]=A322)),tbl_Finance[Xero Invoice No]),""))</f>
        <v/>
      </c>
      <c r="C322" s="14" t="n"/>
      <c r="D322" s="15">
        <f>IF(C322="","",IF(COUNTIF(lst_Jobs,C322&amp;"")&gt;0,"OK","CHECK"))</f>
        <v/>
      </c>
      <c r="E322" s="15">
        <f>IF(C322="","",IFERROR(INDEX(lst_JobName,MATCH(C322&amp;"",lst_Jobs,0)),""))</f>
        <v/>
      </c>
      <c r="F322" s="15">
        <f>IF(C322="","",IFERROR(INDEX(tbl_Finance[Client],MATCH(C322&amp;"",tbl_Finance[Job Number],0)),""))</f>
        <v/>
      </c>
      <c r="G322" s="52">
        <f>IF(C322="","",COUNTIFS(tbl_Finance[Job Number],C322&amp;"",tbl_Finance[Ex GST],"&lt;&gt;"))</f>
        <v/>
      </c>
      <c r="H322" s="17">
        <f>IF(C322="","",SUMIFS(tbl_Finance[Ex GST],tbl_Finance[Job Number],C322&amp;""))</f>
        <v/>
      </c>
      <c r="I322" s="15">
        <f>IF(C322="","",IFERROR(INDEX(tbl_Finance[Cost Centre],MATCH(C322&amp;"",tbl_Finance[Job Number],0)),"not invoiced yet"))</f>
        <v/>
      </c>
      <c r="J322" s="14" t="n"/>
      <c r="K322" s="15">
        <f>IF(J322="","",HYPERLINK(IF(LEFT(J322,4)="http",J322,set_QwilrBase&amp;J322),"Open quote"))</f>
        <v/>
      </c>
      <c r="L322" s="16" t="n"/>
      <c r="M322" s="16" t="n"/>
      <c r="N322" s="16" t="n"/>
      <c r="O322" s="15">
        <f>IF(C322="","",IF(N(L322)+N(M322)+N(N322)=0,"Not split",IF(ROUND(N(L322)+N(M322)+N(N322),2)=ROUND(H322,2),"OK","MISMATCH")))</f>
        <v/>
      </c>
      <c r="P322" s="16" t="n"/>
      <c r="Q322" s="16" t="n"/>
      <c r="R322" s="16" t="n"/>
      <c r="S322" s="17">
        <f>IF(C322="","",N(P322)+N(Q322)+N(R322))</f>
        <v/>
      </c>
      <c r="T322" s="17">
        <f>IF(C322="","",H322-S322)</f>
        <v/>
      </c>
      <c r="U322" s="54">
        <f>IFERROR(T322/H322,"")</f>
        <v/>
      </c>
      <c r="V322" s="14" t="n"/>
    </row>
    <row r="323" ht="15" customHeight="1">
      <c r="A323" s="51">
        <f>IF(C323="","",IFERROR(IF(SUMPRODUCT(MAX((tbl_Finance[Job Number]=C323&amp;"")*tbl_Finance[Date]))=0,"",SUMPRODUCT(MAX((tbl_Finance[Job Number]=C323&amp;"")*tbl_Finance[Date]))),""))</f>
        <v/>
      </c>
      <c r="B323" s="15">
        <f>IF(A323="","",IFERROR(LOOKUP(2,1/((tbl_Finance[Job Number]=C323&amp;"")*(tbl_Finance[Date]=A323)),tbl_Finance[Xero Invoice No]),""))</f>
        <v/>
      </c>
      <c r="C323" s="14" t="n"/>
      <c r="D323" s="15">
        <f>IF(C323="","",IF(COUNTIF(lst_Jobs,C323&amp;"")&gt;0,"OK","CHECK"))</f>
        <v/>
      </c>
      <c r="E323" s="15">
        <f>IF(C323="","",IFERROR(INDEX(lst_JobName,MATCH(C323&amp;"",lst_Jobs,0)),""))</f>
        <v/>
      </c>
      <c r="F323" s="15">
        <f>IF(C323="","",IFERROR(INDEX(tbl_Finance[Client],MATCH(C323&amp;"",tbl_Finance[Job Number],0)),""))</f>
        <v/>
      </c>
      <c r="G323" s="52">
        <f>IF(C323="","",COUNTIFS(tbl_Finance[Job Number],C323&amp;"",tbl_Finance[Ex GST],"&lt;&gt;"))</f>
        <v/>
      </c>
      <c r="H323" s="17">
        <f>IF(C323="","",SUMIFS(tbl_Finance[Ex GST],tbl_Finance[Job Number],C323&amp;""))</f>
        <v/>
      </c>
      <c r="I323" s="15">
        <f>IF(C323="","",IFERROR(INDEX(tbl_Finance[Cost Centre],MATCH(C323&amp;"",tbl_Finance[Job Number],0)),"not invoiced yet"))</f>
        <v/>
      </c>
      <c r="J323" s="14" t="n"/>
      <c r="K323" s="15">
        <f>IF(J323="","",HYPERLINK(IF(LEFT(J323,4)="http",J323,set_QwilrBase&amp;J323),"Open quote"))</f>
        <v/>
      </c>
      <c r="L323" s="16" t="n"/>
      <c r="M323" s="16" t="n"/>
      <c r="N323" s="16" t="n"/>
      <c r="O323" s="15">
        <f>IF(C323="","",IF(N(L323)+N(M323)+N(N323)=0,"Not split",IF(ROUND(N(L323)+N(M323)+N(N323),2)=ROUND(H323,2),"OK","MISMATCH")))</f>
        <v/>
      </c>
      <c r="P323" s="16" t="n"/>
      <c r="Q323" s="16" t="n"/>
      <c r="R323" s="16" t="n"/>
      <c r="S323" s="17">
        <f>IF(C323="","",N(P323)+N(Q323)+N(R323))</f>
        <v/>
      </c>
      <c r="T323" s="17">
        <f>IF(C323="","",H323-S323)</f>
        <v/>
      </c>
      <c r="U323" s="54">
        <f>IFERROR(T323/H323,"")</f>
        <v/>
      </c>
      <c r="V323" s="14" t="n"/>
    </row>
    <row r="324" ht="15" customHeight="1">
      <c r="A324" s="51">
        <f>IF(C324="","",IFERROR(IF(SUMPRODUCT(MAX((tbl_Finance[Job Number]=C324&amp;"")*tbl_Finance[Date]))=0,"",SUMPRODUCT(MAX((tbl_Finance[Job Number]=C324&amp;"")*tbl_Finance[Date]))),""))</f>
        <v/>
      </c>
      <c r="B324" s="15">
        <f>IF(A324="","",IFERROR(LOOKUP(2,1/((tbl_Finance[Job Number]=C324&amp;"")*(tbl_Finance[Date]=A324)),tbl_Finance[Xero Invoice No]),""))</f>
        <v/>
      </c>
      <c r="C324" s="14" t="n"/>
      <c r="D324" s="15">
        <f>IF(C324="","",IF(COUNTIF(lst_Jobs,C324&amp;"")&gt;0,"OK","CHECK"))</f>
        <v/>
      </c>
      <c r="E324" s="15">
        <f>IF(C324="","",IFERROR(INDEX(lst_JobName,MATCH(C324&amp;"",lst_Jobs,0)),""))</f>
        <v/>
      </c>
      <c r="F324" s="15">
        <f>IF(C324="","",IFERROR(INDEX(tbl_Finance[Client],MATCH(C324&amp;"",tbl_Finance[Job Number],0)),""))</f>
        <v/>
      </c>
      <c r="G324" s="52">
        <f>IF(C324="","",COUNTIFS(tbl_Finance[Job Number],C324&amp;"",tbl_Finance[Ex GST],"&lt;&gt;"))</f>
        <v/>
      </c>
      <c r="H324" s="17">
        <f>IF(C324="","",SUMIFS(tbl_Finance[Ex GST],tbl_Finance[Job Number],C324&amp;""))</f>
        <v/>
      </c>
      <c r="I324" s="15">
        <f>IF(C324="","",IFERROR(INDEX(tbl_Finance[Cost Centre],MATCH(C324&amp;"",tbl_Finance[Job Number],0)),"not invoiced yet"))</f>
        <v/>
      </c>
      <c r="J324" s="14" t="n"/>
      <c r="K324" s="15">
        <f>IF(J324="","",HYPERLINK(IF(LEFT(J324,4)="http",J324,set_QwilrBase&amp;J324),"Open quote"))</f>
        <v/>
      </c>
      <c r="L324" s="16" t="n"/>
      <c r="M324" s="16" t="n"/>
      <c r="N324" s="16" t="n"/>
      <c r="O324" s="15">
        <f>IF(C324="","",IF(N(L324)+N(M324)+N(N324)=0,"Not split",IF(ROUND(N(L324)+N(M324)+N(N324),2)=ROUND(H324,2),"OK","MISMATCH")))</f>
        <v/>
      </c>
      <c r="P324" s="16" t="n"/>
      <c r="Q324" s="16" t="n"/>
      <c r="R324" s="16" t="n"/>
      <c r="S324" s="17">
        <f>IF(C324="","",N(P324)+N(Q324)+N(R324))</f>
        <v/>
      </c>
      <c r="T324" s="17">
        <f>IF(C324="","",H324-S324)</f>
        <v/>
      </c>
      <c r="U324" s="54">
        <f>IFERROR(T324/H324,"")</f>
        <v/>
      </c>
      <c r="V324" s="14" t="n"/>
    </row>
    <row r="325" ht="15" customHeight="1">
      <c r="A325" s="51">
        <f>IF(C325="","",IFERROR(IF(SUMPRODUCT(MAX((tbl_Finance[Job Number]=C325&amp;"")*tbl_Finance[Date]))=0,"",SUMPRODUCT(MAX((tbl_Finance[Job Number]=C325&amp;"")*tbl_Finance[Date]))),""))</f>
        <v/>
      </c>
      <c r="B325" s="15">
        <f>IF(A325="","",IFERROR(LOOKUP(2,1/((tbl_Finance[Job Number]=C325&amp;"")*(tbl_Finance[Date]=A325)),tbl_Finance[Xero Invoice No]),""))</f>
        <v/>
      </c>
      <c r="C325" s="14" t="n"/>
      <c r="D325" s="15">
        <f>IF(C325="","",IF(COUNTIF(lst_Jobs,C325&amp;"")&gt;0,"OK","CHECK"))</f>
        <v/>
      </c>
      <c r="E325" s="15">
        <f>IF(C325="","",IFERROR(INDEX(lst_JobName,MATCH(C325&amp;"",lst_Jobs,0)),""))</f>
        <v/>
      </c>
      <c r="F325" s="15">
        <f>IF(C325="","",IFERROR(INDEX(tbl_Finance[Client],MATCH(C325&amp;"",tbl_Finance[Job Number],0)),""))</f>
        <v/>
      </c>
      <c r="G325" s="52">
        <f>IF(C325="","",COUNTIFS(tbl_Finance[Job Number],C325&amp;"",tbl_Finance[Ex GST],"&lt;&gt;"))</f>
        <v/>
      </c>
      <c r="H325" s="17">
        <f>IF(C325="","",SUMIFS(tbl_Finance[Ex GST],tbl_Finance[Job Number],C325&amp;""))</f>
        <v/>
      </c>
      <c r="I325" s="15">
        <f>IF(C325="","",IFERROR(INDEX(tbl_Finance[Cost Centre],MATCH(C325&amp;"",tbl_Finance[Job Number],0)),"not invoiced yet"))</f>
        <v/>
      </c>
      <c r="J325" s="14" t="n"/>
      <c r="K325" s="15">
        <f>IF(J325="","",HYPERLINK(IF(LEFT(J325,4)="http",J325,set_QwilrBase&amp;J325),"Open quote"))</f>
        <v/>
      </c>
      <c r="L325" s="16" t="n"/>
      <c r="M325" s="16" t="n"/>
      <c r="N325" s="16" t="n"/>
      <c r="O325" s="15">
        <f>IF(C325="","",IF(N(L325)+N(M325)+N(N325)=0,"Not split",IF(ROUND(N(L325)+N(M325)+N(N325),2)=ROUND(H325,2),"OK","MISMATCH")))</f>
        <v/>
      </c>
      <c r="P325" s="16" t="n"/>
      <c r="Q325" s="16" t="n"/>
      <c r="R325" s="16" t="n"/>
      <c r="S325" s="17">
        <f>IF(C325="","",N(P325)+N(Q325)+N(R325))</f>
        <v/>
      </c>
      <c r="T325" s="17">
        <f>IF(C325="","",H325-S325)</f>
        <v/>
      </c>
      <c r="U325" s="54">
        <f>IFERROR(T325/H325,"")</f>
        <v/>
      </c>
      <c r="V325" s="14" t="n"/>
    </row>
    <row r="326" ht="15" customHeight="1">
      <c r="A326" s="51">
        <f>IF(C326="","",IFERROR(IF(SUMPRODUCT(MAX((tbl_Finance[Job Number]=C326&amp;"")*tbl_Finance[Date]))=0,"",SUMPRODUCT(MAX((tbl_Finance[Job Number]=C326&amp;"")*tbl_Finance[Date]))),""))</f>
        <v/>
      </c>
      <c r="B326" s="15">
        <f>IF(A326="","",IFERROR(LOOKUP(2,1/((tbl_Finance[Job Number]=C326&amp;"")*(tbl_Finance[Date]=A326)),tbl_Finance[Xero Invoice No]),""))</f>
        <v/>
      </c>
      <c r="C326" s="14" t="n"/>
      <c r="D326" s="15">
        <f>IF(C326="","",IF(COUNTIF(lst_Jobs,C326&amp;"")&gt;0,"OK","CHECK"))</f>
        <v/>
      </c>
      <c r="E326" s="15">
        <f>IF(C326="","",IFERROR(INDEX(lst_JobName,MATCH(C326&amp;"",lst_Jobs,0)),""))</f>
        <v/>
      </c>
      <c r="F326" s="15">
        <f>IF(C326="","",IFERROR(INDEX(tbl_Finance[Client],MATCH(C326&amp;"",tbl_Finance[Job Number],0)),""))</f>
        <v/>
      </c>
      <c r="G326" s="52">
        <f>IF(C326="","",COUNTIFS(tbl_Finance[Job Number],C326&amp;"",tbl_Finance[Ex GST],"&lt;&gt;"))</f>
        <v/>
      </c>
      <c r="H326" s="17">
        <f>IF(C326="","",SUMIFS(tbl_Finance[Ex GST],tbl_Finance[Job Number],C326&amp;""))</f>
        <v/>
      </c>
      <c r="I326" s="15">
        <f>IF(C326="","",IFERROR(INDEX(tbl_Finance[Cost Centre],MATCH(C326&amp;"",tbl_Finance[Job Number],0)),"not invoiced yet"))</f>
        <v/>
      </c>
      <c r="J326" s="14" t="n"/>
      <c r="K326" s="15">
        <f>IF(J326="","",HYPERLINK(IF(LEFT(J326,4)="http",J326,set_QwilrBase&amp;J326),"Open quote"))</f>
        <v/>
      </c>
      <c r="L326" s="16" t="n"/>
      <c r="M326" s="16" t="n"/>
      <c r="N326" s="16" t="n"/>
      <c r="O326" s="15">
        <f>IF(C326="","",IF(N(L326)+N(M326)+N(N326)=0,"Not split",IF(ROUND(N(L326)+N(M326)+N(N326),2)=ROUND(H326,2),"OK","MISMATCH")))</f>
        <v/>
      </c>
      <c r="P326" s="16" t="n"/>
      <c r="Q326" s="16" t="n"/>
      <c r="R326" s="16" t="n"/>
      <c r="S326" s="17">
        <f>IF(C326="","",N(P326)+N(Q326)+N(R326))</f>
        <v/>
      </c>
      <c r="T326" s="17">
        <f>IF(C326="","",H326-S326)</f>
        <v/>
      </c>
      <c r="U326" s="54">
        <f>IFERROR(T326/H326,"")</f>
        <v/>
      </c>
      <c r="V326" s="14" t="n"/>
    </row>
    <row r="327" ht="15" customHeight="1">
      <c r="A327" s="51">
        <f>IF(C327="","",IFERROR(IF(SUMPRODUCT(MAX((tbl_Finance[Job Number]=C327&amp;"")*tbl_Finance[Date]))=0,"",SUMPRODUCT(MAX((tbl_Finance[Job Number]=C327&amp;"")*tbl_Finance[Date]))),""))</f>
        <v/>
      </c>
      <c r="B327" s="15">
        <f>IF(A327="","",IFERROR(LOOKUP(2,1/((tbl_Finance[Job Number]=C327&amp;"")*(tbl_Finance[Date]=A327)),tbl_Finance[Xero Invoice No]),""))</f>
        <v/>
      </c>
      <c r="C327" s="14" t="n"/>
      <c r="D327" s="15">
        <f>IF(C327="","",IF(COUNTIF(lst_Jobs,C327&amp;"")&gt;0,"OK","CHECK"))</f>
        <v/>
      </c>
      <c r="E327" s="15">
        <f>IF(C327="","",IFERROR(INDEX(lst_JobName,MATCH(C327&amp;"",lst_Jobs,0)),""))</f>
        <v/>
      </c>
      <c r="F327" s="15">
        <f>IF(C327="","",IFERROR(INDEX(tbl_Finance[Client],MATCH(C327&amp;"",tbl_Finance[Job Number],0)),""))</f>
        <v/>
      </c>
      <c r="G327" s="52">
        <f>IF(C327="","",COUNTIFS(tbl_Finance[Job Number],C327&amp;"",tbl_Finance[Ex GST],"&lt;&gt;"))</f>
        <v/>
      </c>
      <c r="H327" s="17">
        <f>IF(C327="","",SUMIFS(tbl_Finance[Ex GST],tbl_Finance[Job Number],C327&amp;""))</f>
        <v/>
      </c>
      <c r="I327" s="15">
        <f>IF(C327="","",IFERROR(INDEX(tbl_Finance[Cost Centre],MATCH(C327&amp;"",tbl_Finance[Job Number],0)),"not invoiced yet"))</f>
        <v/>
      </c>
      <c r="J327" s="14" t="n"/>
      <c r="K327" s="15">
        <f>IF(J327="","",HYPERLINK(IF(LEFT(J327,4)="http",J327,set_QwilrBase&amp;J327),"Open quote"))</f>
        <v/>
      </c>
      <c r="L327" s="16" t="n"/>
      <c r="M327" s="16" t="n"/>
      <c r="N327" s="16" t="n"/>
      <c r="O327" s="15">
        <f>IF(C327="","",IF(N(L327)+N(M327)+N(N327)=0,"Not split",IF(ROUND(N(L327)+N(M327)+N(N327),2)=ROUND(H327,2),"OK","MISMATCH")))</f>
        <v/>
      </c>
      <c r="P327" s="16" t="n"/>
      <c r="Q327" s="16" t="n"/>
      <c r="R327" s="16" t="n"/>
      <c r="S327" s="17">
        <f>IF(C327="","",N(P327)+N(Q327)+N(R327))</f>
        <v/>
      </c>
      <c r="T327" s="17">
        <f>IF(C327="","",H327-S327)</f>
        <v/>
      </c>
      <c r="U327" s="54">
        <f>IFERROR(T327/H327,"")</f>
        <v/>
      </c>
      <c r="V327" s="14" t="n"/>
    </row>
    <row r="328" ht="15" customHeight="1">
      <c r="A328" s="51">
        <f>IF(C328="","",IFERROR(IF(SUMPRODUCT(MAX((tbl_Finance[Job Number]=C328&amp;"")*tbl_Finance[Date]))=0,"",SUMPRODUCT(MAX((tbl_Finance[Job Number]=C328&amp;"")*tbl_Finance[Date]))),""))</f>
        <v/>
      </c>
      <c r="B328" s="15">
        <f>IF(A328="","",IFERROR(LOOKUP(2,1/((tbl_Finance[Job Number]=C328&amp;"")*(tbl_Finance[Date]=A328)),tbl_Finance[Xero Invoice No]),""))</f>
        <v/>
      </c>
      <c r="C328" s="14" t="n"/>
      <c r="D328" s="15">
        <f>IF(C328="","",IF(COUNTIF(lst_Jobs,C328&amp;"")&gt;0,"OK","CHECK"))</f>
        <v/>
      </c>
      <c r="E328" s="15">
        <f>IF(C328="","",IFERROR(INDEX(lst_JobName,MATCH(C328&amp;"",lst_Jobs,0)),""))</f>
        <v/>
      </c>
      <c r="F328" s="15">
        <f>IF(C328="","",IFERROR(INDEX(tbl_Finance[Client],MATCH(C328&amp;"",tbl_Finance[Job Number],0)),""))</f>
        <v/>
      </c>
      <c r="G328" s="52">
        <f>IF(C328="","",COUNTIFS(tbl_Finance[Job Number],C328&amp;"",tbl_Finance[Ex GST],"&lt;&gt;"))</f>
        <v/>
      </c>
      <c r="H328" s="17">
        <f>IF(C328="","",SUMIFS(tbl_Finance[Ex GST],tbl_Finance[Job Number],C328&amp;""))</f>
        <v/>
      </c>
      <c r="I328" s="15">
        <f>IF(C328="","",IFERROR(INDEX(tbl_Finance[Cost Centre],MATCH(C328&amp;"",tbl_Finance[Job Number],0)),"not invoiced yet"))</f>
        <v/>
      </c>
      <c r="J328" s="14" t="n"/>
      <c r="K328" s="15">
        <f>IF(J328="","",HYPERLINK(IF(LEFT(J328,4)="http",J328,set_QwilrBase&amp;J328),"Open quote"))</f>
        <v/>
      </c>
      <c r="L328" s="16" t="n"/>
      <c r="M328" s="16" t="n"/>
      <c r="N328" s="16" t="n"/>
      <c r="O328" s="15">
        <f>IF(C328="","",IF(N(L328)+N(M328)+N(N328)=0,"Not split",IF(ROUND(N(L328)+N(M328)+N(N328),2)=ROUND(H328,2),"OK","MISMATCH")))</f>
        <v/>
      </c>
      <c r="P328" s="16" t="n"/>
      <c r="Q328" s="16" t="n"/>
      <c r="R328" s="16" t="n"/>
      <c r="S328" s="17">
        <f>IF(C328="","",N(P328)+N(Q328)+N(R328))</f>
        <v/>
      </c>
      <c r="T328" s="17">
        <f>IF(C328="","",H328-S328)</f>
        <v/>
      </c>
      <c r="U328" s="54">
        <f>IFERROR(T328/H328,"")</f>
        <v/>
      </c>
      <c r="V328" s="14" t="n"/>
    </row>
    <row r="329" ht="15" customHeight="1">
      <c r="A329" s="51">
        <f>IF(C329="","",IFERROR(IF(SUMPRODUCT(MAX((tbl_Finance[Job Number]=C329&amp;"")*tbl_Finance[Date]))=0,"",SUMPRODUCT(MAX((tbl_Finance[Job Number]=C329&amp;"")*tbl_Finance[Date]))),""))</f>
        <v/>
      </c>
      <c r="B329" s="15">
        <f>IF(A329="","",IFERROR(LOOKUP(2,1/((tbl_Finance[Job Number]=C329&amp;"")*(tbl_Finance[Date]=A329)),tbl_Finance[Xero Invoice No]),""))</f>
        <v/>
      </c>
      <c r="C329" s="14" t="n"/>
      <c r="D329" s="15">
        <f>IF(C329="","",IF(COUNTIF(lst_Jobs,C329&amp;"")&gt;0,"OK","CHECK"))</f>
        <v/>
      </c>
      <c r="E329" s="15">
        <f>IF(C329="","",IFERROR(INDEX(lst_JobName,MATCH(C329&amp;"",lst_Jobs,0)),""))</f>
        <v/>
      </c>
      <c r="F329" s="15">
        <f>IF(C329="","",IFERROR(INDEX(tbl_Finance[Client],MATCH(C329&amp;"",tbl_Finance[Job Number],0)),""))</f>
        <v/>
      </c>
      <c r="G329" s="52">
        <f>IF(C329="","",COUNTIFS(tbl_Finance[Job Number],C329&amp;"",tbl_Finance[Ex GST],"&lt;&gt;"))</f>
        <v/>
      </c>
      <c r="H329" s="17">
        <f>IF(C329="","",SUMIFS(tbl_Finance[Ex GST],tbl_Finance[Job Number],C329&amp;""))</f>
        <v/>
      </c>
      <c r="I329" s="15">
        <f>IF(C329="","",IFERROR(INDEX(tbl_Finance[Cost Centre],MATCH(C329&amp;"",tbl_Finance[Job Number],0)),"not invoiced yet"))</f>
        <v/>
      </c>
      <c r="J329" s="14" t="n"/>
      <c r="K329" s="15">
        <f>IF(J329="","",HYPERLINK(IF(LEFT(J329,4)="http",J329,set_QwilrBase&amp;J329),"Open quote"))</f>
        <v/>
      </c>
      <c r="L329" s="16" t="n"/>
      <c r="M329" s="16" t="n"/>
      <c r="N329" s="16" t="n"/>
      <c r="O329" s="15">
        <f>IF(C329="","",IF(N(L329)+N(M329)+N(N329)=0,"Not split",IF(ROUND(N(L329)+N(M329)+N(N329),2)=ROUND(H329,2),"OK","MISMATCH")))</f>
        <v/>
      </c>
      <c r="P329" s="16" t="n"/>
      <c r="Q329" s="16" t="n"/>
      <c r="R329" s="16" t="n"/>
      <c r="S329" s="17">
        <f>IF(C329="","",N(P329)+N(Q329)+N(R329))</f>
        <v/>
      </c>
      <c r="T329" s="17">
        <f>IF(C329="","",H329-S329)</f>
        <v/>
      </c>
      <c r="U329" s="54">
        <f>IFERROR(T329/H329,"")</f>
        <v/>
      </c>
      <c r="V329" s="14" t="n"/>
    </row>
    <row r="330" ht="15" customHeight="1">
      <c r="A330" s="51">
        <f>IF(C330="","",IFERROR(IF(SUMPRODUCT(MAX((tbl_Finance[Job Number]=C330&amp;"")*tbl_Finance[Date]))=0,"",SUMPRODUCT(MAX((tbl_Finance[Job Number]=C330&amp;"")*tbl_Finance[Date]))),""))</f>
        <v/>
      </c>
      <c r="B330" s="15">
        <f>IF(A330="","",IFERROR(LOOKUP(2,1/((tbl_Finance[Job Number]=C330&amp;"")*(tbl_Finance[Date]=A330)),tbl_Finance[Xero Invoice No]),""))</f>
        <v/>
      </c>
      <c r="C330" s="14" t="n"/>
      <c r="D330" s="15">
        <f>IF(C330="","",IF(COUNTIF(lst_Jobs,C330&amp;"")&gt;0,"OK","CHECK"))</f>
        <v/>
      </c>
      <c r="E330" s="15">
        <f>IF(C330="","",IFERROR(INDEX(lst_JobName,MATCH(C330&amp;"",lst_Jobs,0)),""))</f>
        <v/>
      </c>
      <c r="F330" s="15">
        <f>IF(C330="","",IFERROR(INDEX(tbl_Finance[Client],MATCH(C330&amp;"",tbl_Finance[Job Number],0)),""))</f>
        <v/>
      </c>
      <c r="G330" s="52">
        <f>IF(C330="","",COUNTIFS(tbl_Finance[Job Number],C330&amp;"",tbl_Finance[Ex GST],"&lt;&gt;"))</f>
        <v/>
      </c>
      <c r="H330" s="17">
        <f>IF(C330="","",SUMIFS(tbl_Finance[Ex GST],tbl_Finance[Job Number],C330&amp;""))</f>
        <v/>
      </c>
      <c r="I330" s="15">
        <f>IF(C330="","",IFERROR(INDEX(tbl_Finance[Cost Centre],MATCH(C330&amp;"",tbl_Finance[Job Number],0)),"not invoiced yet"))</f>
        <v/>
      </c>
      <c r="J330" s="14" t="n"/>
      <c r="K330" s="15">
        <f>IF(J330="","",HYPERLINK(IF(LEFT(J330,4)="http",J330,set_QwilrBase&amp;J330),"Open quote"))</f>
        <v/>
      </c>
      <c r="L330" s="16" t="n"/>
      <c r="M330" s="16" t="n"/>
      <c r="N330" s="16" t="n"/>
      <c r="O330" s="15">
        <f>IF(C330="","",IF(N(L330)+N(M330)+N(N330)=0,"Not split",IF(ROUND(N(L330)+N(M330)+N(N330),2)=ROUND(H330,2),"OK","MISMATCH")))</f>
        <v/>
      </c>
      <c r="P330" s="16" t="n"/>
      <c r="Q330" s="16" t="n"/>
      <c r="R330" s="16" t="n"/>
      <c r="S330" s="17">
        <f>IF(C330="","",N(P330)+N(Q330)+N(R330))</f>
        <v/>
      </c>
      <c r="T330" s="17">
        <f>IF(C330="","",H330-S330)</f>
        <v/>
      </c>
      <c r="U330" s="54">
        <f>IFERROR(T330/H330,"")</f>
        <v/>
      </c>
      <c r="V330" s="14" t="n"/>
    </row>
    <row r="331" ht="15" customHeight="1">
      <c r="A331" s="51">
        <f>IF(C331="","",IFERROR(IF(SUMPRODUCT(MAX((tbl_Finance[Job Number]=C331&amp;"")*tbl_Finance[Date]))=0,"",SUMPRODUCT(MAX((tbl_Finance[Job Number]=C331&amp;"")*tbl_Finance[Date]))),""))</f>
        <v/>
      </c>
      <c r="B331" s="15">
        <f>IF(A331="","",IFERROR(LOOKUP(2,1/((tbl_Finance[Job Number]=C331&amp;"")*(tbl_Finance[Date]=A331)),tbl_Finance[Xero Invoice No]),""))</f>
        <v/>
      </c>
      <c r="C331" s="14" t="n"/>
      <c r="D331" s="15">
        <f>IF(C331="","",IF(COUNTIF(lst_Jobs,C331&amp;"")&gt;0,"OK","CHECK"))</f>
        <v/>
      </c>
      <c r="E331" s="15">
        <f>IF(C331="","",IFERROR(INDEX(lst_JobName,MATCH(C331&amp;"",lst_Jobs,0)),""))</f>
        <v/>
      </c>
      <c r="F331" s="15">
        <f>IF(C331="","",IFERROR(INDEX(tbl_Finance[Client],MATCH(C331&amp;"",tbl_Finance[Job Number],0)),""))</f>
        <v/>
      </c>
      <c r="G331" s="52">
        <f>IF(C331="","",COUNTIFS(tbl_Finance[Job Number],C331&amp;"",tbl_Finance[Ex GST],"&lt;&gt;"))</f>
        <v/>
      </c>
      <c r="H331" s="17">
        <f>IF(C331="","",SUMIFS(tbl_Finance[Ex GST],tbl_Finance[Job Number],C331&amp;""))</f>
        <v/>
      </c>
      <c r="I331" s="15">
        <f>IF(C331="","",IFERROR(INDEX(tbl_Finance[Cost Centre],MATCH(C331&amp;"",tbl_Finance[Job Number],0)),"not invoiced yet"))</f>
        <v/>
      </c>
      <c r="J331" s="14" t="n"/>
      <c r="K331" s="15">
        <f>IF(J331="","",HYPERLINK(IF(LEFT(J331,4)="http",J331,set_QwilrBase&amp;J331),"Open quote"))</f>
        <v/>
      </c>
      <c r="L331" s="16" t="n"/>
      <c r="M331" s="16" t="n"/>
      <c r="N331" s="16" t="n"/>
      <c r="O331" s="15">
        <f>IF(C331="","",IF(N(L331)+N(M331)+N(N331)=0,"Not split",IF(ROUND(N(L331)+N(M331)+N(N331),2)=ROUND(H331,2),"OK","MISMATCH")))</f>
        <v/>
      </c>
      <c r="P331" s="16" t="n"/>
      <c r="Q331" s="16" t="n"/>
      <c r="R331" s="16" t="n"/>
      <c r="S331" s="17">
        <f>IF(C331="","",N(P331)+N(Q331)+N(R331))</f>
        <v/>
      </c>
      <c r="T331" s="17">
        <f>IF(C331="","",H331-S331)</f>
        <v/>
      </c>
      <c r="U331" s="54">
        <f>IFERROR(T331/H331,"")</f>
        <v/>
      </c>
      <c r="V331" s="14" t="n"/>
    </row>
    <row r="332" ht="15" customHeight="1">
      <c r="A332" s="51">
        <f>IF(C332="","",IFERROR(IF(SUMPRODUCT(MAX((tbl_Finance[Job Number]=C332&amp;"")*tbl_Finance[Date]))=0,"",SUMPRODUCT(MAX((tbl_Finance[Job Number]=C332&amp;"")*tbl_Finance[Date]))),""))</f>
        <v/>
      </c>
      <c r="B332" s="15">
        <f>IF(A332="","",IFERROR(LOOKUP(2,1/((tbl_Finance[Job Number]=C332&amp;"")*(tbl_Finance[Date]=A332)),tbl_Finance[Xero Invoice No]),""))</f>
        <v/>
      </c>
      <c r="C332" s="14" t="n"/>
      <c r="D332" s="15">
        <f>IF(C332="","",IF(COUNTIF(lst_Jobs,C332&amp;"")&gt;0,"OK","CHECK"))</f>
        <v/>
      </c>
      <c r="E332" s="15">
        <f>IF(C332="","",IFERROR(INDEX(lst_JobName,MATCH(C332&amp;"",lst_Jobs,0)),""))</f>
        <v/>
      </c>
      <c r="F332" s="15">
        <f>IF(C332="","",IFERROR(INDEX(tbl_Finance[Client],MATCH(C332&amp;"",tbl_Finance[Job Number],0)),""))</f>
        <v/>
      </c>
      <c r="G332" s="52">
        <f>IF(C332="","",COUNTIFS(tbl_Finance[Job Number],C332&amp;"",tbl_Finance[Ex GST],"&lt;&gt;"))</f>
        <v/>
      </c>
      <c r="H332" s="17">
        <f>IF(C332="","",SUMIFS(tbl_Finance[Ex GST],tbl_Finance[Job Number],C332&amp;""))</f>
        <v/>
      </c>
      <c r="I332" s="15">
        <f>IF(C332="","",IFERROR(INDEX(tbl_Finance[Cost Centre],MATCH(C332&amp;"",tbl_Finance[Job Number],0)),"not invoiced yet"))</f>
        <v/>
      </c>
      <c r="J332" s="14" t="n"/>
      <c r="K332" s="15">
        <f>IF(J332="","",HYPERLINK(IF(LEFT(J332,4)="http",J332,set_QwilrBase&amp;J332),"Open quote"))</f>
        <v/>
      </c>
      <c r="L332" s="16" t="n"/>
      <c r="M332" s="16" t="n"/>
      <c r="N332" s="16" t="n"/>
      <c r="O332" s="15">
        <f>IF(C332="","",IF(N(L332)+N(M332)+N(N332)=0,"Not split",IF(ROUND(N(L332)+N(M332)+N(N332),2)=ROUND(H332,2),"OK","MISMATCH")))</f>
        <v/>
      </c>
      <c r="P332" s="16" t="n"/>
      <c r="Q332" s="16" t="n"/>
      <c r="R332" s="16" t="n"/>
      <c r="S332" s="17">
        <f>IF(C332="","",N(P332)+N(Q332)+N(R332))</f>
        <v/>
      </c>
      <c r="T332" s="17">
        <f>IF(C332="","",H332-S332)</f>
        <v/>
      </c>
      <c r="U332" s="54">
        <f>IFERROR(T332/H332,"")</f>
        <v/>
      </c>
      <c r="V332" s="14" t="n"/>
    </row>
    <row r="333" ht="15" customHeight="1">
      <c r="A333" s="51">
        <f>IF(C333="","",IFERROR(IF(SUMPRODUCT(MAX((tbl_Finance[Job Number]=C333&amp;"")*tbl_Finance[Date]))=0,"",SUMPRODUCT(MAX((tbl_Finance[Job Number]=C333&amp;"")*tbl_Finance[Date]))),""))</f>
        <v/>
      </c>
      <c r="B333" s="15">
        <f>IF(A333="","",IFERROR(LOOKUP(2,1/((tbl_Finance[Job Number]=C333&amp;"")*(tbl_Finance[Date]=A333)),tbl_Finance[Xero Invoice No]),""))</f>
        <v/>
      </c>
      <c r="C333" s="14" t="n"/>
      <c r="D333" s="15">
        <f>IF(C333="","",IF(COUNTIF(lst_Jobs,C333&amp;"")&gt;0,"OK","CHECK"))</f>
        <v/>
      </c>
      <c r="E333" s="15">
        <f>IF(C333="","",IFERROR(INDEX(lst_JobName,MATCH(C333&amp;"",lst_Jobs,0)),""))</f>
        <v/>
      </c>
      <c r="F333" s="15">
        <f>IF(C333="","",IFERROR(INDEX(tbl_Finance[Client],MATCH(C333&amp;"",tbl_Finance[Job Number],0)),""))</f>
        <v/>
      </c>
      <c r="G333" s="52">
        <f>IF(C333="","",COUNTIFS(tbl_Finance[Job Number],C333&amp;"",tbl_Finance[Ex GST],"&lt;&gt;"))</f>
        <v/>
      </c>
      <c r="H333" s="17">
        <f>IF(C333="","",SUMIFS(tbl_Finance[Ex GST],tbl_Finance[Job Number],C333&amp;""))</f>
        <v/>
      </c>
      <c r="I333" s="15">
        <f>IF(C333="","",IFERROR(INDEX(tbl_Finance[Cost Centre],MATCH(C333&amp;"",tbl_Finance[Job Number],0)),"not invoiced yet"))</f>
        <v/>
      </c>
      <c r="J333" s="14" t="n"/>
      <c r="K333" s="15">
        <f>IF(J333="","",HYPERLINK(IF(LEFT(J333,4)="http",J333,set_QwilrBase&amp;J333),"Open quote"))</f>
        <v/>
      </c>
      <c r="L333" s="16" t="n"/>
      <c r="M333" s="16" t="n"/>
      <c r="N333" s="16" t="n"/>
      <c r="O333" s="15">
        <f>IF(C333="","",IF(N(L333)+N(M333)+N(N333)=0,"Not split",IF(ROUND(N(L333)+N(M333)+N(N333),2)=ROUND(H333,2),"OK","MISMATCH")))</f>
        <v/>
      </c>
      <c r="P333" s="16" t="n"/>
      <c r="Q333" s="16" t="n"/>
      <c r="R333" s="16" t="n"/>
      <c r="S333" s="17">
        <f>IF(C333="","",N(P333)+N(Q333)+N(R333))</f>
        <v/>
      </c>
      <c r="T333" s="17">
        <f>IF(C333="","",H333-S333)</f>
        <v/>
      </c>
      <c r="U333" s="54">
        <f>IFERROR(T333/H333,"")</f>
        <v/>
      </c>
      <c r="V333" s="14" t="n"/>
    </row>
    <row r="334" ht="15" customHeight="1">
      <c r="A334" s="51">
        <f>IF(C334="","",IFERROR(IF(SUMPRODUCT(MAX((tbl_Finance[Job Number]=C334&amp;"")*tbl_Finance[Date]))=0,"",SUMPRODUCT(MAX((tbl_Finance[Job Number]=C334&amp;"")*tbl_Finance[Date]))),""))</f>
        <v/>
      </c>
      <c r="B334" s="15">
        <f>IF(A334="","",IFERROR(LOOKUP(2,1/((tbl_Finance[Job Number]=C334&amp;"")*(tbl_Finance[Date]=A334)),tbl_Finance[Xero Invoice No]),""))</f>
        <v/>
      </c>
      <c r="C334" s="14" t="n"/>
      <c r="D334" s="15">
        <f>IF(C334="","",IF(COUNTIF(lst_Jobs,C334&amp;"")&gt;0,"OK","CHECK"))</f>
        <v/>
      </c>
      <c r="E334" s="15">
        <f>IF(C334="","",IFERROR(INDEX(lst_JobName,MATCH(C334&amp;"",lst_Jobs,0)),""))</f>
        <v/>
      </c>
      <c r="F334" s="15">
        <f>IF(C334="","",IFERROR(INDEX(tbl_Finance[Client],MATCH(C334&amp;"",tbl_Finance[Job Number],0)),""))</f>
        <v/>
      </c>
      <c r="G334" s="52">
        <f>IF(C334="","",COUNTIFS(tbl_Finance[Job Number],C334&amp;"",tbl_Finance[Ex GST],"&lt;&gt;"))</f>
        <v/>
      </c>
      <c r="H334" s="17">
        <f>IF(C334="","",SUMIFS(tbl_Finance[Ex GST],tbl_Finance[Job Number],C334&amp;""))</f>
        <v/>
      </c>
      <c r="I334" s="15">
        <f>IF(C334="","",IFERROR(INDEX(tbl_Finance[Cost Centre],MATCH(C334&amp;"",tbl_Finance[Job Number],0)),"not invoiced yet"))</f>
        <v/>
      </c>
      <c r="J334" s="14" t="n"/>
      <c r="K334" s="15">
        <f>IF(J334="","",HYPERLINK(IF(LEFT(J334,4)="http",J334,set_QwilrBase&amp;J334),"Open quote"))</f>
        <v/>
      </c>
      <c r="L334" s="16" t="n"/>
      <c r="M334" s="16" t="n"/>
      <c r="N334" s="16" t="n"/>
      <c r="O334" s="15">
        <f>IF(C334="","",IF(N(L334)+N(M334)+N(N334)=0,"Not split",IF(ROUND(N(L334)+N(M334)+N(N334),2)=ROUND(H334,2),"OK","MISMATCH")))</f>
        <v/>
      </c>
      <c r="P334" s="16" t="n"/>
      <c r="Q334" s="16" t="n"/>
      <c r="R334" s="16" t="n"/>
      <c r="S334" s="17">
        <f>IF(C334="","",N(P334)+N(Q334)+N(R334))</f>
        <v/>
      </c>
      <c r="T334" s="17">
        <f>IF(C334="","",H334-S334)</f>
        <v/>
      </c>
      <c r="U334" s="54">
        <f>IFERROR(T334/H334,"")</f>
        <v/>
      </c>
      <c r="V334" s="14" t="n"/>
    </row>
    <row r="335" ht="15" customHeight="1">
      <c r="A335" s="51">
        <f>IF(C335="","",IFERROR(IF(SUMPRODUCT(MAX((tbl_Finance[Job Number]=C335&amp;"")*tbl_Finance[Date]))=0,"",SUMPRODUCT(MAX((tbl_Finance[Job Number]=C335&amp;"")*tbl_Finance[Date]))),""))</f>
        <v/>
      </c>
      <c r="B335" s="15">
        <f>IF(A335="","",IFERROR(LOOKUP(2,1/((tbl_Finance[Job Number]=C335&amp;"")*(tbl_Finance[Date]=A335)),tbl_Finance[Xero Invoice No]),""))</f>
        <v/>
      </c>
      <c r="C335" s="14" t="n"/>
      <c r="D335" s="15">
        <f>IF(C335="","",IF(COUNTIF(lst_Jobs,C335&amp;"")&gt;0,"OK","CHECK"))</f>
        <v/>
      </c>
      <c r="E335" s="15">
        <f>IF(C335="","",IFERROR(INDEX(lst_JobName,MATCH(C335&amp;"",lst_Jobs,0)),""))</f>
        <v/>
      </c>
      <c r="F335" s="15">
        <f>IF(C335="","",IFERROR(INDEX(tbl_Finance[Client],MATCH(C335&amp;"",tbl_Finance[Job Number],0)),""))</f>
        <v/>
      </c>
      <c r="G335" s="52">
        <f>IF(C335="","",COUNTIFS(tbl_Finance[Job Number],C335&amp;"",tbl_Finance[Ex GST],"&lt;&gt;"))</f>
        <v/>
      </c>
      <c r="H335" s="17">
        <f>IF(C335="","",SUMIFS(tbl_Finance[Ex GST],tbl_Finance[Job Number],C335&amp;""))</f>
        <v/>
      </c>
      <c r="I335" s="15">
        <f>IF(C335="","",IFERROR(INDEX(tbl_Finance[Cost Centre],MATCH(C335&amp;"",tbl_Finance[Job Number],0)),"not invoiced yet"))</f>
        <v/>
      </c>
      <c r="J335" s="14" t="n"/>
      <c r="K335" s="15">
        <f>IF(J335="","",HYPERLINK(IF(LEFT(J335,4)="http",J335,set_QwilrBase&amp;J335),"Open quote"))</f>
        <v/>
      </c>
      <c r="L335" s="16" t="n"/>
      <c r="M335" s="16" t="n"/>
      <c r="N335" s="16" t="n"/>
      <c r="O335" s="15">
        <f>IF(C335="","",IF(N(L335)+N(M335)+N(N335)=0,"Not split",IF(ROUND(N(L335)+N(M335)+N(N335),2)=ROUND(H335,2),"OK","MISMATCH")))</f>
        <v/>
      </c>
      <c r="P335" s="16" t="n"/>
      <c r="Q335" s="16" t="n"/>
      <c r="R335" s="16" t="n"/>
      <c r="S335" s="17">
        <f>IF(C335="","",N(P335)+N(Q335)+N(R335))</f>
        <v/>
      </c>
      <c r="T335" s="17">
        <f>IF(C335="","",H335-S335)</f>
        <v/>
      </c>
      <c r="U335" s="54">
        <f>IFERROR(T335/H335,"")</f>
        <v/>
      </c>
      <c r="V335" s="14" t="n"/>
    </row>
    <row r="336" ht="15" customHeight="1">
      <c r="A336" s="51">
        <f>IF(C336="","",IFERROR(IF(SUMPRODUCT(MAX((tbl_Finance[Job Number]=C336&amp;"")*tbl_Finance[Date]))=0,"",SUMPRODUCT(MAX((tbl_Finance[Job Number]=C336&amp;"")*tbl_Finance[Date]))),""))</f>
        <v/>
      </c>
      <c r="B336" s="15">
        <f>IF(A336="","",IFERROR(LOOKUP(2,1/((tbl_Finance[Job Number]=C336&amp;"")*(tbl_Finance[Date]=A336)),tbl_Finance[Xero Invoice No]),""))</f>
        <v/>
      </c>
      <c r="C336" s="14" t="n"/>
      <c r="D336" s="15">
        <f>IF(C336="","",IF(COUNTIF(lst_Jobs,C336&amp;"")&gt;0,"OK","CHECK"))</f>
        <v/>
      </c>
      <c r="E336" s="15">
        <f>IF(C336="","",IFERROR(INDEX(lst_JobName,MATCH(C336&amp;"",lst_Jobs,0)),""))</f>
        <v/>
      </c>
      <c r="F336" s="15">
        <f>IF(C336="","",IFERROR(INDEX(tbl_Finance[Client],MATCH(C336&amp;"",tbl_Finance[Job Number],0)),""))</f>
        <v/>
      </c>
      <c r="G336" s="52">
        <f>IF(C336="","",COUNTIFS(tbl_Finance[Job Number],C336&amp;"",tbl_Finance[Ex GST],"&lt;&gt;"))</f>
        <v/>
      </c>
      <c r="H336" s="17">
        <f>IF(C336="","",SUMIFS(tbl_Finance[Ex GST],tbl_Finance[Job Number],C336&amp;""))</f>
        <v/>
      </c>
      <c r="I336" s="15">
        <f>IF(C336="","",IFERROR(INDEX(tbl_Finance[Cost Centre],MATCH(C336&amp;"",tbl_Finance[Job Number],0)),"not invoiced yet"))</f>
        <v/>
      </c>
      <c r="J336" s="14" t="n"/>
      <c r="K336" s="15">
        <f>IF(J336="","",HYPERLINK(IF(LEFT(J336,4)="http",J336,set_QwilrBase&amp;J336),"Open quote"))</f>
        <v/>
      </c>
      <c r="L336" s="16" t="n"/>
      <c r="M336" s="16" t="n"/>
      <c r="N336" s="16" t="n"/>
      <c r="O336" s="15">
        <f>IF(C336="","",IF(N(L336)+N(M336)+N(N336)=0,"Not split",IF(ROUND(N(L336)+N(M336)+N(N336),2)=ROUND(H336,2),"OK","MISMATCH")))</f>
        <v/>
      </c>
      <c r="P336" s="16" t="n"/>
      <c r="Q336" s="16" t="n"/>
      <c r="R336" s="16" t="n"/>
      <c r="S336" s="17">
        <f>IF(C336="","",N(P336)+N(Q336)+N(R336))</f>
        <v/>
      </c>
      <c r="T336" s="17">
        <f>IF(C336="","",H336-S336)</f>
        <v/>
      </c>
      <c r="U336" s="54">
        <f>IFERROR(T336/H336,"")</f>
        <v/>
      </c>
      <c r="V336" s="14" t="n"/>
    </row>
    <row r="337" ht="15" customHeight="1">
      <c r="A337" s="51">
        <f>IF(C337="","",IFERROR(IF(SUMPRODUCT(MAX((tbl_Finance[Job Number]=C337&amp;"")*tbl_Finance[Date]))=0,"",SUMPRODUCT(MAX((tbl_Finance[Job Number]=C337&amp;"")*tbl_Finance[Date]))),""))</f>
        <v/>
      </c>
      <c r="B337" s="15">
        <f>IF(A337="","",IFERROR(LOOKUP(2,1/((tbl_Finance[Job Number]=C337&amp;"")*(tbl_Finance[Date]=A337)),tbl_Finance[Xero Invoice No]),""))</f>
        <v/>
      </c>
      <c r="C337" s="14" t="n"/>
      <c r="D337" s="15">
        <f>IF(C337="","",IF(COUNTIF(lst_Jobs,C337&amp;"")&gt;0,"OK","CHECK"))</f>
        <v/>
      </c>
      <c r="E337" s="15">
        <f>IF(C337="","",IFERROR(INDEX(lst_JobName,MATCH(C337&amp;"",lst_Jobs,0)),""))</f>
        <v/>
      </c>
      <c r="F337" s="15">
        <f>IF(C337="","",IFERROR(INDEX(tbl_Finance[Client],MATCH(C337&amp;"",tbl_Finance[Job Number],0)),""))</f>
        <v/>
      </c>
      <c r="G337" s="52">
        <f>IF(C337="","",COUNTIFS(tbl_Finance[Job Number],C337&amp;"",tbl_Finance[Ex GST],"&lt;&gt;"))</f>
        <v/>
      </c>
      <c r="H337" s="17">
        <f>IF(C337="","",SUMIFS(tbl_Finance[Ex GST],tbl_Finance[Job Number],C337&amp;""))</f>
        <v/>
      </c>
      <c r="I337" s="15">
        <f>IF(C337="","",IFERROR(INDEX(tbl_Finance[Cost Centre],MATCH(C337&amp;"",tbl_Finance[Job Number],0)),"not invoiced yet"))</f>
        <v/>
      </c>
      <c r="J337" s="14" t="n"/>
      <c r="K337" s="15">
        <f>IF(J337="","",HYPERLINK(IF(LEFT(J337,4)="http",J337,set_QwilrBase&amp;J337),"Open quote"))</f>
        <v/>
      </c>
      <c r="L337" s="16" t="n"/>
      <c r="M337" s="16" t="n"/>
      <c r="N337" s="16" t="n"/>
      <c r="O337" s="15">
        <f>IF(C337="","",IF(N(L337)+N(M337)+N(N337)=0,"Not split",IF(ROUND(N(L337)+N(M337)+N(N337),2)=ROUND(H337,2),"OK","MISMATCH")))</f>
        <v/>
      </c>
      <c r="P337" s="16" t="n"/>
      <c r="Q337" s="16" t="n"/>
      <c r="R337" s="16" t="n"/>
      <c r="S337" s="17">
        <f>IF(C337="","",N(P337)+N(Q337)+N(R337))</f>
        <v/>
      </c>
      <c r="T337" s="17">
        <f>IF(C337="","",H337-S337)</f>
        <v/>
      </c>
      <c r="U337" s="54">
        <f>IFERROR(T337/H337,"")</f>
        <v/>
      </c>
      <c r="V337" s="14" t="n"/>
    </row>
    <row r="338" ht="15" customHeight="1">
      <c r="A338" s="51">
        <f>IF(C338="","",IFERROR(IF(SUMPRODUCT(MAX((tbl_Finance[Job Number]=C338&amp;"")*tbl_Finance[Date]))=0,"",SUMPRODUCT(MAX((tbl_Finance[Job Number]=C338&amp;"")*tbl_Finance[Date]))),""))</f>
        <v/>
      </c>
      <c r="B338" s="15">
        <f>IF(A338="","",IFERROR(LOOKUP(2,1/((tbl_Finance[Job Number]=C338&amp;"")*(tbl_Finance[Date]=A338)),tbl_Finance[Xero Invoice No]),""))</f>
        <v/>
      </c>
      <c r="C338" s="14" t="n"/>
      <c r="D338" s="15">
        <f>IF(C338="","",IF(COUNTIF(lst_Jobs,C338&amp;"")&gt;0,"OK","CHECK"))</f>
        <v/>
      </c>
      <c r="E338" s="15">
        <f>IF(C338="","",IFERROR(INDEX(lst_JobName,MATCH(C338&amp;"",lst_Jobs,0)),""))</f>
        <v/>
      </c>
      <c r="F338" s="15">
        <f>IF(C338="","",IFERROR(INDEX(tbl_Finance[Client],MATCH(C338&amp;"",tbl_Finance[Job Number],0)),""))</f>
        <v/>
      </c>
      <c r="G338" s="52">
        <f>IF(C338="","",COUNTIFS(tbl_Finance[Job Number],C338&amp;"",tbl_Finance[Ex GST],"&lt;&gt;"))</f>
        <v/>
      </c>
      <c r="H338" s="17">
        <f>IF(C338="","",SUMIFS(tbl_Finance[Ex GST],tbl_Finance[Job Number],C338&amp;""))</f>
        <v/>
      </c>
      <c r="I338" s="15">
        <f>IF(C338="","",IFERROR(INDEX(tbl_Finance[Cost Centre],MATCH(C338&amp;"",tbl_Finance[Job Number],0)),"not invoiced yet"))</f>
        <v/>
      </c>
      <c r="J338" s="14" t="n"/>
      <c r="K338" s="15">
        <f>IF(J338="","",HYPERLINK(IF(LEFT(J338,4)="http",J338,set_QwilrBase&amp;J338),"Open quote"))</f>
        <v/>
      </c>
      <c r="L338" s="16" t="n"/>
      <c r="M338" s="16" t="n"/>
      <c r="N338" s="16" t="n"/>
      <c r="O338" s="15">
        <f>IF(C338="","",IF(N(L338)+N(M338)+N(N338)=0,"Not split",IF(ROUND(N(L338)+N(M338)+N(N338),2)=ROUND(H338,2),"OK","MISMATCH")))</f>
        <v/>
      </c>
      <c r="P338" s="16" t="n"/>
      <c r="Q338" s="16" t="n"/>
      <c r="R338" s="16" t="n"/>
      <c r="S338" s="17">
        <f>IF(C338="","",N(P338)+N(Q338)+N(R338))</f>
        <v/>
      </c>
      <c r="T338" s="17">
        <f>IF(C338="","",H338-S338)</f>
        <v/>
      </c>
      <c r="U338" s="54">
        <f>IFERROR(T338/H338,"")</f>
        <v/>
      </c>
      <c r="V338" s="14" t="n"/>
    </row>
    <row r="339" ht="15" customHeight="1">
      <c r="A339" s="51">
        <f>IF(C339="","",IFERROR(IF(SUMPRODUCT(MAX((tbl_Finance[Job Number]=C339&amp;"")*tbl_Finance[Date]))=0,"",SUMPRODUCT(MAX((tbl_Finance[Job Number]=C339&amp;"")*tbl_Finance[Date]))),""))</f>
        <v/>
      </c>
      <c r="B339" s="15">
        <f>IF(A339="","",IFERROR(LOOKUP(2,1/((tbl_Finance[Job Number]=C339&amp;"")*(tbl_Finance[Date]=A339)),tbl_Finance[Xero Invoice No]),""))</f>
        <v/>
      </c>
      <c r="C339" s="14" t="n"/>
      <c r="D339" s="15">
        <f>IF(C339="","",IF(COUNTIF(lst_Jobs,C339&amp;"")&gt;0,"OK","CHECK"))</f>
        <v/>
      </c>
      <c r="E339" s="15">
        <f>IF(C339="","",IFERROR(INDEX(lst_JobName,MATCH(C339&amp;"",lst_Jobs,0)),""))</f>
        <v/>
      </c>
      <c r="F339" s="15">
        <f>IF(C339="","",IFERROR(INDEX(tbl_Finance[Client],MATCH(C339&amp;"",tbl_Finance[Job Number],0)),""))</f>
        <v/>
      </c>
      <c r="G339" s="52">
        <f>IF(C339="","",COUNTIFS(tbl_Finance[Job Number],C339&amp;"",tbl_Finance[Ex GST],"&lt;&gt;"))</f>
        <v/>
      </c>
      <c r="H339" s="17">
        <f>IF(C339="","",SUMIFS(tbl_Finance[Ex GST],tbl_Finance[Job Number],C339&amp;""))</f>
        <v/>
      </c>
      <c r="I339" s="15">
        <f>IF(C339="","",IFERROR(INDEX(tbl_Finance[Cost Centre],MATCH(C339&amp;"",tbl_Finance[Job Number],0)),"not invoiced yet"))</f>
        <v/>
      </c>
      <c r="J339" s="14" t="n"/>
      <c r="K339" s="15">
        <f>IF(J339="","",HYPERLINK(IF(LEFT(J339,4)="http",J339,set_QwilrBase&amp;J339),"Open quote"))</f>
        <v/>
      </c>
      <c r="L339" s="16" t="n"/>
      <c r="M339" s="16" t="n"/>
      <c r="N339" s="16" t="n"/>
      <c r="O339" s="15">
        <f>IF(C339="","",IF(N(L339)+N(M339)+N(N339)=0,"Not split",IF(ROUND(N(L339)+N(M339)+N(N339),2)=ROUND(H339,2),"OK","MISMATCH")))</f>
        <v/>
      </c>
      <c r="P339" s="16" t="n"/>
      <c r="Q339" s="16" t="n"/>
      <c r="R339" s="16" t="n"/>
      <c r="S339" s="17">
        <f>IF(C339="","",N(P339)+N(Q339)+N(R339))</f>
        <v/>
      </c>
      <c r="T339" s="17">
        <f>IF(C339="","",H339-S339)</f>
        <v/>
      </c>
      <c r="U339" s="54">
        <f>IFERROR(T339/H339,"")</f>
        <v/>
      </c>
      <c r="V339" s="14" t="n"/>
    </row>
    <row r="340" ht="15" customHeight="1">
      <c r="A340" s="51">
        <f>IF(C340="","",IFERROR(IF(SUMPRODUCT(MAX((tbl_Finance[Job Number]=C340&amp;"")*tbl_Finance[Date]))=0,"",SUMPRODUCT(MAX((tbl_Finance[Job Number]=C340&amp;"")*tbl_Finance[Date]))),""))</f>
        <v/>
      </c>
      <c r="B340" s="15">
        <f>IF(A340="","",IFERROR(LOOKUP(2,1/((tbl_Finance[Job Number]=C340&amp;"")*(tbl_Finance[Date]=A340)),tbl_Finance[Xero Invoice No]),""))</f>
        <v/>
      </c>
      <c r="C340" s="14" t="n"/>
      <c r="D340" s="15">
        <f>IF(C340="","",IF(COUNTIF(lst_Jobs,C340&amp;"")&gt;0,"OK","CHECK"))</f>
        <v/>
      </c>
      <c r="E340" s="15">
        <f>IF(C340="","",IFERROR(INDEX(lst_JobName,MATCH(C340&amp;"",lst_Jobs,0)),""))</f>
        <v/>
      </c>
      <c r="F340" s="15">
        <f>IF(C340="","",IFERROR(INDEX(tbl_Finance[Client],MATCH(C340&amp;"",tbl_Finance[Job Number],0)),""))</f>
        <v/>
      </c>
      <c r="G340" s="52">
        <f>IF(C340="","",COUNTIFS(tbl_Finance[Job Number],C340&amp;"",tbl_Finance[Ex GST],"&lt;&gt;"))</f>
        <v/>
      </c>
      <c r="H340" s="17">
        <f>IF(C340="","",SUMIFS(tbl_Finance[Ex GST],tbl_Finance[Job Number],C340&amp;""))</f>
        <v/>
      </c>
      <c r="I340" s="15">
        <f>IF(C340="","",IFERROR(INDEX(tbl_Finance[Cost Centre],MATCH(C340&amp;"",tbl_Finance[Job Number],0)),"not invoiced yet"))</f>
        <v/>
      </c>
      <c r="J340" s="14" t="n"/>
      <c r="K340" s="15">
        <f>IF(J340="","",HYPERLINK(IF(LEFT(J340,4)="http",J340,set_QwilrBase&amp;J340),"Open quote"))</f>
        <v/>
      </c>
      <c r="L340" s="16" t="n"/>
      <c r="M340" s="16" t="n"/>
      <c r="N340" s="16" t="n"/>
      <c r="O340" s="15">
        <f>IF(C340="","",IF(N(L340)+N(M340)+N(N340)=0,"Not split",IF(ROUND(N(L340)+N(M340)+N(N340),2)=ROUND(H340,2),"OK","MISMATCH")))</f>
        <v/>
      </c>
      <c r="P340" s="16" t="n"/>
      <c r="Q340" s="16" t="n"/>
      <c r="R340" s="16" t="n"/>
      <c r="S340" s="17">
        <f>IF(C340="","",N(P340)+N(Q340)+N(R340))</f>
        <v/>
      </c>
      <c r="T340" s="17">
        <f>IF(C340="","",H340-S340)</f>
        <v/>
      </c>
      <c r="U340" s="54">
        <f>IFERROR(T340/H340,"")</f>
        <v/>
      </c>
      <c r="V340" s="14" t="n"/>
    </row>
    <row r="341" ht="15" customHeight="1">
      <c r="A341" s="51">
        <f>IF(C341="","",IFERROR(IF(SUMPRODUCT(MAX((tbl_Finance[Job Number]=C341&amp;"")*tbl_Finance[Date]))=0,"",SUMPRODUCT(MAX((tbl_Finance[Job Number]=C341&amp;"")*tbl_Finance[Date]))),""))</f>
        <v/>
      </c>
      <c r="B341" s="15">
        <f>IF(A341="","",IFERROR(LOOKUP(2,1/((tbl_Finance[Job Number]=C341&amp;"")*(tbl_Finance[Date]=A341)),tbl_Finance[Xero Invoice No]),""))</f>
        <v/>
      </c>
      <c r="C341" s="14" t="n"/>
      <c r="D341" s="15">
        <f>IF(C341="","",IF(COUNTIF(lst_Jobs,C341&amp;"")&gt;0,"OK","CHECK"))</f>
        <v/>
      </c>
      <c r="E341" s="15">
        <f>IF(C341="","",IFERROR(INDEX(lst_JobName,MATCH(C341&amp;"",lst_Jobs,0)),""))</f>
        <v/>
      </c>
      <c r="F341" s="15">
        <f>IF(C341="","",IFERROR(INDEX(tbl_Finance[Client],MATCH(C341&amp;"",tbl_Finance[Job Number],0)),""))</f>
        <v/>
      </c>
      <c r="G341" s="52">
        <f>IF(C341="","",COUNTIFS(tbl_Finance[Job Number],C341&amp;"",tbl_Finance[Ex GST],"&lt;&gt;"))</f>
        <v/>
      </c>
      <c r="H341" s="17">
        <f>IF(C341="","",SUMIFS(tbl_Finance[Ex GST],tbl_Finance[Job Number],C341&amp;""))</f>
        <v/>
      </c>
      <c r="I341" s="15">
        <f>IF(C341="","",IFERROR(INDEX(tbl_Finance[Cost Centre],MATCH(C341&amp;"",tbl_Finance[Job Number],0)),"not invoiced yet"))</f>
        <v/>
      </c>
      <c r="J341" s="14" t="n"/>
      <c r="K341" s="15">
        <f>IF(J341="","",HYPERLINK(IF(LEFT(J341,4)="http",J341,set_QwilrBase&amp;J341),"Open quote"))</f>
        <v/>
      </c>
      <c r="L341" s="16" t="n"/>
      <c r="M341" s="16" t="n"/>
      <c r="N341" s="16" t="n"/>
      <c r="O341" s="15">
        <f>IF(C341="","",IF(N(L341)+N(M341)+N(N341)=0,"Not split",IF(ROUND(N(L341)+N(M341)+N(N341),2)=ROUND(H341,2),"OK","MISMATCH")))</f>
        <v/>
      </c>
      <c r="P341" s="16" t="n"/>
      <c r="Q341" s="16" t="n"/>
      <c r="R341" s="16" t="n"/>
      <c r="S341" s="17">
        <f>IF(C341="","",N(P341)+N(Q341)+N(R341))</f>
        <v/>
      </c>
      <c r="T341" s="17">
        <f>IF(C341="","",H341-S341)</f>
        <v/>
      </c>
      <c r="U341" s="54">
        <f>IFERROR(T341/H341,"")</f>
        <v/>
      </c>
      <c r="V341" s="14" t="n"/>
    </row>
    <row r="342" ht="15" customHeight="1">
      <c r="A342" s="51">
        <f>IF(C342="","",IFERROR(IF(SUMPRODUCT(MAX((tbl_Finance[Job Number]=C342&amp;"")*tbl_Finance[Date]))=0,"",SUMPRODUCT(MAX((tbl_Finance[Job Number]=C342&amp;"")*tbl_Finance[Date]))),""))</f>
        <v/>
      </c>
      <c r="B342" s="15">
        <f>IF(A342="","",IFERROR(LOOKUP(2,1/((tbl_Finance[Job Number]=C342&amp;"")*(tbl_Finance[Date]=A342)),tbl_Finance[Xero Invoice No]),""))</f>
        <v/>
      </c>
      <c r="C342" s="14" t="n"/>
      <c r="D342" s="15">
        <f>IF(C342="","",IF(COUNTIF(lst_Jobs,C342&amp;"")&gt;0,"OK","CHECK"))</f>
        <v/>
      </c>
      <c r="E342" s="15">
        <f>IF(C342="","",IFERROR(INDEX(lst_JobName,MATCH(C342&amp;"",lst_Jobs,0)),""))</f>
        <v/>
      </c>
      <c r="F342" s="15">
        <f>IF(C342="","",IFERROR(INDEX(tbl_Finance[Client],MATCH(C342&amp;"",tbl_Finance[Job Number],0)),""))</f>
        <v/>
      </c>
      <c r="G342" s="52">
        <f>IF(C342="","",COUNTIFS(tbl_Finance[Job Number],C342&amp;"",tbl_Finance[Ex GST],"&lt;&gt;"))</f>
        <v/>
      </c>
      <c r="H342" s="17">
        <f>IF(C342="","",SUMIFS(tbl_Finance[Ex GST],tbl_Finance[Job Number],C342&amp;""))</f>
        <v/>
      </c>
      <c r="I342" s="15">
        <f>IF(C342="","",IFERROR(INDEX(tbl_Finance[Cost Centre],MATCH(C342&amp;"",tbl_Finance[Job Number],0)),"not invoiced yet"))</f>
        <v/>
      </c>
      <c r="J342" s="14" t="n"/>
      <c r="K342" s="15">
        <f>IF(J342="","",HYPERLINK(IF(LEFT(J342,4)="http",J342,set_QwilrBase&amp;J342),"Open quote"))</f>
        <v/>
      </c>
      <c r="L342" s="16" t="n"/>
      <c r="M342" s="16" t="n"/>
      <c r="N342" s="16" t="n"/>
      <c r="O342" s="15">
        <f>IF(C342="","",IF(N(L342)+N(M342)+N(N342)=0,"Not split",IF(ROUND(N(L342)+N(M342)+N(N342),2)=ROUND(H342,2),"OK","MISMATCH")))</f>
        <v/>
      </c>
      <c r="P342" s="16" t="n"/>
      <c r="Q342" s="16" t="n"/>
      <c r="R342" s="16" t="n"/>
      <c r="S342" s="17">
        <f>IF(C342="","",N(P342)+N(Q342)+N(R342))</f>
        <v/>
      </c>
      <c r="T342" s="17">
        <f>IF(C342="","",H342-S342)</f>
        <v/>
      </c>
      <c r="U342" s="54">
        <f>IFERROR(T342/H342,"")</f>
        <v/>
      </c>
      <c r="V342" s="14" t="n"/>
    </row>
    <row r="343" ht="15" customHeight="1">
      <c r="A343" s="51">
        <f>IF(C343="","",IFERROR(IF(SUMPRODUCT(MAX((tbl_Finance[Job Number]=C343&amp;"")*tbl_Finance[Date]))=0,"",SUMPRODUCT(MAX((tbl_Finance[Job Number]=C343&amp;"")*tbl_Finance[Date]))),""))</f>
        <v/>
      </c>
      <c r="B343" s="15">
        <f>IF(A343="","",IFERROR(LOOKUP(2,1/((tbl_Finance[Job Number]=C343&amp;"")*(tbl_Finance[Date]=A343)),tbl_Finance[Xero Invoice No]),""))</f>
        <v/>
      </c>
      <c r="C343" s="14" t="n"/>
      <c r="D343" s="15">
        <f>IF(C343="","",IF(COUNTIF(lst_Jobs,C343&amp;"")&gt;0,"OK","CHECK"))</f>
        <v/>
      </c>
      <c r="E343" s="15">
        <f>IF(C343="","",IFERROR(INDEX(lst_JobName,MATCH(C343&amp;"",lst_Jobs,0)),""))</f>
        <v/>
      </c>
      <c r="F343" s="15">
        <f>IF(C343="","",IFERROR(INDEX(tbl_Finance[Client],MATCH(C343&amp;"",tbl_Finance[Job Number],0)),""))</f>
        <v/>
      </c>
      <c r="G343" s="52">
        <f>IF(C343="","",COUNTIFS(tbl_Finance[Job Number],C343&amp;"",tbl_Finance[Ex GST],"&lt;&gt;"))</f>
        <v/>
      </c>
      <c r="H343" s="17">
        <f>IF(C343="","",SUMIFS(tbl_Finance[Ex GST],tbl_Finance[Job Number],C343&amp;""))</f>
        <v/>
      </c>
      <c r="I343" s="15">
        <f>IF(C343="","",IFERROR(INDEX(tbl_Finance[Cost Centre],MATCH(C343&amp;"",tbl_Finance[Job Number],0)),"not invoiced yet"))</f>
        <v/>
      </c>
      <c r="J343" s="14" t="n"/>
      <c r="K343" s="15">
        <f>IF(J343="","",HYPERLINK(IF(LEFT(J343,4)="http",J343,set_QwilrBase&amp;J343),"Open quote"))</f>
        <v/>
      </c>
      <c r="L343" s="16" t="n"/>
      <c r="M343" s="16" t="n"/>
      <c r="N343" s="16" t="n"/>
      <c r="O343" s="15">
        <f>IF(C343="","",IF(N(L343)+N(M343)+N(N343)=0,"Not split",IF(ROUND(N(L343)+N(M343)+N(N343),2)=ROUND(H343,2),"OK","MISMATCH")))</f>
        <v/>
      </c>
      <c r="P343" s="16" t="n"/>
      <c r="Q343" s="16" t="n"/>
      <c r="R343" s="16" t="n"/>
      <c r="S343" s="17">
        <f>IF(C343="","",N(P343)+N(Q343)+N(R343))</f>
        <v/>
      </c>
      <c r="T343" s="17">
        <f>IF(C343="","",H343-S343)</f>
        <v/>
      </c>
      <c r="U343" s="54">
        <f>IFERROR(T343/H343,"")</f>
        <v/>
      </c>
      <c r="V343" s="14" t="n"/>
    </row>
    <row r="344" ht="15" customHeight="1">
      <c r="A344" s="51">
        <f>IF(C344="","",IFERROR(IF(SUMPRODUCT(MAX((tbl_Finance[Job Number]=C344&amp;"")*tbl_Finance[Date]))=0,"",SUMPRODUCT(MAX((tbl_Finance[Job Number]=C344&amp;"")*tbl_Finance[Date]))),""))</f>
        <v/>
      </c>
      <c r="B344" s="15">
        <f>IF(A344="","",IFERROR(LOOKUP(2,1/((tbl_Finance[Job Number]=C344&amp;"")*(tbl_Finance[Date]=A344)),tbl_Finance[Xero Invoice No]),""))</f>
        <v/>
      </c>
      <c r="C344" s="14" t="n"/>
      <c r="D344" s="15">
        <f>IF(C344="","",IF(COUNTIF(lst_Jobs,C344&amp;"")&gt;0,"OK","CHECK"))</f>
        <v/>
      </c>
      <c r="E344" s="15">
        <f>IF(C344="","",IFERROR(INDEX(lst_JobName,MATCH(C344&amp;"",lst_Jobs,0)),""))</f>
        <v/>
      </c>
      <c r="F344" s="15">
        <f>IF(C344="","",IFERROR(INDEX(tbl_Finance[Client],MATCH(C344&amp;"",tbl_Finance[Job Number],0)),""))</f>
        <v/>
      </c>
      <c r="G344" s="52">
        <f>IF(C344="","",COUNTIFS(tbl_Finance[Job Number],C344&amp;"",tbl_Finance[Ex GST],"&lt;&gt;"))</f>
        <v/>
      </c>
      <c r="H344" s="17">
        <f>IF(C344="","",SUMIFS(tbl_Finance[Ex GST],tbl_Finance[Job Number],C344&amp;""))</f>
        <v/>
      </c>
      <c r="I344" s="15">
        <f>IF(C344="","",IFERROR(INDEX(tbl_Finance[Cost Centre],MATCH(C344&amp;"",tbl_Finance[Job Number],0)),"not invoiced yet"))</f>
        <v/>
      </c>
      <c r="J344" s="14" t="n"/>
      <c r="K344" s="15">
        <f>IF(J344="","",HYPERLINK(IF(LEFT(J344,4)="http",J344,set_QwilrBase&amp;J344),"Open quote"))</f>
        <v/>
      </c>
      <c r="L344" s="16" t="n"/>
      <c r="M344" s="16" t="n"/>
      <c r="N344" s="16" t="n"/>
      <c r="O344" s="15">
        <f>IF(C344="","",IF(N(L344)+N(M344)+N(N344)=0,"Not split",IF(ROUND(N(L344)+N(M344)+N(N344),2)=ROUND(H344,2),"OK","MISMATCH")))</f>
        <v/>
      </c>
      <c r="P344" s="16" t="n"/>
      <c r="Q344" s="16" t="n"/>
      <c r="R344" s="16" t="n"/>
      <c r="S344" s="17">
        <f>IF(C344="","",N(P344)+N(Q344)+N(R344))</f>
        <v/>
      </c>
      <c r="T344" s="17">
        <f>IF(C344="","",H344-S344)</f>
        <v/>
      </c>
      <c r="U344" s="54">
        <f>IFERROR(T344/H344,"")</f>
        <v/>
      </c>
      <c r="V344" s="14" t="n"/>
    </row>
    <row r="345" ht="15" customHeight="1">
      <c r="A345" s="51">
        <f>IF(C345="","",IFERROR(IF(SUMPRODUCT(MAX((tbl_Finance[Job Number]=C345&amp;"")*tbl_Finance[Date]))=0,"",SUMPRODUCT(MAX((tbl_Finance[Job Number]=C345&amp;"")*tbl_Finance[Date]))),""))</f>
        <v/>
      </c>
      <c r="B345" s="15">
        <f>IF(A345="","",IFERROR(LOOKUP(2,1/((tbl_Finance[Job Number]=C345&amp;"")*(tbl_Finance[Date]=A345)),tbl_Finance[Xero Invoice No]),""))</f>
        <v/>
      </c>
      <c r="C345" s="14" t="n"/>
      <c r="D345" s="15">
        <f>IF(C345="","",IF(COUNTIF(lst_Jobs,C345&amp;"")&gt;0,"OK","CHECK"))</f>
        <v/>
      </c>
      <c r="E345" s="15">
        <f>IF(C345="","",IFERROR(INDEX(lst_JobName,MATCH(C345&amp;"",lst_Jobs,0)),""))</f>
        <v/>
      </c>
      <c r="F345" s="15">
        <f>IF(C345="","",IFERROR(INDEX(tbl_Finance[Client],MATCH(C345&amp;"",tbl_Finance[Job Number],0)),""))</f>
        <v/>
      </c>
      <c r="G345" s="52">
        <f>IF(C345="","",COUNTIFS(tbl_Finance[Job Number],C345&amp;"",tbl_Finance[Ex GST],"&lt;&gt;"))</f>
        <v/>
      </c>
      <c r="H345" s="17">
        <f>IF(C345="","",SUMIFS(tbl_Finance[Ex GST],tbl_Finance[Job Number],C345&amp;""))</f>
        <v/>
      </c>
      <c r="I345" s="15">
        <f>IF(C345="","",IFERROR(INDEX(tbl_Finance[Cost Centre],MATCH(C345&amp;"",tbl_Finance[Job Number],0)),"not invoiced yet"))</f>
        <v/>
      </c>
      <c r="J345" s="14" t="n"/>
      <c r="K345" s="15">
        <f>IF(J345="","",HYPERLINK(IF(LEFT(J345,4)="http",J345,set_QwilrBase&amp;J345),"Open quote"))</f>
        <v/>
      </c>
      <c r="L345" s="16" t="n"/>
      <c r="M345" s="16" t="n"/>
      <c r="N345" s="16" t="n"/>
      <c r="O345" s="15">
        <f>IF(C345="","",IF(N(L345)+N(M345)+N(N345)=0,"Not split",IF(ROUND(N(L345)+N(M345)+N(N345),2)=ROUND(H345,2),"OK","MISMATCH")))</f>
        <v/>
      </c>
      <c r="P345" s="16" t="n"/>
      <c r="Q345" s="16" t="n"/>
      <c r="R345" s="16" t="n"/>
      <c r="S345" s="17">
        <f>IF(C345="","",N(P345)+N(Q345)+N(R345))</f>
        <v/>
      </c>
      <c r="T345" s="17">
        <f>IF(C345="","",H345-S345)</f>
        <v/>
      </c>
      <c r="U345" s="54">
        <f>IFERROR(T345/H345,"")</f>
        <v/>
      </c>
      <c r="V345" s="14" t="n"/>
    </row>
    <row r="346" ht="15" customHeight="1">
      <c r="A346" s="51">
        <f>IF(C346="","",IFERROR(IF(SUMPRODUCT(MAX((tbl_Finance[Job Number]=C346&amp;"")*tbl_Finance[Date]))=0,"",SUMPRODUCT(MAX((tbl_Finance[Job Number]=C346&amp;"")*tbl_Finance[Date]))),""))</f>
        <v/>
      </c>
      <c r="B346" s="15">
        <f>IF(A346="","",IFERROR(LOOKUP(2,1/((tbl_Finance[Job Number]=C346&amp;"")*(tbl_Finance[Date]=A346)),tbl_Finance[Xero Invoice No]),""))</f>
        <v/>
      </c>
      <c r="C346" s="14" t="n"/>
      <c r="D346" s="15">
        <f>IF(C346="","",IF(COUNTIF(lst_Jobs,C346&amp;"")&gt;0,"OK","CHECK"))</f>
        <v/>
      </c>
      <c r="E346" s="15">
        <f>IF(C346="","",IFERROR(INDEX(lst_JobName,MATCH(C346&amp;"",lst_Jobs,0)),""))</f>
        <v/>
      </c>
      <c r="F346" s="15">
        <f>IF(C346="","",IFERROR(INDEX(tbl_Finance[Client],MATCH(C346&amp;"",tbl_Finance[Job Number],0)),""))</f>
        <v/>
      </c>
      <c r="G346" s="52">
        <f>IF(C346="","",COUNTIFS(tbl_Finance[Job Number],C346&amp;"",tbl_Finance[Ex GST],"&lt;&gt;"))</f>
        <v/>
      </c>
      <c r="H346" s="17">
        <f>IF(C346="","",SUMIFS(tbl_Finance[Ex GST],tbl_Finance[Job Number],C346&amp;""))</f>
        <v/>
      </c>
      <c r="I346" s="15">
        <f>IF(C346="","",IFERROR(INDEX(tbl_Finance[Cost Centre],MATCH(C346&amp;"",tbl_Finance[Job Number],0)),"not invoiced yet"))</f>
        <v/>
      </c>
      <c r="J346" s="14" t="n"/>
      <c r="K346" s="15">
        <f>IF(J346="","",HYPERLINK(IF(LEFT(J346,4)="http",J346,set_QwilrBase&amp;J346),"Open quote"))</f>
        <v/>
      </c>
      <c r="L346" s="16" t="n"/>
      <c r="M346" s="16" t="n"/>
      <c r="N346" s="16" t="n"/>
      <c r="O346" s="15">
        <f>IF(C346="","",IF(N(L346)+N(M346)+N(N346)=0,"Not split",IF(ROUND(N(L346)+N(M346)+N(N346),2)=ROUND(H346,2),"OK","MISMATCH")))</f>
        <v/>
      </c>
      <c r="P346" s="16" t="n"/>
      <c r="Q346" s="16" t="n"/>
      <c r="R346" s="16" t="n"/>
      <c r="S346" s="17">
        <f>IF(C346="","",N(P346)+N(Q346)+N(R346))</f>
        <v/>
      </c>
      <c r="T346" s="17">
        <f>IF(C346="","",H346-S346)</f>
        <v/>
      </c>
      <c r="U346" s="54">
        <f>IFERROR(T346/H346,"")</f>
        <v/>
      </c>
      <c r="V346" s="14" t="n"/>
    </row>
    <row r="347" ht="15" customHeight="1">
      <c r="A347" s="51">
        <f>IF(C347="","",IFERROR(IF(SUMPRODUCT(MAX((tbl_Finance[Job Number]=C347&amp;"")*tbl_Finance[Date]))=0,"",SUMPRODUCT(MAX((tbl_Finance[Job Number]=C347&amp;"")*tbl_Finance[Date]))),""))</f>
        <v/>
      </c>
      <c r="B347" s="15">
        <f>IF(A347="","",IFERROR(LOOKUP(2,1/((tbl_Finance[Job Number]=C347&amp;"")*(tbl_Finance[Date]=A347)),tbl_Finance[Xero Invoice No]),""))</f>
        <v/>
      </c>
      <c r="C347" s="14" t="n"/>
      <c r="D347" s="15">
        <f>IF(C347="","",IF(COUNTIF(lst_Jobs,C347&amp;"")&gt;0,"OK","CHECK"))</f>
        <v/>
      </c>
      <c r="E347" s="15">
        <f>IF(C347="","",IFERROR(INDEX(lst_JobName,MATCH(C347&amp;"",lst_Jobs,0)),""))</f>
        <v/>
      </c>
      <c r="F347" s="15">
        <f>IF(C347="","",IFERROR(INDEX(tbl_Finance[Client],MATCH(C347&amp;"",tbl_Finance[Job Number],0)),""))</f>
        <v/>
      </c>
      <c r="G347" s="52">
        <f>IF(C347="","",COUNTIFS(tbl_Finance[Job Number],C347&amp;"",tbl_Finance[Ex GST],"&lt;&gt;"))</f>
        <v/>
      </c>
      <c r="H347" s="17">
        <f>IF(C347="","",SUMIFS(tbl_Finance[Ex GST],tbl_Finance[Job Number],C347&amp;""))</f>
        <v/>
      </c>
      <c r="I347" s="15">
        <f>IF(C347="","",IFERROR(INDEX(tbl_Finance[Cost Centre],MATCH(C347&amp;"",tbl_Finance[Job Number],0)),"not invoiced yet"))</f>
        <v/>
      </c>
      <c r="J347" s="14" t="n"/>
      <c r="K347" s="15">
        <f>IF(J347="","",HYPERLINK(IF(LEFT(J347,4)="http",J347,set_QwilrBase&amp;J347),"Open quote"))</f>
        <v/>
      </c>
      <c r="L347" s="16" t="n"/>
      <c r="M347" s="16" t="n"/>
      <c r="N347" s="16" t="n"/>
      <c r="O347" s="15">
        <f>IF(C347="","",IF(N(L347)+N(M347)+N(N347)=0,"Not split",IF(ROUND(N(L347)+N(M347)+N(N347),2)=ROUND(H347,2),"OK","MISMATCH")))</f>
        <v/>
      </c>
      <c r="P347" s="16" t="n"/>
      <c r="Q347" s="16" t="n"/>
      <c r="R347" s="16" t="n"/>
      <c r="S347" s="17">
        <f>IF(C347="","",N(P347)+N(Q347)+N(R347))</f>
        <v/>
      </c>
      <c r="T347" s="17">
        <f>IF(C347="","",H347-S347)</f>
        <v/>
      </c>
      <c r="U347" s="54">
        <f>IFERROR(T347/H347,"")</f>
        <v/>
      </c>
      <c r="V347" s="14" t="n"/>
    </row>
    <row r="348" ht="15" customHeight="1">
      <c r="A348" s="51">
        <f>IF(C348="","",IFERROR(IF(SUMPRODUCT(MAX((tbl_Finance[Job Number]=C348&amp;"")*tbl_Finance[Date]))=0,"",SUMPRODUCT(MAX((tbl_Finance[Job Number]=C348&amp;"")*tbl_Finance[Date]))),""))</f>
        <v/>
      </c>
      <c r="B348" s="15">
        <f>IF(A348="","",IFERROR(LOOKUP(2,1/((tbl_Finance[Job Number]=C348&amp;"")*(tbl_Finance[Date]=A348)),tbl_Finance[Xero Invoice No]),""))</f>
        <v/>
      </c>
      <c r="C348" s="14" t="n"/>
      <c r="D348" s="15">
        <f>IF(C348="","",IF(COUNTIF(lst_Jobs,C348&amp;"")&gt;0,"OK","CHECK"))</f>
        <v/>
      </c>
      <c r="E348" s="15">
        <f>IF(C348="","",IFERROR(INDEX(lst_JobName,MATCH(C348&amp;"",lst_Jobs,0)),""))</f>
        <v/>
      </c>
      <c r="F348" s="15">
        <f>IF(C348="","",IFERROR(INDEX(tbl_Finance[Client],MATCH(C348&amp;"",tbl_Finance[Job Number],0)),""))</f>
        <v/>
      </c>
      <c r="G348" s="52">
        <f>IF(C348="","",COUNTIFS(tbl_Finance[Job Number],C348&amp;"",tbl_Finance[Ex GST],"&lt;&gt;"))</f>
        <v/>
      </c>
      <c r="H348" s="17">
        <f>IF(C348="","",SUMIFS(tbl_Finance[Ex GST],tbl_Finance[Job Number],C348&amp;""))</f>
        <v/>
      </c>
      <c r="I348" s="15">
        <f>IF(C348="","",IFERROR(INDEX(tbl_Finance[Cost Centre],MATCH(C348&amp;"",tbl_Finance[Job Number],0)),"not invoiced yet"))</f>
        <v/>
      </c>
      <c r="J348" s="14" t="n"/>
      <c r="K348" s="15">
        <f>IF(J348="","",HYPERLINK(IF(LEFT(J348,4)="http",J348,set_QwilrBase&amp;J348),"Open quote"))</f>
        <v/>
      </c>
      <c r="L348" s="16" t="n"/>
      <c r="M348" s="16" t="n"/>
      <c r="N348" s="16" t="n"/>
      <c r="O348" s="15">
        <f>IF(C348="","",IF(N(L348)+N(M348)+N(N348)=0,"Not split",IF(ROUND(N(L348)+N(M348)+N(N348),2)=ROUND(H348,2),"OK","MISMATCH")))</f>
        <v/>
      </c>
      <c r="P348" s="16" t="n"/>
      <c r="Q348" s="16" t="n"/>
      <c r="R348" s="16" t="n"/>
      <c r="S348" s="17">
        <f>IF(C348="","",N(P348)+N(Q348)+N(R348))</f>
        <v/>
      </c>
      <c r="T348" s="17">
        <f>IF(C348="","",H348-S348)</f>
        <v/>
      </c>
      <c r="U348" s="54">
        <f>IFERROR(T348/H348,"")</f>
        <v/>
      </c>
      <c r="V348" s="14" t="n"/>
    </row>
    <row r="349" ht="15" customHeight="1">
      <c r="A349" s="51">
        <f>IF(C349="","",IFERROR(IF(SUMPRODUCT(MAX((tbl_Finance[Job Number]=C349&amp;"")*tbl_Finance[Date]))=0,"",SUMPRODUCT(MAX((tbl_Finance[Job Number]=C349&amp;"")*tbl_Finance[Date]))),""))</f>
        <v/>
      </c>
      <c r="B349" s="15">
        <f>IF(A349="","",IFERROR(LOOKUP(2,1/((tbl_Finance[Job Number]=C349&amp;"")*(tbl_Finance[Date]=A349)),tbl_Finance[Xero Invoice No]),""))</f>
        <v/>
      </c>
      <c r="C349" s="14" t="n"/>
      <c r="D349" s="15">
        <f>IF(C349="","",IF(COUNTIF(lst_Jobs,C349&amp;"")&gt;0,"OK","CHECK"))</f>
        <v/>
      </c>
      <c r="E349" s="15">
        <f>IF(C349="","",IFERROR(INDEX(lst_JobName,MATCH(C349&amp;"",lst_Jobs,0)),""))</f>
        <v/>
      </c>
      <c r="F349" s="15">
        <f>IF(C349="","",IFERROR(INDEX(tbl_Finance[Client],MATCH(C349&amp;"",tbl_Finance[Job Number],0)),""))</f>
        <v/>
      </c>
      <c r="G349" s="52">
        <f>IF(C349="","",COUNTIFS(tbl_Finance[Job Number],C349&amp;"",tbl_Finance[Ex GST],"&lt;&gt;"))</f>
        <v/>
      </c>
      <c r="H349" s="17">
        <f>IF(C349="","",SUMIFS(tbl_Finance[Ex GST],tbl_Finance[Job Number],C349&amp;""))</f>
        <v/>
      </c>
      <c r="I349" s="15">
        <f>IF(C349="","",IFERROR(INDEX(tbl_Finance[Cost Centre],MATCH(C349&amp;"",tbl_Finance[Job Number],0)),"not invoiced yet"))</f>
        <v/>
      </c>
      <c r="J349" s="14" t="n"/>
      <c r="K349" s="15">
        <f>IF(J349="","",HYPERLINK(IF(LEFT(J349,4)="http",J349,set_QwilrBase&amp;J349),"Open quote"))</f>
        <v/>
      </c>
      <c r="L349" s="16" t="n"/>
      <c r="M349" s="16" t="n"/>
      <c r="N349" s="16" t="n"/>
      <c r="O349" s="15">
        <f>IF(C349="","",IF(N(L349)+N(M349)+N(N349)=0,"Not split",IF(ROUND(N(L349)+N(M349)+N(N349),2)=ROUND(H349,2),"OK","MISMATCH")))</f>
        <v/>
      </c>
      <c r="P349" s="16" t="n"/>
      <c r="Q349" s="16" t="n"/>
      <c r="R349" s="16" t="n"/>
      <c r="S349" s="17">
        <f>IF(C349="","",N(P349)+N(Q349)+N(R349))</f>
        <v/>
      </c>
      <c r="T349" s="17">
        <f>IF(C349="","",H349-S349)</f>
        <v/>
      </c>
      <c r="U349" s="54">
        <f>IFERROR(T349/H349,"")</f>
        <v/>
      </c>
      <c r="V349" s="14" t="n"/>
    </row>
    <row r="350" ht="15" customHeight="1">
      <c r="A350" s="51">
        <f>IF(C350="","",IFERROR(IF(SUMPRODUCT(MAX((tbl_Finance[Job Number]=C350&amp;"")*tbl_Finance[Date]))=0,"",SUMPRODUCT(MAX((tbl_Finance[Job Number]=C350&amp;"")*tbl_Finance[Date]))),""))</f>
        <v/>
      </c>
      <c r="B350" s="15">
        <f>IF(A350="","",IFERROR(LOOKUP(2,1/((tbl_Finance[Job Number]=C350&amp;"")*(tbl_Finance[Date]=A350)),tbl_Finance[Xero Invoice No]),""))</f>
        <v/>
      </c>
      <c r="C350" s="14" t="n"/>
      <c r="D350" s="15">
        <f>IF(C350="","",IF(COUNTIF(lst_Jobs,C350&amp;"")&gt;0,"OK","CHECK"))</f>
        <v/>
      </c>
      <c r="E350" s="15">
        <f>IF(C350="","",IFERROR(INDEX(lst_JobName,MATCH(C350&amp;"",lst_Jobs,0)),""))</f>
        <v/>
      </c>
      <c r="F350" s="15">
        <f>IF(C350="","",IFERROR(INDEX(tbl_Finance[Client],MATCH(C350&amp;"",tbl_Finance[Job Number],0)),""))</f>
        <v/>
      </c>
      <c r="G350" s="52">
        <f>IF(C350="","",COUNTIFS(tbl_Finance[Job Number],C350&amp;"",tbl_Finance[Ex GST],"&lt;&gt;"))</f>
        <v/>
      </c>
      <c r="H350" s="17">
        <f>IF(C350="","",SUMIFS(tbl_Finance[Ex GST],tbl_Finance[Job Number],C350&amp;""))</f>
        <v/>
      </c>
      <c r="I350" s="15">
        <f>IF(C350="","",IFERROR(INDEX(tbl_Finance[Cost Centre],MATCH(C350&amp;"",tbl_Finance[Job Number],0)),"not invoiced yet"))</f>
        <v/>
      </c>
      <c r="J350" s="14" t="n"/>
      <c r="K350" s="15">
        <f>IF(J350="","",HYPERLINK(IF(LEFT(J350,4)="http",J350,set_QwilrBase&amp;J350),"Open quote"))</f>
        <v/>
      </c>
      <c r="L350" s="16" t="n"/>
      <c r="M350" s="16" t="n"/>
      <c r="N350" s="16" t="n"/>
      <c r="O350" s="15">
        <f>IF(C350="","",IF(N(L350)+N(M350)+N(N350)=0,"Not split",IF(ROUND(N(L350)+N(M350)+N(N350),2)=ROUND(H350,2),"OK","MISMATCH")))</f>
        <v/>
      </c>
      <c r="P350" s="16" t="n"/>
      <c r="Q350" s="16" t="n"/>
      <c r="R350" s="16" t="n"/>
      <c r="S350" s="17">
        <f>IF(C350="","",N(P350)+N(Q350)+N(R350))</f>
        <v/>
      </c>
      <c r="T350" s="17">
        <f>IF(C350="","",H350-S350)</f>
        <v/>
      </c>
      <c r="U350" s="54">
        <f>IFERROR(T350/H350,"")</f>
        <v/>
      </c>
      <c r="V350" s="14" t="n"/>
    </row>
    <row r="351" ht="15" customHeight="1">
      <c r="A351" s="51">
        <f>IF(C351="","",IFERROR(IF(SUMPRODUCT(MAX((tbl_Finance[Job Number]=C351&amp;"")*tbl_Finance[Date]))=0,"",SUMPRODUCT(MAX((tbl_Finance[Job Number]=C351&amp;"")*tbl_Finance[Date]))),""))</f>
        <v/>
      </c>
      <c r="B351" s="15">
        <f>IF(A351="","",IFERROR(LOOKUP(2,1/((tbl_Finance[Job Number]=C351&amp;"")*(tbl_Finance[Date]=A351)),tbl_Finance[Xero Invoice No]),""))</f>
        <v/>
      </c>
      <c r="C351" s="14" t="n"/>
      <c r="D351" s="15">
        <f>IF(C351="","",IF(COUNTIF(lst_Jobs,C351&amp;"")&gt;0,"OK","CHECK"))</f>
        <v/>
      </c>
      <c r="E351" s="15">
        <f>IF(C351="","",IFERROR(INDEX(lst_JobName,MATCH(C351&amp;"",lst_Jobs,0)),""))</f>
        <v/>
      </c>
      <c r="F351" s="15">
        <f>IF(C351="","",IFERROR(INDEX(tbl_Finance[Client],MATCH(C351&amp;"",tbl_Finance[Job Number],0)),""))</f>
        <v/>
      </c>
      <c r="G351" s="52">
        <f>IF(C351="","",COUNTIFS(tbl_Finance[Job Number],C351&amp;"",tbl_Finance[Ex GST],"&lt;&gt;"))</f>
        <v/>
      </c>
      <c r="H351" s="17">
        <f>IF(C351="","",SUMIFS(tbl_Finance[Ex GST],tbl_Finance[Job Number],C351&amp;""))</f>
        <v/>
      </c>
      <c r="I351" s="15">
        <f>IF(C351="","",IFERROR(INDEX(tbl_Finance[Cost Centre],MATCH(C351&amp;"",tbl_Finance[Job Number],0)),"not invoiced yet"))</f>
        <v/>
      </c>
      <c r="J351" s="14" t="n"/>
      <c r="K351" s="15">
        <f>IF(J351="","",HYPERLINK(IF(LEFT(J351,4)="http",J351,set_QwilrBase&amp;J351),"Open quote"))</f>
        <v/>
      </c>
      <c r="L351" s="16" t="n"/>
      <c r="M351" s="16" t="n"/>
      <c r="N351" s="16" t="n"/>
      <c r="O351" s="15">
        <f>IF(C351="","",IF(N(L351)+N(M351)+N(N351)=0,"Not split",IF(ROUND(N(L351)+N(M351)+N(N351),2)=ROUND(H351,2),"OK","MISMATCH")))</f>
        <v/>
      </c>
      <c r="P351" s="16" t="n"/>
      <c r="Q351" s="16" t="n"/>
      <c r="R351" s="16" t="n"/>
      <c r="S351" s="17">
        <f>IF(C351="","",N(P351)+N(Q351)+N(R351))</f>
        <v/>
      </c>
      <c r="T351" s="17">
        <f>IF(C351="","",H351-S351)</f>
        <v/>
      </c>
      <c r="U351" s="54">
        <f>IFERROR(T351/H351,"")</f>
        <v/>
      </c>
      <c r="V351" s="14" t="n"/>
    </row>
    <row r="352" ht="15" customHeight="1">
      <c r="A352" s="51">
        <f>IF(C352="","",IFERROR(IF(SUMPRODUCT(MAX((tbl_Finance[Job Number]=C352&amp;"")*tbl_Finance[Date]))=0,"",SUMPRODUCT(MAX((tbl_Finance[Job Number]=C352&amp;"")*tbl_Finance[Date]))),""))</f>
        <v/>
      </c>
      <c r="B352" s="15">
        <f>IF(A352="","",IFERROR(LOOKUP(2,1/((tbl_Finance[Job Number]=C352&amp;"")*(tbl_Finance[Date]=A352)),tbl_Finance[Xero Invoice No]),""))</f>
        <v/>
      </c>
      <c r="C352" s="14" t="n"/>
      <c r="D352" s="15">
        <f>IF(C352="","",IF(COUNTIF(lst_Jobs,C352&amp;"")&gt;0,"OK","CHECK"))</f>
        <v/>
      </c>
      <c r="E352" s="15">
        <f>IF(C352="","",IFERROR(INDEX(lst_JobName,MATCH(C352&amp;"",lst_Jobs,0)),""))</f>
        <v/>
      </c>
      <c r="F352" s="15">
        <f>IF(C352="","",IFERROR(INDEX(tbl_Finance[Client],MATCH(C352&amp;"",tbl_Finance[Job Number],0)),""))</f>
        <v/>
      </c>
      <c r="G352" s="52">
        <f>IF(C352="","",COUNTIFS(tbl_Finance[Job Number],C352&amp;"",tbl_Finance[Ex GST],"&lt;&gt;"))</f>
        <v/>
      </c>
      <c r="H352" s="17">
        <f>IF(C352="","",SUMIFS(tbl_Finance[Ex GST],tbl_Finance[Job Number],C352&amp;""))</f>
        <v/>
      </c>
      <c r="I352" s="15">
        <f>IF(C352="","",IFERROR(INDEX(tbl_Finance[Cost Centre],MATCH(C352&amp;"",tbl_Finance[Job Number],0)),"not invoiced yet"))</f>
        <v/>
      </c>
      <c r="J352" s="14" t="n"/>
      <c r="K352" s="15">
        <f>IF(J352="","",HYPERLINK(IF(LEFT(J352,4)="http",J352,set_QwilrBase&amp;J352),"Open quote"))</f>
        <v/>
      </c>
      <c r="L352" s="16" t="n"/>
      <c r="M352" s="16" t="n"/>
      <c r="N352" s="16" t="n"/>
      <c r="O352" s="15">
        <f>IF(C352="","",IF(N(L352)+N(M352)+N(N352)=0,"Not split",IF(ROUND(N(L352)+N(M352)+N(N352),2)=ROUND(H352,2),"OK","MISMATCH")))</f>
        <v/>
      </c>
      <c r="P352" s="16" t="n"/>
      <c r="Q352" s="16" t="n"/>
      <c r="R352" s="16" t="n"/>
      <c r="S352" s="17">
        <f>IF(C352="","",N(P352)+N(Q352)+N(R352))</f>
        <v/>
      </c>
      <c r="T352" s="17">
        <f>IF(C352="","",H352-S352)</f>
        <v/>
      </c>
      <c r="U352" s="54">
        <f>IFERROR(T352/H352,"")</f>
        <v/>
      </c>
      <c r="V352" s="14" t="n"/>
    </row>
    <row r="353" ht="15" customHeight="1">
      <c r="A353" s="51">
        <f>IF(C353="","",IFERROR(IF(SUMPRODUCT(MAX((tbl_Finance[Job Number]=C353&amp;"")*tbl_Finance[Date]))=0,"",SUMPRODUCT(MAX((tbl_Finance[Job Number]=C353&amp;"")*tbl_Finance[Date]))),""))</f>
        <v/>
      </c>
      <c r="B353" s="15">
        <f>IF(A353="","",IFERROR(LOOKUP(2,1/((tbl_Finance[Job Number]=C353&amp;"")*(tbl_Finance[Date]=A353)),tbl_Finance[Xero Invoice No]),""))</f>
        <v/>
      </c>
      <c r="C353" s="14" t="n"/>
      <c r="D353" s="15">
        <f>IF(C353="","",IF(COUNTIF(lst_Jobs,C353&amp;"")&gt;0,"OK","CHECK"))</f>
        <v/>
      </c>
      <c r="E353" s="15">
        <f>IF(C353="","",IFERROR(INDEX(lst_JobName,MATCH(C353&amp;"",lst_Jobs,0)),""))</f>
        <v/>
      </c>
      <c r="F353" s="15">
        <f>IF(C353="","",IFERROR(INDEX(tbl_Finance[Client],MATCH(C353&amp;"",tbl_Finance[Job Number],0)),""))</f>
        <v/>
      </c>
      <c r="G353" s="52">
        <f>IF(C353="","",COUNTIFS(tbl_Finance[Job Number],C353&amp;"",tbl_Finance[Ex GST],"&lt;&gt;"))</f>
        <v/>
      </c>
      <c r="H353" s="17">
        <f>IF(C353="","",SUMIFS(tbl_Finance[Ex GST],tbl_Finance[Job Number],C353&amp;""))</f>
        <v/>
      </c>
      <c r="I353" s="15">
        <f>IF(C353="","",IFERROR(INDEX(tbl_Finance[Cost Centre],MATCH(C353&amp;"",tbl_Finance[Job Number],0)),"not invoiced yet"))</f>
        <v/>
      </c>
      <c r="J353" s="14" t="n"/>
      <c r="K353" s="15">
        <f>IF(J353="","",HYPERLINK(IF(LEFT(J353,4)="http",J353,set_QwilrBase&amp;J353),"Open quote"))</f>
        <v/>
      </c>
      <c r="L353" s="16" t="n"/>
      <c r="M353" s="16" t="n"/>
      <c r="N353" s="16" t="n"/>
      <c r="O353" s="15">
        <f>IF(C353="","",IF(N(L353)+N(M353)+N(N353)=0,"Not split",IF(ROUND(N(L353)+N(M353)+N(N353),2)=ROUND(H353,2),"OK","MISMATCH")))</f>
        <v/>
      </c>
      <c r="P353" s="16" t="n"/>
      <c r="Q353" s="16" t="n"/>
      <c r="R353" s="16" t="n"/>
      <c r="S353" s="17">
        <f>IF(C353="","",N(P353)+N(Q353)+N(R353))</f>
        <v/>
      </c>
      <c r="T353" s="17">
        <f>IF(C353="","",H353-S353)</f>
        <v/>
      </c>
      <c r="U353" s="54">
        <f>IFERROR(T353/H353,"")</f>
        <v/>
      </c>
      <c r="V353" s="14" t="n"/>
    </row>
    <row r="354" ht="15" customHeight="1">
      <c r="A354" s="51">
        <f>IF(C354="","",IFERROR(IF(SUMPRODUCT(MAX((tbl_Finance[Job Number]=C354&amp;"")*tbl_Finance[Date]))=0,"",SUMPRODUCT(MAX((tbl_Finance[Job Number]=C354&amp;"")*tbl_Finance[Date]))),""))</f>
        <v/>
      </c>
      <c r="B354" s="15">
        <f>IF(A354="","",IFERROR(LOOKUP(2,1/((tbl_Finance[Job Number]=C354&amp;"")*(tbl_Finance[Date]=A354)),tbl_Finance[Xero Invoice No]),""))</f>
        <v/>
      </c>
      <c r="C354" s="14" t="n"/>
      <c r="D354" s="15">
        <f>IF(C354="","",IF(COUNTIF(lst_Jobs,C354&amp;"")&gt;0,"OK","CHECK"))</f>
        <v/>
      </c>
      <c r="E354" s="15">
        <f>IF(C354="","",IFERROR(INDEX(lst_JobName,MATCH(C354&amp;"",lst_Jobs,0)),""))</f>
        <v/>
      </c>
      <c r="F354" s="15">
        <f>IF(C354="","",IFERROR(INDEX(tbl_Finance[Client],MATCH(C354&amp;"",tbl_Finance[Job Number],0)),""))</f>
        <v/>
      </c>
      <c r="G354" s="52">
        <f>IF(C354="","",COUNTIFS(tbl_Finance[Job Number],C354&amp;"",tbl_Finance[Ex GST],"&lt;&gt;"))</f>
        <v/>
      </c>
      <c r="H354" s="17">
        <f>IF(C354="","",SUMIFS(tbl_Finance[Ex GST],tbl_Finance[Job Number],C354&amp;""))</f>
        <v/>
      </c>
      <c r="I354" s="15">
        <f>IF(C354="","",IFERROR(INDEX(tbl_Finance[Cost Centre],MATCH(C354&amp;"",tbl_Finance[Job Number],0)),"not invoiced yet"))</f>
        <v/>
      </c>
      <c r="J354" s="14" t="n"/>
      <c r="K354" s="15">
        <f>IF(J354="","",HYPERLINK(IF(LEFT(J354,4)="http",J354,set_QwilrBase&amp;J354),"Open quote"))</f>
        <v/>
      </c>
      <c r="L354" s="16" t="n"/>
      <c r="M354" s="16" t="n"/>
      <c r="N354" s="16" t="n"/>
      <c r="O354" s="15">
        <f>IF(C354="","",IF(N(L354)+N(M354)+N(N354)=0,"Not split",IF(ROUND(N(L354)+N(M354)+N(N354),2)=ROUND(H354,2),"OK","MISMATCH")))</f>
        <v/>
      </c>
      <c r="P354" s="16" t="n"/>
      <c r="Q354" s="16" t="n"/>
      <c r="R354" s="16" t="n"/>
      <c r="S354" s="17">
        <f>IF(C354="","",N(P354)+N(Q354)+N(R354))</f>
        <v/>
      </c>
      <c r="T354" s="17">
        <f>IF(C354="","",H354-S354)</f>
        <v/>
      </c>
      <c r="U354" s="54">
        <f>IFERROR(T354/H354,"")</f>
        <v/>
      </c>
      <c r="V354" s="14" t="n"/>
    </row>
    <row r="355" ht="15" customHeight="1">
      <c r="A355" s="51">
        <f>IF(C355="","",IFERROR(IF(SUMPRODUCT(MAX((tbl_Finance[Job Number]=C355&amp;"")*tbl_Finance[Date]))=0,"",SUMPRODUCT(MAX((tbl_Finance[Job Number]=C355&amp;"")*tbl_Finance[Date]))),""))</f>
        <v/>
      </c>
      <c r="B355" s="15">
        <f>IF(A355="","",IFERROR(LOOKUP(2,1/((tbl_Finance[Job Number]=C355&amp;"")*(tbl_Finance[Date]=A355)),tbl_Finance[Xero Invoice No]),""))</f>
        <v/>
      </c>
      <c r="C355" s="14" t="n"/>
      <c r="D355" s="15">
        <f>IF(C355="","",IF(COUNTIF(lst_Jobs,C355&amp;"")&gt;0,"OK","CHECK"))</f>
        <v/>
      </c>
      <c r="E355" s="15">
        <f>IF(C355="","",IFERROR(INDEX(lst_JobName,MATCH(C355&amp;"",lst_Jobs,0)),""))</f>
        <v/>
      </c>
      <c r="F355" s="15">
        <f>IF(C355="","",IFERROR(INDEX(tbl_Finance[Client],MATCH(C355&amp;"",tbl_Finance[Job Number],0)),""))</f>
        <v/>
      </c>
      <c r="G355" s="52">
        <f>IF(C355="","",COUNTIFS(tbl_Finance[Job Number],C355&amp;"",tbl_Finance[Ex GST],"&lt;&gt;"))</f>
        <v/>
      </c>
      <c r="H355" s="17">
        <f>IF(C355="","",SUMIFS(tbl_Finance[Ex GST],tbl_Finance[Job Number],C355&amp;""))</f>
        <v/>
      </c>
      <c r="I355" s="15">
        <f>IF(C355="","",IFERROR(INDEX(tbl_Finance[Cost Centre],MATCH(C355&amp;"",tbl_Finance[Job Number],0)),"not invoiced yet"))</f>
        <v/>
      </c>
      <c r="J355" s="14" t="n"/>
      <c r="K355" s="15">
        <f>IF(J355="","",HYPERLINK(IF(LEFT(J355,4)="http",J355,set_QwilrBase&amp;J355),"Open quote"))</f>
        <v/>
      </c>
      <c r="L355" s="16" t="n"/>
      <c r="M355" s="16" t="n"/>
      <c r="N355" s="16" t="n"/>
      <c r="O355" s="15">
        <f>IF(C355="","",IF(N(L355)+N(M355)+N(N355)=0,"Not split",IF(ROUND(N(L355)+N(M355)+N(N355),2)=ROUND(H355,2),"OK","MISMATCH")))</f>
        <v/>
      </c>
      <c r="P355" s="16" t="n"/>
      <c r="Q355" s="16" t="n"/>
      <c r="R355" s="16" t="n"/>
      <c r="S355" s="17">
        <f>IF(C355="","",N(P355)+N(Q355)+N(R355))</f>
        <v/>
      </c>
      <c r="T355" s="17">
        <f>IF(C355="","",H355-S355)</f>
        <v/>
      </c>
      <c r="U355" s="54">
        <f>IFERROR(T355/H355,"")</f>
        <v/>
      </c>
      <c r="V355" s="14" t="n"/>
    </row>
    <row r="356" ht="15" customHeight="1">
      <c r="A356" s="51">
        <f>IF(C356="","",IFERROR(IF(SUMPRODUCT(MAX((tbl_Finance[Job Number]=C356&amp;"")*tbl_Finance[Date]))=0,"",SUMPRODUCT(MAX((tbl_Finance[Job Number]=C356&amp;"")*tbl_Finance[Date]))),""))</f>
        <v/>
      </c>
      <c r="B356" s="15">
        <f>IF(A356="","",IFERROR(LOOKUP(2,1/((tbl_Finance[Job Number]=C356&amp;"")*(tbl_Finance[Date]=A356)),tbl_Finance[Xero Invoice No]),""))</f>
        <v/>
      </c>
      <c r="C356" s="14" t="n"/>
      <c r="D356" s="15">
        <f>IF(C356="","",IF(COUNTIF(lst_Jobs,C356&amp;"")&gt;0,"OK","CHECK"))</f>
        <v/>
      </c>
      <c r="E356" s="15">
        <f>IF(C356="","",IFERROR(INDEX(lst_JobName,MATCH(C356&amp;"",lst_Jobs,0)),""))</f>
        <v/>
      </c>
      <c r="F356" s="15">
        <f>IF(C356="","",IFERROR(INDEX(tbl_Finance[Client],MATCH(C356&amp;"",tbl_Finance[Job Number],0)),""))</f>
        <v/>
      </c>
      <c r="G356" s="52">
        <f>IF(C356="","",COUNTIFS(tbl_Finance[Job Number],C356&amp;"",tbl_Finance[Ex GST],"&lt;&gt;"))</f>
        <v/>
      </c>
      <c r="H356" s="17">
        <f>IF(C356="","",SUMIFS(tbl_Finance[Ex GST],tbl_Finance[Job Number],C356&amp;""))</f>
        <v/>
      </c>
      <c r="I356" s="15">
        <f>IF(C356="","",IFERROR(INDEX(tbl_Finance[Cost Centre],MATCH(C356&amp;"",tbl_Finance[Job Number],0)),"not invoiced yet"))</f>
        <v/>
      </c>
      <c r="J356" s="14" t="n"/>
      <c r="K356" s="15">
        <f>IF(J356="","",HYPERLINK(IF(LEFT(J356,4)="http",J356,set_QwilrBase&amp;J356),"Open quote"))</f>
        <v/>
      </c>
      <c r="L356" s="16" t="n"/>
      <c r="M356" s="16" t="n"/>
      <c r="N356" s="16" t="n"/>
      <c r="O356" s="15">
        <f>IF(C356="","",IF(N(L356)+N(M356)+N(N356)=0,"Not split",IF(ROUND(N(L356)+N(M356)+N(N356),2)=ROUND(H356,2),"OK","MISMATCH")))</f>
        <v/>
      </c>
      <c r="P356" s="16" t="n"/>
      <c r="Q356" s="16" t="n"/>
      <c r="R356" s="16" t="n"/>
      <c r="S356" s="17">
        <f>IF(C356="","",N(P356)+N(Q356)+N(R356))</f>
        <v/>
      </c>
      <c r="T356" s="17">
        <f>IF(C356="","",H356-S356)</f>
        <v/>
      </c>
      <c r="U356" s="54">
        <f>IFERROR(T356/H356,"")</f>
        <v/>
      </c>
      <c r="V356" s="14" t="n"/>
    </row>
    <row r="357" ht="15" customHeight="1">
      <c r="A357" s="51">
        <f>IF(C357="","",IFERROR(IF(SUMPRODUCT(MAX((tbl_Finance[Job Number]=C357&amp;"")*tbl_Finance[Date]))=0,"",SUMPRODUCT(MAX((tbl_Finance[Job Number]=C357&amp;"")*tbl_Finance[Date]))),""))</f>
        <v/>
      </c>
      <c r="B357" s="15">
        <f>IF(A357="","",IFERROR(LOOKUP(2,1/((tbl_Finance[Job Number]=C357&amp;"")*(tbl_Finance[Date]=A357)),tbl_Finance[Xero Invoice No]),""))</f>
        <v/>
      </c>
      <c r="C357" s="14" t="n"/>
      <c r="D357" s="15">
        <f>IF(C357="","",IF(COUNTIF(lst_Jobs,C357&amp;"")&gt;0,"OK","CHECK"))</f>
        <v/>
      </c>
      <c r="E357" s="15">
        <f>IF(C357="","",IFERROR(INDEX(lst_JobName,MATCH(C357&amp;"",lst_Jobs,0)),""))</f>
        <v/>
      </c>
      <c r="F357" s="15">
        <f>IF(C357="","",IFERROR(INDEX(tbl_Finance[Client],MATCH(C357&amp;"",tbl_Finance[Job Number],0)),""))</f>
        <v/>
      </c>
      <c r="G357" s="52">
        <f>IF(C357="","",COUNTIFS(tbl_Finance[Job Number],C357&amp;"",tbl_Finance[Ex GST],"&lt;&gt;"))</f>
        <v/>
      </c>
      <c r="H357" s="17">
        <f>IF(C357="","",SUMIFS(tbl_Finance[Ex GST],tbl_Finance[Job Number],C357&amp;""))</f>
        <v/>
      </c>
      <c r="I357" s="15">
        <f>IF(C357="","",IFERROR(INDEX(tbl_Finance[Cost Centre],MATCH(C357&amp;"",tbl_Finance[Job Number],0)),"not invoiced yet"))</f>
        <v/>
      </c>
      <c r="J357" s="14" t="n"/>
      <c r="K357" s="15">
        <f>IF(J357="","",HYPERLINK(IF(LEFT(J357,4)="http",J357,set_QwilrBase&amp;J357),"Open quote"))</f>
        <v/>
      </c>
      <c r="L357" s="16" t="n"/>
      <c r="M357" s="16" t="n"/>
      <c r="N357" s="16" t="n"/>
      <c r="O357" s="15">
        <f>IF(C357="","",IF(N(L357)+N(M357)+N(N357)=0,"Not split",IF(ROUND(N(L357)+N(M357)+N(N357),2)=ROUND(H357,2),"OK","MISMATCH")))</f>
        <v/>
      </c>
      <c r="P357" s="16" t="n"/>
      <c r="Q357" s="16" t="n"/>
      <c r="R357" s="16" t="n"/>
      <c r="S357" s="17">
        <f>IF(C357="","",N(P357)+N(Q357)+N(R357))</f>
        <v/>
      </c>
      <c r="T357" s="17">
        <f>IF(C357="","",H357-S357)</f>
        <v/>
      </c>
      <c r="U357" s="54">
        <f>IFERROR(T357/H357,"")</f>
        <v/>
      </c>
      <c r="V357" s="14" t="n"/>
    </row>
    <row r="358" ht="15" customHeight="1">
      <c r="A358" s="51">
        <f>IF(C358="","",IFERROR(IF(SUMPRODUCT(MAX((tbl_Finance[Job Number]=C358&amp;"")*tbl_Finance[Date]))=0,"",SUMPRODUCT(MAX((tbl_Finance[Job Number]=C358&amp;"")*tbl_Finance[Date]))),""))</f>
        <v/>
      </c>
      <c r="B358" s="15">
        <f>IF(A358="","",IFERROR(LOOKUP(2,1/((tbl_Finance[Job Number]=C358&amp;"")*(tbl_Finance[Date]=A358)),tbl_Finance[Xero Invoice No]),""))</f>
        <v/>
      </c>
      <c r="C358" s="14" t="n"/>
      <c r="D358" s="15">
        <f>IF(C358="","",IF(COUNTIF(lst_Jobs,C358&amp;"")&gt;0,"OK","CHECK"))</f>
        <v/>
      </c>
      <c r="E358" s="15">
        <f>IF(C358="","",IFERROR(INDEX(lst_JobName,MATCH(C358&amp;"",lst_Jobs,0)),""))</f>
        <v/>
      </c>
      <c r="F358" s="15">
        <f>IF(C358="","",IFERROR(INDEX(tbl_Finance[Client],MATCH(C358&amp;"",tbl_Finance[Job Number],0)),""))</f>
        <v/>
      </c>
      <c r="G358" s="52">
        <f>IF(C358="","",COUNTIFS(tbl_Finance[Job Number],C358&amp;"",tbl_Finance[Ex GST],"&lt;&gt;"))</f>
        <v/>
      </c>
      <c r="H358" s="17">
        <f>IF(C358="","",SUMIFS(tbl_Finance[Ex GST],tbl_Finance[Job Number],C358&amp;""))</f>
        <v/>
      </c>
      <c r="I358" s="15">
        <f>IF(C358="","",IFERROR(INDEX(tbl_Finance[Cost Centre],MATCH(C358&amp;"",tbl_Finance[Job Number],0)),"not invoiced yet"))</f>
        <v/>
      </c>
      <c r="J358" s="14" t="n"/>
      <c r="K358" s="15">
        <f>IF(J358="","",HYPERLINK(IF(LEFT(J358,4)="http",J358,set_QwilrBase&amp;J358),"Open quote"))</f>
        <v/>
      </c>
      <c r="L358" s="16" t="n"/>
      <c r="M358" s="16" t="n"/>
      <c r="N358" s="16" t="n"/>
      <c r="O358" s="15">
        <f>IF(C358="","",IF(N(L358)+N(M358)+N(N358)=0,"Not split",IF(ROUND(N(L358)+N(M358)+N(N358),2)=ROUND(H358,2),"OK","MISMATCH")))</f>
        <v/>
      </c>
      <c r="P358" s="16" t="n"/>
      <c r="Q358" s="16" t="n"/>
      <c r="R358" s="16" t="n"/>
      <c r="S358" s="17">
        <f>IF(C358="","",N(P358)+N(Q358)+N(R358))</f>
        <v/>
      </c>
      <c r="T358" s="17">
        <f>IF(C358="","",H358-S358)</f>
        <v/>
      </c>
      <c r="U358" s="54">
        <f>IFERROR(T358/H358,"")</f>
        <v/>
      </c>
      <c r="V358" s="14" t="n"/>
    </row>
    <row r="359" ht="15" customHeight="1">
      <c r="A359" s="51">
        <f>IF(C359="","",IFERROR(IF(SUMPRODUCT(MAX((tbl_Finance[Job Number]=C359&amp;"")*tbl_Finance[Date]))=0,"",SUMPRODUCT(MAX((tbl_Finance[Job Number]=C359&amp;"")*tbl_Finance[Date]))),""))</f>
        <v/>
      </c>
      <c r="B359" s="15">
        <f>IF(A359="","",IFERROR(LOOKUP(2,1/((tbl_Finance[Job Number]=C359&amp;"")*(tbl_Finance[Date]=A359)),tbl_Finance[Xero Invoice No]),""))</f>
        <v/>
      </c>
      <c r="C359" s="14" t="n"/>
      <c r="D359" s="15">
        <f>IF(C359="","",IF(COUNTIF(lst_Jobs,C359&amp;"")&gt;0,"OK","CHECK"))</f>
        <v/>
      </c>
      <c r="E359" s="15">
        <f>IF(C359="","",IFERROR(INDEX(lst_JobName,MATCH(C359&amp;"",lst_Jobs,0)),""))</f>
        <v/>
      </c>
      <c r="F359" s="15">
        <f>IF(C359="","",IFERROR(INDEX(tbl_Finance[Client],MATCH(C359&amp;"",tbl_Finance[Job Number],0)),""))</f>
        <v/>
      </c>
      <c r="G359" s="52">
        <f>IF(C359="","",COUNTIFS(tbl_Finance[Job Number],C359&amp;"",tbl_Finance[Ex GST],"&lt;&gt;"))</f>
        <v/>
      </c>
      <c r="H359" s="17">
        <f>IF(C359="","",SUMIFS(tbl_Finance[Ex GST],tbl_Finance[Job Number],C359&amp;""))</f>
        <v/>
      </c>
      <c r="I359" s="15">
        <f>IF(C359="","",IFERROR(INDEX(tbl_Finance[Cost Centre],MATCH(C359&amp;"",tbl_Finance[Job Number],0)),"not invoiced yet"))</f>
        <v/>
      </c>
      <c r="J359" s="14" t="n"/>
      <c r="K359" s="15">
        <f>IF(J359="","",HYPERLINK(IF(LEFT(J359,4)="http",J359,set_QwilrBase&amp;J359),"Open quote"))</f>
        <v/>
      </c>
      <c r="L359" s="16" t="n"/>
      <c r="M359" s="16" t="n"/>
      <c r="N359" s="16" t="n"/>
      <c r="O359" s="15">
        <f>IF(C359="","",IF(N(L359)+N(M359)+N(N359)=0,"Not split",IF(ROUND(N(L359)+N(M359)+N(N359),2)=ROUND(H359,2),"OK","MISMATCH")))</f>
        <v/>
      </c>
      <c r="P359" s="16" t="n"/>
      <c r="Q359" s="16" t="n"/>
      <c r="R359" s="16" t="n"/>
      <c r="S359" s="17">
        <f>IF(C359="","",N(P359)+N(Q359)+N(R359))</f>
        <v/>
      </c>
      <c r="T359" s="17">
        <f>IF(C359="","",H359-S359)</f>
        <v/>
      </c>
      <c r="U359" s="54">
        <f>IFERROR(T359/H359,"")</f>
        <v/>
      </c>
      <c r="V359" s="14" t="n"/>
    </row>
    <row r="360" ht="15" customHeight="1">
      <c r="A360" s="51">
        <f>IF(C360="","",IFERROR(IF(SUMPRODUCT(MAX((tbl_Finance[Job Number]=C360&amp;"")*tbl_Finance[Date]))=0,"",SUMPRODUCT(MAX((tbl_Finance[Job Number]=C360&amp;"")*tbl_Finance[Date]))),""))</f>
        <v/>
      </c>
      <c r="B360" s="15">
        <f>IF(A360="","",IFERROR(LOOKUP(2,1/((tbl_Finance[Job Number]=C360&amp;"")*(tbl_Finance[Date]=A360)),tbl_Finance[Xero Invoice No]),""))</f>
        <v/>
      </c>
      <c r="C360" s="14" t="n"/>
      <c r="D360" s="15">
        <f>IF(C360="","",IF(COUNTIF(lst_Jobs,C360&amp;"")&gt;0,"OK","CHECK"))</f>
        <v/>
      </c>
      <c r="E360" s="15">
        <f>IF(C360="","",IFERROR(INDEX(lst_JobName,MATCH(C360&amp;"",lst_Jobs,0)),""))</f>
        <v/>
      </c>
      <c r="F360" s="15">
        <f>IF(C360="","",IFERROR(INDEX(tbl_Finance[Client],MATCH(C360&amp;"",tbl_Finance[Job Number],0)),""))</f>
        <v/>
      </c>
      <c r="G360" s="52">
        <f>IF(C360="","",COUNTIFS(tbl_Finance[Job Number],C360&amp;"",tbl_Finance[Ex GST],"&lt;&gt;"))</f>
        <v/>
      </c>
      <c r="H360" s="17">
        <f>IF(C360="","",SUMIFS(tbl_Finance[Ex GST],tbl_Finance[Job Number],C360&amp;""))</f>
        <v/>
      </c>
      <c r="I360" s="15">
        <f>IF(C360="","",IFERROR(INDEX(tbl_Finance[Cost Centre],MATCH(C360&amp;"",tbl_Finance[Job Number],0)),"not invoiced yet"))</f>
        <v/>
      </c>
      <c r="J360" s="14" t="n"/>
      <c r="K360" s="15">
        <f>IF(J360="","",HYPERLINK(IF(LEFT(J360,4)="http",J360,set_QwilrBase&amp;J360),"Open quote"))</f>
        <v/>
      </c>
      <c r="L360" s="16" t="n"/>
      <c r="M360" s="16" t="n"/>
      <c r="N360" s="16" t="n"/>
      <c r="O360" s="15">
        <f>IF(C360="","",IF(N(L360)+N(M360)+N(N360)=0,"Not split",IF(ROUND(N(L360)+N(M360)+N(N360),2)=ROUND(H360,2),"OK","MISMATCH")))</f>
        <v/>
      </c>
      <c r="P360" s="16" t="n"/>
      <c r="Q360" s="16" t="n"/>
      <c r="R360" s="16" t="n"/>
      <c r="S360" s="17">
        <f>IF(C360="","",N(P360)+N(Q360)+N(R360))</f>
        <v/>
      </c>
      <c r="T360" s="17">
        <f>IF(C360="","",H360-S360)</f>
        <v/>
      </c>
      <c r="U360" s="54">
        <f>IFERROR(T360/H360,"")</f>
        <v/>
      </c>
      <c r="V360" s="14" t="n"/>
    </row>
    <row r="361" ht="15" customHeight="1">
      <c r="A361" s="51">
        <f>IF(C361="","",IFERROR(IF(SUMPRODUCT(MAX((tbl_Finance[Job Number]=C361&amp;"")*tbl_Finance[Date]))=0,"",SUMPRODUCT(MAX((tbl_Finance[Job Number]=C361&amp;"")*tbl_Finance[Date]))),""))</f>
        <v/>
      </c>
      <c r="B361" s="15">
        <f>IF(A361="","",IFERROR(LOOKUP(2,1/((tbl_Finance[Job Number]=C361&amp;"")*(tbl_Finance[Date]=A361)),tbl_Finance[Xero Invoice No]),""))</f>
        <v/>
      </c>
      <c r="C361" s="14" t="n"/>
      <c r="D361" s="15">
        <f>IF(C361="","",IF(COUNTIF(lst_Jobs,C361&amp;"")&gt;0,"OK","CHECK"))</f>
        <v/>
      </c>
      <c r="E361" s="15">
        <f>IF(C361="","",IFERROR(INDEX(lst_JobName,MATCH(C361&amp;"",lst_Jobs,0)),""))</f>
        <v/>
      </c>
      <c r="F361" s="15">
        <f>IF(C361="","",IFERROR(INDEX(tbl_Finance[Client],MATCH(C361&amp;"",tbl_Finance[Job Number],0)),""))</f>
        <v/>
      </c>
      <c r="G361" s="52">
        <f>IF(C361="","",COUNTIFS(tbl_Finance[Job Number],C361&amp;"",tbl_Finance[Ex GST],"&lt;&gt;"))</f>
        <v/>
      </c>
      <c r="H361" s="17">
        <f>IF(C361="","",SUMIFS(tbl_Finance[Ex GST],tbl_Finance[Job Number],C361&amp;""))</f>
        <v/>
      </c>
      <c r="I361" s="15">
        <f>IF(C361="","",IFERROR(INDEX(tbl_Finance[Cost Centre],MATCH(C361&amp;"",tbl_Finance[Job Number],0)),"not invoiced yet"))</f>
        <v/>
      </c>
      <c r="J361" s="14" t="n"/>
      <c r="K361" s="15">
        <f>IF(J361="","",HYPERLINK(IF(LEFT(J361,4)="http",J361,set_QwilrBase&amp;J361),"Open quote"))</f>
        <v/>
      </c>
      <c r="L361" s="16" t="n"/>
      <c r="M361" s="16" t="n"/>
      <c r="N361" s="16" t="n"/>
      <c r="O361" s="15">
        <f>IF(C361="","",IF(N(L361)+N(M361)+N(N361)=0,"Not split",IF(ROUND(N(L361)+N(M361)+N(N361),2)=ROUND(H361,2),"OK","MISMATCH")))</f>
        <v/>
      </c>
      <c r="P361" s="16" t="n"/>
      <c r="Q361" s="16" t="n"/>
      <c r="R361" s="16" t="n"/>
      <c r="S361" s="17">
        <f>IF(C361="","",N(P361)+N(Q361)+N(R361))</f>
        <v/>
      </c>
      <c r="T361" s="17">
        <f>IF(C361="","",H361-S361)</f>
        <v/>
      </c>
      <c r="U361" s="54">
        <f>IFERROR(T361/H361,"")</f>
        <v/>
      </c>
      <c r="V361" s="14" t="n"/>
    </row>
    <row r="362" ht="15" customHeight="1">
      <c r="A362" s="51">
        <f>IF(C362="","",IFERROR(IF(SUMPRODUCT(MAX((tbl_Finance[Job Number]=C362&amp;"")*tbl_Finance[Date]))=0,"",SUMPRODUCT(MAX((tbl_Finance[Job Number]=C362&amp;"")*tbl_Finance[Date]))),""))</f>
        <v/>
      </c>
      <c r="B362" s="15">
        <f>IF(A362="","",IFERROR(LOOKUP(2,1/((tbl_Finance[Job Number]=C362&amp;"")*(tbl_Finance[Date]=A362)),tbl_Finance[Xero Invoice No]),""))</f>
        <v/>
      </c>
      <c r="C362" s="14" t="n"/>
      <c r="D362" s="15">
        <f>IF(C362="","",IF(COUNTIF(lst_Jobs,C362&amp;"")&gt;0,"OK","CHECK"))</f>
        <v/>
      </c>
      <c r="E362" s="15">
        <f>IF(C362="","",IFERROR(INDEX(lst_JobName,MATCH(C362&amp;"",lst_Jobs,0)),""))</f>
        <v/>
      </c>
      <c r="F362" s="15">
        <f>IF(C362="","",IFERROR(INDEX(tbl_Finance[Client],MATCH(C362&amp;"",tbl_Finance[Job Number],0)),""))</f>
        <v/>
      </c>
      <c r="G362" s="52">
        <f>IF(C362="","",COUNTIFS(tbl_Finance[Job Number],C362&amp;"",tbl_Finance[Ex GST],"&lt;&gt;"))</f>
        <v/>
      </c>
      <c r="H362" s="17">
        <f>IF(C362="","",SUMIFS(tbl_Finance[Ex GST],tbl_Finance[Job Number],C362&amp;""))</f>
        <v/>
      </c>
      <c r="I362" s="15">
        <f>IF(C362="","",IFERROR(INDEX(tbl_Finance[Cost Centre],MATCH(C362&amp;"",tbl_Finance[Job Number],0)),"not invoiced yet"))</f>
        <v/>
      </c>
      <c r="J362" s="14" t="n"/>
      <c r="K362" s="15">
        <f>IF(J362="","",HYPERLINK(IF(LEFT(J362,4)="http",J362,set_QwilrBase&amp;J362),"Open quote"))</f>
        <v/>
      </c>
      <c r="L362" s="16" t="n"/>
      <c r="M362" s="16" t="n"/>
      <c r="N362" s="16" t="n"/>
      <c r="O362" s="15">
        <f>IF(C362="","",IF(N(L362)+N(M362)+N(N362)=0,"Not split",IF(ROUND(N(L362)+N(M362)+N(N362),2)=ROUND(H362,2),"OK","MISMATCH")))</f>
        <v/>
      </c>
      <c r="P362" s="16" t="n"/>
      <c r="Q362" s="16" t="n"/>
      <c r="R362" s="16" t="n"/>
      <c r="S362" s="17">
        <f>IF(C362="","",N(P362)+N(Q362)+N(R362))</f>
        <v/>
      </c>
      <c r="T362" s="17">
        <f>IF(C362="","",H362-S362)</f>
        <v/>
      </c>
      <c r="U362" s="54">
        <f>IFERROR(T362/H362,"")</f>
        <v/>
      </c>
      <c r="V362" s="14" t="n"/>
    </row>
    <row r="363" ht="15" customHeight="1">
      <c r="A363" s="51">
        <f>IF(C363="","",IFERROR(IF(SUMPRODUCT(MAX((tbl_Finance[Job Number]=C363&amp;"")*tbl_Finance[Date]))=0,"",SUMPRODUCT(MAX((tbl_Finance[Job Number]=C363&amp;"")*tbl_Finance[Date]))),""))</f>
        <v/>
      </c>
      <c r="B363" s="15">
        <f>IF(A363="","",IFERROR(LOOKUP(2,1/((tbl_Finance[Job Number]=C363&amp;"")*(tbl_Finance[Date]=A363)),tbl_Finance[Xero Invoice No]),""))</f>
        <v/>
      </c>
      <c r="C363" s="14" t="n"/>
      <c r="D363" s="15">
        <f>IF(C363="","",IF(COUNTIF(lst_Jobs,C363&amp;"")&gt;0,"OK","CHECK"))</f>
        <v/>
      </c>
      <c r="E363" s="15">
        <f>IF(C363="","",IFERROR(INDEX(lst_JobName,MATCH(C363&amp;"",lst_Jobs,0)),""))</f>
        <v/>
      </c>
      <c r="F363" s="15">
        <f>IF(C363="","",IFERROR(INDEX(tbl_Finance[Client],MATCH(C363&amp;"",tbl_Finance[Job Number],0)),""))</f>
        <v/>
      </c>
      <c r="G363" s="52">
        <f>IF(C363="","",COUNTIFS(tbl_Finance[Job Number],C363&amp;"",tbl_Finance[Ex GST],"&lt;&gt;"))</f>
        <v/>
      </c>
      <c r="H363" s="17">
        <f>IF(C363="","",SUMIFS(tbl_Finance[Ex GST],tbl_Finance[Job Number],C363&amp;""))</f>
        <v/>
      </c>
      <c r="I363" s="15">
        <f>IF(C363="","",IFERROR(INDEX(tbl_Finance[Cost Centre],MATCH(C363&amp;"",tbl_Finance[Job Number],0)),"not invoiced yet"))</f>
        <v/>
      </c>
      <c r="J363" s="14" t="n"/>
      <c r="K363" s="15">
        <f>IF(J363="","",HYPERLINK(IF(LEFT(J363,4)="http",J363,set_QwilrBase&amp;J363),"Open quote"))</f>
        <v/>
      </c>
      <c r="L363" s="16" t="n"/>
      <c r="M363" s="16" t="n"/>
      <c r="N363" s="16" t="n"/>
      <c r="O363" s="15">
        <f>IF(C363="","",IF(N(L363)+N(M363)+N(N363)=0,"Not split",IF(ROUND(N(L363)+N(M363)+N(N363),2)=ROUND(H363,2),"OK","MISMATCH")))</f>
        <v/>
      </c>
      <c r="P363" s="16" t="n"/>
      <c r="Q363" s="16" t="n"/>
      <c r="R363" s="16" t="n"/>
      <c r="S363" s="17">
        <f>IF(C363="","",N(P363)+N(Q363)+N(R363))</f>
        <v/>
      </c>
      <c r="T363" s="17">
        <f>IF(C363="","",H363-S363)</f>
        <v/>
      </c>
      <c r="U363" s="54">
        <f>IFERROR(T363/H363,"")</f>
        <v/>
      </c>
      <c r="V363" s="14" t="n"/>
    </row>
    <row r="364" ht="15" customHeight="1">
      <c r="A364" s="51">
        <f>IF(C364="","",IFERROR(IF(SUMPRODUCT(MAX((tbl_Finance[Job Number]=C364&amp;"")*tbl_Finance[Date]))=0,"",SUMPRODUCT(MAX((tbl_Finance[Job Number]=C364&amp;"")*tbl_Finance[Date]))),""))</f>
        <v/>
      </c>
      <c r="B364" s="15">
        <f>IF(A364="","",IFERROR(LOOKUP(2,1/((tbl_Finance[Job Number]=C364&amp;"")*(tbl_Finance[Date]=A364)),tbl_Finance[Xero Invoice No]),""))</f>
        <v/>
      </c>
      <c r="C364" s="14" t="n"/>
      <c r="D364" s="15">
        <f>IF(C364="","",IF(COUNTIF(lst_Jobs,C364&amp;"")&gt;0,"OK","CHECK"))</f>
        <v/>
      </c>
      <c r="E364" s="15">
        <f>IF(C364="","",IFERROR(INDEX(lst_JobName,MATCH(C364&amp;"",lst_Jobs,0)),""))</f>
        <v/>
      </c>
      <c r="F364" s="15">
        <f>IF(C364="","",IFERROR(INDEX(tbl_Finance[Client],MATCH(C364&amp;"",tbl_Finance[Job Number],0)),""))</f>
        <v/>
      </c>
      <c r="G364" s="52">
        <f>IF(C364="","",COUNTIFS(tbl_Finance[Job Number],C364&amp;"",tbl_Finance[Ex GST],"&lt;&gt;"))</f>
        <v/>
      </c>
      <c r="H364" s="17">
        <f>IF(C364="","",SUMIFS(tbl_Finance[Ex GST],tbl_Finance[Job Number],C364&amp;""))</f>
        <v/>
      </c>
      <c r="I364" s="15">
        <f>IF(C364="","",IFERROR(INDEX(tbl_Finance[Cost Centre],MATCH(C364&amp;"",tbl_Finance[Job Number],0)),"not invoiced yet"))</f>
        <v/>
      </c>
      <c r="J364" s="14" t="n"/>
      <c r="K364" s="15">
        <f>IF(J364="","",HYPERLINK(IF(LEFT(J364,4)="http",J364,set_QwilrBase&amp;J364),"Open quote"))</f>
        <v/>
      </c>
      <c r="L364" s="16" t="n"/>
      <c r="M364" s="16" t="n"/>
      <c r="N364" s="16" t="n"/>
      <c r="O364" s="15">
        <f>IF(C364="","",IF(N(L364)+N(M364)+N(N364)=0,"Not split",IF(ROUND(N(L364)+N(M364)+N(N364),2)=ROUND(H364,2),"OK","MISMATCH")))</f>
        <v/>
      </c>
      <c r="P364" s="16" t="n"/>
      <c r="Q364" s="16" t="n"/>
      <c r="R364" s="16" t="n"/>
      <c r="S364" s="17">
        <f>IF(C364="","",N(P364)+N(Q364)+N(R364))</f>
        <v/>
      </c>
      <c r="T364" s="17">
        <f>IF(C364="","",H364-S364)</f>
        <v/>
      </c>
      <c r="U364" s="54">
        <f>IFERROR(T364/H364,"")</f>
        <v/>
      </c>
      <c r="V364" s="14" t="n"/>
    </row>
    <row r="365" ht="15" customHeight="1">
      <c r="A365" s="51">
        <f>IF(C365="","",IFERROR(IF(SUMPRODUCT(MAX((tbl_Finance[Job Number]=C365&amp;"")*tbl_Finance[Date]))=0,"",SUMPRODUCT(MAX((tbl_Finance[Job Number]=C365&amp;"")*tbl_Finance[Date]))),""))</f>
        <v/>
      </c>
      <c r="B365" s="15">
        <f>IF(A365="","",IFERROR(LOOKUP(2,1/((tbl_Finance[Job Number]=C365&amp;"")*(tbl_Finance[Date]=A365)),tbl_Finance[Xero Invoice No]),""))</f>
        <v/>
      </c>
      <c r="C365" s="14" t="n"/>
      <c r="D365" s="15">
        <f>IF(C365="","",IF(COUNTIF(lst_Jobs,C365&amp;"")&gt;0,"OK","CHECK"))</f>
        <v/>
      </c>
      <c r="E365" s="15">
        <f>IF(C365="","",IFERROR(INDEX(lst_JobName,MATCH(C365&amp;"",lst_Jobs,0)),""))</f>
        <v/>
      </c>
      <c r="F365" s="15">
        <f>IF(C365="","",IFERROR(INDEX(tbl_Finance[Client],MATCH(C365&amp;"",tbl_Finance[Job Number],0)),""))</f>
        <v/>
      </c>
      <c r="G365" s="52">
        <f>IF(C365="","",COUNTIFS(tbl_Finance[Job Number],C365&amp;"",tbl_Finance[Ex GST],"&lt;&gt;"))</f>
        <v/>
      </c>
      <c r="H365" s="17">
        <f>IF(C365="","",SUMIFS(tbl_Finance[Ex GST],tbl_Finance[Job Number],C365&amp;""))</f>
        <v/>
      </c>
      <c r="I365" s="15">
        <f>IF(C365="","",IFERROR(INDEX(tbl_Finance[Cost Centre],MATCH(C365&amp;"",tbl_Finance[Job Number],0)),"not invoiced yet"))</f>
        <v/>
      </c>
      <c r="J365" s="14" t="n"/>
      <c r="K365" s="15">
        <f>IF(J365="","",HYPERLINK(IF(LEFT(J365,4)="http",J365,set_QwilrBase&amp;J365),"Open quote"))</f>
        <v/>
      </c>
      <c r="L365" s="16" t="n"/>
      <c r="M365" s="16" t="n"/>
      <c r="N365" s="16" t="n"/>
      <c r="O365" s="15">
        <f>IF(C365="","",IF(N(L365)+N(M365)+N(N365)=0,"Not split",IF(ROUND(N(L365)+N(M365)+N(N365),2)=ROUND(H365,2),"OK","MISMATCH")))</f>
        <v/>
      </c>
      <c r="P365" s="16" t="n"/>
      <c r="Q365" s="16" t="n"/>
      <c r="R365" s="16" t="n"/>
      <c r="S365" s="17">
        <f>IF(C365="","",N(P365)+N(Q365)+N(R365))</f>
        <v/>
      </c>
      <c r="T365" s="17">
        <f>IF(C365="","",H365-S365)</f>
        <v/>
      </c>
      <c r="U365" s="54">
        <f>IFERROR(T365/H365,"")</f>
        <v/>
      </c>
      <c r="V365" s="14" t="n"/>
    </row>
    <row r="366" ht="15" customHeight="1">
      <c r="A366" s="51">
        <f>IF(C366="","",IFERROR(IF(SUMPRODUCT(MAX((tbl_Finance[Job Number]=C366&amp;"")*tbl_Finance[Date]))=0,"",SUMPRODUCT(MAX((tbl_Finance[Job Number]=C366&amp;"")*tbl_Finance[Date]))),""))</f>
        <v/>
      </c>
      <c r="B366" s="15">
        <f>IF(A366="","",IFERROR(LOOKUP(2,1/((tbl_Finance[Job Number]=C366&amp;"")*(tbl_Finance[Date]=A366)),tbl_Finance[Xero Invoice No]),""))</f>
        <v/>
      </c>
      <c r="C366" s="14" t="n"/>
      <c r="D366" s="15">
        <f>IF(C366="","",IF(COUNTIF(lst_Jobs,C366&amp;"")&gt;0,"OK","CHECK"))</f>
        <v/>
      </c>
      <c r="E366" s="15">
        <f>IF(C366="","",IFERROR(INDEX(lst_JobName,MATCH(C366&amp;"",lst_Jobs,0)),""))</f>
        <v/>
      </c>
      <c r="F366" s="15">
        <f>IF(C366="","",IFERROR(INDEX(tbl_Finance[Client],MATCH(C366&amp;"",tbl_Finance[Job Number],0)),""))</f>
        <v/>
      </c>
      <c r="G366" s="52">
        <f>IF(C366="","",COUNTIFS(tbl_Finance[Job Number],C366&amp;"",tbl_Finance[Ex GST],"&lt;&gt;"))</f>
        <v/>
      </c>
      <c r="H366" s="17">
        <f>IF(C366="","",SUMIFS(tbl_Finance[Ex GST],tbl_Finance[Job Number],C366&amp;""))</f>
        <v/>
      </c>
      <c r="I366" s="15">
        <f>IF(C366="","",IFERROR(INDEX(tbl_Finance[Cost Centre],MATCH(C366&amp;"",tbl_Finance[Job Number],0)),"not invoiced yet"))</f>
        <v/>
      </c>
      <c r="J366" s="14" t="n"/>
      <c r="K366" s="15">
        <f>IF(J366="","",HYPERLINK(IF(LEFT(J366,4)="http",J366,set_QwilrBase&amp;J366),"Open quote"))</f>
        <v/>
      </c>
      <c r="L366" s="16" t="n"/>
      <c r="M366" s="16" t="n"/>
      <c r="N366" s="16" t="n"/>
      <c r="O366" s="15">
        <f>IF(C366="","",IF(N(L366)+N(M366)+N(N366)=0,"Not split",IF(ROUND(N(L366)+N(M366)+N(N366),2)=ROUND(H366,2),"OK","MISMATCH")))</f>
        <v/>
      </c>
      <c r="P366" s="16" t="n"/>
      <c r="Q366" s="16" t="n"/>
      <c r="R366" s="16" t="n"/>
      <c r="S366" s="17">
        <f>IF(C366="","",N(P366)+N(Q366)+N(R366))</f>
        <v/>
      </c>
      <c r="T366" s="17">
        <f>IF(C366="","",H366-S366)</f>
        <v/>
      </c>
      <c r="U366" s="54">
        <f>IFERROR(T366/H366,"")</f>
        <v/>
      </c>
      <c r="V366" s="14" t="n"/>
    </row>
    <row r="367" ht="15" customHeight="1">
      <c r="A367" s="51">
        <f>IF(C367="","",IFERROR(IF(SUMPRODUCT(MAX((tbl_Finance[Job Number]=C367&amp;"")*tbl_Finance[Date]))=0,"",SUMPRODUCT(MAX((tbl_Finance[Job Number]=C367&amp;"")*tbl_Finance[Date]))),""))</f>
        <v/>
      </c>
      <c r="B367" s="15">
        <f>IF(A367="","",IFERROR(LOOKUP(2,1/((tbl_Finance[Job Number]=C367&amp;"")*(tbl_Finance[Date]=A367)),tbl_Finance[Xero Invoice No]),""))</f>
        <v/>
      </c>
      <c r="C367" s="14" t="n"/>
      <c r="D367" s="15">
        <f>IF(C367="","",IF(COUNTIF(lst_Jobs,C367&amp;"")&gt;0,"OK","CHECK"))</f>
        <v/>
      </c>
      <c r="E367" s="15">
        <f>IF(C367="","",IFERROR(INDEX(lst_JobName,MATCH(C367&amp;"",lst_Jobs,0)),""))</f>
        <v/>
      </c>
      <c r="F367" s="15">
        <f>IF(C367="","",IFERROR(INDEX(tbl_Finance[Client],MATCH(C367&amp;"",tbl_Finance[Job Number],0)),""))</f>
        <v/>
      </c>
      <c r="G367" s="52">
        <f>IF(C367="","",COUNTIFS(tbl_Finance[Job Number],C367&amp;"",tbl_Finance[Ex GST],"&lt;&gt;"))</f>
        <v/>
      </c>
      <c r="H367" s="17">
        <f>IF(C367="","",SUMIFS(tbl_Finance[Ex GST],tbl_Finance[Job Number],C367&amp;""))</f>
        <v/>
      </c>
      <c r="I367" s="15">
        <f>IF(C367="","",IFERROR(INDEX(tbl_Finance[Cost Centre],MATCH(C367&amp;"",tbl_Finance[Job Number],0)),"not invoiced yet"))</f>
        <v/>
      </c>
      <c r="J367" s="14" t="n"/>
      <c r="K367" s="15">
        <f>IF(J367="","",HYPERLINK(IF(LEFT(J367,4)="http",J367,set_QwilrBase&amp;J367),"Open quote"))</f>
        <v/>
      </c>
      <c r="L367" s="16" t="n"/>
      <c r="M367" s="16" t="n"/>
      <c r="N367" s="16" t="n"/>
      <c r="O367" s="15">
        <f>IF(C367="","",IF(N(L367)+N(M367)+N(N367)=0,"Not split",IF(ROUND(N(L367)+N(M367)+N(N367),2)=ROUND(H367,2),"OK","MISMATCH")))</f>
        <v/>
      </c>
      <c r="P367" s="16" t="n"/>
      <c r="Q367" s="16" t="n"/>
      <c r="R367" s="16" t="n"/>
      <c r="S367" s="17">
        <f>IF(C367="","",N(P367)+N(Q367)+N(R367))</f>
        <v/>
      </c>
      <c r="T367" s="17">
        <f>IF(C367="","",H367-S367)</f>
        <v/>
      </c>
      <c r="U367" s="54">
        <f>IFERROR(T367/H367,"")</f>
        <v/>
      </c>
      <c r="V367" s="14" t="n"/>
    </row>
    <row r="368" ht="15" customHeight="1">
      <c r="A368" s="51">
        <f>IF(C368="","",IFERROR(IF(SUMPRODUCT(MAX((tbl_Finance[Job Number]=C368&amp;"")*tbl_Finance[Date]))=0,"",SUMPRODUCT(MAX((tbl_Finance[Job Number]=C368&amp;"")*tbl_Finance[Date]))),""))</f>
        <v/>
      </c>
      <c r="B368" s="15">
        <f>IF(A368="","",IFERROR(LOOKUP(2,1/((tbl_Finance[Job Number]=C368&amp;"")*(tbl_Finance[Date]=A368)),tbl_Finance[Xero Invoice No]),""))</f>
        <v/>
      </c>
      <c r="C368" s="14" t="n"/>
      <c r="D368" s="15">
        <f>IF(C368="","",IF(COUNTIF(lst_Jobs,C368&amp;"")&gt;0,"OK","CHECK"))</f>
        <v/>
      </c>
      <c r="E368" s="15">
        <f>IF(C368="","",IFERROR(INDEX(lst_JobName,MATCH(C368&amp;"",lst_Jobs,0)),""))</f>
        <v/>
      </c>
      <c r="F368" s="15">
        <f>IF(C368="","",IFERROR(INDEX(tbl_Finance[Client],MATCH(C368&amp;"",tbl_Finance[Job Number],0)),""))</f>
        <v/>
      </c>
      <c r="G368" s="52">
        <f>IF(C368="","",COUNTIFS(tbl_Finance[Job Number],C368&amp;"",tbl_Finance[Ex GST],"&lt;&gt;"))</f>
        <v/>
      </c>
      <c r="H368" s="17">
        <f>IF(C368="","",SUMIFS(tbl_Finance[Ex GST],tbl_Finance[Job Number],C368&amp;""))</f>
        <v/>
      </c>
      <c r="I368" s="15">
        <f>IF(C368="","",IFERROR(INDEX(tbl_Finance[Cost Centre],MATCH(C368&amp;"",tbl_Finance[Job Number],0)),"not invoiced yet"))</f>
        <v/>
      </c>
      <c r="J368" s="14" t="n"/>
      <c r="K368" s="15">
        <f>IF(J368="","",HYPERLINK(IF(LEFT(J368,4)="http",J368,set_QwilrBase&amp;J368),"Open quote"))</f>
        <v/>
      </c>
      <c r="L368" s="16" t="n"/>
      <c r="M368" s="16" t="n"/>
      <c r="N368" s="16" t="n"/>
      <c r="O368" s="15">
        <f>IF(C368="","",IF(N(L368)+N(M368)+N(N368)=0,"Not split",IF(ROUND(N(L368)+N(M368)+N(N368),2)=ROUND(H368,2),"OK","MISMATCH")))</f>
        <v/>
      </c>
      <c r="P368" s="16" t="n"/>
      <c r="Q368" s="16" t="n"/>
      <c r="R368" s="16" t="n"/>
      <c r="S368" s="17">
        <f>IF(C368="","",N(P368)+N(Q368)+N(R368))</f>
        <v/>
      </c>
      <c r="T368" s="17">
        <f>IF(C368="","",H368-S368)</f>
        <v/>
      </c>
      <c r="U368" s="54">
        <f>IFERROR(T368/H368,"")</f>
        <v/>
      </c>
      <c r="V368" s="14" t="n"/>
    </row>
    <row r="369" ht="15" customHeight="1">
      <c r="A369" s="51">
        <f>IF(C369="","",IFERROR(IF(SUMPRODUCT(MAX((tbl_Finance[Job Number]=C369&amp;"")*tbl_Finance[Date]))=0,"",SUMPRODUCT(MAX((tbl_Finance[Job Number]=C369&amp;"")*tbl_Finance[Date]))),""))</f>
        <v/>
      </c>
      <c r="B369" s="15">
        <f>IF(A369="","",IFERROR(LOOKUP(2,1/((tbl_Finance[Job Number]=C369&amp;"")*(tbl_Finance[Date]=A369)),tbl_Finance[Xero Invoice No]),""))</f>
        <v/>
      </c>
      <c r="C369" s="14" t="n"/>
      <c r="D369" s="15">
        <f>IF(C369="","",IF(COUNTIF(lst_Jobs,C369&amp;"")&gt;0,"OK","CHECK"))</f>
        <v/>
      </c>
      <c r="E369" s="15">
        <f>IF(C369="","",IFERROR(INDEX(lst_JobName,MATCH(C369&amp;"",lst_Jobs,0)),""))</f>
        <v/>
      </c>
      <c r="F369" s="15">
        <f>IF(C369="","",IFERROR(INDEX(tbl_Finance[Client],MATCH(C369&amp;"",tbl_Finance[Job Number],0)),""))</f>
        <v/>
      </c>
      <c r="G369" s="52">
        <f>IF(C369="","",COUNTIFS(tbl_Finance[Job Number],C369&amp;"",tbl_Finance[Ex GST],"&lt;&gt;"))</f>
        <v/>
      </c>
      <c r="H369" s="17">
        <f>IF(C369="","",SUMIFS(tbl_Finance[Ex GST],tbl_Finance[Job Number],C369&amp;""))</f>
        <v/>
      </c>
      <c r="I369" s="15">
        <f>IF(C369="","",IFERROR(INDEX(tbl_Finance[Cost Centre],MATCH(C369&amp;"",tbl_Finance[Job Number],0)),"not invoiced yet"))</f>
        <v/>
      </c>
      <c r="J369" s="14" t="n"/>
      <c r="K369" s="15">
        <f>IF(J369="","",HYPERLINK(IF(LEFT(J369,4)="http",J369,set_QwilrBase&amp;J369),"Open quote"))</f>
        <v/>
      </c>
      <c r="L369" s="16" t="n"/>
      <c r="M369" s="16" t="n"/>
      <c r="N369" s="16" t="n"/>
      <c r="O369" s="15">
        <f>IF(C369="","",IF(N(L369)+N(M369)+N(N369)=0,"Not split",IF(ROUND(N(L369)+N(M369)+N(N369),2)=ROUND(H369,2),"OK","MISMATCH")))</f>
        <v/>
      </c>
      <c r="P369" s="16" t="n"/>
      <c r="Q369" s="16" t="n"/>
      <c r="R369" s="16" t="n"/>
      <c r="S369" s="17">
        <f>IF(C369="","",N(P369)+N(Q369)+N(R369))</f>
        <v/>
      </c>
      <c r="T369" s="17">
        <f>IF(C369="","",H369-S369)</f>
        <v/>
      </c>
      <c r="U369" s="54">
        <f>IFERROR(T369/H369,"")</f>
        <v/>
      </c>
      <c r="V369" s="14" t="n"/>
    </row>
    <row r="370" ht="15" customHeight="1">
      <c r="A370" s="51">
        <f>IF(C370="","",IFERROR(IF(SUMPRODUCT(MAX((tbl_Finance[Job Number]=C370&amp;"")*tbl_Finance[Date]))=0,"",SUMPRODUCT(MAX((tbl_Finance[Job Number]=C370&amp;"")*tbl_Finance[Date]))),""))</f>
        <v/>
      </c>
      <c r="B370" s="15">
        <f>IF(A370="","",IFERROR(LOOKUP(2,1/((tbl_Finance[Job Number]=C370&amp;"")*(tbl_Finance[Date]=A370)),tbl_Finance[Xero Invoice No]),""))</f>
        <v/>
      </c>
      <c r="C370" s="14" t="n"/>
      <c r="D370" s="15">
        <f>IF(C370="","",IF(COUNTIF(lst_Jobs,C370&amp;"")&gt;0,"OK","CHECK"))</f>
        <v/>
      </c>
      <c r="E370" s="15">
        <f>IF(C370="","",IFERROR(INDEX(lst_JobName,MATCH(C370&amp;"",lst_Jobs,0)),""))</f>
        <v/>
      </c>
      <c r="F370" s="15">
        <f>IF(C370="","",IFERROR(INDEX(tbl_Finance[Client],MATCH(C370&amp;"",tbl_Finance[Job Number],0)),""))</f>
        <v/>
      </c>
      <c r="G370" s="52">
        <f>IF(C370="","",COUNTIFS(tbl_Finance[Job Number],C370&amp;"",tbl_Finance[Ex GST],"&lt;&gt;"))</f>
        <v/>
      </c>
      <c r="H370" s="17">
        <f>IF(C370="","",SUMIFS(tbl_Finance[Ex GST],tbl_Finance[Job Number],C370&amp;""))</f>
        <v/>
      </c>
      <c r="I370" s="15">
        <f>IF(C370="","",IFERROR(INDEX(tbl_Finance[Cost Centre],MATCH(C370&amp;"",tbl_Finance[Job Number],0)),"not invoiced yet"))</f>
        <v/>
      </c>
      <c r="J370" s="14" t="n"/>
      <c r="K370" s="15">
        <f>IF(J370="","",HYPERLINK(IF(LEFT(J370,4)="http",J370,set_QwilrBase&amp;J370),"Open quote"))</f>
        <v/>
      </c>
      <c r="L370" s="16" t="n"/>
      <c r="M370" s="16" t="n"/>
      <c r="N370" s="16" t="n"/>
      <c r="O370" s="15">
        <f>IF(C370="","",IF(N(L370)+N(M370)+N(N370)=0,"Not split",IF(ROUND(N(L370)+N(M370)+N(N370),2)=ROUND(H370,2),"OK","MISMATCH")))</f>
        <v/>
      </c>
      <c r="P370" s="16" t="n"/>
      <c r="Q370" s="16" t="n"/>
      <c r="R370" s="16" t="n"/>
      <c r="S370" s="17">
        <f>IF(C370="","",N(P370)+N(Q370)+N(R370))</f>
        <v/>
      </c>
      <c r="T370" s="17">
        <f>IF(C370="","",H370-S370)</f>
        <v/>
      </c>
      <c r="U370" s="54">
        <f>IFERROR(T370/H370,"")</f>
        <v/>
      </c>
      <c r="V370" s="14" t="n"/>
    </row>
    <row r="371" ht="15" customHeight="1">
      <c r="A371" s="51">
        <f>IF(C371="","",IFERROR(IF(SUMPRODUCT(MAX((tbl_Finance[Job Number]=C371&amp;"")*tbl_Finance[Date]))=0,"",SUMPRODUCT(MAX((tbl_Finance[Job Number]=C371&amp;"")*tbl_Finance[Date]))),""))</f>
        <v/>
      </c>
      <c r="B371" s="15">
        <f>IF(A371="","",IFERROR(LOOKUP(2,1/((tbl_Finance[Job Number]=C371&amp;"")*(tbl_Finance[Date]=A371)),tbl_Finance[Xero Invoice No]),""))</f>
        <v/>
      </c>
      <c r="C371" s="14" t="n"/>
      <c r="D371" s="15">
        <f>IF(C371="","",IF(COUNTIF(lst_Jobs,C371&amp;"")&gt;0,"OK","CHECK"))</f>
        <v/>
      </c>
      <c r="E371" s="15">
        <f>IF(C371="","",IFERROR(INDEX(lst_JobName,MATCH(C371&amp;"",lst_Jobs,0)),""))</f>
        <v/>
      </c>
      <c r="F371" s="15">
        <f>IF(C371="","",IFERROR(INDEX(tbl_Finance[Client],MATCH(C371&amp;"",tbl_Finance[Job Number],0)),""))</f>
        <v/>
      </c>
      <c r="G371" s="52">
        <f>IF(C371="","",COUNTIFS(tbl_Finance[Job Number],C371&amp;"",tbl_Finance[Ex GST],"&lt;&gt;"))</f>
        <v/>
      </c>
      <c r="H371" s="17">
        <f>IF(C371="","",SUMIFS(tbl_Finance[Ex GST],tbl_Finance[Job Number],C371&amp;""))</f>
        <v/>
      </c>
      <c r="I371" s="15">
        <f>IF(C371="","",IFERROR(INDEX(tbl_Finance[Cost Centre],MATCH(C371&amp;"",tbl_Finance[Job Number],0)),"not invoiced yet"))</f>
        <v/>
      </c>
      <c r="J371" s="14" t="n"/>
      <c r="K371" s="15">
        <f>IF(J371="","",HYPERLINK(IF(LEFT(J371,4)="http",J371,set_QwilrBase&amp;J371),"Open quote"))</f>
        <v/>
      </c>
      <c r="L371" s="16" t="n"/>
      <c r="M371" s="16" t="n"/>
      <c r="N371" s="16" t="n"/>
      <c r="O371" s="15">
        <f>IF(C371="","",IF(N(L371)+N(M371)+N(N371)=0,"Not split",IF(ROUND(N(L371)+N(M371)+N(N371),2)=ROUND(H371,2),"OK","MISMATCH")))</f>
        <v/>
      </c>
      <c r="P371" s="16" t="n"/>
      <c r="Q371" s="16" t="n"/>
      <c r="R371" s="16" t="n"/>
      <c r="S371" s="17">
        <f>IF(C371="","",N(P371)+N(Q371)+N(R371))</f>
        <v/>
      </c>
      <c r="T371" s="17">
        <f>IF(C371="","",H371-S371)</f>
        <v/>
      </c>
      <c r="U371" s="54">
        <f>IFERROR(T371/H371,"")</f>
        <v/>
      </c>
      <c r="V371" s="14" t="n"/>
    </row>
    <row r="372" ht="15" customHeight="1">
      <c r="A372" s="51">
        <f>IF(C372="","",IFERROR(IF(SUMPRODUCT(MAX((tbl_Finance[Job Number]=C372&amp;"")*tbl_Finance[Date]))=0,"",SUMPRODUCT(MAX((tbl_Finance[Job Number]=C372&amp;"")*tbl_Finance[Date]))),""))</f>
        <v/>
      </c>
      <c r="B372" s="15">
        <f>IF(A372="","",IFERROR(LOOKUP(2,1/((tbl_Finance[Job Number]=C372&amp;"")*(tbl_Finance[Date]=A372)),tbl_Finance[Xero Invoice No]),""))</f>
        <v/>
      </c>
      <c r="C372" s="14" t="n"/>
      <c r="D372" s="15">
        <f>IF(C372="","",IF(COUNTIF(lst_Jobs,C372&amp;"")&gt;0,"OK","CHECK"))</f>
        <v/>
      </c>
      <c r="E372" s="15">
        <f>IF(C372="","",IFERROR(INDEX(lst_JobName,MATCH(C372&amp;"",lst_Jobs,0)),""))</f>
        <v/>
      </c>
      <c r="F372" s="15">
        <f>IF(C372="","",IFERROR(INDEX(tbl_Finance[Client],MATCH(C372&amp;"",tbl_Finance[Job Number],0)),""))</f>
        <v/>
      </c>
      <c r="G372" s="52">
        <f>IF(C372="","",COUNTIFS(tbl_Finance[Job Number],C372&amp;"",tbl_Finance[Ex GST],"&lt;&gt;"))</f>
        <v/>
      </c>
      <c r="H372" s="17">
        <f>IF(C372="","",SUMIFS(tbl_Finance[Ex GST],tbl_Finance[Job Number],C372&amp;""))</f>
        <v/>
      </c>
      <c r="I372" s="15">
        <f>IF(C372="","",IFERROR(INDEX(tbl_Finance[Cost Centre],MATCH(C372&amp;"",tbl_Finance[Job Number],0)),"not invoiced yet"))</f>
        <v/>
      </c>
      <c r="J372" s="14" t="n"/>
      <c r="K372" s="15">
        <f>IF(J372="","",HYPERLINK(IF(LEFT(J372,4)="http",J372,set_QwilrBase&amp;J372),"Open quote"))</f>
        <v/>
      </c>
      <c r="L372" s="16" t="n"/>
      <c r="M372" s="16" t="n"/>
      <c r="N372" s="16" t="n"/>
      <c r="O372" s="15">
        <f>IF(C372="","",IF(N(L372)+N(M372)+N(N372)=0,"Not split",IF(ROUND(N(L372)+N(M372)+N(N372),2)=ROUND(H372,2),"OK","MISMATCH")))</f>
        <v/>
      </c>
      <c r="P372" s="16" t="n"/>
      <c r="Q372" s="16" t="n"/>
      <c r="R372" s="16" t="n"/>
      <c r="S372" s="17">
        <f>IF(C372="","",N(P372)+N(Q372)+N(R372))</f>
        <v/>
      </c>
      <c r="T372" s="17">
        <f>IF(C372="","",H372-S372)</f>
        <v/>
      </c>
      <c r="U372" s="54">
        <f>IFERROR(T372/H372,"")</f>
        <v/>
      </c>
      <c r="V372" s="14" t="n"/>
    </row>
    <row r="373" ht="15" customHeight="1">
      <c r="A373" s="51">
        <f>IF(C373="","",IFERROR(IF(SUMPRODUCT(MAX((tbl_Finance[Job Number]=C373&amp;"")*tbl_Finance[Date]))=0,"",SUMPRODUCT(MAX((tbl_Finance[Job Number]=C373&amp;"")*tbl_Finance[Date]))),""))</f>
        <v/>
      </c>
      <c r="B373" s="15">
        <f>IF(A373="","",IFERROR(LOOKUP(2,1/((tbl_Finance[Job Number]=C373&amp;"")*(tbl_Finance[Date]=A373)),tbl_Finance[Xero Invoice No]),""))</f>
        <v/>
      </c>
      <c r="C373" s="14" t="n"/>
      <c r="D373" s="15">
        <f>IF(C373="","",IF(COUNTIF(lst_Jobs,C373&amp;"")&gt;0,"OK","CHECK"))</f>
        <v/>
      </c>
      <c r="E373" s="15">
        <f>IF(C373="","",IFERROR(INDEX(lst_JobName,MATCH(C373&amp;"",lst_Jobs,0)),""))</f>
        <v/>
      </c>
      <c r="F373" s="15">
        <f>IF(C373="","",IFERROR(INDEX(tbl_Finance[Client],MATCH(C373&amp;"",tbl_Finance[Job Number],0)),""))</f>
        <v/>
      </c>
      <c r="G373" s="52">
        <f>IF(C373="","",COUNTIFS(tbl_Finance[Job Number],C373&amp;"",tbl_Finance[Ex GST],"&lt;&gt;"))</f>
        <v/>
      </c>
      <c r="H373" s="17">
        <f>IF(C373="","",SUMIFS(tbl_Finance[Ex GST],tbl_Finance[Job Number],C373&amp;""))</f>
        <v/>
      </c>
      <c r="I373" s="15">
        <f>IF(C373="","",IFERROR(INDEX(tbl_Finance[Cost Centre],MATCH(C373&amp;"",tbl_Finance[Job Number],0)),"not invoiced yet"))</f>
        <v/>
      </c>
      <c r="J373" s="14" t="n"/>
      <c r="K373" s="15">
        <f>IF(J373="","",HYPERLINK(IF(LEFT(J373,4)="http",J373,set_QwilrBase&amp;J373),"Open quote"))</f>
        <v/>
      </c>
      <c r="L373" s="16" t="n"/>
      <c r="M373" s="16" t="n"/>
      <c r="N373" s="16" t="n"/>
      <c r="O373" s="15">
        <f>IF(C373="","",IF(N(L373)+N(M373)+N(N373)=0,"Not split",IF(ROUND(N(L373)+N(M373)+N(N373),2)=ROUND(H373,2),"OK","MISMATCH")))</f>
        <v/>
      </c>
      <c r="P373" s="16" t="n"/>
      <c r="Q373" s="16" t="n"/>
      <c r="R373" s="16" t="n"/>
      <c r="S373" s="17">
        <f>IF(C373="","",N(P373)+N(Q373)+N(R373))</f>
        <v/>
      </c>
      <c r="T373" s="17">
        <f>IF(C373="","",H373-S373)</f>
        <v/>
      </c>
      <c r="U373" s="54">
        <f>IFERROR(T373/H373,"")</f>
        <v/>
      </c>
      <c r="V373" s="14" t="n"/>
    </row>
    <row r="374" ht="15" customHeight="1">
      <c r="A374" s="51">
        <f>IF(C374="","",IFERROR(IF(SUMPRODUCT(MAX((tbl_Finance[Job Number]=C374&amp;"")*tbl_Finance[Date]))=0,"",SUMPRODUCT(MAX((tbl_Finance[Job Number]=C374&amp;"")*tbl_Finance[Date]))),""))</f>
        <v/>
      </c>
      <c r="B374" s="15">
        <f>IF(A374="","",IFERROR(LOOKUP(2,1/((tbl_Finance[Job Number]=C374&amp;"")*(tbl_Finance[Date]=A374)),tbl_Finance[Xero Invoice No]),""))</f>
        <v/>
      </c>
      <c r="C374" s="14" t="n"/>
      <c r="D374" s="15">
        <f>IF(C374="","",IF(COUNTIF(lst_Jobs,C374&amp;"")&gt;0,"OK","CHECK"))</f>
        <v/>
      </c>
      <c r="E374" s="15">
        <f>IF(C374="","",IFERROR(INDEX(lst_JobName,MATCH(C374&amp;"",lst_Jobs,0)),""))</f>
        <v/>
      </c>
      <c r="F374" s="15">
        <f>IF(C374="","",IFERROR(INDEX(tbl_Finance[Client],MATCH(C374&amp;"",tbl_Finance[Job Number],0)),""))</f>
        <v/>
      </c>
      <c r="G374" s="52">
        <f>IF(C374="","",COUNTIFS(tbl_Finance[Job Number],C374&amp;"",tbl_Finance[Ex GST],"&lt;&gt;"))</f>
        <v/>
      </c>
      <c r="H374" s="17">
        <f>IF(C374="","",SUMIFS(tbl_Finance[Ex GST],tbl_Finance[Job Number],C374&amp;""))</f>
        <v/>
      </c>
      <c r="I374" s="15">
        <f>IF(C374="","",IFERROR(INDEX(tbl_Finance[Cost Centre],MATCH(C374&amp;"",tbl_Finance[Job Number],0)),"not invoiced yet"))</f>
        <v/>
      </c>
      <c r="J374" s="14" t="n"/>
      <c r="K374" s="15">
        <f>IF(J374="","",HYPERLINK(IF(LEFT(J374,4)="http",J374,set_QwilrBase&amp;J374),"Open quote"))</f>
        <v/>
      </c>
      <c r="L374" s="16" t="n"/>
      <c r="M374" s="16" t="n"/>
      <c r="N374" s="16" t="n"/>
      <c r="O374" s="15">
        <f>IF(C374="","",IF(N(L374)+N(M374)+N(N374)=0,"Not split",IF(ROUND(N(L374)+N(M374)+N(N374),2)=ROUND(H374,2),"OK","MISMATCH")))</f>
        <v/>
      </c>
      <c r="P374" s="16" t="n"/>
      <c r="Q374" s="16" t="n"/>
      <c r="R374" s="16" t="n"/>
      <c r="S374" s="17">
        <f>IF(C374="","",N(P374)+N(Q374)+N(R374))</f>
        <v/>
      </c>
      <c r="T374" s="17">
        <f>IF(C374="","",H374-S374)</f>
        <v/>
      </c>
      <c r="U374" s="54">
        <f>IFERROR(T374/H374,"")</f>
        <v/>
      </c>
      <c r="V374" s="14" t="n"/>
    </row>
    <row r="375" ht="15" customHeight="1">
      <c r="A375" s="51">
        <f>IF(C375="","",IFERROR(IF(SUMPRODUCT(MAX((tbl_Finance[Job Number]=C375&amp;"")*tbl_Finance[Date]))=0,"",SUMPRODUCT(MAX((tbl_Finance[Job Number]=C375&amp;"")*tbl_Finance[Date]))),""))</f>
        <v/>
      </c>
      <c r="B375" s="15">
        <f>IF(A375="","",IFERROR(LOOKUP(2,1/((tbl_Finance[Job Number]=C375&amp;"")*(tbl_Finance[Date]=A375)),tbl_Finance[Xero Invoice No]),""))</f>
        <v/>
      </c>
      <c r="C375" s="14" t="n"/>
      <c r="D375" s="15">
        <f>IF(C375="","",IF(COUNTIF(lst_Jobs,C375&amp;"")&gt;0,"OK","CHECK"))</f>
        <v/>
      </c>
      <c r="E375" s="15">
        <f>IF(C375="","",IFERROR(INDEX(lst_JobName,MATCH(C375&amp;"",lst_Jobs,0)),""))</f>
        <v/>
      </c>
      <c r="F375" s="15">
        <f>IF(C375="","",IFERROR(INDEX(tbl_Finance[Client],MATCH(C375&amp;"",tbl_Finance[Job Number],0)),""))</f>
        <v/>
      </c>
      <c r="G375" s="52">
        <f>IF(C375="","",COUNTIFS(tbl_Finance[Job Number],C375&amp;"",tbl_Finance[Ex GST],"&lt;&gt;"))</f>
        <v/>
      </c>
      <c r="H375" s="17">
        <f>IF(C375="","",SUMIFS(tbl_Finance[Ex GST],tbl_Finance[Job Number],C375&amp;""))</f>
        <v/>
      </c>
      <c r="I375" s="15">
        <f>IF(C375="","",IFERROR(INDEX(tbl_Finance[Cost Centre],MATCH(C375&amp;"",tbl_Finance[Job Number],0)),"not invoiced yet"))</f>
        <v/>
      </c>
      <c r="J375" s="14" t="n"/>
      <c r="K375" s="15">
        <f>IF(J375="","",HYPERLINK(IF(LEFT(J375,4)="http",J375,set_QwilrBase&amp;J375),"Open quote"))</f>
        <v/>
      </c>
      <c r="L375" s="16" t="n"/>
      <c r="M375" s="16" t="n"/>
      <c r="N375" s="16" t="n"/>
      <c r="O375" s="15">
        <f>IF(C375="","",IF(N(L375)+N(M375)+N(N375)=0,"Not split",IF(ROUND(N(L375)+N(M375)+N(N375),2)=ROUND(H375,2),"OK","MISMATCH")))</f>
        <v/>
      </c>
      <c r="P375" s="16" t="n"/>
      <c r="Q375" s="16" t="n"/>
      <c r="R375" s="16" t="n"/>
      <c r="S375" s="17">
        <f>IF(C375="","",N(P375)+N(Q375)+N(R375))</f>
        <v/>
      </c>
      <c r="T375" s="17">
        <f>IF(C375="","",H375-S375)</f>
        <v/>
      </c>
      <c r="U375" s="54">
        <f>IFERROR(T375/H375,"")</f>
        <v/>
      </c>
      <c r="V375" s="14" t="n"/>
    </row>
    <row r="376" ht="15" customHeight="1">
      <c r="A376" s="51">
        <f>IF(C376="","",IFERROR(IF(SUMPRODUCT(MAX((tbl_Finance[Job Number]=C376&amp;"")*tbl_Finance[Date]))=0,"",SUMPRODUCT(MAX((tbl_Finance[Job Number]=C376&amp;"")*tbl_Finance[Date]))),""))</f>
        <v/>
      </c>
      <c r="B376" s="15">
        <f>IF(A376="","",IFERROR(LOOKUP(2,1/((tbl_Finance[Job Number]=C376&amp;"")*(tbl_Finance[Date]=A376)),tbl_Finance[Xero Invoice No]),""))</f>
        <v/>
      </c>
      <c r="C376" s="14" t="n"/>
      <c r="D376" s="15">
        <f>IF(C376="","",IF(COUNTIF(lst_Jobs,C376&amp;"")&gt;0,"OK","CHECK"))</f>
        <v/>
      </c>
      <c r="E376" s="15">
        <f>IF(C376="","",IFERROR(INDEX(lst_JobName,MATCH(C376&amp;"",lst_Jobs,0)),""))</f>
        <v/>
      </c>
      <c r="F376" s="15">
        <f>IF(C376="","",IFERROR(INDEX(tbl_Finance[Client],MATCH(C376&amp;"",tbl_Finance[Job Number],0)),""))</f>
        <v/>
      </c>
      <c r="G376" s="52">
        <f>IF(C376="","",COUNTIFS(tbl_Finance[Job Number],C376&amp;"",tbl_Finance[Ex GST],"&lt;&gt;"))</f>
        <v/>
      </c>
      <c r="H376" s="17">
        <f>IF(C376="","",SUMIFS(tbl_Finance[Ex GST],tbl_Finance[Job Number],C376&amp;""))</f>
        <v/>
      </c>
      <c r="I376" s="15">
        <f>IF(C376="","",IFERROR(INDEX(tbl_Finance[Cost Centre],MATCH(C376&amp;"",tbl_Finance[Job Number],0)),"not invoiced yet"))</f>
        <v/>
      </c>
      <c r="J376" s="14" t="n"/>
      <c r="K376" s="15">
        <f>IF(J376="","",HYPERLINK(IF(LEFT(J376,4)="http",J376,set_QwilrBase&amp;J376),"Open quote"))</f>
        <v/>
      </c>
      <c r="L376" s="16" t="n"/>
      <c r="M376" s="16" t="n"/>
      <c r="N376" s="16" t="n"/>
      <c r="O376" s="15">
        <f>IF(C376="","",IF(N(L376)+N(M376)+N(N376)=0,"Not split",IF(ROUND(N(L376)+N(M376)+N(N376),2)=ROUND(H376,2),"OK","MISMATCH")))</f>
        <v/>
      </c>
      <c r="P376" s="16" t="n"/>
      <c r="Q376" s="16" t="n"/>
      <c r="R376" s="16" t="n"/>
      <c r="S376" s="17">
        <f>IF(C376="","",N(P376)+N(Q376)+N(R376))</f>
        <v/>
      </c>
      <c r="T376" s="17">
        <f>IF(C376="","",H376-S376)</f>
        <v/>
      </c>
      <c r="U376" s="54">
        <f>IFERROR(T376/H376,"")</f>
        <v/>
      </c>
      <c r="V376" s="14" t="n"/>
    </row>
    <row r="377" ht="15" customHeight="1">
      <c r="A377" s="51">
        <f>IF(C377="","",IFERROR(IF(SUMPRODUCT(MAX((tbl_Finance[Job Number]=C377&amp;"")*tbl_Finance[Date]))=0,"",SUMPRODUCT(MAX((tbl_Finance[Job Number]=C377&amp;"")*tbl_Finance[Date]))),""))</f>
        <v/>
      </c>
      <c r="B377" s="15">
        <f>IF(A377="","",IFERROR(LOOKUP(2,1/((tbl_Finance[Job Number]=C377&amp;"")*(tbl_Finance[Date]=A377)),tbl_Finance[Xero Invoice No]),""))</f>
        <v/>
      </c>
      <c r="C377" s="14" t="n"/>
      <c r="D377" s="15">
        <f>IF(C377="","",IF(COUNTIF(lst_Jobs,C377&amp;"")&gt;0,"OK","CHECK"))</f>
        <v/>
      </c>
      <c r="E377" s="15">
        <f>IF(C377="","",IFERROR(INDEX(lst_JobName,MATCH(C377&amp;"",lst_Jobs,0)),""))</f>
        <v/>
      </c>
      <c r="F377" s="15">
        <f>IF(C377="","",IFERROR(INDEX(tbl_Finance[Client],MATCH(C377&amp;"",tbl_Finance[Job Number],0)),""))</f>
        <v/>
      </c>
      <c r="G377" s="52">
        <f>IF(C377="","",COUNTIFS(tbl_Finance[Job Number],C377&amp;"",tbl_Finance[Ex GST],"&lt;&gt;"))</f>
        <v/>
      </c>
      <c r="H377" s="17">
        <f>IF(C377="","",SUMIFS(tbl_Finance[Ex GST],tbl_Finance[Job Number],C377&amp;""))</f>
        <v/>
      </c>
      <c r="I377" s="15">
        <f>IF(C377="","",IFERROR(INDEX(tbl_Finance[Cost Centre],MATCH(C377&amp;"",tbl_Finance[Job Number],0)),"not invoiced yet"))</f>
        <v/>
      </c>
      <c r="J377" s="14" t="n"/>
      <c r="K377" s="15">
        <f>IF(J377="","",HYPERLINK(IF(LEFT(J377,4)="http",J377,set_QwilrBase&amp;J377),"Open quote"))</f>
        <v/>
      </c>
      <c r="L377" s="16" t="n"/>
      <c r="M377" s="16" t="n"/>
      <c r="N377" s="16" t="n"/>
      <c r="O377" s="15">
        <f>IF(C377="","",IF(N(L377)+N(M377)+N(N377)=0,"Not split",IF(ROUND(N(L377)+N(M377)+N(N377),2)=ROUND(H377,2),"OK","MISMATCH")))</f>
        <v/>
      </c>
      <c r="P377" s="16" t="n"/>
      <c r="Q377" s="16" t="n"/>
      <c r="R377" s="16" t="n"/>
      <c r="S377" s="17">
        <f>IF(C377="","",N(P377)+N(Q377)+N(R377))</f>
        <v/>
      </c>
      <c r="T377" s="17">
        <f>IF(C377="","",H377-S377)</f>
        <v/>
      </c>
      <c r="U377" s="54">
        <f>IFERROR(T377/H377,"")</f>
        <v/>
      </c>
      <c r="V377" s="14" t="n"/>
    </row>
    <row r="378" ht="15" customHeight="1">
      <c r="A378" s="51">
        <f>IF(C378="","",IFERROR(IF(SUMPRODUCT(MAX((tbl_Finance[Job Number]=C378&amp;"")*tbl_Finance[Date]))=0,"",SUMPRODUCT(MAX((tbl_Finance[Job Number]=C378&amp;"")*tbl_Finance[Date]))),""))</f>
        <v/>
      </c>
      <c r="B378" s="15">
        <f>IF(A378="","",IFERROR(LOOKUP(2,1/((tbl_Finance[Job Number]=C378&amp;"")*(tbl_Finance[Date]=A378)),tbl_Finance[Xero Invoice No]),""))</f>
        <v/>
      </c>
      <c r="C378" s="14" t="n"/>
      <c r="D378" s="15">
        <f>IF(C378="","",IF(COUNTIF(lst_Jobs,C378&amp;"")&gt;0,"OK","CHECK"))</f>
        <v/>
      </c>
      <c r="E378" s="15">
        <f>IF(C378="","",IFERROR(INDEX(lst_JobName,MATCH(C378&amp;"",lst_Jobs,0)),""))</f>
        <v/>
      </c>
      <c r="F378" s="15">
        <f>IF(C378="","",IFERROR(INDEX(tbl_Finance[Client],MATCH(C378&amp;"",tbl_Finance[Job Number],0)),""))</f>
        <v/>
      </c>
      <c r="G378" s="52">
        <f>IF(C378="","",COUNTIFS(tbl_Finance[Job Number],C378&amp;"",tbl_Finance[Ex GST],"&lt;&gt;"))</f>
        <v/>
      </c>
      <c r="H378" s="17">
        <f>IF(C378="","",SUMIFS(tbl_Finance[Ex GST],tbl_Finance[Job Number],C378&amp;""))</f>
        <v/>
      </c>
      <c r="I378" s="15">
        <f>IF(C378="","",IFERROR(INDEX(tbl_Finance[Cost Centre],MATCH(C378&amp;"",tbl_Finance[Job Number],0)),"not invoiced yet"))</f>
        <v/>
      </c>
      <c r="J378" s="14" t="n"/>
      <c r="K378" s="15">
        <f>IF(J378="","",HYPERLINK(IF(LEFT(J378,4)="http",J378,set_QwilrBase&amp;J378),"Open quote"))</f>
        <v/>
      </c>
      <c r="L378" s="16" t="n"/>
      <c r="M378" s="16" t="n"/>
      <c r="N378" s="16" t="n"/>
      <c r="O378" s="15">
        <f>IF(C378="","",IF(N(L378)+N(M378)+N(N378)=0,"Not split",IF(ROUND(N(L378)+N(M378)+N(N378),2)=ROUND(H378,2),"OK","MISMATCH")))</f>
        <v/>
      </c>
      <c r="P378" s="16" t="n"/>
      <c r="Q378" s="16" t="n"/>
      <c r="R378" s="16" t="n"/>
      <c r="S378" s="17">
        <f>IF(C378="","",N(P378)+N(Q378)+N(R378))</f>
        <v/>
      </c>
      <c r="T378" s="17">
        <f>IF(C378="","",H378-S378)</f>
        <v/>
      </c>
      <c r="U378" s="54">
        <f>IFERROR(T378/H378,"")</f>
        <v/>
      </c>
      <c r="V378" s="14" t="n"/>
    </row>
    <row r="379" ht="15" customHeight="1">
      <c r="A379" s="51">
        <f>IF(C379="","",IFERROR(IF(SUMPRODUCT(MAX((tbl_Finance[Job Number]=C379&amp;"")*tbl_Finance[Date]))=0,"",SUMPRODUCT(MAX((tbl_Finance[Job Number]=C379&amp;"")*tbl_Finance[Date]))),""))</f>
        <v/>
      </c>
      <c r="B379" s="15">
        <f>IF(A379="","",IFERROR(LOOKUP(2,1/((tbl_Finance[Job Number]=C379&amp;"")*(tbl_Finance[Date]=A379)),tbl_Finance[Xero Invoice No]),""))</f>
        <v/>
      </c>
      <c r="C379" s="14" t="n"/>
      <c r="D379" s="15">
        <f>IF(C379="","",IF(COUNTIF(lst_Jobs,C379&amp;"")&gt;0,"OK","CHECK"))</f>
        <v/>
      </c>
      <c r="E379" s="15">
        <f>IF(C379="","",IFERROR(INDEX(lst_JobName,MATCH(C379&amp;"",lst_Jobs,0)),""))</f>
        <v/>
      </c>
      <c r="F379" s="15">
        <f>IF(C379="","",IFERROR(INDEX(tbl_Finance[Client],MATCH(C379&amp;"",tbl_Finance[Job Number],0)),""))</f>
        <v/>
      </c>
      <c r="G379" s="52">
        <f>IF(C379="","",COUNTIFS(tbl_Finance[Job Number],C379&amp;"",tbl_Finance[Ex GST],"&lt;&gt;"))</f>
        <v/>
      </c>
      <c r="H379" s="17">
        <f>IF(C379="","",SUMIFS(tbl_Finance[Ex GST],tbl_Finance[Job Number],C379&amp;""))</f>
        <v/>
      </c>
      <c r="I379" s="15">
        <f>IF(C379="","",IFERROR(INDEX(tbl_Finance[Cost Centre],MATCH(C379&amp;"",tbl_Finance[Job Number],0)),"not invoiced yet"))</f>
        <v/>
      </c>
      <c r="J379" s="14" t="n"/>
      <c r="K379" s="15">
        <f>IF(J379="","",HYPERLINK(IF(LEFT(J379,4)="http",J379,set_QwilrBase&amp;J379),"Open quote"))</f>
        <v/>
      </c>
      <c r="L379" s="16" t="n"/>
      <c r="M379" s="16" t="n"/>
      <c r="N379" s="16" t="n"/>
      <c r="O379" s="15">
        <f>IF(C379="","",IF(N(L379)+N(M379)+N(N379)=0,"Not split",IF(ROUND(N(L379)+N(M379)+N(N379),2)=ROUND(H379,2),"OK","MISMATCH")))</f>
        <v/>
      </c>
      <c r="P379" s="16" t="n"/>
      <c r="Q379" s="16" t="n"/>
      <c r="R379" s="16" t="n"/>
      <c r="S379" s="17">
        <f>IF(C379="","",N(P379)+N(Q379)+N(R379))</f>
        <v/>
      </c>
      <c r="T379" s="17">
        <f>IF(C379="","",H379-S379)</f>
        <v/>
      </c>
      <c r="U379" s="54">
        <f>IFERROR(T379/H379,"")</f>
        <v/>
      </c>
      <c r="V379" s="14" t="n"/>
    </row>
    <row r="380" ht="15" customHeight="1">
      <c r="A380" s="51">
        <f>IF(C380="","",IFERROR(IF(SUMPRODUCT(MAX((tbl_Finance[Job Number]=C380&amp;"")*tbl_Finance[Date]))=0,"",SUMPRODUCT(MAX((tbl_Finance[Job Number]=C380&amp;"")*tbl_Finance[Date]))),""))</f>
        <v/>
      </c>
      <c r="B380" s="15">
        <f>IF(A380="","",IFERROR(LOOKUP(2,1/((tbl_Finance[Job Number]=C380&amp;"")*(tbl_Finance[Date]=A380)),tbl_Finance[Xero Invoice No]),""))</f>
        <v/>
      </c>
      <c r="C380" s="14" t="n"/>
      <c r="D380" s="15">
        <f>IF(C380="","",IF(COUNTIF(lst_Jobs,C380&amp;"")&gt;0,"OK","CHECK"))</f>
        <v/>
      </c>
      <c r="E380" s="15">
        <f>IF(C380="","",IFERROR(INDEX(lst_JobName,MATCH(C380&amp;"",lst_Jobs,0)),""))</f>
        <v/>
      </c>
      <c r="F380" s="15">
        <f>IF(C380="","",IFERROR(INDEX(tbl_Finance[Client],MATCH(C380&amp;"",tbl_Finance[Job Number],0)),""))</f>
        <v/>
      </c>
      <c r="G380" s="52">
        <f>IF(C380="","",COUNTIFS(tbl_Finance[Job Number],C380&amp;"",tbl_Finance[Ex GST],"&lt;&gt;"))</f>
        <v/>
      </c>
      <c r="H380" s="17">
        <f>IF(C380="","",SUMIFS(tbl_Finance[Ex GST],tbl_Finance[Job Number],C380&amp;""))</f>
        <v/>
      </c>
      <c r="I380" s="15">
        <f>IF(C380="","",IFERROR(INDEX(tbl_Finance[Cost Centre],MATCH(C380&amp;"",tbl_Finance[Job Number],0)),"not invoiced yet"))</f>
        <v/>
      </c>
      <c r="J380" s="14" t="n"/>
      <c r="K380" s="15">
        <f>IF(J380="","",HYPERLINK(IF(LEFT(J380,4)="http",J380,set_QwilrBase&amp;J380),"Open quote"))</f>
        <v/>
      </c>
      <c r="L380" s="16" t="n"/>
      <c r="M380" s="16" t="n"/>
      <c r="N380" s="16" t="n"/>
      <c r="O380" s="15">
        <f>IF(C380="","",IF(N(L380)+N(M380)+N(N380)=0,"Not split",IF(ROUND(N(L380)+N(M380)+N(N380),2)=ROUND(H380,2),"OK","MISMATCH")))</f>
        <v/>
      </c>
      <c r="P380" s="16" t="n"/>
      <c r="Q380" s="16" t="n"/>
      <c r="R380" s="16" t="n"/>
      <c r="S380" s="17">
        <f>IF(C380="","",N(P380)+N(Q380)+N(R380))</f>
        <v/>
      </c>
      <c r="T380" s="17">
        <f>IF(C380="","",H380-S380)</f>
        <v/>
      </c>
      <c r="U380" s="54">
        <f>IFERROR(T380/H380,"")</f>
        <v/>
      </c>
      <c r="V380" s="14" t="n"/>
    </row>
    <row r="381" ht="15" customHeight="1">
      <c r="A381" s="51">
        <f>IF(C381="","",IFERROR(IF(SUMPRODUCT(MAX((tbl_Finance[Job Number]=C381&amp;"")*tbl_Finance[Date]))=0,"",SUMPRODUCT(MAX((tbl_Finance[Job Number]=C381&amp;"")*tbl_Finance[Date]))),""))</f>
        <v/>
      </c>
      <c r="B381" s="15">
        <f>IF(A381="","",IFERROR(LOOKUP(2,1/((tbl_Finance[Job Number]=C381&amp;"")*(tbl_Finance[Date]=A381)),tbl_Finance[Xero Invoice No]),""))</f>
        <v/>
      </c>
      <c r="C381" s="14" t="n"/>
      <c r="D381" s="15">
        <f>IF(C381="","",IF(COUNTIF(lst_Jobs,C381&amp;"")&gt;0,"OK","CHECK"))</f>
        <v/>
      </c>
      <c r="E381" s="15">
        <f>IF(C381="","",IFERROR(INDEX(lst_JobName,MATCH(C381&amp;"",lst_Jobs,0)),""))</f>
        <v/>
      </c>
      <c r="F381" s="15">
        <f>IF(C381="","",IFERROR(INDEX(tbl_Finance[Client],MATCH(C381&amp;"",tbl_Finance[Job Number],0)),""))</f>
        <v/>
      </c>
      <c r="G381" s="52">
        <f>IF(C381="","",COUNTIFS(tbl_Finance[Job Number],C381&amp;"",tbl_Finance[Ex GST],"&lt;&gt;"))</f>
        <v/>
      </c>
      <c r="H381" s="17">
        <f>IF(C381="","",SUMIFS(tbl_Finance[Ex GST],tbl_Finance[Job Number],C381&amp;""))</f>
        <v/>
      </c>
      <c r="I381" s="15">
        <f>IF(C381="","",IFERROR(INDEX(tbl_Finance[Cost Centre],MATCH(C381&amp;"",tbl_Finance[Job Number],0)),"not invoiced yet"))</f>
        <v/>
      </c>
      <c r="J381" s="14" t="n"/>
      <c r="K381" s="15">
        <f>IF(J381="","",HYPERLINK(IF(LEFT(J381,4)="http",J381,set_QwilrBase&amp;J381),"Open quote"))</f>
        <v/>
      </c>
      <c r="L381" s="16" t="n"/>
      <c r="M381" s="16" t="n"/>
      <c r="N381" s="16" t="n"/>
      <c r="O381" s="15">
        <f>IF(C381="","",IF(N(L381)+N(M381)+N(N381)=0,"Not split",IF(ROUND(N(L381)+N(M381)+N(N381),2)=ROUND(H381,2),"OK","MISMATCH")))</f>
        <v/>
      </c>
      <c r="P381" s="16" t="n"/>
      <c r="Q381" s="16" t="n"/>
      <c r="R381" s="16" t="n"/>
      <c r="S381" s="17">
        <f>IF(C381="","",N(P381)+N(Q381)+N(R381))</f>
        <v/>
      </c>
      <c r="T381" s="17">
        <f>IF(C381="","",H381-S381)</f>
        <v/>
      </c>
      <c r="U381" s="54">
        <f>IFERROR(T381/H381,"")</f>
        <v/>
      </c>
      <c r="V381" s="14" t="n"/>
    </row>
    <row r="382" ht="15" customHeight="1">
      <c r="A382" s="51">
        <f>IF(C382="","",IFERROR(IF(SUMPRODUCT(MAX((tbl_Finance[Job Number]=C382&amp;"")*tbl_Finance[Date]))=0,"",SUMPRODUCT(MAX((tbl_Finance[Job Number]=C382&amp;"")*tbl_Finance[Date]))),""))</f>
        <v/>
      </c>
      <c r="B382" s="15">
        <f>IF(A382="","",IFERROR(LOOKUP(2,1/((tbl_Finance[Job Number]=C382&amp;"")*(tbl_Finance[Date]=A382)),tbl_Finance[Xero Invoice No]),""))</f>
        <v/>
      </c>
      <c r="C382" s="14" t="n"/>
      <c r="D382" s="15">
        <f>IF(C382="","",IF(COUNTIF(lst_Jobs,C382&amp;"")&gt;0,"OK","CHECK"))</f>
        <v/>
      </c>
      <c r="E382" s="15">
        <f>IF(C382="","",IFERROR(INDEX(lst_JobName,MATCH(C382&amp;"",lst_Jobs,0)),""))</f>
        <v/>
      </c>
      <c r="F382" s="15">
        <f>IF(C382="","",IFERROR(INDEX(tbl_Finance[Client],MATCH(C382&amp;"",tbl_Finance[Job Number],0)),""))</f>
        <v/>
      </c>
      <c r="G382" s="52">
        <f>IF(C382="","",COUNTIFS(tbl_Finance[Job Number],C382&amp;"",tbl_Finance[Ex GST],"&lt;&gt;"))</f>
        <v/>
      </c>
      <c r="H382" s="17">
        <f>IF(C382="","",SUMIFS(tbl_Finance[Ex GST],tbl_Finance[Job Number],C382&amp;""))</f>
        <v/>
      </c>
      <c r="I382" s="15">
        <f>IF(C382="","",IFERROR(INDEX(tbl_Finance[Cost Centre],MATCH(C382&amp;"",tbl_Finance[Job Number],0)),"not invoiced yet"))</f>
        <v/>
      </c>
      <c r="J382" s="14" t="n"/>
      <c r="K382" s="15">
        <f>IF(J382="","",HYPERLINK(IF(LEFT(J382,4)="http",J382,set_QwilrBase&amp;J382),"Open quote"))</f>
        <v/>
      </c>
      <c r="L382" s="16" t="n"/>
      <c r="M382" s="16" t="n"/>
      <c r="N382" s="16" t="n"/>
      <c r="O382" s="15">
        <f>IF(C382="","",IF(N(L382)+N(M382)+N(N382)=0,"Not split",IF(ROUND(N(L382)+N(M382)+N(N382),2)=ROUND(H382,2),"OK","MISMATCH")))</f>
        <v/>
      </c>
      <c r="P382" s="16" t="n"/>
      <c r="Q382" s="16" t="n"/>
      <c r="R382" s="16" t="n"/>
      <c r="S382" s="17">
        <f>IF(C382="","",N(P382)+N(Q382)+N(R382))</f>
        <v/>
      </c>
      <c r="T382" s="17">
        <f>IF(C382="","",H382-S382)</f>
        <v/>
      </c>
      <c r="U382" s="54">
        <f>IFERROR(T382/H382,"")</f>
        <v/>
      </c>
      <c r="V382" s="14" t="n"/>
    </row>
    <row r="383" ht="15" customHeight="1">
      <c r="A383" s="51">
        <f>IF(C383="","",IFERROR(IF(SUMPRODUCT(MAX((tbl_Finance[Job Number]=C383&amp;"")*tbl_Finance[Date]))=0,"",SUMPRODUCT(MAX((tbl_Finance[Job Number]=C383&amp;"")*tbl_Finance[Date]))),""))</f>
        <v/>
      </c>
      <c r="B383" s="15">
        <f>IF(A383="","",IFERROR(LOOKUP(2,1/((tbl_Finance[Job Number]=C383&amp;"")*(tbl_Finance[Date]=A383)),tbl_Finance[Xero Invoice No]),""))</f>
        <v/>
      </c>
      <c r="C383" s="14" t="n"/>
      <c r="D383" s="15">
        <f>IF(C383="","",IF(COUNTIF(lst_Jobs,C383&amp;"")&gt;0,"OK","CHECK"))</f>
        <v/>
      </c>
      <c r="E383" s="15">
        <f>IF(C383="","",IFERROR(INDEX(lst_JobName,MATCH(C383&amp;"",lst_Jobs,0)),""))</f>
        <v/>
      </c>
      <c r="F383" s="15">
        <f>IF(C383="","",IFERROR(INDEX(tbl_Finance[Client],MATCH(C383&amp;"",tbl_Finance[Job Number],0)),""))</f>
        <v/>
      </c>
      <c r="G383" s="52">
        <f>IF(C383="","",COUNTIFS(tbl_Finance[Job Number],C383&amp;"",tbl_Finance[Ex GST],"&lt;&gt;"))</f>
        <v/>
      </c>
      <c r="H383" s="17">
        <f>IF(C383="","",SUMIFS(tbl_Finance[Ex GST],tbl_Finance[Job Number],C383&amp;""))</f>
        <v/>
      </c>
      <c r="I383" s="15">
        <f>IF(C383="","",IFERROR(INDEX(tbl_Finance[Cost Centre],MATCH(C383&amp;"",tbl_Finance[Job Number],0)),"not invoiced yet"))</f>
        <v/>
      </c>
      <c r="J383" s="14" t="n"/>
      <c r="K383" s="15">
        <f>IF(J383="","",HYPERLINK(IF(LEFT(J383,4)="http",J383,set_QwilrBase&amp;J383),"Open quote"))</f>
        <v/>
      </c>
      <c r="L383" s="16" t="n"/>
      <c r="M383" s="16" t="n"/>
      <c r="N383" s="16" t="n"/>
      <c r="O383" s="15">
        <f>IF(C383="","",IF(N(L383)+N(M383)+N(N383)=0,"Not split",IF(ROUND(N(L383)+N(M383)+N(N383),2)=ROUND(H383,2),"OK","MISMATCH")))</f>
        <v/>
      </c>
      <c r="P383" s="16" t="n"/>
      <c r="Q383" s="16" t="n"/>
      <c r="R383" s="16" t="n"/>
      <c r="S383" s="17">
        <f>IF(C383="","",N(P383)+N(Q383)+N(R383))</f>
        <v/>
      </c>
      <c r="T383" s="17">
        <f>IF(C383="","",H383-S383)</f>
        <v/>
      </c>
      <c r="U383" s="54">
        <f>IFERROR(T383/H383,"")</f>
        <v/>
      </c>
      <c r="V383" s="14" t="n"/>
    </row>
    <row r="384" ht="15" customHeight="1">
      <c r="A384" s="51">
        <f>IF(C384="","",IFERROR(IF(SUMPRODUCT(MAX((tbl_Finance[Job Number]=C384&amp;"")*tbl_Finance[Date]))=0,"",SUMPRODUCT(MAX((tbl_Finance[Job Number]=C384&amp;"")*tbl_Finance[Date]))),""))</f>
        <v/>
      </c>
      <c r="B384" s="15">
        <f>IF(A384="","",IFERROR(LOOKUP(2,1/((tbl_Finance[Job Number]=C384&amp;"")*(tbl_Finance[Date]=A384)),tbl_Finance[Xero Invoice No]),""))</f>
        <v/>
      </c>
      <c r="C384" s="14" t="n"/>
      <c r="D384" s="15">
        <f>IF(C384="","",IF(COUNTIF(lst_Jobs,C384&amp;"")&gt;0,"OK","CHECK"))</f>
        <v/>
      </c>
      <c r="E384" s="15">
        <f>IF(C384="","",IFERROR(INDEX(lst_JobName,MATCH(C384&amp;"",lst_Jobs,0)),""))</f>
        <v/>
      </c>
      <c r="F384" s="15">
        <f>IF(C384="","",IFERROR(INDEX(tbl_Finance[Client],MATCH(C384&amp;"",tbl_Finance[Job Number],0)),""))</f>
        <v/>
      </c>
      <c r="G384" s="52">
        <f>IF(C384="","",COUNTIFS(tbl_Finance[Job Number],C384&amp;"",tbl_Finance[Ex GST],"&lt;&gt;"))</f>
        <v/>
      </c>
      <c r="H384" s="17">
        <f>IF(C384="","",SUMIFS(tbl_Finance[Ex GST],tbl_Finance[Job Number],C384&amp;""))</f>
        <v/>
      </c>
      <c r="I384" s="15">
        <f>IF(C384="","",IFERROR(INDEX(tbl_Finance[Cost Centre],MATCH(C384&amp;"",tbl_Finance[Job Number],0)),"not invoiced yet"))</f>
        <v/>
      </c>
      <c r="J384" s="14" t="n"/>
      <c r="K384" s="15">
        <f>IF(J384="","",HYPERLINK(IF(LEFT(J384,4)="http",J384,set_QwilrBase&amp;J384),"Open quote"))</f>
        <v/>
      </c>
      <c r="L384" s="16" t="n"/>
      <c r="M384" s="16" t="n"/>
      <c r="N384" s="16" t="n"/>
      <c r="O384" s="15">
        <f>IF(C384="","",IF(N(L384)+N(M384)+N(N384)=0,"Not split",IF(ROUND(N(L384)+N(M384)+N(N384),2)=ROUND(H384,2),"OK","MISMATCH")))</f>
        <v/>
      </c>
      <c r="P384" s="16" t="n"/>
      <c r="Q384" s="16" t="n"/>
      <c r="R384" s="16" t="n"/>
      <c r="S384" s="17">
        <f>IF(C384="","",N(P384)+N(Q384)+N(R384))</f>
        <v/>
      </c>
      <c r="T384" s="17">
        <f>IF(C384="","",H384-S384)</f>
        <v/>
      </c>
      <c r="U384" s="54">
        <f>IFERROR(T384/H384,"")</f>
        <v/>
      </c>
      <c r="V384" s="14" t="n"/>
    </row>
    <row r="385" ht="15" customHeight="1">
      <c r="A385" s="51">
        <f>IF(C385="","",IFERROR(IF(SUMPRODUCT(MAX((tbl_Finance[Job Number]=C385&amp;"")*tbl_Finance[Date]))=0,"",SUMPRODUCT(MAX((tbl_Finance[Job Number]=C385&amp;"")*tbl_Finance[Date]))),""))</f>
        <v/>
      </c>
      <c r="B385" s="15">
        <f>IF(A385="","",IFERROR(LOOKUP(2,1/((tbl_Finance[Job Number]=C385&amp;"")*(tbl_Finance[Date]=A385)),tbl_Finance[Xero Invoice No]),""))</f>
        <v/>
      </c>
      <c r="C385" s="14" t="n"/>
      <c r="D385" s="15">
        <f>IF(C385="","",IF(COUNTIF(lst_Jobs,C385&amp;"")&gt;0,"OK","CHECK"))</f>
        <v/>
      </c>
      <c r="E385" s="15">
        <f>IF(C385="","",IFERROR(INDEX(lst_JobName,MATCH(C385&amp;"",lst_Jobs,0)),""))</f>
        <v/>
      </c>
      <c r="F385" s="15">
        <f>IF(C385="","",IFERROR(INDEX(tbl_Finance[Client],MATCH(C385&amp;"",tbl_Finance[Job Number],0)),""))</f>
        <v/>
      </c>
      <c r="G385" s="52">
        <f>IF(C385="","",COUNTIFS(tbl_Finance[Job Number],C385&amp;"",tbl_Finance[Ex GST],"&lt;&gt;"))</f>
        <v/>
      </c>
      <c r="H385" s="17">
        <f>IF(C385="","",SUMIFS(tbl_Finance[Ex GST],tbl_Finance[Job Number],C385&amp;""))</f>
        <v/>
      </c>
      <c r="I385" s="15">
        <f>IF(C385="","",IFERROR(INDEX(tbl_Finance[Cost Centre],MATCH(C385&amp;"",tbl_Finance[Job Number],0)),"not invoiced yet"))</f>
        <v/>
      </c>
      <c r="J385" s="14" t="n"/>
      <c r="K385" s="15">
        <f>IF(J385="","",HYPERLINK(IF(LEFT(J385,4)="http",J385,set_QwilrBase&amp;J385),"Open quote"))</f>
        <v/>
      </c>
      <c r="L385" s="16" t="n"/>
      <c r="M385" s="16" t="n"/>
      <c r="N385" s="16" t="n"/>
      <c r="O385" s="15">
        <f>IF(C385="","",IF(N(L385)+N(M385)+N(N385)=0,"Not split",IF(ROUND(N(L385)+N(M385)+N(N385),2)=ROUND(H385,2),"OK","MISMATCH")))</f>
        <v/>
      </c>
      <c r="P385" s="16" t="n"/>
      <c r="Q385" s="16" t="n"/>
      <c r="R385" s="16" t="n"/>
      <c r="S385" s="17">
        <f>IF(C385="","",N(P385)+N(Q385)+N(R385))</f>
        <v/>
      </c>
      <c r="T385" s="17">
        <f>IF(C385="","",H385-S385)</f>
        <v/>
      </c>
      <c r="U385" s="54">
        <f>IFERROR(T385/H385,"")</f>
        <v/>
      </c>
      <c r="V385" s="14" t="n"/>
    </row>
    <row r="386" ht="15" customHeight="1">
      <c r="A386" s="51">
        <f>IF(C386="","",IFERROR(IF(SUMPRODUCT(MAX((tbl_Finance[Job Number]=C386&amp;"")*tbl_Finance[Date]))=0,"",SUMPRODUCT(MAX((tbl_Finance[Job Number]=C386&amp;"")*tbl_Finance[Date]))),""))</f>
        <v/>
      </c>
      <c r="B386" s="15">
        <f>IF(A386="","",IFERROR(LOOKUP(2,1/((tbl_Finance[Job Number]=C386&amp;"")*(tbl_Finance[Date]=A386)),tbl_Finance[Xero Invoice No]),""))</f>
        <v/>
      </c>
      <c r="C386" s="14" t="n"/>
      <c r="D386" s="15">
        <f>IF(C386="","",IF(COUNTIF(lst_Jobs,C386&amp;"")&gt;0,"OK","CHECK"))</f>
        <v/>
      </c>
      <c r="E386" s="15">
        <f>IF(C386="","",IFERROR(INDEX(lst_JobName,MATCH(C386&amp;"",lst_Jobs,0)),""))</f>
        <v/>
      </c>
      <c r="F386" s="15">
        <f>IF(C386="","",IFERROR(INDEX(tbl_Finance[Client],MATCH(C386&amp;"",tbl_Finance[Job Number],0)),""))</f>
        <v/>
      </c>
      <c r="G386" s="52">
        <f>IF(C386="","",COUNTIFS(tbl_Finance[Job Number],C386&amp;"",tbl_Finance[Ex GST],"&lt;&gt;"))</f>
        <v/>
      </c>
      <c r="H386" s="17">
        <f>IF(C386="","",SUMIFS(tbl_Finance[Ex GST],tbl_Finance[Job Number],C386&amp;""))</f>
        <v/>
      </c>
      <c r="I386" s="15">
        <f>IF(C386="","",IFERROR(INDEX(tbl_Finance[Cost Centre],MATCH(C386&amp;"",tbl_Finance[Job Number],0)),"not invoiced yet"))</f>
        <v/>
      </c>
      <c r="J386" s="14" t="n"/>
      <c r="K386" s="15">
        <f>IF(J386="","",HYPERLINK(IF(LEFT(J386,4)="http",J386,set_QwilrBase&amp;J386),"Open quote"))</f>
        <v/>
      </c>
      <c r="L386" s="16" t="n"/>
      <c r="M386" s="16" t="n"/>
      <c r="N386" s="16" t="n"/>
      <c r="O386" s="15">
        <f>IF(C386="","",IF(N(L386)+N(M386)+N(N386)=0,"Not split",IF(ROUND(N(L386)+N(M386)+N(N386),2)=ROUND(H386,2),"OK","MISMATCH")))</f>
        <v/>
      </c>
      <c r="P386" s="16" t="n"/>
      <c r="Q386" s="16" t="n"/>
      <c r="R386" s="16" t="n"/>
      <c r="S386" s="17">
        <f>IF(C386="","",N(P386)+N(Q386)+N(R386))</f>
        <v/>
      </c>
      <c r="T386" s="17">
        <f>IF(C386="","",H386-S386)</f>
        <v/>
      </c>
      <c r="U386" s="54">
        <f>IFERROR(T386/H386,"")</f>
        <v/>
      </c>
      <c r="V386" s="14" t="n"/>
    </row>
    <row r="387" ht="15" customHeight="1">
      <c r="A387" s="51">
        <f>IF(C387="","",IFERROR(IF(SUMPRODUCT(MAX((tbl_Finance[Job Number]=C387&amp;"")*tbl_Finance[Date]))=0,"",SUMPRODUCT(MAX((tbl_Finance[Job Number]=C387&amp;"")*tbl_Finance[Date]))),""))</f>
        <v/>
      </c>
      <c r="B387" s="15">
        <f>IF(A387="","",IFERROR(LOOKUP(2,1/((tbl_Finance[Job Number]=C387&amp;"")*(tbl_Finance[Date]=A387)),tbl_Finance[Xero Invoice No]),""))</f>
        <v/>
      </c>
      <c r="C387" s="14" t="n"/>
      <c r="D387" s="15">
        <f>IF(C387="","",IF(COUNTIF(lst_Jobs,C387&amp;"")&gt;0,"OK","CHECK"))</f>
        <v/>
      </c>
      <c r="E387" s="15">
        <f>IF(C387="","",IFERROR(INDEX(lst_JobName,MATCH(C387&amp;"",lst_Jobs,0)),""))</f>
        <v/>
      </c>
      <c r="F387" s="15">
        <f>IF(C387="","",IFERROR(INDEX(tbl_Finance[Client],MATCH(C387&amp;"",tbl_Finance[Job Number],0)),""))</f>
        <v/>
      </c>
      <c r="G387" s="52">
        <f>IF(C387="","",COUNTIFS(tbl_Finance[Job Number],C387&amp;"",tbl_Finance[Ex GST],"&lt;&gt;"))</f>
        <v/>
      </c>
      <c r="H387" s="17">
        <f>IF(C387="","",SUMIFS(tbl_Finance[Ex GST],tbl_Finance[Job Number],C387&amp;""))</f>
        <v/>
      </c>
      <c r="I387" s="15">
        <f>IF(C387="","",IFERROR(INDEX(tbl_Finance[Cost Centre],MATCH(C387&amp;"",tbl_Finance[Job Number],0)),"not invoiced yet"))</f>
        <v/>
      </c>
      <c r="J387" s="14" t="n"/>
      <c r="K387" s="15">
        <f>IF(J387="","",HYPERLINK(IF(LEFT(J387,4)="http",J387,set_QwilrBase&amp;J387),"Open quote"))</f>
        <v/>
      </c>
      <c r="L387" s="16" t="n"/>
      <c r="M387" s="16" t="n"/>
      <c r="N387" s="16" t="n"/>
      <c r="O387" s="15">
        <f>IF(C387="","",IF(N(L387)+N(M387)+N(N387)=0,"Not split",IF(ROUND(N(L387)+N(M387)+N(N387),2)=ROUND(H387,2),"OK","MISMATCH")))</f>
        <v/>
      </c>
      <c r="P387" s="16" t="n"/>
      <c r="Q387" s="16" t="n"/>
      <c r="R387" s="16" t="n"/>
      <c r="S387" s="17">
        <f>IF(C387="","",N(P387)+N(Q387)+N(R387))</f>
        <v/>
      </c>
      <c r="T387" s="17">
        <f>IF(C387="","",H387-S387)</f>
        <v/>
      </c>
      <c r="U387" s="54">
        <f>IFERROR(T387/H387,"")</f>
        <v/>
      </c>
      <c r="V387" s="14" t="n"/>
    </row>
    <row r="388" ht="15" customHeight="1">
      <c r="A388" s="51">
        <f>IF(C388="","",IFERROR(IF(SUMPRODUCT(MAX((tbl_Finance[Job Number]=C388&amp;"")*tbl_Finance[Date]))=0,"",SUMPRODUCT(MAX((tbl_Finance[Job Number]=C388&amp;"")*tbl_Finance[Date]))),""))</f>
        <v/>
      </c>
      <c r="B388" s="15">
        <f>IF(A388="","",IFERROR(LOOKUP(2,1/((tbl_Finance[Job Number]=C388&amp;"")*(tbl_Finance[Date]=A388)),tbl_Finance[Xero Invoice No]),""))</f>
        <v/>
      </c>
      <c r="C388" s="14" t="n"/>
      <c r="D388" s="15">
        <f>IF(C388="","",IF(COUNTIF(lst_Jobs,C388&amp;"")&gt;0,"OK","CHECK"))</f>
        <v/>
      </c>
      <c r="E388" s="15">
        <f>IF(C388="","",IFERROR(INDEX(lst_JobName,MATCH(C388&amp;"",lst_Jobs,0)),""))</f>
        <v/>
      </c>
      <c r="F388" s="15">
        <f>IF(C388="","",IFERROR(INDEX(tbl_Finance[Client],MATCH(C388&amp;"",tbl_Finance[Job Number],0)),""))</f>
        <v/>
      </c>
      <c r="G388" s="52">
        <f>IF(C388="","",COUNTIFS(tbl_Finance[Job Number],C388&amp;"",tbl_Finance[Ex GST],"&lt;&gt;"))</f>
        <v/>
      </c>
      <c r="H388" s="17">
        <f>IF(C388="","",SUMIFS(tbl_Finance[Ex GST],tbl_Finance[Job Number],C388&amp;""))</f>
        <v/>
      </c>
      <c r="I388" s="15">
        <f>IF(C388="","",IFERROR(INDEX(tbl_Finance[Cost Centre],MATCH(C388&amp;"",tbl_Finance[Job Number],0)),"not invoiced yet"))</f>
        <v/>
      </c>
      <c r="J388" s="14" t="n"/>
      <c r="K388" s="15">
        <f>IF(J388="","",HYPERLINK(IF(LEFT(J388,4)="http",J388,set_QwilrBase&amp;J388),"Open quote"))</f>
        <v/>
      </c>
      <c r="L388" s="16" t="n"/>
      <c r="M388" s="16" t="n"/>
      <c r="N388" s="16" t="n"/>
      <c r="O388" s="15">
        <f>IF(C388="","",IF(N(L388)+N(M388)+N(N388)=0,"Not split",IF(ROUND(N(L388)+N(M388)+N(N388),2)=ROUND(H388,2),"OK","MISMATCH")))</f>
        <v/>
      </c>
      <c r="P388" s="16" t="n"/>
      <c r="Q388" s="16" t="n"/>
      <c r="R388" s="16" t="n"/>
      <c r="S388" s="17">
        <f>IF(C388="","",N(P388)+N(Q388)+N(R388))</f>
        <v/>
      </c>
      <c r="T388" s="17">
        <f>IF(C388="","",H388-S388)</f>
        <v/>
      </c>
      <c r="U388" s="54">
        <f>IFERROR(T388/H388,"")</f>
        <v/>
      </c>
      <c r="V388" s="14" t="n"/>
    </row>
    <row r="389" ht="15" customHeight="1">
      <c r="A389" s="51">
        <f>IF(C389="","",IFERROR(IF(SUMPRODUCT(MAX((tbl_Finance[Job Number]=C389&amp;"")*tbl_Finance[Date]))=0,"",SUMPRODUCT(MAX((tbl_Finance[Job Number]=C389&amp;"")*tbl_Finance[Date]))),""))</f>
        <v/>
      </c>
      <c r="B389" s="15">
        <f>IF(A389="","",IFERROR(LOOKUP(2,1/((tbl_Finance[Job Number]=C389&amp;"")*(tbl_Finance[Date]=A389)),tbl_Finance[Xero Invoice No]),""))</f>
        <v/>
      </c>
      <c r="C389" s="14" t="n"/>
      <c r="D389" s="15">
        <f>IF(C389="","",IF(COUNTIF(lst_Jobs,C389&amp;"")&gt;0,"OK","CHECK"))</f>
        <v/>
      </c>
      <c r="E389" s="15">
        <f>IF(C389="","",IFERROR(INDEX(lst_JobName,MATCH(C389&amp;"",lst_Jobs,0)),""))</f>
        <v/>
      </c>
      <c r="F389" s="15">
        <f>IF(C389="","",IFERROR(INDEX(tbl_Finance[Client],MATCH(C389&amp;"",tbl_Finance[Job Number],0)),""))</f>
        <v/>
      </c>
      <c r="G389" s="52">
        <f>IF(C389="","",COUNTIFS(tbl_Finance[Job Number],C389&amp;"",tbl_Finance[Ex GST],"&lt;&gt;"))</f>
        <v/>
      </c>
      <c r="H389" s="17">
        <f>IF(C389="","",SUMIFS(tbl_Finance[Ex GST],tbl_Finance[Job Number],C389&amp;""))</f>
        <v/>
      </c>
      <c r="I389" s="15">
        <f>IF(C389="","",IFERROR(INDEX(tbl_Finance[Cost Centre],MATCH(C389&amp;"",tbl_Finance[Job Number],0)),"not invoiced yet"))</f>
        <v/>
      </c>
      <c r="J389" s="14" t="n"/>
      <c r="K389" s="15">
        <f>IF(J389="","",HYPERLINK(IF(LEFT(J389,4)="http",J389,set_QwilrBase&amp;J389),"Open quote"))</f>
        <v/>
      </c>
      <c r="L389" s="16" t="n"/>
      <c r="M389" s="16" t="n"/>
      <c r="N389" s="16" t="n"/>
      <c r="O389" s="15">
        <f>IF(C389="","",IF(N(L389)+N(M389)+N(N389)=0,"Not split",IF(ROUND(N(L389)+N(M389)+N(N389),2)=ROUND(H389,2),"OK","MISMATCH")))</f>
        <v/>
      </c>
      <c r="P389" s="16" t="n"/>
      <c r="Q389" s="16" t="n"/>
      <c r="R389" s="16" t="n"/>
      <c r="S389" s="17">
        <f>IF(C389="","",N(P389)+N(Q389)+N(R389))</f>
        <v/>
      </c>
      <c r="T389" s="17">
        <f>IF(C389="","",H389-S389)</f>
        <v/>
      </c>
      <c r="U389" s="54">
        <f>IFERROR(T389/H389,"")</f>
        <v/>
      </c>
      <c r="V389" s="14" t="n"/>
    </row>
    <row r="390" ht="15" customHeight="1">
      <c r="A390" s="51">
        <f>IF(C390="","",IFERROR(IF(SUMPRODUCT(MAX((tbl_Finance[Job Number]=C390&amp;"")*tbl_Finance[Date]))=0,"",SUMPRODUCT(MAX((tbl_Finance[Job Number]=C390&amp;"")*tbl_Finance[Date]))),""))</f>
        <v/>
      </c>
      <c r="B390" s="15">
        <f>IF(A390="","",IFERROR(LOOKUP(2,1/((tbl_Finance[Job Number]=C390&amp;"")*(tbl_Finance[Date]=A390)),tbl_Finance[Xero Invoice No]),""))</f>
        <v/>
      </c>
      <c r="C390" s="14" t="n"/>
      <c r="D390" s="15">
        <f>IF(C390="","",IF(COUNTIF(lst_Jobs,C390&amp;"")&gt;0,"OK","CHECK"))</f>
        <v/>
      </c>
      <c r="E390" s="15">
        <f>IF(C390="","",IFERROR(INDEX(lst_JobName,MATCH(C390&amp;"",lst_Jobs,0)),""))</f>
        <v/>
      </c>
      <c r="F390" s="15">
        <f>IF(C390="","",IFERROR(INDEX(tbl_Finance[Client],MATCH(C390&amp;"",tbl_Finance[Job Number],0)),""))</f>
        <v/>
      </c>
      <c r="G390" s="52">
        <f>IF(C390="","",COUNTIFS(tbl_Finance[Job Number],C390&amp;"",tbl_Finance[Ex GST],"&lt;&gt;"))</f>
        <v/>
      </c>
      <c r="H390" s="17">
        <f>IF(C390="","",SUMIFS(tbl_Finance[Ex GST],tbl_Finance[Job Number],C390&amp;""))</f>
        <v/>
      </c>
      <c r="I390" s="15">
        <f>IF(C390="","",IFERROR(INDEX(tbl_Finance[Cost Centre],MATCH(C390&amp;"",tbl_Finance[Job Number],0)),"not invoiced yet"))</f>
        <v/>
      </c>
      <c r="J390" s="14" t="n"/>
      <c r="K390" s="15">
        <f>IF(J390="","",HYPERLINK(IF(LEFT(J390,4)="http",J390,set_QwilrBase&amp;J390),"Open quote"))</f>
        <v/>
      </c>
      <c r="L390" s="16" t="n"/>
      <c r="M390" s="16" t="n"/>
      <c r="N390" s="16" t="n"/>
      <c r="O390" s="15">
        <f>IF(C390="","",IF(N(L390)+N(M390)+N(N390)=0,"Not split",IF(ROUND(N(L390)+N(M390)+N(N390),2)=ROUND(H390,2),"OK","MISMATCH")))</f>
        <v/>
      </c>
      <c r="P390" s="16" t="n"/>
      <c r="Q390" s="16" t="n"/>
      <c r="R390" s="16" t="n"/>
      <c r="S390" s="17">
        <f>IF(C390="","",N(P390)+N(Q390)+N(R390))</f>
        <v/>
      </c>
      <c r="T390" s="17">
        <f>IF(C390="","",H390-S390)</f>
        <v/>
      </c>
      <c r="U390" s="54">
        <f>IFERROR(T390/H390,"")</f>
        <v/>
      </c>
      <c r="V390" s="14" t="n"/>
    </row>
    <row r="391" ht="15" customHeight="1">
      <c r="A391" s="51">
        <f>IF(C391="","",IFERROR(IF(SUMPRODUCT(MAX((tbl_Finance[Job Number]=C391&amp;"")*tbl_Finance[Date]))=0,"",SUMPRODUCT(MAX((tbl_Finance[Job Number]=C391&amp;"")*tbl_Finance[Date]))),""))</f>
        <v/>
      </c>
      <c r="B391" s="15">
        <f>IF(A391="","",IFERROR(LOOKUP(2,1/((tbl_Finance[Job Number]=C391&amp;"")*(tbl_Finance[Date]=A391)),tbl_Finance[Xero Invoice No]),""))</f>
        <v/>
      </c>
      <c r="C391" s="14" t="n"/>
      <c r="D391" s="15">
        <f>IF(C391="","",IF(COUNTIF(lst_Jobs,C391&amp;"")&gt;0,"OK","CHECK"))</f>
        <v/>
      </c>
      <c r="E391" s="15">
        <f>IF(C391="","",IFERROR(INDEX(lst_JobName,MATCH(C391&amp;"",lst_Jobs,0)),""))</f>
        <v/>
      </c>
      <c r="F391" s="15">
        <f>IF(C391="","",IFERROR(INDEX(tbl_Finance[Client],MATCH(C391&amp;"",tbl_Finance[Job Number],0)),""))</f>
        <v/>
      </c>
      <c r="G391" s="52">
        <f>IF(C391="","",COUNTIFS(tbl_Finance[Job Number],C391&amp;"",tbl_Finance[Ex GST],"&lt;&gt;"))</f>
        <v/>
      </c>
      <c r="H391" s="17">
        <f>IF(C391="","",SUMIFS(tbl_Finance[Ex GST],tbl_Finance[Job Number],C391&amp;""))</f>
        <v/>
      </c>
      <c r="I391" s="15">
        <f>IF(C391="","",IFERROR(INDEX(tbl_Finance[Cost Centre],MATCH(C391&amp;"",tbl_Finance[Job Number],0)),"not invoiced yet"))</f>
        <v/>
      </c>
      <c r="J391" s="14" t="n"/>
      <c r="K391" s="15">
        <f>IF(J391="","",HYPERLINK(IF(LEFT(J391,4)="http",J391,set_QwilrBase&amp;J391),"Open quote"))</f>
        <v/>
      </c>
      <c r="L391" s="16" t="n"/>
      <c r="M391" s="16" t="n"/>
      <c r="N391" s="16" t="n"/>
      <c r="O391" s="15">
        <f>IF(C391="","",IF(N(L391)+N(M391)+N(N391)=0,"Not split",IF(ROUND(N(L391)+N(M391)+N(N391),2)=ROUND(H391,2),"OK","MISMATCH")))</f>
        <v/>
      </c>
      <c r="P391" s="16" t="n"/>
      <c r="Q391" s="16" t="n"/>
      <c r="R391" s="16" t="n"/>
      <c r="S391" s="17">
        <f>IF(C391="","",N(P391)+N(Q391)+N(R391))</f>
        <v/>
      </c>
      <c r="T391" s="17">
        <f>IF(C391="","",H391-S391)</f>
        <v/>
      </c>
      <c r="U391" s="54">
        <f>IFERROR(T391/H391,"")</f>
        <v/>
      </c>
      <c r="V391" s="14" t="n"/>
    </row>
    <row r="392" ht="15" customHeight="1">
      <c r="A392" s="51">
        <f>IF(C392="","",IFERROR(IF(SUMPRODUCT(MAX((tbl_Finance[Job Number]=C392&amp;"")*tbl_Finance[Date]))=0,"",SUMPRODUCT(MAX((tbl_Finance[Job Number]=C392&amp;"")*tbl_Finance[Date]))),""))</f>
        <v/>
      </c>
      <c r="B392" s="15">
        <f>IF(A392="","",IFERROR(LOOKUP(2,1/((tbl_Finance[Job Number]=C392&amp;"")*(tbl_Finance[Date]=A392)),tbl_Finance[Xero Invoice No]),""))</f>
        <v/>
      </c>
      <c r="C392" s="14" t="n"/>
      <c r="D392" s="15">
        <f>IF(C392="","",IF(COUNTIF(lst_Jobs,C392&amp;"")&gt;0,"OK","CHECK"))</f>
        <v/>
      </c>
      <c r="E392" s="15">
        <f>IF(C392="","",IFERROR(INDEX(lst_JobName,MATCH(C392&amp;"",lst_Jobs,0)),""))</f>
        <v/>
      </c>
      <c r="F392" s="15">
        <f>IF(C392="","",IFERROR(INDEX(tbl_Finance[Client],MATCH(C392&amp;"",tbl_Finance[Job Number],0)),""))</f>
        <v/>
      </c>
      <c r="G392" s="52">
        <f>IF(C392="","",COUNTIFS(tbl_Finance[Job Number],C392&amp;"",tbl_Finance[Ex GST],"&lt;&gt;"))</f>
        <v/>
      </c>
      <c r="H392" s="17">
        <f>IF(C392="","",SUMIFS(tbl_Finance[Ex GST],tbl_Finance[Job Number],C392&amp;""))</f>
        <v/>
      </c>
      <c r="I392" s="15">
        <f>IF(C392="","",IFERROR(INDEX(tbl_Finance[Cost Centre],MATCH(C392&amp;"",tbl_Finance[Job Number],0)),"not invoiced yet"))</f>
        <v/>
      </c>
      <c r="J392" s="14" t="n"/>
      <c r="K392" s="15">
        <f>IF(J392="","",HYPERLINK(IF(LEFT(J392,4)="http",J392,set_QwilrBase&amp;J392),"Open quote"))</f>
        <v/>
      </c>
      <c r="L392" s="16" t="n"/>
      <c r="M392" s="16" t="n"/>
      <c r="N392" s="16" t="n"/>
      <c r="O392" s="15">
        <f>IF(C392="","",IF(N(L392)+N(M392)+N(N392)=0,"Not split",IF(ROUND(N(L392)+N(M392)+N(N392),2)=ROUND(H392,2),"OK","MISMATCH")))</f>
        <v/>
      </c>
      <c r="P392" s="16" t="n"/>
      <c r="Q392" s="16" t="n"/>
      <c r="R392" s="16" t="n"/>
      <c r="S392" s="17">
        <f>IF(C392="","",N(P392)+N(Q392)+N(R392))</f>
        <v/>
      </c>
      <c r="T392" s="17">
        <f>IF(C392="","",H392-S392)</f>
        <v/>
      </c>
      <c r="U392" s="54">
        <f>IFERROR(T392/H392,"")</f>
        <v/>
      </c>
      <c r="V392" s="14" t="n"/>
    </row>
    <row r="393" ht="15" customHeight="1">
      <c r="A393" s="51">
        <f>IF(C393="","",IFERROR(IF(SUMPRODUCT(MAX((tbl_Finance[Job Number]=C393&amp;"")*tbl_Finance[Date]))=0,"",SUMPRODUCT(MAX((tbl_Finance[Job Number]=C393&amp;"")*tbl_Finance[Date]))),""))</f>
        <v/>
      </c>
      <c r="B393" s="15">
        <f>IF(A393="","",IFERROR(LOOKUP(2,1/((tbl_Finance[Job Number]=C393&amp;"")*(tbl_Finance[Date]=A393)),tbl_Finance[Xero Invoice No]),""))</f>
        <v/>
      </c>
      <c r="C393" s="14" t="n"/>
      <c r="D393" s="15">
        <f>IF(C393="","",IF(COUNTIF(lst_Jobs,C393&amp;"")&gt;0,"OK","CHECK"))</f>
        <v/>
      </c>
      <c r="E393" s="15">
        <f>IF(C393="","",IFERROR(INDEX(lst_JobName,MATCH(C393&amp;"",lst_Jobs,0)),""))</f>
        <v/>
      </c>
      <c r="F393" s="15">
        <f>IF(C393="","",IFERROR(INDEX(tbl_Finance[Client],MATCH(C393&amp;"",tbl_Finance[Job Number],0)),""))</f>
        <v/>
      </c>
      <c r="G393" s="52">
        <f>IF(C393="","",COUNTIFS(tbl_Finance[Job Number],C393&amp;"",tbl_Finance[Ex GST],"&lt;&gt;"))</f>
        <v/>
      </c>
      <c r="H393" s="17">
        <f>IF(C393="","",SUMIFS(tbl_Finance[Ex GST],tbl_Finance[Job Number],C393&amp;""))</f>
        <v/>
      </c>
      <c r="I393" s="15">
        <f>IF(C393="","",IFERROR(INDEX(tbl_Finance[Cost Centre],MATCH(C393&amp;"",tbl_Finance[Job Number],0)),"not invoiced yet"))</f>
        <v/>
      </c>
      <c r="J393" s="14" t="n"/>
      <c r="K393" s="15">
        <f>IF(J393="","",HYPERLINK(IF(LEFT(J393,4)="http",J393,set_QwilrBase&amp;J393),"Open quote"))</f>
        <v/>
      </c>
      <c r="L393" s="16" t="n"/>
      <c r="M393" s="16" t="n"/>
      <c r="N393" s="16" t="n"/>
      <c r="O393" s="15">
        <f>IF(C393="","",IF(N(L393)+N(M393)+N(N393)=0,"Not split",IF(ROUND(N(L393)+N(M393)+N(N393),2)=ROUND(H393,2),"OK","MISMATCH")))</f>
        <v/>
      </c>
      <c r="P393" s="16" t="n"/>
      <c r="Q393" s="16" t="n"/>
      <c r="R393" s="16" t="n"/>
      <c r="S393" s="17">
        <f>IF(C393="","",N(P393)+N(Q393)+N(R393))</f>
        <v/>
      </c>
      <c r="T393" s="17">
        <f>IF(C393="","",H393-S393)</f>
        <v/>
      </c>
      <c r="U393" s="54">
        <f>IFERROR(T393/H393,"")</f>
        <v/>
      </c>
      <c r="V393" s="14" t="n"/>
    </row>
    <row r="394" ht="15" customHeight="1">
      <c r="A394" s="51">
        <f>IF(C394="","",IFERROR(IF(SUMPRODUCT(MAX((tbl_Finance[Job Number]=C394&amp;"")*tbl_Finance[Date]))=0,"",SUMPRODUCT(MAX((tbl_Finance[Job Number]=C394&amp;"")*tbl_Finance[Date]))),""))</f>
        <v/>
      </c>
      <c r="B394" s="15">
        <f>IF(A394="","",IFERROR(LOOKUP(2,1/((tbl_Finance[Job Number]=C394&amp;"")*(tbl_Finance[Date]=A394)),tbl_Finance[Xero Invoice No]),""))</f>
        <v/>
      </c>
      <c r="C394" s="14" t="n"/>
      <c r="D394" s="15">
        <f>IF(C394="","",IF(COUNTIF(lst_Jobs,C394&amp;"")&gt;0,"OK","CHECK"))</f>
        <v/>
      </c>
      <c r="E394" s="15">
        <f>IF(C394="","",IFERROR(INDEX(lst_JobName,MATCH(C394&amp;"",lst_Jobs,0)),""))</f>
        <v/>
      </c>
      <c r="F394" s="15">
        <f>IF(C394="","",IFERROR(INDEX(tbl_Finance[Client],MATCH(C394&amp;"",tbl_Finance[Job Number],0)),""))</f>
        <v/>
      </c>
      <c r="G394" s="52">
        <f>IF(C394="","",COUNTIFS(tbl_Finance[Job Number],C394&amp;"",tbl_Finance[Ex GST],"&lt;&gt;"))</f>
        <v/>
      </c>
      <c r="H394" s="17">
        <f>IF(C394="","",SUMIFS(tbl_Finance[Ex GST],tbl_Finance[Job Number],C394&amp;""))</f>
        <v/>
      </c>
      <c r="I394" s="15">
        <f>IF(C394="","",IFERROR(INDEX(tbl_Finance[Cost Centre],MATCH(C394&amp;"",tbl_Finance[Job Number],0)),"not invoiced yet"))</f>
        <v/>
      </c>
      <c r="J394" s="14" t="n"/>
      <c r="K394" s="15">
        <f>IF(J394="","",HYPERLINK(IF(LEFT(J394,4)="http",J394,set_QwilrBase&amp;J394),"Open quote"))</f>
        <v/>
      </c>
      <c r="L394" s="16" t="n"/>
      <c r="M394" s="16" t="n"/>
      <c r="N394" s="16" t="n"/>
      <c r="O394" s="15">
        <f>IF(C394="","",IF(N(L394)+N(M394)+N(N394)=0,"Not split",IF(ROUND(N(L394)+N(M394)+N(N394),2)=ROUND(H394,2),"OK","MISMATCH")))</f>
        <v/>
      </c>
      <c r="P394" s="16" t="n"/>
      <c r="Q394" s="16" t="n"/>
      <c r="R394" s="16" t="n"/>
      <c r="S394" s="17">
        <f>IF(C394="","",N(P394)+N(Q394)+N(R394))</f>
        <v/>
      </c>
      <c r="T394" s="17">
        <f>IF(C394="","",H394-S394)</f>
        <v/>
      </c>
      <c r="U394" s="54">
        <f>IFERROR(T394/H394,"")</f>
        <v/>
      </c>
      <c r="V394" s="14" t="n"/>
    </row>
    <row r="395" ht="15" customHeight="1">
      <c r="A395" s="51">
        <f>IF(C395="","",IFERROR(IF(SUMPRODUCT(MAX((tbl_Finance[Job Number]=C395&amp;"")*tbl_Finance[Date]))=0,"",SUMPRODUCT(MAX((tbl_Finance[Job Number]=C395&amp;"")*tbl_Finance[Date]))),""))</f>
        <v/>
      </c>
      <c r="B395" s="15">
        <f>IF(A395="","",IFERROR(LOOKUP(2,1/((tbl_Finance[Job Number]=C395&amp;"")*(tbl_Finance[Date]=A395)),tbl_Finance[Xero Invoice No]),""))</f>
        <v/>
      </c>
      <c r="C395" s="14" t="n"/>
      <c r="D395" s="15">
        <f>IF(C395="","",IF(COUNTIF(lst_Jobs,C395&amp;"")&gt;0,"OK","CHECK"))</f>
        <v/>
      </c>
      <c r="E395" s="15">
        <f>IF(C395="","",IFERROR(INDEX(lst_JobName,MATCH(C395&amp;"",lst_Jobs,0)),""))</f>
        <v/>
      </c>
      <c r="F395" s="15">
        <f>IF(C395="","",IFERROR(INDEX(tbl_Finance[Client],MATCH(C395&amp;"",tbl_Finance[Job Number],0)),""))</f>
        <v/>
      </c>
      <c r="G395" s="52">
        <f>IF(C395="","",COUNTIFS(tbl_Finance[Job Number],C395&amp;"",tbl_Finance[Ex GST],"&lt;&gt;"))</f>
        <v/>
      </c>
      <c r="H395" s="17">
        <f>IF(C395="","",SUMIFS(tbl_Finance[Ex GST],tbl_Finance[Job Number],C395&amp;""))</f>
        <v/>
      </c>
      <c r="I395" s="15">
        <f>IF(C395="","",IFERROR(INDEX(tbl_Finance[Cost Centre],MATCH(C395&amp;"",tbl_Finance[Job Number],0)),"not invoiced yet"))</f>
        <v/>
      </c>
      <c r="J395" s="14" t="n"/>
      <c r="K395" s="15">
        <f>IF(J395="","",HYPERLINK(IF(LEFT(J395,4)="http",J395,set_QwilrBase&amp;J395),"Open quote"))</f>
        <v/>
      </c>
      <c r="L395" s="16" t="n"/>
      <c r="M395" s="16" t="n"/>
      <c r="N395" s="16" t="n"/>
      <c r="O395" s="15">
        <f>IF(C395="","",IF(N(L395)+N(M395)+N(N395)=0,"Not split",IF(ROUND(N(L395)+N(M395)+N(N395),2)=ROUND(H395,2),"OK","MISMATCH")))</f>
        <v/>
      </c>
      <c r="P395" s="16" t="n"/>
      <c r="Q395" s="16" t="n"/>
      <c r="R395" s="16" t="n"/>
      <c r="S395" s="17">
        <f>IF(C395="","",N(P395)+N(Q395)+N(R395))</f>
        <v/>
      </c>
      <c r="T395" s="17">
        <f>IF(C395="","",H395-S395)</f>
        <v/>
      </c>
      <c r="U395" s="54">
        <f>IFERROR(T395/H395,"")</f>
        <v/>
      </c>
      <c r="V395" s="14" t="n"/>
    </row>
    <row r="396" ht="15" customHeight="1">
      <c r="A396" s="51">
        <f>IF(C396="","",IFERROR(IF(SUMPRODUCT(MAX((tbl_Finance[Job Number]=C396&amp;"")*tbl_Finance[Date]))=0,"",SUMPRODUCT(MAX((tbl_Finance[Job Number]=C396&amp;"")*tbl_Finance[Date]))),""))</f>
        <v/>
      </c>
      <c r="B396" s="15">
        <f>IF(A396="","",IFERROR(LOOKUP(2,1/((tbl_Finance[Job Number]=C396&amp;"")*(tbl_Finance[Date]=A396)),tbl_Finance[Xero Invoice No]),""))</f>
        <v/>
      </c>
      <c r="C396" s="14" t="n"/>
      <c r="D396" s="15">
        <f>IF(C396="","",IF(COUNTIF(lst_Jobs,C396&amp;"")&gt;0,"OK","CHECK"))</f>
        <v/>
      </c>
      <c r="E396" s="15">
        <f>IF(C396="","",IFERROR(INDEX(lst_JobName,MATCH(C396&amp;"",lst_Jobs,0)),""))</f>
        <v/>
      </c>
      <c r="F396" s="15">
        <f>IF(C396="","",IFERROR(INDEX(tbl_Finance[Client],MATCH(C396&amp;"",tbl_Finance[Job Number],0)),""))</f>
        <v/>
      </c>
      <c r="G396" s="52">
        <f>IF(C396="","",COUNTIFS(tbl_Finance[Job Number],C396&amp;"",tbl_Finance[Ex GST],"&lt;&gt;"))</f>
        <v/>
      </c>
      <c r="H396" s="17">
        <f>IF(C396="","",SUMIFS(tbl_Finance[Ex GST],tbl_Finance[Job Number],C396&amp;""))</f>
        <v/>
      </c>
      <c r="I396" s="15">
        <f>IF(C396="","",IFERROR(INDEX(tbl_Finance[Cost Centre],MATCH(C396&amp;"",tbl_Finance[Job Number],0)),"not invoiced yet"))</f>
        <v/>
      </c>
      <c r="J396" s="14" t="n"/>
      <c r="K396" s="15">
        <f>IF(J396="","",HYPERLINK(IF(LEFT(J396,4)="http",J396,set_QwilrBase&amp;J396),"Open quote"))</f>
        <v/>
      </c>
      <c r="L396" s="16" t="n"/>
      <c r="M396" s="16" t="n"/>
      <c r="N396" s="16" t="n"/>
      <c r="O396" s="15">
        <f>IF(C396="","",IF(N(L396)+N(M396)+N(N396)=0,"Not split",IF(ROUND(N(L396)+N(M396)+N(N396),2)=ROUND(H396,2),"OK","MISMATCH")))</f>
        <v/>
      </c>
      <c r="P396" s="16" t="n"/>
      <c r="Q396" s="16" t="n"/>
      <c r="R396" s="16" t="n"/>
      <c r="S396" s="17">
        <f>IF(C396="","",N(P396)+N(Q396)+N(R396))</f>
        <v/>
      </c>
      <c r="T396" s="17">
        <f>IF(C396="","",H396-S396)</f>
        <v/>
      </c>
      <c r="U396" s="54">
        <f>IFERROR(T396/H396,"")</f>
        <v/>
      </c>
      <c r="V396" s="14" t="n"/>
    </row>
    <row r="397" ht="15" customHeight="1">
      <c r="A397" s="51">
        <f>IF(C397="","",IFERROR(IF(SUMPRODUCT(MAX((tbl_Finance[Job Number]=C397&amp;"")*tbl_Finance[Date]))=0,"",SUMPRODUCT(MAX((tbl_Finance[Job Number]=C397&amp;"")*tbl_Finance[Date]))),""))</f>
        <v/>
      </c>
      <c r="B397" s="15">
        <f>IF(A397="","",IFERROR(LOOKUP(2,1/((tbl_Finance[Job Number]=C397&amp;"")*(tbl_Finance[Date]=A397)),tbl_Finance[Xero Invoice No]),""))</f>
        <v/>
      </c>
      <c r="C397" s="14" t="n"/>
      <c r="D397" s="15">
        <f>IF(C397="","",IF(COUNTIF(lst_Jobs,C397&amp;"")&gt;0,"OK","CHECK"))</f>
        <v/>
      </c>
      <c r="E397" s="15">
        <f>IF(C397="","",IFERROR(INDEX(lst_JobName,MATCH(C397&amp;"",lst_Jobs,0)),""))</f>
        <v/>
      </c>
      <c r="F397" s="15">
        <f>IF(C397="","",IFERROR(INDEX(tbl_Finance[Client],MATCH(C397&amp;"",tbl_Finance[Job Number],0)),""))</f>
        <v/>
      </c>
      <c r="G397" s="52">
        <f>IF(C397="","",COUNTIFS(tbl_Finance[Job Number],C397&amp;"",tbl_Finance[Ex GST],"&lt;&gt;"))</f>
        <v/>
      </c>
      <c r="H397" s="17">
        <f>IF(C397="","",SUMIFS(tbl_Finance[Ex GST],tbl_Finance[Job Number],C397&amp;""))</f>
        <v/>
      </c>
      <c r="I397" s="15">
        <f>IF(C397="","",IFERROR(INDEX(tbl_Finance[Cost Centre],MATCH(C397&amp;"",tbl_Finance[Job Number],0)),"not invoiced yet"))</f>
        <v/>
      </c>
      <c r="J397" s="14" t="n"/>
      <c r="K397" s="15">
        <f>IF(J397="","",HYPERLINK(IF(LEFT(J397,4)="http",J397,set_QwilrBase&amp;J397),"Open quote"))</f>
        <v/>
      </c>
      <c r="L397" s="16" t="n"/>
      <c r="M397" s="16" t="n"/>
      <c r="N397" s="16" t="n"/>
      <c r="O397" s="15">
        <f>IF(C397="","",IF(N(L397)+N(M397)+N(N397)=0,"Not split",IF(ROUND(N(L397)+N(M397)+N(N397),2)=ROUND(H397,2),"OK","MISMATCH")))</f>
        <v/>
      </c>
      <c r="P397" s="16" t="n"/>
      <c r="Q397" s="16" t="n"/>
      <c r="R397" s="16" t="n"/>
      <c r="S397" s="17">
        <f>IF(C397="","",N(P397)+N(Q397)+N(R397))</f>
        <v/>
      </c>
      <c r="T397" s="17">
        <f>IF(C397="","",H397-S397)</f>
        <v/>
      </c>
      <c r="U397" s="54">
        <f>IFERROR(T397/H397,"")</f>
        <v/>
      </c>
      <c r="V397" s="14" t="n"/>
    </row>
    <row r="398" ht="15" customHeight="1">
      <c r="A398" s="51">
        <f>IF(C398="","",IFERROR(IF(SUMPRODUCT(MAX((tbl_Finance[Job Number]=C398&amp;"")*tbl_Finance[Date]))=0,"",SUMPRODUCT(MAX((tbl_Finance[Job Number]=C398&amp;"")*tbl_Finance[Date]))),""))</f>
        <v/>
      </c>
      <c r="B398" s="15">
        <f>IF(A398="","",IFERROR(LOOKUP(2,1/((tbl_Finance[Job Number]=C398&amp;"")*(tbl_Finance[Date]=A398)),tbl_Finance[Xero Invoice No]),""))</f>
        <v/>
      </c>
      <c r="C398" s="14" t="n"/>
      <c r="D398" s="15">
        <f>IF(C398="","",IF(COUNTIF(lst_Jobs,C398&amp;"")&gt;0,"OK","CHECK"))</f>
        <v/>
      </c>
      <c r="E398" s="15">
        <f>IF(C398="","",IFERROR(INDEX(lst_JobName,MATCH(C398&amp;"",lst_Jobs,0)),""))</f>
        <v/>
      </c>
      <c r="F398" s="15">
        <f>IF(C398="","",IFERROR(INDEX(tbl_Finance[Client],MATCH(C398&amp;"",tbl_Finance[Job Number],0)),""))</f>
        <v/>
      </c>
      <c r="G398" s="52">
        <f>IF(C398="","",COUNTIFS(tbl_Finance[Job Number],C398&amp;"",tbl_Finance[Ex GST],"&lt;&gt;"))</f>
        <v/>
      </c>
      <c r="H398" s="17">
        <f>IF(C398="","",SUMIFS(tbl_Finance[Ex GST],tbl_Finance[Job Number],C398&amp;""))</f>
        <v/>
      </c>
      <c r="I398" s="15">
        <f>IF(C398="","",IFERROR(INDEX(tbl_Finance[Cost Centre],MATCH(C398&amp;"",tbl_Finance[Job Number],0)),"not invoiced yet"))</f>
        <v/>
      </c>
      <c r="J398" s="14" t="n"/>
      <c r="K398" s="15">
        <f>IF(J398="","",HYPERLINK(IF(LEFT(J398,4)="http",J398,set_QwilrBase&amp;J398),"Open quote"))</f>
        <v/>
      </c>
      <c r="L398" s="16" t="n"/>
      <c r="M398" s="16" t="n"/>
      <c r="N398" s="16" t="n"/>
      <c r="O398" s="15">
        <f>IF(C398="","",IF(N(L398)+N(M398)+N(N398)=0,"Not split",IF(ROUND(N(L398)+N(M398)+N(N398),2)=ROUND(H398,2),"OK","MISMATCH")))</f>
        <v/>
      </c>
      <c r="P398" s="16" t="n"/>
      <c r="Q398" s="16" t="n"/>
      <c r="R398" s="16" t="n"/>
      <c r="S398" s="17">
        <f>IF(C398="","",N(P398)+N(Q398)+N(R398))</f>
        <v/>
      </c>
      <c r="T398" s="17">
        <f>IF(C398="","",H398-S398)</f>
        <v/>
      </c>
      <c r="U398" s="54">
        <f>IFERROR(T398/H398,"")</f>
        <v/>
      </c>
      <c r="V398" s="14" t="n"/>
    </row>
    <row r="399" ht="15" customHeight="1">
      <c r="A399" s="51">
        <f>IF(C399="","",IFERROR(IF(SUMPRODUCT(MAX((tbl_Finance[Job Number]=C399&amp;"")*tbl_Finance[Date]))=0,"",SUMPRODUCT(MAX((tbl_Finance[Job Number]=C399&amp;"")*tbl_Finance[Date]))),""))</f>
        <v/>
      </c>
      <c r="B399" s="15">
        <f>IF(A399="","",IFERROR(LOOKUP(2,1/((tbl_Finance[Job Number]=C399&amp;"")*(tbl_Finance[Date]=A399)),tbl_Finance[Xero Invoice No]),""))</f>
        <v/>
      </c>
      <c r="C399" s="14" t="n"/>
      <c r="D399" s="15">
        <f>IF(C399="","",IF(COUNTIF(lst_Jobs,C399&amp;"")&gt;0,"OK","CHECK"))</f>
        <v/>
      </c>
      <c r="E399" s="15">
        <f>IF(C399="","",IFERROR(INDEX(lst_JobName,MATCH(C399&amp;"",lst_Jobs,0)),""))</f>
        <v/>
      </c>
      <c r="F399" s="15">
        <f>IF(C399="","",IFERROR(INDEX(tbl_Finance[Client],MATCH(C399&amp;"",tbl_Finance[Job Number],0)),""))</f>
        <v/>
      </c>
      <c r="G399" s="52">
        <f>IF(C399="","",COUNTIFS(tbl_Finance[Job Number],C399&amp;"",tbl_Finance[Ex GST],"&lt;&gt;"))</f>
        <v/>
      </c>
      <c r="H399" s="17">
        <f>IF(C399="","",SUMIFS(tbl_Finance[Ex GST],tbl_Finance[Job Number],C399&amp;""))</f>
        <v/>
      </c>
      <c r="I399" s="15">
        <f>IF(C399="","",IFERROR(INDEX(tbl_Finance[Cost Centre],MATCH(C399&amp;"",tbl_Finance[Job Number],0)),"not invoiced yet"))</f>
        <v/>
      </c>
      <c r="J399" s="14" t="n"/>
      <c r="K399" s="15">
        <f>IF(J399="","",HYPERLINK(IF(LEFT(J399,4)="http",J399,set_QwilrBase&amp;J399),"Open quote"))</f>
        <v/>
      </c>
      <c r="L399" s="16" t="n"/>
      <c r="M399" s="16" t="n"/>
      <c r="N399" s="16" t="n"/>
      <c r="O399" s="15">
        <f>IF(C399="","",IF(N(L399)+N(M399)+N(N399)=0,"Not split",IF(ROUND(N(L399)+N(M399)+N(N399),2)=ROUND(H399,2),"OK","MISMATCH")))</f>
        <v/>
      </c>
      <c r="P399" s="16" t="n"/>
      <c r="Q399" s="16" t="n"/>
      <c r="R399" s="16" t="n"/>
      <c r="S399" s="17">
        <f>IF(C399="","",N(P399)+N(Q399)+N(R399))</f>
        <v/>
      </c>
      <c r="T399" s="17">
        <f>IF(C399="","",H399-S399)</f>
        <v/>
      </c>
      <c r="U399" s="54">
        <f>IFERROR(T399/H399,"")</f>
        <v/>
      </c>
      <c r="V399" s="14" t="n"/>
    </row>
    <row r="400" ht="15" customHeight="1">
      <c r="A400" s="51">
        <f>IF(C400="","",IFERROR(IF(SUMPRODUCT(MAX((tbl_Finance[Job Number]=C400&amp;"")*tbl_Finance[Date]))=0,"",SUMPRODUCT(MAX((tbl_Finance[Job Number]=C400&amp;"")*tbl_Finance[Date]))),""))</f>
        <v/>
      </c>
      <c r="B400" s="15">
        <f>IF(A400="","",IFERROR(LOOKUP(2,1/((tbl_Finance[Job Number]=C400&amp;"")*(tbl_Finance[Date]=A400)),tbl_Finance[Xero Invoice No]),""))</f>
        <v/>
      </c>
      <c r="C400" s="14" t="n"/>
      <c r="D400" s="15">
        <f>IF(C400="","",IF(COUNTIF(lst_Jobs,C400&amp;"")&gt;0,"OK","CHECK"))</f>
        <v/>
      </c>
      <c r="E400" s="15">
        <f>IF(C400="","",IFERROR(INDEX(lst_JobName,MATCH(C400&amp;"",lst_Jobs,0)),""))</f>
        <v/>
      </c>
      <c r="F400" s="15">
        <f>IF(C400="","",IFERROR(INDEX(tbl_Finance[Client],MATCH(C400&amp;"",tbl_Finance[Job Number],0)),""))</f>
        <v/>
      </c>
      <c r="G400" s="52">
        <f>IF(C400="","",COUNTIFS(tbl_Finance[Job Number],C400&amp;"",tbl_Finance[Ex GST],"&lt;&gt;"))</f>
        <v/>
      </c>
      <c r="H400" s="17">
        <f>IF(C400="","",SUMIFS(tbl_Finance[Ex GST],tbl_Finance[Job Number],C400&amp;""))</f>
        <v/>
      </c>
      <c r="I400" s="15">
        <f>IF(C400="","",IFERROR(INDEX(tbl_Finance[Cost Centre],MATCH(C400&amp;"",tbl_Finance[Job Number],0)),"not invoiced yet"))</f>
        <v/>
      </c>
      <c r="J400" s="14" t="n"/>
      <c r="K400" s="15">
        <f>IF(J400="","",HYPERLINK(IF(LEFT(J400,4)="http",J400,set_QwilrBase&amp;J400),"Open quote"))</f>
        <v/>
      </c>
      <c r="L400" s="16" t="n"/>
      <c r="M400" s="16" t="n"/>
      <c r="N400" s="16" t="n"/>
      <c r="O400" s="15">
        <f>IF(C400="","",IF(N(L400)+N(M400)+N(N400)=0,"Not split",IF(ROUND(N(L400)+N(M400)+N(N400),2)=ROUND(H400,2),"OK","MISMATCH")))</f>
        <v/>
      </c>
      <c r="P400" s="16" t="n"/>
      <c r="Q400" s="16" t="n"/>
      <c r="R400" s="16" t="n"/>
      <c r="S400" s="17">
        <f>IF(C400="","",N(P400)+N(Q400)+N(R400))</f>
        <v/>
      </c>
      <c r="T400" s="17">
        <f>IF(C400="","",H400-S400)</f>
        <v/>
      </c>
      <c r="U400" s="54">
        <f>IFERROR(T400/H400,"")</f>
        <v/>
      </c>
      <c r="V400" s="14" t="n"/>
    </row>
    <row r="401" ht="15" customHeight="1">
      <c r="A401" s="51">
        <f>IF(C401="","",IFERROR(IF(SUMPRODUCT(MAX((tbl_Finance[Job Number]=C401&amp;"")*tbl_Finance[Date]))=0,"",SUMPRODUCT(MAX((tbl_Finance[Job Number]=C401&amp;"")*tbl_Finance[Date]))),""))</f>
        <v/>
      </c>
      <c r="B401" s="15">
        <f>IF(A401="","",IFERROR(LOOKUP(2,1/((tbl_Finance[Job Number]=C401&amp;"")*(tbl_Finance[Date]=A401)),tbl_Finance[Xero Invoice No]),""))</f>
        <v/>
      </c>
      <c r="C401" s="14" t="n"/>
      <c r="D401" s="15">
        <f>IF(C401="","",IF(COUNTIF(lst_Jobs,C401&amp;"")&gt;0,"OK","CHECK"))</f>
        <v/>
      </c>
      <c r="E401" s="15">
        <f>IF(C401="","",IFERROR(INDEX(lst_JobName,MATCH(C401&amp;"",lst_Jobs,0)),""))</f>
        <v/>
      </c>
      <c r="F401" s="15">
        <f>IF(C401="","",IFERROR(INDEX(tbl_Finance[Client],MATCH(C401&amp;"",tbl_Finance[Job Number],0)),""))</f>
        <v/>
      </c>
      <c r="G401" s="52">
        <f>IF(C401="","",COUNTIFS(tbl_Finance[Job Number],C401&amp;"",tbl_Finance[Ex GST],"&lt;&gt;"))</f>
        <v/>
      </c>
      <c r="H401" s="17">
        <f>IF(C401="","",SUMIFS(tbl_Finance[Ex GST],tbl_Finance[Job Number],C401&amp;""))</f>
        <v/>
      </c>
      <c r="I401" s="15">
        <f>IF(C401="","",IFERROR(INDEX(tbl_Finance[Cost Centre],MATCH(C401&amp;"",tbl_Finance[Job Number],0)),"not invoiced yet"))</f>
        <v/>
      </c>
      <c r="J401" s="14" t="n"/>
      <c r="K401" s="15">
        <f>IF(J401="","",HYPERLINK(IF(LEFT(J401,4)="http",J401,set_QwilrBase&amp;J401),"Open quote"))</f>
        <v/>
      </c>
      <c r="L401" s="16" t="n"/>
      <c r="M401" s="16" t="n"/>
      <c r="N401" s="16" t="n"/>
      <c r="O401" s="15">
        <f>IF(C401="","",IF(N(L401)+N(M401)+N(N401)=0,"Not split",IF(ROUND(N(L401)+N(M401)+N(N401),2)=ROUND(H401,2),"OK","MISMATCH")))</f>
        <v/>
      </c>
      <c r="P401" s="16" t="n"/>
      <c r="Q401" s="16" t="n"/>
      <c r="R401" s="16" t="n"/>
      <c r="S401" s="17">
        <f>IF(C401="","",N(P401)+N(Q401)+N(R401))</f>
        <v/>
      </c>
      <c r="T401" s="17">
        <f>IF(C401="","",H401-S401)</f>
        <v/>
      </c>
      <c r="U401" s="54">
        <f>IFERROR(T401/H401,"")</f>
        <v/>
      </c>
      <c r="V401" s="14" t="n"/>
    </row>
    <row r="402" ht="15" customHeight="1">
      <c r="A402" s="51">
        <f>IF(C402="","",IFERROR(IF(SUMPRODUCT(MAX((tbl_Finance[Job Number]=C402&amp;"")*tbl_Finance[Date]))=0,"",SUMPRODUCT(MAX((tbl_Finance[Job Number]=C402&amp;"")*tbl_Finance[Date]))),""))</f>
        <v/>
      </c>
      <c r="B402" s="15">
        <f>IF(A402="","",IFERROR(LOOKUP(2,1/((tbl_Finance[Job Number]=C402&amp;"")*(tbl_Finance[Date]=A402)),tbl_Finance[Xero Invoice No]),""))</f>
        <v/>
      </c>
      <c r="C402" s="14" t="n"/>
      <c r="D402" s="15">
        <f>IF(C402="","",IF(COUNTIF(lst_Jobs,C402&amp;"")&gt;0,"OK","CHECK"))</f>
        <v/>
      </c>
      <c r="E402" s="15">
        <f>IF(C402="","",IFERROR(INDEX(lst_JobName,MATCH(C402&amp;"",lst_Jobs,0)),""))</f>
        <v/>
      </c>
      <c r="F402" s="15">
        <f>IF(C402="","",IFERROR(INDEX(tbl_Finance[Client],MATCH(C402&amp;"",tbl_Finance[Job Number],0)),""))</f>
        <v/>
      </c>
      <c r="G402" s="52">
        <f>IF(C402="","",COUNTIFS(tbl_Finance[Job Number],C402&amp;"",tbl_Finance[Ex GST],"&lt;&gt;"))</f>
        <v/>
      </c>
      <c r="H402" s="17">
        <f>IF(C402="","",SUMIFS(tbl_Finance[Ex GST],tbl_Finance[Job Number],C402&amp;""))</f>
        <v/>
      </c>
      <c r="I402" s="15">
        <f>IF(C402="","",IFERROR(INDEX(tbl_Finance[Cost Centre],MATCH(C402&amp;"",tbl_Finance[Job Number],0)),"not invoiced yet"))</f>
        <v/>
      </c>
      <c r="J402" s="14" t="n"/>
      <c r="K402" s="15">
        <f>IF(J402="","",HYPERLINK(IF(LEFT(J402,4)="http",J402,set_QwilrBase&amp;J402),"Open quote"))</f>
        <v/>
      </c>
      <c r="L402" s="16" t="n"/>
      <c r="M402" s="16" t="n"/>
      <c r="N402" s="16" t="n"/>
      <c r="O402" s="15">
        <f>IF(C402="","",IF(N(L402)+N(M402)+N(N402)=0,"Not split",IF(ROUND(N(L402)+N(M402)+N(N402),2)=ROUND(H402,2),"OK","MISMATCH")))</f>
        <v/>
      </c>
      <c r="P402" s="16" t="n"/>
      <c r="Q402" s="16" t="n"/>
      <c r="R402" s="16" t="n"/>
      <c r="S402" s="17">
        <f>IF(C402="","",N(P402)+N(Q402)+N(R402))</f>
        <v/>
      </c>
      <c r="T402" s="17">
        <f>IF(C402="","",H402-S402)</f>
        <v/>
      </c>
      <c r="U402" s="54">
        <f>IFERROR(T402/H402,"")</f>
        <v/>
      </c>
      <c r="V402" s="14" t="n"/>
    </row>
    <row r="403" ht="15" customHeight="1">
      <c r="A403" s="51">
        <f>IF(C403="","",IFERROR(IF(SUMPRODUCT(MAX((tbl_Finance[Job Number]=C403&amp;"")*tbl_Finance[Date]))=0,"",SUMPRODUCT(MAX((tbl_Finance[Job Number]=C403&amp;"")*tbl_Finance[Date]))),""))</f>
        <v/>
      </c>
      <c r="B403" s="15">
        <f>IF(A403="","",IFERROR(LOOKUP(2,1/((tbl_Finance[Job Number]=C403&amp;"")*(tbl_Finance[Date]=A403)),tbl_Finance[Xero Invoice No]),""))</f>
        <v/>
      </c>
      <c r="C403" s="14" t="n"/>
      <c r="D403" s="15">
        <f>IF(C403="","",IF(COUNTIF(lst_Jobs,C403&amp;"")&gt;0,"OK","CHECK"))</f>
        <v/>
      </c>
      <c r="E403" s="15">
        <f>IF(C403="","",IFERROR(INDEX(lst_JobName,MATCH(C403&amp;"",lst_Jobs,0)),""))</f>
        <v/>
      </c>
      <c r="F403" s="15">
        <f>IF(C403="","",IFERROR(INDEX(tbl_Finance[Client],MATCH(C403&amp;"",tbl_Finance[Job Number],0)),""))</f>
        <v/>
      </c>
      <c r="G403" s="52">
        <f>IF(C403="","",COUNTIFS(tbl_Finance[Job Number],C403&amp;"",tbl_Finance[Ex GST],"&lt;&gt;"))</f>
        <v/>
      </c>
      <c r="H403" s="17">
        <f>IF(C403="","",SUMIFS(tbl_Finance[Ex GST],tbl_Finance[Job Number],C403&amp;""))</f>
        <v/>
      </c>
      <c r="I403" s="15">
        <f>IF(C403="","",IFERROR(INDEX(tbl_Finance[Cost Centre],MATCH(C403&amp;"",tbl_Finance[Job Number],0)),"not invoiced yet"))</f>
        <v/>
      </c>
      <c r="J403" s="14" t="n"/>
      <c r="K403" s="15">
        <f>IF(J403="","",HYPERLINK(IF(LEFT(J403,4)="http",J403,set_QwilrBase&amp;J403),"Open quote"))</f>
        <v/>
      </c>
      <c r="L403" s="16" t="n"/>
      <c r="M403" s="16" t="n"/>
      <c r="N403" s="16" t="n"/>
      <c r="O403" s="15">
        <f>IF(C403="","",IF(N(L403)+N(M403)+N(N403)=0,"Not split",IF(ROUND(N(L403)+N(M403)+N(N403),2)=ROUND(H403,2),"OK","MISMATCH")))</f>
        <v/>
      </c>
      <c r="P403" s="16" t="n"/>
      <c r="Q403" s="16" t="n"/>
      <c r="R403" s="16" t="n"/>
      <c r="S403" s="17">
        <f>IF(C403="","",N(P403)+N(Q403)+N(R403))</f>
        <v/>
      </c>
      <c r="T403" s="17">
        <f>IF(C403="","",H403-S403)</f>
        <v/>
      </c>
      <c r="U403" s="54">
        <f>IFERROR(T403/H403,"")</f>
        <v/>
      </c>
      <c r="V403" s="14" t="n"/>
    </row>
    <row r="404" ht="15" customHeight="1">
      <c r="A404" s="51">
        <f>IF(C404="","",IFERROR(IF(SUMPRODUCT(MAX((tbl_Finance[Job Number]=C404&amp;"")*tbl_Finance[Date]))=0,"",SUMPRODUCT(MAX((tbl_Finance[Job Number]=C404&amp;"")*tbl_Finance[Date]))),""))</f>
        <v/>
      </c>
      <c r="B404" s="15">
        <f>IF(A404="","",IFERROR(LOOKUP(2,1/((tbl_Finance[Job Number]=C404&amp;"")*(tbl_Finance[Date]=A404)),tbl_Finance[Xero Invoice No]),""))</f>
        <v/>
      </c>
      <c r="C404" s="14" t="n"/>
      <c r="D404" s="15">
        <f>IF(C404="","",IF(COUNTIF(lst_Jobs,C404&amp;"")&gt;0,"OK","CHECK"))</f>
        <v/>
      </c>
      <c r="E404" s="15">
        <f>IF(C404="","",IFERROR(INDEX(lst_JobName,MATCH(C404&amp;"",lst_Jobs,0)),""))</f>
        <v/>
      </c>
      <c r="F404" s="15">
        <f>IF(C404="","",IFERROR(INDEX(tbl_Finance[Client],MATCH(C404&amp;"",tbl_Finance[Job Number],0)),""))</f>
        <v/>
      </c>
      <c r="G404" s="52">
        <f>IF(C404="","",COUNTIFS(tbl_Finance[Job Number],C404&amp;"",tbl_Finance[Ex GST],"&lt;&gt;"))</f>
        <v/>
      </c>
      <c r="H404" s="17">
        <f>IF(C404="","",SUMIFS(tbl_Finance[Ex GST],tbl_Finance[Job Number],C404&amp;""))</f>
        <v/>
      </c>
      <c r="I404" s="15">
        <f>IF(C404="","",IFERROR(INDEX(tbl_Finance[Cost Centre],MATCH(C404&amp;"",tbl_Finance[Job Number],0)),"not invoiced yet"))</f>
        <v/>
      </c>
      <c r="J404" s="14" t="n"/>
      <c r="K404" s="15">
        <f>IF(J404="","",HYPERLINK(IF(LEFT(J404,4)="http",J404,set_QwilrBase&amp;J404),"Open quote"))</f>
        <v/>
      </c>
      <c r="L404" s="16" t="n"/>
      <c r="M404" s="16" t="n"/>
      <c r="N404" s="16" t="n"/>
      <c r="O404" s="15">
        <f>IF(C404="","",IF(N(L404)+N(M404)+N(N404)=0,"Not split",IF(ROUND(N(L404)+N(M404)+N(N404),2)=ROUND(H404,2),"OK","MISMATCH")))</f>
        <v/>
      </c>
      <c r="P404" s="16" t="n"/>
      <c r="Q404" s="16" t="n"/>
      <c r="R404" s="16" t="n"/>
      <c r="S404" s="17">
        <f>IF(C404="","",N(P404)+N(Q404)+N(R404))</f>
        <v/>
      </c>
      <c r="T404" s="17">
        <f>IF(C404="","",H404-S404)</f>
        <v/>
      </c>
      <c r="U404" s="54">
        <f>IFERROR(T404/H404,"")</f>
        <v/>
      </c>
      <c r="V404" s="14" t="n"/>
    </row>
    <row r="405" ht="15" customHeight="1">
      <c r="A405" s="51">
        <f>IF(C405="","",IFERROR(IF(SUMPRODUCT(MAX((tbl_Finance[Job Number]=C405&amp;"")*tbl_Finance[Date]))=0,"",SUMPRODUCT(MAX((tbl_Finance[Job Number]=C405&amp;"")*tbl_Finance[Date]))),""))</f>
        <v/>
      </c>
      <c r="B405" s="15">
        <f>IF(A405="","",IFERROR(LOOKUP(2,1/((tbl_Finance[Job Number]=C405&amp;"")*(tbl_Finance[Date]=A405)),tbl_Finance[Xero Invoice No]),""))</f>
        <v/>
      </c>
      <c r="C405" s="14" t="n"/>
      <c r="D405" s="15">
        <f>IF(C405="","",IF(COUNTIF(lst_Jobs,C405&amp;"")&gt;0,"OK","CHECK"))</f>
        <v/>
      </c>
      <c r="E405" s="15">
        <f>IF(C405="","",IFERROR(INDEX(lst_JobName,MATCH(C405&amp;"",lst_Jobs,0)),""))</f>
        <v/>
      </c>
      <c r="F405" s="15">
        <f>IF(C405="","",IFERROR(INDEX(tbl_Finance[Client],MATCH(C405&amp;"",tbl_Finance[Job Number],0)),""))</f>
        <v/>
      </c>
      <c r="G405" s="52">
        <f>IF(C405="","",COUNTIFS(tbl_Finance[Job Number],C405&amp;"",tbl_Finance[Ex GST],"&lt;&gt;"))</f>
        <v/>
      </c>
      <c r="H405" s="17">
        <f>IF(C405="","",SUMIFS(tbl_Finance[Ex GST],tbl_Finance[Job Number],C405&amp;""))</f>
        <v/>
      </c>
      <c r="I405" s="15">
        <f>IF(C405="","",IFERROR(INDEX(tbl_Finance[Cost Centre],MATCH(C405&amp;"",tbl_Finance[Job Number],0)),"not invoiced yet"))</f>
        <v/>
      </c>
      <c r="J405" s="14" t="n"/>
      <c r="K405" s="15">
        <f>IF(J405="","",HYPERLINK(IF(LEFT(J405,4)="http",J405,set_QwilrBase&amp;J405),"Open quote"))</f>
        <v/>
      </c>
      <c r="L405" s="16" t="n"/>
      <c r="M405" s="16" t="n"/>
      <c r="N405" s="16" t="n"/>
      <c r="O405" s="15">
        <f>IF(C405="","",IF(N(L405)+N(M405)+N(N405)=0,"Not split",IF(ROUND(N(L405)+N(M405)+N(N405),2)=ROUND(H405,2),"OK","MISMATCH")))</f>
        <v/>
      </c>
      <c r="P405" s="16" t="n"/>
      <c r="Q405" s="16" t="n"/>
      <c r="R405" s="16" t="n"/>
      <c r="S405" s="17">
        <f>IF(C405="","",N(P405)+N(Q405)+N(R405))</f>
        <v/>
      </c>
      <c r="T405" s="17">
        <f>IF(C405="","",H405-S405)</f>
        <v/>
      </c>
      <c r="U405" s="54">
        <f>IFERROR(T405/H405,"")</f>
        <v/>
      </c>
      <c r="V405" s="14" t="n"/>
    </row>
    <row r="406" ht="15" customHeight="1">
      <c r="A406" s="51">
        <f>IF(C406="","",IFERROR(IF(SUMPRODUCT(MAX((tbl_Finance[Job Number]=C406&amp;"")*tbl_Finance[Date]))=0,"",SUMPRODUCT(MAX((tbl_Finance[Job Number]=C406&amp;"")*tbl_Finance[Date]))),""))</f>
        <v/>
      </c>
      <c r="B406" s="15">
        <f>IF(A406="","",IFERROR(LOOKUP(2,1/((tbl_Finance[Job Number]=C406&amp;"")*(tbl_Finance[Date]=A406)),tbl_Finance[Xero Invoice No]),""))</f>
        <v/>
      </c>
      <c r="C406" s="14" t="n"/>
      <c r="D406" s="15">
        <f>IF(C406="","",IF(COUNTIF(lst_Jobs,C406&amp;"")&gt;0,"OK","CHECK"))</f>
        <v/>
      </c>
      <c r="E406" s="15">
        <f>IF(C406="","",IFERROR(INDEX(lst_JobName,MATCH(C406&amp;"",lst_Jobs,0)),""))</f>
        <v/>
      </c>
      <c r="F406" s="15">
        <f>IF(C406="","",IFERROR(INDEX(tbl_Finance[Client],MATCH(C406&amp;"",tbl_Finance[Job Number],0)),""))</f>
        <v/>
      </c>
      <c r="G406" s="52">
        <f>IF(C406="","",COUNTIFS(tbl_Finance[Job Number],C406&amp;"",tbl_Finance[Ex GST],"&lt;&gt;"))</f>
        <v/>
      </c>
      <c r="H406" s="17">
        <f>IF(C406="","",SUMIFS(tbl_Finance[Ex GST],tbl_Finance[Job Number],C406&amp;""))</f>
        <v/>
      </c>
      <c r="I406" s="15">
        <f>IF(C406="","",IFERROR(INDEX(tbl_Finance[Cost Centre],MATCH(C406&amp;"",tbl_Finance[Job Number],0)),"not invoiced yet"))</f>
        <v/>
      </c>
      <c r="J406" s="14" t="n"/>
      <c r="K406" s="15">
        <f>IF(J406="","",HYPERLINK(IF(LEFT(J406,4)="http",J406,set_QwilrBase&amp;J406),"Open quote"))</f>
        <v/>
      </c>
      <c r="L406" s="16" t="n"/>
      <c r="M406" s="16" t="n"/>
      <c r="N406" s="16" t="n"/>
      <c r="O406" s="15">
        <f>IF(C406="","",IF(N(L406)+N(M406)+N(N406)=0,"Not split",IF(ROUND(N(L406)+N(M406)+N(N406),2)=ROUND(H406,2),"OK","MISMATCH")))</f>
        <v/>
      </c>
      <c r="P406" s="16" t="n"/>
      <c r="Q406" s="16" t="n"/>
      <c r="R406" s="16" t="n"/>
      <c r="S406" s="17">
        <f>IF(C406="","",N(P406)+N(Q406)+N(R406))</f>
        <v/>
      </c>
      <c r="T406" s="17">
        <f>IF(C406="","",H406-S406)</f>
        <v/>
      </c>
      <c r="U406" s="54">
        <f>IFERROR(T406/H406,"")</f>
        <v/>
      </c>
      <c r="V406" s="14" t="n"/>
    </row>
    <row r="407" ht="15" customHeight="1">
      <c r="A407" s="51">
        <f>IF(C407="","",IFERROR(IF(SUMPRODUCT(MAX((tbl_Finance[Job Number]=C407&amp;"")*tbl_Finance[Date]))=0,"",SUMPRODUCT(MAX((tbl_Finance[Job Number]=C407&amp;"")*tbl_Finance[Date]))),""))</f>
        <v/>
      </c>
      <c r="B407" s="15">
        <f>IF(A407="","",IFERROR(LOOKUP(2,1/((tbl_Finance[Job Number]=C407&amp;"")*(tbl_Finance[Date]=A407)),tbl_Finance[Xero Invoice No]),""))</f>
        <v/>
      </c>
      <c r="C407" s="14" t="n"/>
      <c r="D407" s="15">
        <f>IF(C407="","",IF(COUNTIF(lst_Jobs,C407&amp;"")&gt;0,"OK","CHECK"))</f>
        <v/>
      </c>
      <c r="E407" s="15">
        <f>IF(C407="","",IFERROR(INDEX(lst_JobName,MATCH(C407&amp;"",lst_Jobs,0)),""))</f>
        <v/>
      </c>
      <c r="F407" s="15">
        <f>IF(C407="","",IFERROR(INDEX(tbl_Finance[Client],MATCH(C407&amp;"",tbl_Finance[Job Number],0)),""))</f>
        <v/>
      </c>
      <c r="G407" s="52">
        <f>IF(C407="","",COUNTIFS(tbl_Finance[Job Number],C407&amp;"",tbl_Finance[Ex GST],"&lt;&gt;"))</f>
        <v/>
      </c>
      <c r="H407" s="17">
        <f>IF(C407="","",SUMIFS(tbl_Finance[Ex GST],tbl_Finance[Job Number],C407&amp;""))</f>
        <v/>
      </c>
      <c r="I407" s="15">
        <f>IF(C407="","",IFERROR(INDEX(tbl_Finance[Cost Centre],MATCH(C407&amp;"",tbl_Finance[Job Number],0)),"not invoiced yet"))</f>
        <v/>
      </c>
      <c r="J407" s="14" t="n"/>
      <c r="K407" s="15">
        <f>IF(J407="","",HYPERLINK(IF(LEFT(J407,4)="http",J407,set_QwilrBase&amp;J407),"Open quote"))</f>
        <v/>
      </c>
      <c r="L407" s="16" t="n"/>
      <c r="M407" s="16" t="n"/>
      <c r="N407" s="16" t="n"/>
      <c r="O407" s="15">
        <f>IF(C407="","",IF(N(L407)+N(M407)+N(N407)=0,"Not split",IF(ROUND(N(L407)+N(M407)+N(N407),2)=ROUND(H407,2),"OK","MISMATCH")))</f>
        <v/>
      </c>
      <c r="P407" s="16" t="n"/>
      <c r="Q407" s="16" t="n"/>
      <c r="R407" s="16" t="n"/>
      <c r="S407" s="17">
        <f>IF(C407="","",N(P407)+N(Q407)+N(R407))</f>
        <v/>
      </c>
      <c r="T407" s="17">
        <f>IF(C407="","",H407-S407)</f>
        <v/>
      </c>
      <c r="U407" s="54">
        <f>IFERROR(T407/H407,"")</f>
        <v/>
      </c>
      <c r="V407" s="14" t="n"/>
    </row>
    <row r="408" ht="15" customHeight="1">
      <c r="A408" s="51">
        <f>IF(C408="","",IFERROR(IF(SUMPRODUCT(MAX((tbl_Finance[Job Number]=C408&amp;"")*tbl_Finance[Date]))=0,"",SUMPRODUCT(MAX((tbl_Finance[Job Number]=C408&amp;"")*tbl_Finance[Date]))),""))</f>
        <v/>
      </c>
      <c r="B408" s="15">
        <f>IF(A408="","",IFERROR(LOOKUP(2,1/((tbl_Finance[Job Number]=C408&amp;"")*(tbl_Finance[Date]=A408)),tbl_Finance[Xero Invoice No]),""))</f>
        <v/>
      </c>
      <c r="C408" s="14" t="n"/>
      <c r="D408" s="15">
        <f>IF(C408="","",IF(COUNTIF(lst_Jobs,C408&amp;"")&gt;0,"OK","CHECK"))</f>
        <v/>
      </c>
      <c r="E408" s="15">
        <f>IF(C408="","",IFERROR(INDEX(lst_JobName,MATCH(C408&amp;"",lst_Jobs,0)),""))</f>
        <v/>
      </c>
      <c r="F408" s="15">
        <f>IF(C408="","",IFERROR(INDEX(tbl_Finance[Client],MATCH(C408&amp;"",tbl_Finance[Job Number],0)),""))</f>
        <v/>
      </c>
      <c r="G408" s="52">
        <f>IF(C408="","",COUNTIFS(tbl_Finance[Job Number],C408&amp;"",tbl_Finance[Ex GST],"&lt;&gt;"))</f>
        <v/>
      </c>
      <c r="H408" s="17">
        <f>IF(C408="","",SUMIFS(tbl_Finance[Ex GST],tbl_Finance[Job Number],C408&amp;""))</f>
        <v/>
      </c>
      <c r="I408" s="15">
        <f>IF(C408="","",IFERROR(INDEX(tbl_Finance[Cost Centre],MATCH(C408&amp;"",tbl_Finance[Job Number],0)),"not invoiced yet"))</f>
        <v/>
      </c>
      <c r="J408" s="14" t="n"/>
      <c r="K408" s="15">
        <f>IF(J408="","",HYPERLINK(IF(LEFT(J408,4)="http",J408,set_QwilrBase&amp;J408),"Open quote"))</f>
        <v/>
      </c>
      <c r="L408" s="16" t="n"/>
      <c r="M408" s="16" t="n"/>
      <c r="N408" s="16" t="n"/>
      <c r="O408" s="15">
        <f>IF(C408="","",IF(N(L408)+N(M408)+N(N408)=0,"Not split",IF(ROUND(N(L408)+N(M408)+N(N408),2)=ROUND(H408,2),"OK","MISMATCH")))</f>
        <v/>
      </c>
      <c r="P408" s="16" t="n"/>
      <c r="Q408" s="16" t="n"/>
      <c r="R408" s="16" t="n"/>
      <c r="S408" s="17">
        <f>IF(C408="","",N(P408)+N(Q408)+N(R408))</f>
        <v/>
      </c>
      <c r="T408" s="17">
        <f>IF(C408="","",H408-S408)</f>
        <v/>
      </c>
      <c r="U408" s="54">
        <f>IFERROR(T408/H408,"")</f>
        <v/>
      </c>
      <c r="V408" s="14" t="n"/>
    </row>
    <row r="409" ht="15" customHeight="1">
      <c r="A409" s="51">
        <f>IF(C409="","",IFERROR(IF(SUMPRODUCT(MAX((tbl_Finance[Job Number]=C409&amp;"")*tbl_Finance[Date]))=0,"",SUMPRODUCT(MAX((tbl_Finance[Job Number]=C409&amp;"")*tbl_Finance[Date]))),""))</f>
        <v/>
      </c>
      <c r="B409" s="15">
        <f>IF(A409="","",IFERROR(LOOKUP(2,1/((tbl_Finance[Job Number]=C409&amp;"")*(tbl_Finance[Date]=A409)),tbl_Finance[Xero Invoice No]),""))</f>
        <v/>
      </c>
      <c r="C409" s="14" t="n"/>
      <c r="D409" s="15">
        <f>IF(C409="","",IF(COUNTIF(lst_Jobs,C409&amp;"")&gt;0,"OK","CHECK"))</f>
        <v/>
      </c>
      <c r="E409" s="15">
        <f>IF(C409="","",IFERROR(INDEX(lst_JobName,MATCH(C409&amp;"",lst_Jobs,0)),""))</f>
        <v/>
      </c>
      <c r="F409" s="15">
        <f>IF(C409="","",IFERROR(INDEX(tbl_Finance[Client],MATCH(C409&amp;"",tbl_Finance[Job Number],0)),""))</f>
        <v/>
      </c>
      <c r="G409" s="52">
        <f>IF(C409="","",COUNTIFS(tbl_Finance[Job Number],C409&amp;"",tbl_Finance[Ex GST],"&lt;&gt;"))</f>
        <v/>
      </c>
      <c r="H409" s="17">
        <f>IF(C409="","",SUMIFS(tbl_Finance[Ex GST],tbl_Finance[Job Number],C409&amp;""))</f>
        <v/>
      </c>
      <c r="I409" s="15">
        <f>IF(C409="","",IFERROR(INDEX(tbl_Finance[Cost Centre],MATCH(C409&amp;"",tbl_Finance[Job Number],0)),"not invoiced yet"))</f>
        <v/>
      </c>
      <c r="J409" s="14" t="n"/>
      <c r="K409" s="15">
        <f>IF(J409="","",HYPERLINK(IF(LEFT(J409,4)="http",J409,set_QwilrBase&amp;J409),"Open quote"))</f>
        <v/>
      </c>
      <c r="L409" s="16" t="n"/>
      <c r="M409" s="16" t="n"/>
      <c r="N409" s="16" t="n"/>
      <c r="O409" s="15">
        <f>IF(C409="","",IF(N(L409)+N(M409)+N(N409)=0,"Not split",IF(ROUND(N(L409)+N(M409)+N(N409),2)=ROUND(H409,2),"OK","MISMATCH")))</f>
        <v/>
      </c>
      <c r="P409" s="16" t="n"/>
      <c r="Q409" s="16" t="n"/>
      <c r="R409" s="16" t="n"/>
      <c r="S409" s="17">
        <f>IF(C409="","",N(P409)+N(Q409)+N(R409))</f>
        <v/>
      </c>
      <c r="T409" s="17">
        <f>IF(C409="","",H409-S409)</f>
        <v/>
      </c>
      <c r="U409" s="54">
        <f>IFERROR(T409/H409,"")</f>
        <v/>
      </c>
      <c r="V409" s="14" t="n"/>
    </row>
    <row r="410" ht="15" customHeight="1">
      <c r="A410" s="51">
        <f>IF(C410="","",IFERROR(IF(SUMPRODUCT(MAX((tbl_Finance[Job Number]=C410&amp;"")*tbl_Finance[Date]))=0,"",SUMPRODUCT(MAX((tbl_Finance[Job Number]=C410&amp;"")*tbl_Finance[Date]))),""))</f>
        <v/>
      </c>
      <c r="B410" s="15">
        <f>IF(A410="","",IFERROR(LOOKUP(2,1/((tbl_Finance[Job Number]=C410&amp;"")*(tbl_Finance[Date]=A410)),tbl_Finance[Xero Invoice No]),""))</f>
        <v/>
      </c>
      <c r="C410" s="14" t="n"/>
      <c r="D410" s="15">
        <f>IF(C410="","",IF(COUNTIF(lst_Jobs,C410&amp;"")&gt;0,"OK","CHECK"))</f>
        <v/>
      </c>
      <c r="E410" s="15">
        <f>IF(C410="","",IFERROR(INDEX(lst_JobName,MATCH(C410&amp;"",lst_Jobs,0)),""))</f>
        <v/>
      </c>
      <c r="F410" s="15">
        <f>IF(C410="","",IFERROR(INDEX(tbl_Finance[Client],MATCH(C410&amp;"",tbl_Finance[Job Number],0)),""))</f>
        <v/>
      </c>
      <c r="G410" s="52">
        <f>IF(C410="","",COUNTIFS(tbl_Finance[Job Number],C410&amp;"",tbl_Finance[Ex GST],"&lt;&gt;"))</f>
        <v/>
      </c>
      <c r="H410" s="17">
        <f>IF(C410="","",SUMIFS(tbl_Finance[Ex GST],tbl_Finance[Job Number],C410&amp;""))</f>
        <v/>
      </c>
      <c r="I410" s="15">
        <f>IF(C410="","",IFERROR(INDEX(tbl_Finance[Cost Centre],MATCH(C410&amp;"",tbl_Finance[Job Number],0)),"not invoiced yet"))</f>
        <v/>
      </c>
      <c r="J410" s="14" t="n"/>
      <c r="K410" s="15">
        <f>IF(J410="","",HYPERLINK(IF(LEFT(J410,4)="http",J410,set_QwilrBase&amp;J410),"Open quote"))</f>
        <v/>
      </c>
      <c r="L410" s="16" t="n"/>
      <c r="M410" s="16" t="n"/>
      <c r="N410" s="16" t="n"/>
      <c r="O410" s="15">
        <f>IF(C410="","",IF(N(L410)+N(M410)+N(N410)=0,"Not split",IF(ROUND(N(L410)+N(M410)+N(N410),2)=ROUND(H410,2),"OK","MISMATCH")))</f>
        <v/>
      </c>
      <c r="P410" s="16" t="n"/>
      <c r="Q410" s="16" t="n"/>
      <c r="R410" s="16" t="n"/>
      <c r="S410" s="17">
        <f>IF(C410="","",N(P410)+N(Q410)+N(R410))</f>
        <v/>
      </c>
      <c r="T410" s="17">
        <f>IF(C410="","",H410-S410)</f>
        <v/>
      </c>
      <c r="U410" s="54">
        <f>IFERROR(T410/H410,"")</f>
        <v/>
      </c>
      <c r="V410" s="14" t="n"/>
    </row>
    <row r="411" ht="15" customHeight="1">
      <c r="A411" s="51">
        <f>IF(C411="","",IFERROR(IF(SUMPRODUCT(MAX((tbl_Finance[Job Number]=C411&amp;"")*tbl_Finance[Date]))=0,"",SUMPRODUCT(MAX((tbl_Finance[Job Number]=C411&amp;"")*tbl_Finance[Date]))),""))</f>
        <v/>
      </c>
      <c r="B411" s="15">
        <f>IF(A411="","",IFERROR(LOOKUP(2,1/((tbl_Finance[Job Number]=C411&amp;"")*(tbl_Finance[Date]=A411)),tbl_Finance[Xero Invoice No]),""))</f>
        <v/>
      </c>
      <c r="C411" s="14" t="n"/>
      <c r="D411" s="15">
        <f>IF(C411="","",IF(COUNTIF(lst_Jobs,C411&amp;"")&gt;0,"OK","CHECK"))</f>
        <v/>
      </c>
      <c r="E411" s="15">
        <f>IF(C411="","",IFERROR(INDEX(lst_JobName,MATCH(C411&amp;"",lst_Jobs,0)),""))</f>
        <v/>
      </c>
      <c r="F411" s="15">
        <f>IF(C411="","",IFERROR(INDEX(tbl_Finance[Client],MATCH(C411&amp;"",tbl_Finance[Job Number],0)),""))</f>
        <v/>
      </c>
      <c r="G411" s="52">
        <f>IF(C411="","",COUNTIFS(tbl_Finance[Job Number],C411&amp;"",tbl_Finance[Ex GST],"&lt;&gt;"))</f>
        <v/>
      </c>
      <c r="H411" s="17">
        <f>IF(C411="","",SUMIFS(tbl_Finance[Ex GST],tbl_Finance[Job Number],C411&amp;""))</f>
        <v/>
      </c>
      <c r="I411" s="15">
        <f>IF(C411="","",IFERROR(INDEX(tbl_Finance[Cost Centre],MATCH(C411&amp;"",tbl_Finance[Job Number],0)),"not invoiced yet"))</f>
        <v/>
      </c>
      <c r="J411" s="14" t="n"/>
      <c r="K411" s="15">
        <f>IF(J411="","",HYPERLINK(IF(LEFT(J411,4)="http",J411,set_QwilrBase&amp;J411),"Open quote"))</f>
        <v/>
      </c>
      <c r="L411" s="16" t="n"/>
      <c r="M411" s="16" t="n"/>
      <c r="N411" s="16" t="n"/>
      <c r="O411" s="15">
        <f>IF(C411="","",IF(N(L411)+N(M411)+N(N411)=0,"Not split",IF(ROUND(N(L411)+N(M411)+N(N411),2)=ROUND(H411,2),"OK","MISMATCH")))</f>
        <v/>
      </c>
      <c r="P411" s="16" t="n"/>
      <c r="Q411" s="16" t="n"/>
      <c r="R411" s="16" t="n"/>
      <c r="S411" s="17">
        <f>IF(C411="","",N(P411)+N(Q411)+N(R411))</f>
        <v/>
      </c>
      <c r="T411" s="17">
        <f>IF(C411="","",H411-S411)</f>
        <v/>
      </c>
      <c r="U411" s="54">
        <f>IFERROR(T411/H411,"")</f>
        <v/>
      </c>
      <c r="V411" s="14" t="n"/>
    </row>
    <row r="412" ht="15" customHeight="1">
      <c r="A412" s="51">
        <f>IF(C412="","",IFERROR(IF(SUMPRODUCT(MAX((tbl_Finance[Job Number]=C412&amp;"")*tbl_Finance[Date]))=0,"",SUMPRODUCT(MAX((tbl_Finance[Job Number]=C412&amp;"")*tbl_Finance[Date]))),""))</f>
        <v/>
      </c>
      <c r="B412" s="15">
        <f>IF(A412="","",IFERROR(LOOKUP(2,1/((tbl_Finance[Job Number]=C412&amp;"")*(tbl_Finance[Date]=A412)),tbl_Finance[Xero Invoice No]),""))</f>
        <v/>
      </c>
      <c r="C412" s="14" t="n"/>
      <c r="D412" s="15">
        <f>IF(C412="","",IF(COUNTIF(lst_Jobs,C412&amp;"")&gt;0,"OK","CHECK"))</f>
        <v/>
      </c>
      <c r="E412" s="15">
        <f>IF(C412="","",IFERROR(INDEX(lst_JobName,MATCH(C412&amp;"",lst_Jobs,0)),""))</f>
        <v/>
      </c>
      <c r="F412" s="15">
        <f>IF(C412="","",IFERROR(INDEX(tbl_Finance[Client],MATCH(C412&amp;"",tbl_Finance[Job Number],0)),""))</f>
        <v/>
      </c>
      <c r="G412" s="52">
        <f>IF(C412="","",COUNTIFS(tbl_Finance[Job Number],C412&amp;"",tbl_Finance[Ex GST],"&lt;&gt;"))</f>
        <v/>
      </c>
      <c r="H412" s="17">
        <f>IF(C412="","",SUMIFS(tbl_Finance[Ex GST],tbl_Finance[Job Number],C412&amp;""))</f>
        <v/>
      </c>
      <c r="I412" s="15">
        <f>IF(C412="","",IFERROR(INDEX(tbl_Finance[Cost Centre],MATCH(C412&amp;"",tbl_Finance[Job Number],0)),"not invoiced yet"))</f>
        <v/>
      </c>
      <c r="J412" s="14" t="n"/>
      <c r="K412" s="15">
        <f>IF(J412="","",HYPERLINK(IF(LEFT(J412,4)="http",J412,set_QwilrBase&amp;J412),"Open quote"))</f>
        <v/>
      </c>
      <c r="L412" s="16" t="n"/>
      <c r="M412" s="16" t="n"/>
      <c r="N412" s="16" t="n"/>
      <c r="O412" s="15">
        <f>IF(C412="","",IF(N(L412)+N(M412)+N(N412)=0,"Not split",IF(ROUND(N(L412)+N(M412)+N(N412),2)=ROUND(H412,2),"OK","MISMATCH")))</f>
        <v/>
      </c>
      <c r="P412" s="16" t="n"/>
      <c r="Q412" s="16" t="n"/>
      <c r="R412" s="16" t="n"/>
      <c r="S412" s="17">
        <f>IF(C412="","",N(P412)+N(Q412)+N(R412))</f>
        <v/>
      </c>
      <c r="T412" s="17">
        <f>IF(C412="","",H412-S412)</f>
        <v/>
      </c>
      <c r="U412" s="54">
        <f>IFERROR(T412/H412,"")</f>
        <v/>
      </c>
      <c r="V412" s="14" t="n"/>
    </row>
    <row r="413" ht="15" customHeight="1">
      <c r="A413" s="51">
        <f>IF(C413="","",IFERROR(IF(SUMPRODUCT(MAX((tbl_Finance[Job Number]=C413&amp;"")*tbl_Finance[Date]))=0,"",SUMPRODUCT(MAX((tbl_Finance[Job Number]=C413&amp;"")*tbl_Finance[Date]))),""))</f>
        <v/>
      </c>
      <c r="B413" s="15">
        <f>IF(A413="","",IFERROR(LOOKUP(2,1/((tbl_Finance[Job Number]=C413&amp;"")*(tbl_Finance[Date]=A413)),tbl_Finance[Xero Invoice No]),""))</f>
        <v/>
      </c>
      <c r="C413" s="14" t="n"/>
      <c r="D413" s="15">
        <f>IF(C413="","",IF(COUNTIF(lst_Jobs,C413&amp;"")&gt;0,"OK","CHECK"))</f>
        <v/>
      </c>
      <c r="E413" s="15">
        <f>IF(C413="","",IFERROR(INDEX(lst_JobName,MATCH(C413&amp;"",lst_Jobs,0)),""))</f>
        <v/>
      </c>
      <c r="F413" s="15">
        <f>IF(C413="","",IFERROR(INDEX(tbl_Finance[Client],MATCH(C413&amp;"",tbl_Finance[Job Number],0)),""))</f>
        <v/>
      </c>
      <c r="G413" s="52">
        <f>IF(C413="","",COUNTIFS(tbl_Finance[Job Number],C413&amp;"",tbl_Finance[Ex GST],"&lt;&gt;"))</f>
        <v/>
      </c>
      <c r="H413" s="17">
        <f>IF(C413="","",SUMIFS(tbl_Finance[Ex GST],tbl_Finance[Job Number],C413&amp;""))</f>
        <v/>
      </c>
      <c r="I413" s="15">
        <f>IF(C413="","",IFERROR(INDEX(tbl_Finance[Cost Centre],MATCH(C413&amp;"",tbl_Finance[Job Number],0)),"not invoiced yet"))</f>
        <v/>
      </c>
      <c r="J413" s="14" t="n"/>
      <c r="K413" s="15">
        <f>IF(J413="","",HYPERLINK(IF(LEFT(J413,4)="http",J413,set_QwilrBase&amp;J413),"Open quote"))</f>
        <v/>
      </c>
      <c r="L413" s="16" t="n"/>
      <c r="M413" s="16" t="n"/>
      <c r="N413" s="16" t="n"/>
      <c r="O413" s="15">
        <f>IF(C413="","",IF(N(L413)+N(M413)+N(N413)=0,"Not split",IF(ROUND(N(L413)+N(M413)+N(N413),2)=ROUND(H413,2),"OK","MISMATCH")))</f>
        <v/>
      </c>
      <c r="P413" s="16" t="n"/>
      <c r="Q413" s="16" t="n"/>
      <c r="R413" s="16" t="n"/>
      <c r="S413" s="17">
        <f>IF(C413="","",N(P413)+N(Q413)+N(R413))</f>
        <v/>
      </c>
      <c r="T413" s="17">
        <f>IF(C413="","",H413-S413)</f>
        <v/>
      </c>
      <c r="U413" s="54">
        <f>IFERROR(T413/H413,"")</f>
        <v/>
      </c>
      <c r="V413" s="14" t="n"/>
    </row>
    <row r="414" ht="15" customHeight="1">
      <c r="A414" s="51">
        <f>IF(C414="","",IFERROR(IF(SUMPRODUCT(MAX((tbl_Finance[Job Number]=C414&amp;"")*tbl_Finance[Date]))=0,"",SUMPRODUCT(MAX((tbl_Finance[Job Number]=C414&amp;"")*tbl_Finance[Date]))),""))</f>
        <v/>
      </c>
      <c r="B414" s="15">
        <f>IF(A414="","",IFERROR(LOOKUP(2,1/((tbl_Finance[Job Number]=C414&amp;"")*(tbl_Finance[Date]=A414)),tbl_Finance[Xero Invoice No]),""))</f>
        <v/>
      </c>
      <c r="C414" s="14" t="n"/>
      <c r="D414" s="15">
        <f>IF(C414="","",IF(COUNTIF(lst_Jobs,C414&amp;"")&gt;0,"OK","CHECK"))</f>
        <v/>
      </c>
      <c r="E414" s="15">
        <f>IF(C414="","",IFERROR(INDEX(lst_JobName,MATCH(C414&amp;"",lst_Jobs,0)),""))</f>
        <v/>
      </c>
      <c r="F414" s="15">
        <f>IF(C414="","",IFERROR(INDEX(tbl_Finance[Client],MATCH(C414&amp;"",tbl_Finance[Job Number],0)),""))</f>
        <v/>
      </c>
      <c r="G414" s="52">
        <f>IF(C414="","",COUNTIFS(tbl_Finance[Job Number],C414&amp;"",tbl_Finance[Ex GST],"&lt;&gt;"))</f>
        <v/>
      </c>
      <c r="H414" s="17">
        <f>IF(C414="","",SUMIFS(tbl_Finance[Ex GST],tbl_Finance[Job Number],C414&amp;""))</f>
        <v/>
      </c>
      <c r="I414" s="15">
        <f>IF(C414="","",IFERROR(INDEX(tbl_Finance[Cost Centre],MATCH(C414&amp;"",tbl_Finance[Job Number],0)),"not invoiced yet"))</f>
        <v/>
      </c>
      <c r="J414" s="14" t="n"/>
      <c r="K414" s="15">
        <f>IF(J414="","",HYPERLINK(IF(LEFT(J414,4)="http",J414,set_QwilrBase&amp;J414),"Open quote"))</f>
        <v/>
      </c>
      <c r="L414" s="16" t="n"/>
      <c r="M414" s="16" t="n"/>
      <c r="N414" s="16" t="n"/>
      <c r="O414" s="15">
        <f>IF(C414="","",IF(N(L414)+N(M414)+N(N414)=0,"Not split",IF(ROUND(N(L414)+N(M414)+N(N414),2)=ROUND(H414,2),"OK","MISMATCH")))</f>
        <v/>
      </c>
      <c r="P414" s="16" t="n"/>
      <c r="Q414" s="16" t="n"/>
      <c r="R414" s="16" t="n"/>
      <c r="S414" s="17">
        <f>IF(C414="","",N(P414)+N(Q414)+N(R414))</f>
        <v/>
      </c>
      <c r="T414" s="17">
        <f>IF(C414="","",H414-S414)</f>
        <v/>
      </c>
      <c r="U414" s="54">
        <f>IFERROR(T414/H414,"")</f>
        <v/>
      </c>
      <c r="V414" s="14" t="n"/>
    </row>
    <row r="415" ht="15" customHeight="1">
      <c r="A415" s="51">
        <f>IF(C415="","",IFERROR(IF(SUMPRODUCT(MAX((tbl_Finance[Job Number]=C415&amp;"")*tbl_Finance[Date]))=0,"",SUMPRODUCT(MAX((tbl_Finance[Job Number]=C415&amp;"")*tbl_Finance[Date]))),""))</f>
        <v/>
      </c>
      <c r="B415" s="15">
        <f>IF(A415="","",IFERROR(LOOKUP(2,1/((tbl_Finance[Job Number]=C415&amp;"")*(tbl_Finance[Date]=A415)),tbl_Finance[Xero Invoice No]),""))</f>
        <v/>
      </c>
      <c r="C415" s="14" t="n"/>
      <c r="D415" s="15">
        <f>IF(C415="","",IF(COUNTIF(lst_Jobs,C415&amp;"")&gt;0,"OK","CHECK"))</f>
        <v/>
      </c>
      <c r="E415" s="15">
        <f>IF(C415="","",IFERROR(INDEX(lst_JobName,MATCH(C415&amp;"",lst_Jobs,0)),""))</f>
        <v/>
      </c>
      <c r="F415" s="15">
        <f>IF(C415="","",IFERROR(INDEX(tbl_Finance[Client],MATCH(C415&amp;"",tbl_Finance[Job Number],0)),""))</f>
        <v/>
      </c>
      <c r="G415" s="52">
        <f>IF(C415="","",COUNTIFS(tbl_Finance[Job Number],C415&amp;"",tbl_Finance[Ex GST],"&lt;&gt;"))</f>
        <v/>
      </c>
      <c r="H415" s="17">
        <f>IF(C415="","",SUMIFS(tbl_Finance[Ex GST],tbl_Finance[Job Number],C415&amp;""))</f>
        <v/>
      </c>
      <c r="I415" s="15">
        <f>IF(C415="","",IFERROR(INDEX(tbl_Finance[Cost Centre],MATCH(C415&amp;"",tbl_Finance[Job Number],0)),"not invoiced yet"))</f>
        <v/>
      </c>
      <c r="J415" s="14" t="n"/>
      <c r="K415" s="15">
        <f>IF(J415="","",HYPERLINK(IF(LEFT(J415,4)="http",J415,set_QwilrBase&amp;J415),"Open quote"))</f>
        <v/>
      </c>
      <c r="L415" s="16" t="n"/>
      <c r="M415" s="16" t="n"/>
      <c r="N415" s="16" t="n"/>
      <c r="O415" s="15">
        <f>IF(C415="","",IF(N(L415)+N(M415)+N(N415)=0,"Not split",IF(ROUND(N(L415)+N(M415)+N(N415),2)=ROUND(H415,2),"OK","MISMATCH")))</f>
        <v/>
      </c>
      <c r="P415" s="16" t="n"/>
      <c r="Q415" s="16" t="n"/>
      <c r="R415" s="16" t="n"/>
      <c r="S415" s="17">
        <f>IF(C415="","",N(P415)+N(Q415)+N(R415))</f>
        <v/>
      </c>
      <c r="T415" s="17">
        <f>IF(C415="","",H415-S415)</f>
        <v/>
      </c>
      <c r="U415" s="54">
        <f>IFERROR(T415/H415,"")</f>
        <v/>
      </c>
      <c r="V415" s="14" t="n"/>
    </row>
    <row r="416" ht="15" customHeight="1">
      <c r="A416" s="51">
        <f>IF(C416="","",IFERROR(IF(SUMPRODUCT(MAX((tbl_Finance[Job Number]=C416&amp;"")*tbl_Finance[Date]))=0,"",SUMPRODUCT(MAX((tbl_Finance[Job Number]=C416&amp;"")*tbl_Finance[Date]))),""))</f>
        <v/>
      </c>
      <c r="B416" s="15">
        <f>IF(A416="","",IFERROR(LOOKUP(2,1/((tbl_Finance[Job Number]=C416&amp;"")*(tbl_Finance[Date]=A416)),tbl_Finance[Xero Invoice No]),""))</f>
        <v/>
      </c>
      <c r="C416" s="14" t="n"/>
      <c r="D416" s="15">
        <f>IF(C416="","",IF(COUNTIF(lst_Jobs,C416&amp;"")&gt;0,"OK","CHECK"))</f>
        <v/>
      </c>
      <c r="E416" s="15">
        <f>IF(C416="","",IFERROR(INDEX(lst_JobName,MATCH(C416&amp;"",lst_Jobs,0)),""))</f>
        <v/>
      </c>
      <c r="F416" s="15">
        <f>IF(C416="","",IFERROR(INDEX(tbl_Finance[Client],MATCH(C416&amp;"",tbl_Finance[Job Number],0)),""))</f>
        <v/>
      </c>
      <c r="G416" s="52">
        <f>IF(C416="","",COUNTIFS(tbl_Finance[Job Number],C416&amp;"",tbl_Finance[Ex GST],"&lt;&gt;"))</f>
        <v/>
      </c>
      <c r="H416" s="17">
        <f>IF(C416="","",SUMIFS(tbl_Finance[Ex GST],tbl_Finance[Job Number],C416&amp;""))</f>
        <v/>
      </c>
      <c r="I416" s="15">
        <f>IF(C416="","",IFERROR(INDEX(tbl_Finance[Cost Centre],MATCH(C416&amp;"",tbl_Finance[Job Number],0)),"not invoiced yet"))</f>
        <v/>
      </c>
      <c r="J416" s="14" t="n"/>
      <c r="K416" s="15">
        <f>IF(J416="","",HYPERLINK(IF(LEFT(J416,4)="http",J416,set_QwilrBase&amp;J416),"Open quote"))</f>
        <v/>
      </c>
      <c r="L416" s="16" t="n"/>
      <c r="M416" s="16" t="n"/>
      <c r="N416" s="16" t="n"/>
      <c r="O416" s="15">
        <f>IF(C416="","",IF(N(L416)+N(M416)+N(N416)=0,"Not split",IF(ROUND(N(L416)+N(M416)+N(N416),2)=ROUND(H416,2),"OK","MISMATCH")))</f>
        <v/>
      </c>
      <c r="P416" s="16" t="n"/>
      <c r="Q416" s="16" t="n"/>
      <c r="R416" s="16" t="n"/>
      <c r="S416" s="17">
        <f>IF(C416="","",N(P416)+N(Q416)+N(R416))</f>
        <v/>
      </c>
      <c r="T416" s="17">
        <f>IF(C416="","",H416-S416)</f>
        <v/>
      </c>
      <c r="U416" s="54">
        <f>IFERROR(T416/H416,"")</f>
        <v/>
      </c>
      <c r="V416" s="14" t="n"/>
    </row>
    <row r="417" ht="15" customHeight="1">
      <c r="A417" s="51">
        <f>IF(C417="","",IFERROR(IF(SUMPRODUCT(MAX((tbl_Finance[Job Number]=C417&amp;"")*tbl_Finance[Date]))=0,"",SUMPRODUCT(MAX((tbl_Finance[Job Number]=C417&amp;"")*tbl_Finance[Date]))),""))</f>
        <v/>
      </c>
      <c r="B417" s="15">
        <f>IF(A417="","",IFERROR(LOOKUP(2,1/((tbl_Finance[Job Number]=C417&amp;"")*(tbl_Finance[Date]=A417)),tbl_Finance[Xero Invoice No]),""))</f>
        <v/>
      </c>
      <c r="C417" s="14" t="n"/>
      <c r="D417" s="15">
        <f>IF(C417="","",IF(COUNTIF(lst_Jobs,C417&amp;"")&gt;0,"OK","CHECK"))</f>
        <v/>
      </c>
      <c r="E417" s="15">
        <f>IF(C417="","",IFERROR(INDEX(lst_JobName,MATCH(C417&amp;"",lst_Jobs,0)),""))</f>
        <v/>
      </c>
      <c r="F417" s="15">
        <f>IF(C417="","",IFERROR(INDEX(tbl_Finance[Client],MATCH(C417&amp;"",tbl_Finance[Job Number],0)),""))</f>
        <v/>
      </c>
      <c r="G417" s="52">
        <f>IF(C417="","",COUNTIFS(tbl_Finance[Job Number],C417&amp;"",tbl_Finance[Ex GST],"&lt;&gt;"))</f>
        <v/>
      </c>
      <c r="H417" s="17">
        <f>IF(C417="","",SUMIFS(tbl_Finance[Ex GST],tbl_Finance[Job Number],C417&amp;""))</f>
        <v/>
      </c>
      <c r="I417" s="15">
        <f>IF(C417="","",IFERROR(INDEX(tbl_Finance[Cost Centre],MATCH(C417&amp;"",tbl_Finance[Job Number],0)),"not invoiced yet"))</f>
        <v/>
      </c>
      <c r="J417" s="14" t="n"/>
      <c r="K417" s="15">
        <f>IF(J417="","",HYPERLINK(IF(LEFT(J417,4)="http",J417,set_QwilrBase&amp;J417),"Open quote"))</f>
        <v/>
      </c>
      <c r="L417" s="16" t="n"/>
      <c r="M417" s="16" t="n"/>
      <c r="N417" s="16" t="n"/>
      <c r="O417" s="15">
        <f>IF(C417="","",IF(N(L417)+N(M417)+N(N417)=0,"Not split",IF(ROUND(N(L417)+N(M417)+N(N417),2)=ROUND(H417,2),"OK","MISMATCH")))</f>
        <v/>
      </c>
      <c r="P417" s="16" t="n"/>
      <c r="Q417" s="16" t="n"/>
      <c r="R417" s="16" t="n"/>
      <c r="S417" s="17">
        <f>IF(C417="","",N(P417)+N(Q417)+N(R417))</f>
        <v/>
      </c>
      <c r="T417" s="17">
        <f>IF(C417="","",H417-S417)</f>
        <v/>
      </c>
      <c r="U417" s="54">
        <f>IFERROR(T417/H417,"")</f>
        <v/>
      </c>
      <c r="V417" s="14" t="n"/>
    </row>
    <row r="418" ht="15" customHeight="1">
      <c r="A418" s="51">
        <f>IF(C418="","",IFERROR(IF(SUMPRODUCT(MAX((tbl_Finance[Job Number]=C418&amp;"")*tbl_Finance[Date]))=0,"",SUMPRODUCT(MAX((tbl_Finance[Job Number]=C418&amp;"")*tbl_Finance[Date]))),""))</f>
        <v/>
      </c>
      <c r="B418" s="15">
        <f>IF(A418="","",IFERROR(LOOKUP(2,1/((tbl_Finance[Job Number]=C418&amp;"")*(tbl_Finance[Date]=A418)),tbl_Finance[Xero Invoice No]),""))</f>
        <v/>
      </c>
      <c r="C418" s="14" t="n"/>
      <c r="D418" s="15">
        <f>IF(C418="","",IF(COUNTIF(lst_Jobs,C418&amp;"")&gt;0,"OK","CHECK"))</f>
        <v/>
      </c>
      <c r="E418" s="15">
        <f>IF(C418="","",IFERROR(INDEX(lst_JobName,MATCH(C418&amp;"",lst_Jobs,0)),""))</f>
        <v/>
      </c>
      <c r="F418" s="15">
        <f>IF(C418="","",IFERROR(INDEX(tbl_Finance[Client],MATCH(C418&amp;"",tbl_Finance[Job Number],0)),""))</f>
        <v/>
      </c>
      <c r="G418" s="52">
        <f>IF(C418="","",COUNTIFS(tbl_Finance[Job Number],C418&amp;"",tbl_Finance[Ex GST],"&lt;&gt;"))</f>
        <v/>
      </c>
      <c r="H418" s="17">
        <f>IF(C418="","",SUMIFS(tbl_Finance[Ex GST],tbl_Finance[Job Number],C418&amp;""))</f>
        <v/>
      </c>
      <c r="I418" s="15">
        <f>IF(C418="","",IFERROR(INDEX(tbl_Finance[Cost Centre],MATCH(C418&amp;"",tbl_Finance[Job Number],0)),"not invoiced yet"))</f>
        <v/>
      </c>
      <c r="J418" s="14" t="n"/>
      <c r="K418" s="15">
        <f>IF(J418="","",HYPERLINK(IF(LEFT(J418,4)="http",J418,set_QwilrBase&amp;J418),"Open quote"))</f>
        <v/>
      </c>
      <c r="L418" s="16" t="n"/>
      <c r="M418" s="16" t="n"/>
      <c r="N418" s="16" t="n"/>
      <c r="O418" s="15">
        <f>IF(C418="","",IF(N(L418)+N(M418)+N(N418)=0,"Not split",IF(ROUND(N(L418)+N(M418)+N(N418),2)=ROUND(H418,2),"OK","MISMATCH")))</f>
        <v/>
      </c>
      <c r="P418" s="16" t="n"/>
      <c r="Q418" s="16" t="n"/>
      <c r="R418" s="16" t="n"/>
      <c r="S418" s="17">
        <f>IF(C418="","",N(P418)+N(Q418)+N(R418))</f>
        <v/>
      </c>
      <c r="T418" s="17">
        <f>IF(C418="","",H418-S418)</f>
        <v/>
      </c>
      <c r="U418" s="54">
        <f>IFERROR(T418/H418,"")</f>
        <v/>
      </c>
      <c r="V418" s="14" t="n"/>
    </row>
    <row r="419" ht="15" customHeight="1">
      <c r="A419" s="51">
        <f>IF(C419="","",IFERROR(IF(SUMPRODUCT(MAX((tbl_Finance[Job Number]=C419&amp;"")*tbl_Finance[Date]))=0,"",SUMPRODUCT(MAX((tbl_Finance[Job Number]=C419&amp;"")*tbl_Finance[Date]))),""))</f>
        <v/>
      </c>
      <c r="B419" s="15">
        <f>IF(A419="","",IFERROR(LOOKUP(2,1/((tbl_Finance[Job Number]=C419&amp;"")*(tbl_Finance[Date]=A419)),tbl_Finance[Xero Invoice No]),""))</f>
        <v/>
      </c>
      <c r="C419" s="14" t="n"/>
      <c r="D419" s="15">
        <f>IF(C419="","",IF(COUNTIF(lst_Jobs,C419&amp;"")&gt;0,"OK","CHECK"))</f>
        <v/>
      </c>
      <c r="E419" s="15">
        <f>IF(C419="","",IFERROR(INDEX(lst_JobName,MATCH(C419&amp;"",lst_Jobs,0)),""))</f>
        <v/>
      </c>
      <c r="F419" s="15">
        <f>IF(C419="","",IFERROR(INDEX(tbl_Finance[Client],MATCH(C419&amp;"",tbl_Finance[Job Number],0)),""))</f>
        <v/>
      </c>
      <c r="G419" s="52">
        <f>IF(C419="","",COUNTIFS(tbl_Finance[Job Number],C419&amp;"",tbl_Finance[Ex GST],"&lt;&gt;"))</f>
        <v/>
      </c>
      <c r="H419" s="17">
        <f>IF(C419="","",SUMIFS(tbl_Finance[Ex GST],tbl_Finance[Job Number],C419&amp;""))</f>
        <v/>
      </c>
      <c r="I419" s="15">
        <f>IF(C419="","",IFERROR(INDEX(tbl_Finance[Cost Centre],MATCH(C419&amp;"",tbl_Finance[Job Number],0)),"not invoiced yet"))</f>
        <v/>
      </c>
      <c r="J419" s="14" t="n"/>
      <c r="K419" s="15">
        <f>IF(J419="","",HYPERLINK(IF(LEFT(J419,4)="http",J419,set_QwilrBase&amp;J419),"Open quote"))</f>
        <v/>
      </c>
      <c r="L419" s="16" t="n"/>
      <c r="M419" s="16" t="n"/>
      <c r="N419" s="16" t="n"/>
      <c r="O419" s="15">
        <f>IF(C419="","",IF(N(L419)+N(M419)+N(N419)=0,"Not split",IF(ROUND(N(L419)+N(M419)+N(N419),2)=ROUND(H419,2),"OK","MISMATCH")))</f>
        <v/>
      </c>
      <c r="P419" s="16" t="n"/>
      <c r="Q419" s="16" t="n"/>
      <c r="R419" s="16" t="n"/>
      <c r="S419" s="17">
        <f>IF(C419="","",N(P419)+N(Q419)+N(R419))</f>
        <v/>
      </c>
      <c r="T419" s="17">
        <f>IF(C419="","",H419-S419)</f>
        <v/>
      </c>
      <c r="U419" s="54">
        <f>IFERROR(T419/H419,"")</f>
        <v/>
      </c>
      <c r="V419" s="14" t="n"/>
    </row>
    <row r="420" ht="15" customHeight="1">
      <c r="A420" s="51">
        <f>IF(C420="","",IFERROR(IF(SUMPRODUCT(MAX((tbl_Finance[Job Number]=C420&amp;"")*tbl_Finance[Date]))=0,"",SUMPRODUCT(MAX((tbl_Finance[Job Number]=C420&amp;"")*tbl_Finance[Date]))),""))</f>
        <v/>
      </c>
      <c r="B420" s="15">
        <f>IF(A420="","",IFERROR(LOOKUP(2,1/((tbl_Finance[Job Number]=C420&amp;"")*(tbl_Finance[Date]=A420)),tbl_Finance[Xero Invoice No]),""))</f>
        <v/>
      </c>
      <c r="C420" s="14" t="n"/>
      <c r="D420" s="15">
        <f>IF(C420="","",IF(COUNTIF(lst_Jobs,C420&amp;"")&gt;0,"OK","CHECK"))</f>
        <v/>
      </c>
      <c r="E420" s="15">
        <f>IF(C420="","",IFERROR(INDEX(lst_JobName,MATCH(C420&amp;"",lst_Jobs,0)),""))</f>
        <v/>
      </c>
      <c r="F420" s="15">
        <f>IF(C420="","",IFERROR(INDEX(tbl_Finance[Client],MATCH(C420&amp;"",tbl_Finance[Job Number],0)),""))</f>
        <v/>
      </c>
      <c r="G420" s="52">
        <f>IF(C420="","",COUNTIFS(tbl_Finance[Job Number],C420&amp;"",tbl_Finance[Ex GST],"&lt;&gt;"))</f>
        <v/>
      </c>
      <c r="H420" s="17">
        <f>IF(C420="","",SUMIFS(tbl_Finance[Ex GST],tbl_Finance[Job Number],C420&amp;""))</f>
        <v/>
      </c>
      <c r="I420" s="15">
        <f>IF(C420="","",IFERROR(INDEX(tbl_Finance[Cost Centre],MATCH(C420&amp;"",tbl_Finance[Job Number],0)),"not invoiced yet"))</f>
        <v/>
      </c>
      <c r="J420" s="14" t="n"/>
      <c r="K420" s="15">
        <f>IF(J420="","",HYPERLINK(IF(LEFT(J420,4)="http",J420,set_QwilrBase&amp;J420),"Open quote"))</f>
        <v/>
      </c>
      <c r="L420" s="16" t="n"/>
      <c r="M420" s="16" t="n"/>
      <c r="N420" s="16" t="n"/>
      <c r="O420" s="15">
        <f>IF(C420="","",IF(N(L420)+N(M420)+N(N420)=0,"Not split",IF(ROUND(N(L420)+N(M420)+N(N420),2)=ROUND(H420,2),"OK","MISMATCH")))</f>
        <v/>
      </c>
      <c r="P420" s="16" t="n"/>
      <c r="Q420" s="16" t="n"/>
      <c r="R420" s="16" t="n"/>
      <c r="S420" s="17">
        <f>IF(C420="","",N(P420)+N(Q420)+N(R420))</f>
        <v/>
      </c>
      <c r="T420" s="17">
        <f>IF(C420="","",H420-S420)</f>
        <v/>
      </c>
      <c r="U420" s="54">
        <f>IFERROR(T420/H420,"")</f>
        <v/>
      </c>
      <c r="V420" s="14" t="n"/>
    </row>
    <row r="421" ht="15" customHeight="1">
      <c r="A421" s="51">
        <f>IF(C421="","",IFERROR(IF(SUMPRODUCT(MAX((tbl_Finance[Job Number]=C421&amp;"")*tbl_Finance[Date]))=0,"",SUMPRODUCT(MAX((tbl_Finance[Job Number]=C421&amp;"")*tbl_Finance[Date]))),""))</f>
        <v/>
      </c>
      <c r="B421" s="15">
        <f>IF(A421="","",IFERROR(LOOKUP(2,1/((tbl_Finance[Job Number]=C421&amp;"")*(tbl_Finance[Date]=A421)),tbl_Finance[Xero Invoice No]),""))</f>
        <v/>
      </c>
      <c r="C421" s="14" t="n"/>
      <c r="D421" s="15">
        <f>IF(C421="","",IF(COUNTIF(lst_Jobs,C421&amp;"")&gt;0,"OK","CHECK"))</f>
        <v/>
      </c>
      <c r="E421" s="15">
        <f>IF(C421="","",IFERROR(INDEX(lst_JobName,MATCH(C421&amp;"",lst_Jobs,0)),""))</f>
        <v/>
      </c>
      <c r="F421" s="15">
        <f>IF(C421="","",IFERROR(INDEX(tbl_Finance[Client],MATCH(C421&amp;"",tbl_Finance[Job Number],0)),""))</f>
        <v/>
      </c>
      <c r="G421" s="52">
        <f>IF(C421="","",COUNTIFS(tbl_Finance[Job Number],C421&amp;"",tbl_Finance[Ex GST],"&lt;&gt;"))</f>
        <v/>
      </c>
      <c r="H421" s="17">
        <f>IF(C421="","",SUMIFS(tbl_Finance[Ex GST],tbl_Finance[Job Number],C421&amp;""))</f>
        <v/>
      </c>
      <c r="I421" s="15">
        <f>IF(C421="","",IFERROR(INDEX(tbl_Finance[Cost Centre],MATCH(C421&amp;"",tbl_Finance[Job Number],0)),"not invoiced yet"))</f>
        <v/>
      </c>
      <c r="J421" s="14" t="n"/>
      <c r="K421" s="15">
        <f>IF(J421="","",HYPERLINK(IF(LEFT(J421,4)="http",J421,set_QwilrBase&amp;J421),"Open quote"))</f>
        <v/>
      </c>
      <c r="L421" s="16" t="n"/>
      <c r="M421" s="16" t="n"/>
      <c r="N421" s="16" t="n"/>
      <c r="O421" s="15">
        <f>IF(C421="","",IF(N(L421)+N(M421)+N(N421)=0,"Not split",IF(ROUND(N(L421)+N(M421)+N(N421),2)=ROUND(H421,2),"OK","MISMATCH")))</f>
        <v/>
      </c>
      <c r="P421" s="16" t="n"/>
      <c r="Q421" s="16" t="n"/>
      <c r="R421" s="16" t="n"/>
      <c r="S421" s="17">
        <f>IF(C421="","",N(P421)+N(Q421)+N(R421))</f>
        <v/>
      </c>
      <c r="T421" s="17">
        <f>IF(C421="","",H421-S421)</f>
        <v/>
      </c>
      <c r="U421" s="54">
        <f>IFERROR(T421/H421,"")</f>
        <v/>
      </c>
      <c r="V421" s="14" t="n"/>
    </row>
    <row r="422" ht="15" customHeight="1">
      <c r="A422" s="51">
        <f>IF(C422="","",IFERROR(IF(SUMPRODUCT(MAX((tbl_Finance[Job Number]=C422&amp;"")*tbl_Finance[Date]))=0,"",SUMPRODUCT(MAX((tbl_Finance[Job Number]=C422&amp;"")*tbl_Finance[Date]))),""))</f>
        <v/>
      </c>
      <c r="B422" s="15">
        <f>IF(A422="","",IFERROR(LOOKUP(2,1/((tbl_Finance[Job Number]=C422&amp;"")*(tbl_Finance[Date]=A422)),tbl_Finance[Xero Invoice No]),""))</f>
        <v/>
      </c>
      <c r="C422" s="14" t="n"/>
      <c r="D422" s="15">
        <f>IF(C422="","",IF(COUNTIF(lst_Jobs,C422&amp;"")&gt;0,"OK","CHECK"))</f>
        <v/>
      </c>
      <c r="E422" s="15">
        <f>IF(C422="","",IFERROR(INDEX(lst_JobName,MATCH(C422&amp;"",lst_Jobs,0)),""))</f>
        <v/>
      </c>
      <c r="F422" s="15">
        <f>IF(C422="","",IFERROR(INDEX(tbl_Finance[Client],MATCH(C422&amp;"",tbl_Finance[Job Number],0)),""))</f>
        <v/>
      </c>
      <c r="G422" s="52">
        <f>IF(C422="","",COUNTIFS(tbl_Finance[Job Number],C422&amp;"",tbl_Finance[Ex GST],"&lt;&gt;"))</f>
        <v/>
      </c>
      <c r="H422" s="17">
        <f>IF(C422="","",SUMIFS(tbl_Finance[Ex GST],tbl_Finance[Job Number],C422&amp;""))</f>
        <v/>
      </c>
      <c r="I422" s="15">
        <f>IF(C422="","",IFERROR(INDEX(tbl_Finance[Cost Centre],MATCH(C422&amp;"",tbl_Finance[Job Number],0)),"not invoiced yet"))</f>
        <v/>
      </c>
      <c r="J422" s="14" t="n"/>
      <c r="K422" s="15">
        <f>IF(J422="","",HYPERLINK(IF(LEFT(J422,4)="http",J422,set_QwilrBase&amp;J422),"Open quote"))</f>
        <v/>
      </c>
      <c r="L422" s="16" t="n"/>
      <c r="M422" s="16" t="n"/>
      <c r="N422" s="16" t="n"/>
      <c r="O422" s="15">
        <f>IF(C422="","",IF(N(L422)+N(M422)+N(N422)=0,"Not split",IF(ROUND(N(L422)+N(M422)+N(N422),2)=ROUND(H422,2),"OK","MISMATCH")))</f>
        <v/>
      </c>
      <c r="P422" s="16" t="n"/>
      <c r="Q422" s="16" t="n"/>
      <c r="R422" s="16" t="n"/>
      <c r="S422" s="17">
        <f>IF(C422="","",N(P422)+N(Q422)+N(R422))</f>
        <v/>
      </c>
      <c r="T422" s="17">
        <f>IF(C422="","",H422-S422)</f>
        <v/>
      </c>
      <c r="U422" s="54">
        <f>IFERROR(T422/H422,"")</f>
        <v/>
      </c>
      <c r="V422" s="14" t="n"/>
    </row>
    <row r="423" ht="15" customHeight="1">
      <c r="A423" s="51">
        <f>IF(C423="","",IFERROR(IF(SUMPRODUCT(MAX((tbl_Finance[Job Number]=C423&amp;"")*tbl_Finance[Date]))=0,"",SUMPRODUCT(MAX((tbl_Finance[Job Number]=C423&amp;"")*tbl_Finance[Date]))),""))</f>
        <v/>
      </c>
      <c r="B423" s="15">
        <f>IF(A423="","",IFERROR(LOOKUP(2,1/((tbl_Finance[Job Number]=C423&amp;"")*(tbl_Finance[Date]=A423)),tbl_Finance[Xero Invoice No]),""))</f>
        <v/>
      </c>
      <c r="C423" s="14" t="n"/>
      <c r="D423" s="15">
        <f>IF(C423="","",IF(COUNTIF(lst_Jobs,C423&amp;"")&gt;0,"OK","CHECK"))</f>
        <v/>
      </c>
      <c r="E423" s="15">
        <f>IF(C423="","",IFERROR(INDEX(lst_JobName,MATCH(C423&amp;"",lst_Jobs,0)),""))</f>
        <v/>
      </c>
      <c r="F423" s="15">
        <f>IF(C423="","",IFERROR(INDEX(tbl_Finance[Client],MATCH(C423&amp;"",tbl_Finance[Job Number],0)),""))</f>
        <v/>
      </c>
      <c r="G423" s="52">
        <f>IF(C423="","",COUNTIFS(tbl_Finance[Job Number],C423&amp;"",tbl_Finance[Ex GST],"&lt;&gt;"))</f>
        <v/>
      </c>
      <c r="H423" s="17">
        <f>IF(C423="","",SUMIFS(tbl_Finance[Ex GST],tbl_Finance[Job Number],C423&amp;""))</f>
        <v/>
      </c>
      <c r="I423" s="15">
        <f>IF(C423="","",IFERROR(INDEX(tbl_Finance[Cost Centre],MATCH(C423&amp;"",tbl_Finance[Job Number],0)),"not invoiced yet"))</f>
        <v/>
      </c>
      <c r="J423" s="14" t="n"/>
      <c r="K423" s="15">
        <f>IF(J423="","",HYPERLINK(IF(LEFT(J423,4)="http",J423,set_QwilrBase&amp;J423),"Open quote"))</f>
        <v/>
      </c>
      <c r="L423" s="16" t="n"/>
      <c r="M423" s="16" t="n"/>
      <c r="N423" s="16" t="n"/>
      <c r="O423" s="15">
        <f>IF(C423="","",IF(N(L423)+N(M423)+N(N423)=0,"Not split",IF(ROUND(N(L423)+N(M423)+N(N423),2)=ROUND(H423,2),"OK","MISMATCH")))</f>
        <v/>
      </c>
      <c r="P423" s="16" t="n"/>
      <c r="Q423" s="16" t="n"/>
      <c r="R423" s="16" t="n"/>
      <c r="S423" s="17">
        <f>IF(C423="","",N(P423)+N(Q423)+N(R423))</f>
        <v/>
      </c>
      <c r="T423" s="17">
        <f>IF(C423="","",H423-S423)</f>
        <v/>
      </c>
      <c r="U423" s="54">
        <f>IFERROR(T423/H423,"")</f>
        <v/>
      </c>
      <c r="V423" s="14" t="n"/>
    </row>
    <row r="424" ht="15" customHeight="1">
      <c r="A424" s="51">
        <f>IF(C424="","",IFERROR(IF(SUMPRODUCT(MAX((tbl_Finance[Job Number]=C424&amp;"")*tbl_Finance[Date]))=0,"",SUMPRODUCT(MAX((tbl_Finance[Job Number]=C424&amp;"")*tbl_Finance[Date]))),""))</f>
        <v/>
      </c>
      <c r="B424" s="15">
        <f>IF(A424="","",IFERROR(LOOKUP(2,1/((tbl_Finance[Job Number]=C424&amp;"")*(tbl_Finance[Date]=A424)),tbl_Finance[Xero Invoice No]),""))</f>
        <v/>
      </c>
      <c r="C424" s="14" t="n"/>
      <c r="D424" s="15">
        <f>IF(C424="","",IF(COUNTIF(lst_Jobs,C424&amp;"")&gt;0,"OK","CHECK"))</f>
        <v/>
      </c>
      <c r="E424" s="15">
        <f>IF(C424="","",IFERROR(INDEX(lst_JobName,MATCH(C424&amp;"",lst_Jobs,0)),""))</f>
        <v/>
      </c>
      <c r="F424" s="15">
        <f>IF(C424="","",IFERROR(INDEX(tbl_Finance[Client],MATCH(C424&amp;"",tbl_Finance[Job Number],0)),""))</f>
        <v/>
      </c>
      <c r="G424" s="52">
        <f>IF(C424="","",COUNTIFS(tbl_Finance[Job Number],C424&amp;"",tbl_Finance[Ex GST],"&lt;&gt;"))</f>
        <v/>
      </c>
      <c r="H424" s="17">
        <f>IF(C424="","",SUMIFS(tbl_Finance[Ex GST],tbl_Finance[Job Number],C424&amp;""))</f>
        <v/>
      </c>
      <c r="I424" s="15">
        <f>IF(C424="","",IFERROR(INDEX(tbl_Finance[Cost Centre],MATCH(C424&amp;"",tbl_Finance[Job Number],0)),"not invoiced yet"))</f>
        <v/>
      </c>
      <c r="J424" s="14" t="n"/>
      <c r="K424" s="15">
        <f>IF(J424="","",HYPERLINK(IF(LEFT(J424,4)="http",J424,set_QwilrBase&amp;J424),"Open quote"))</f>
        <v/>
      </c>
      <c r="L424" s="16" t="n"/>
      <c r="M424" s="16" t="n"/>
      <c r="N424" s="16" t="n"/>
      <c r="O424" s="15">
        <f>IF(C424="","",IF(N(L424)+N(M424)+N(N424)=0,"Not split",IF(ROUND(N(L424)+N(M424)+N(N424),2)=ROUND(H424,2),"OK","MISMATCH")))</f>
        <v/>
      </c>
      <c r="P424" s="16" t="n"/>
      <c r="Q424" s="16" t="n"/>
      <c r="R424" s="16" t="n"/>
      <c r="S424" s="17">
        <f>IF(C424="","",N(P424)+N(Q424)+N(R424))</f>
        <v/>
      </c>
      <c r="T424" s="17">
        <f>IF(C424="","",H424-S424)</f>
        <v/>
      </c>
      <c r="U424" s="54">
        <f>IFERROR(T424/H424,"")</f>
        <v/>
      </c>
      <c r="V424" s="14" t="n"/>
    </row>
    <row r="425" ht="15" customHeight="1">
      <c r="A425" s="51">
        <f>IF(C425="","",IFERROR(IF(SUMPRODUCT(MAX((tbl_Finance[Job Number]=C425&amp;"")*tbl_Finance[Date]))=0,"",SUMPRODUCT(MAX((tbl_Finance[Job Number]=C425&amp;"")*tbl_Finance[Date]))),""))</f>
        <v/>
      </c>
      <c r="B425" s="15">
        <f>IF(A425="","",IFERROR(LOOKUP(2,1/((tbl_Finance[Job Number]=C425&amp;"")*(tbl_Finance[Date]=A425)),tbl_Finance[Xero Invoice No]),""))</f>
        <v/>
      </c>
      <c r="C425" s="14" t="n"/>
      <c r="D425" s="15">
        <f>IF(C425="","",IF(COUNTIF(lst_Jobs,C425&amp;"")&gt;0,"OK","CHECK"))</f>
        <v/>
      </c>
      <c r="E425" s="15">
        <f>IF(C425="","",IFERROR(INDEX(lst_JobName,MATCH(C425&amp;"",lst_Jobs,0)),""))</f>
        <v/>
      </c>
      <c r="F425" s="15">
        <f>IF(C425="","",IFERROR(INDEX(tbl_Finance[Client],MATCH(C425&amp;"",tbl_Finance[Job Number],0)),""))</f>
        <v/>
      </c>
      <c r="G425" s="52">
        <f>IF(C425="","",COUNTIFS(tbl_Finance[Job Number],C425&amp;"",tbl_Finance[Ex GST],"&lt;&gt;"))</f>
        <v/>
      </c>
      <c r="H425" s="17">
        <f>IF(C425="","",SUMIFS(tbl_Finance[Ex GST],tbl_Finance[Job Number],C425&amp;""))</f>
        <v/>
      </c>
      <c r="I425" s="15">
        <f>IF(C425="","",IFERROR(INDEX(tbl_Finance[Cost Centre],MATCH(C425&amp;"",tbl_Finance[Job Number],0)),"not invoiced yet"))</f>
        <v/>
      </c>
      <c r="J425" s="14" t="n"/>
      <c r="K425" s="15">
        <f>IF(J425="","",HYPERLINK(IF(LEFT(J425,4)="http",J425,set_QwilrBase&amp;J425),"Open quote"))</f>
        <v/>
      </c>
      <c r="L425" s="16" t="n"/>
      <c r="M425" s="16" t="n"/>
      <c r="N425" s="16" t="n"/>
      <c r="O425" s="15">
        <f>IF(C425="","",IF(N(L425)+N(M425)+N(N425)=0,"Not split",IF(ROUND(N(L425)+N(M425)+N(N425),2)=ROUND(H425,2),"OK","MISMATCH")))</f>
        <v/>
      </c>
      <c r="P425" s="16" t="n"/>
      <c r="Q425" s="16" t="n"/>
      <c r="R425" s="16" t="n"/>
      <c r="S425" s="17">
        <f>IF(C425="","",N(P425)+N(Q425)+N(R425))</f>
        <v/>
      </c>
      <c r="T425" s="17">
        <f>IF(C425="","",H425-S425)</f>
        <v/>
      </c>
      <c r="U425" s="54">
        <f>IFERROR(T425/H425,"")</f>
        <v/>
      </c>
      <c r="V425" s="14" t="n"/>
    </row>
    <row r="426" ht="15" customHeight="1">
      <c r="A426" s="51">
        <f>IF(C426="","",IFERROR(IF(SUMPRODUCT(MAX((tbl_Finance[Job Number]=C426&amp;"")*tbl_Finance[Date]))=0,"",SUMPRODUCT(MAX((tbl_Finance[Job Number]=C426&amp;"")*tbl_Finance[Date]))),""))</f>
        <v/>
      </c>
      <c r="B426" s="15">
        <f>IF(A426="","",IFERROR(LOOKUP(2,1/((tbl_Finance[Job Number]=C426&amp;"")*(tbl_Finance[Date]=A426)),tbl_Finance[Xero Invoice No]),""))</f>
        <v/>
      </c>
      <c r="C426" s="14" t="n"/>
      <c r="D426" s="15">
        <f>IF(C426="","",IF(COUNTIF(lst_Jobs,C426&amp;"")&gt;0,"OK","CHECK"))</f>
        <v/>
      </c>
      <c r="E426" s="15">
        <f>IF(C426="","",IFERROR(INDEX(lst_JobName,MATCH(C426&amp;"",lst_Jobs,0)),""))</f>
        <v/>
      </c>
      <c r="F426" s="15">
        <f>IF(C426="","",IFERROR(INDEX(tbl_Finance[Client],MATCH(C426&amp;"",tbl_Finance[Job Number],0)),""))</f>
        <v/>
      </c>
      <c r="G426" s="52">
        <f>IF(C426="","",COUNTIFS(tbl_Finance[Job Number],C426&amp;"",tbl_Finance[Ex GST],"&lt;&gt;"))</f>
        <v/>
      </c>
      <c r="H426" s="17">
        <f>IF(C426="","",SUMIFS(tbl_Finance[Ex GST],tbl_Finance[Job Number],C426&amp;""))</f>
        <v/>
      </c>
      <c r="I426" s="15">
        <f>IF(C426="","",IFERROR(INDEX(tbl_Finance[Cost Centre],MATCH(C426&amp;"",tbl_Finance[Job Number],0)),"not invoiced yet"))</f>
        <v/>
      </c>
      <c r="J426" s="14" t="n"/>
      <c r="K426" s="15">
        <f>IF(J426="","",HYPERLINK(IF(LEFT(J426,4)="http",J426,set_QwilrBase&amp;J426),"Open quote"))</f>
        <v/>
      </c>
      <c r="L426" s="16" t="n"/>
      <c r="M426" s="16" t="n"/>
      <c r="N426" s="16" t="n"/>
      <c r="O426" s="15">
        <f>IF(C426="","",IF(N(L426)+N(M426)+N(N426)=0,"Not split",IF(ROUND(N(L426)+N(M426)+N(N426),2)=ROUND(H426,2),"OK","MISMATCH")))</f>
        <v/>
      </c>
      <c r="P426" s="16" t="n"/>
      <c r="Q426" s="16" t="n"/>
      <c r="R426" s="16" t="n"/>
      <c r="S426" s="17">
        <f>IF(C426="","",N(P426)+N(Q426)+N(R426))</f>
        <v/>
      </c>
      <c r="T426" s="17">
        <f>IF(C426="","",H426-S426)</f>
        <v/>
      </c>
      <c r="U426" s="54">
        <f>IFERROR(T426/H426,"")</f>
        <v/>
      </c>
      <c r="V426" s="14" t="n"/>
    </row>
    <row r="427" ht="15" customHeight="1">
      <c r="A427" s="51">
        <f>IF(C427="","",IFERROR(IF(SUMPRODUCT(MAX((tbl_Finance[Job Number]=C427&amp;"")*tbl_Finance[Date]))=0,"",SUMPRODUCT(MAX((tbl_Finance[Job Number]=C427&amp;"")*tbl_Finance[Date]))),""))</f>
        <v/>
      </c>
      <c r="B427" s="15">
        <f>IF(A427="","",IFERROR(LOOKUP(2,1/((tbl_Finance[Job Number]=C427&amp;"")*(tbl_Finance[Date]=A427)),tbl_Finance[Xero Invoice No]),""))</f>
        <v/>
      </c>
      <c r="C427" s="14" t="n"/>
      <c r="D427" s="15">
        <f>IF(C427="","",IF(COUNTIF(lst_Jobs,C427&amp;"")&gt;0,"OK","CHECK"))</f>
        <v/>
      </c>
      <c r="E427" s="15">
        <f>IF(C427="","",IFERROR(INDEX(lst_JobName,MATCH(C427&amp;"",lst_Jobs,0)),""))</f>
        <v/>
      </c>
      <c r="F427" s="15">
        <f>IF(C427="","",IFERROR(INDEX(tbl_Finance[Client],MATCH(C427&amp;"",tbl_Finance[Job Number],0)),""))</f>
        <v/>
      </c>
      <c r="G427" s="52">
        <f>IF(C427="","",COUNTIFS(tbl_Finance[Job Number],C427&amp;"",tbl_Finance[Ex GST],"&lt;&gt;"))</f>
        <v/>
      </c>
      <c r="H427" s="17">
        <f>IF(C427="","",SUMIFS(tbl_Finance[Ex GST],tbl_Finance[Job Number],C427&amp;""))</f>
        <v/>
      </c>
      <c r="I427" s="15">
        <f>IF(C427="","",IFERROR(INDEX(tbl_Finance[Cost Centre],MATCH(C427&amp;"",tbl_Finance[Job Number],0)),"not invoiced yet"))</f>
        <v/>
      </c>
      <c r="J427" s="14" t="n"/>
      <c r="K427" s="15">
        <f>IF(J427="","",HYPERLINK(IF(LEFT(J427,4)="http",J427,set_QwilrBase&amp;J427),"Open quote"))</f>
        <v/>
      </c>
      <c r="L427" s="16" t="n"/>
      <c r="M427" s="16" t="n"/>
      <c r="N427" s="16" t="n"/>
      <c r="O427" s="15">
        <f>IF(C427="","",IF(N(L427)+N(M427)+N(N427)=0,"Not split",IF(ROUND(N(L427)+N(M427)+N(N427),2)=ROUND(H427,2),"OK","MISMATCH")))</f>
        <v/>
      </c>
      <c r="P427" s="16" t="n"/>
      <c r="Q427" s="16" t="n"/>
      <c r="R427" s="16" t="n"/>
      <c r="S427" s="17">
        <f>IF(C427="","",N(P427)+N(Q427)+N(R427))</f>
        <v/>
      </c>
      <c r="T427" s="17">
        <f>IF(C427="","",H427-S427)</f>
        <v/>
      </c>
      <c r="U427" s="54">
        <f>IFERROR(T427/H427,"")</f>
        <v/>
      </c>
      <c r="V427" s="14" t="n"/>
    </row>
    <row r="428" ht="15" customHeight="1">
      <c r="A428" s="51">
        <f>IF(C428="","",IFERROR(IF(SUMPRODUCT(MAX((tbl_Finance[Job Number]=C428&amp;"")*tbl_Finance[Date]))=0,"",SUMPRODUCT(MAX((tbl_Finance[Job Number]=C428&amp;"")*tbl_Finance[Date]))),""))</f>
        <v/>
      </c>
      <c r="B428" s="15">
        <f>IF(A428="","",IFERROR(LOOKUP(2,1/((tbl_Finance[Job Number]=C428&amp;"")*(tbl_Finance[Date]=A428)),tbl_Finance[Xero Invoice No]),""))</f>
        <v/>
      </c>
      <c r="C428" s="14" t="n"/>
      <c r="D428" s="15">
        <f>IF(C428="","",IF(COUNTIF(lst_Jobs,C428&amp;"")&gt;0,"OK","CHECK"))</f>
        <v/>
      </c>
      <c r="E428" s="15">
        <f>IF(C428="","",IFERROR(INDEX(lst_JobName,MATCH(C428&amp;"",lst_Jobs,0)),""))</f>
        <v/>
      </c>
      <c r="F428" s="15">
        <f>IF(C428="","",IFERROR(INDEX(tbl_Finance[Client],MATCH(C428&amp;"",tbl_Finance[Job Number],0)),""))</f>
        <v/>
      </c>
      <c r="G428" s="52">
        <f>IF(C428="","",COUNTIFS(tbl_Finance[Job Number],C428&amp;"",tbl_Finance[Ex GST],"&lt;&gt;"))</f>
        <v/>
      </c>
      <c r="H428" s="17">
        <f>IF(C428="","",SUMIFS(tbl_Finance[Ex GST],tbl_Finance[Job Number],C428&amp;""))</f>
        <v/>
      </c>
      <c r="I428" s="15">
        <f>IF(C428="","",IFERROR(INDEX(tbl_Finance[Cost Centre],MATCH(C428&amp;"",tbl_Finance[Job Number],0)),"not invoiced yet"))</f>
        <v/>
      </c>
      <c r="J428" s="14" t="n"/>
      <c r="K428" s="15">
        <f>IF(J428="","",HYPERLINK(IF(LEFT(J428,4)="http",J428,set_QwilrBase&amp;J428),"Open quote"))</f>
        <v/>
      </c>
      <c r="L428" s="16" t="n"/>
      <c r="M428" s="16" t="n"/>
      <c r="N428" s="16" t="n"/>
      <c r="O428" s="15">
        <f>IF(C428="","",IF(N(L428)+N(M428)+N(N428)=0,"Not split",IF(ROUND(N(L428)+N(M428)+N(N428),2)=ROUND(H428,2),"OK","MISMATCH")))</f>
        <v/>
      </c>
      <c r="P428" s="16" t="n"/>
      <c r="Q428" s="16" t="n"/>
      <c r="R428" s="16" t="n"/>
      <c r="S428" s="17">
        <f>IF(C428="","",N(P428)+N(Q428)+N(R428))</f>
        <v/>
      </c>
      <c r="T428" s="17">
        <f>IF(C428="","",H428-S428)</f>
        <v/>
      </c>
      <c r="U428" s="54">
        <f>IFERROR(T428/H428,"")</f>
        <v/>
      </c>
      <c r="V428" s="14" t="n"/>
    </row>
    <row r="429" ht="15" customHeight="1">
      <c r="A429" s="51">
        <f>IF(C429="","",IFERROR(IF(SUMPRODUCT(MAX((tbl_Finance[Job Number]=C429&amp;"")*tbl_Finance[Date]))=0,"",SUMPRODUCT(MAX((tbl_Finance[Job Number]=C429&amp;"")*tbl_Finance[Date]))),""))</f>
        <v/>
      </c>
      <c r="B429" s="15">
        <f>IF(A429="","",IFERROR(LOOKUP(2,1/((tbl_Finance[Job Number]=C429&amp;"")*(tbl_Finance[Date]=A429)),tbl_Finance[Xero Invoice No]),""))</f>
        <v/>
      </c>
      <c r="C429" s="14" t="n"/>
      <c r="D429" s="15">
        <f>IF(C429="","",IF(COUNTIF(lst_Jobs,C429&amp;"")&gt;0,"OK","CHECK"))</f>
        <v/>
      </c>
      <c r="E429" s="15">
        <f>IF(C429="","",IFERROR(INDEX(lst_JobName,MATCH(C429&amp;"",lst_Jobs,0)),""))</f>
        <v/>
      </c>
      <c r="F429" s="15">
        <f>IF(C429="","",IFERROR(INDEX(tbl_Finance[Client],MATCH(C429&amp;"",tbl_Finance[Job Number],0)),""))</f>
        <v/>
      </c>
      <c r="G429" s="52">
        <f>IF(C429="","",COUNTIFS(tbl_Finance[Job Number],C429&amp;"",tbl_Finance[Ex GST],"&lt;&gt;"))</f>
        <v/>
      </c>
      <c r="H429" s="17">
        <f>IF(C429="","",SUMIFS(tbl_Finance[Ex GST],tbl_Finance[Job Number],C429&amp;""))</f>
        <v/>
      </c>
      <c r="I429" s="15">
        <f>IF(C429="","",IFERROR(INDEX(tbl_Finance[Cost Centre],MATCH(C429&amp;"",tbl_Finance[Job Number],0)),"not invoiced yet"))</f>
        <v/>
      </c>
      <c r="J429" s="14" t="n"/>
      <c r="K429" s="15">
        <f>IF(J429="","",HYPERLINK(IF(LEFT(J429,4)="http",J429,set_QwilrBase&amp;J429),"Open quote"))</f>
        <v/>
      </c>
      <c r="L429" s="16" t="n"/>
      <c r="M429" s="16" t="n"/>
      <c r="N429" s="16" t="n"/>
      <c r="O429" s="15">
        <f>IF(C429="","",IF(N(L429)+N(M429)+N(N429)=0,"Not split",IF(ROUND(N(L429)+N(M429)+N(N429),2)=ROUND(H429,2),"OK","MISMATCH")))</f>
        <v/>
      </c>
      <c r="P429" s="16" t="n"/>
      <c r="Q429" s="16" t="n"/>
      <c r="R429" s="16" t="n"/>
      <c r="S429" s="17">
        <f>IF(C429="","",N(P429)+N(Q429)+N(R429))</f>
        <v/>
      </c>
      <c r="T429" s="17">
        <f>IF(C429="","",H429-S429)</f>
        <v/>
      </c>
      <c r="U429" s="54">
        <f>IFERROR(T429/H429,"")</f>
        <v/>
      </c>
      <c r="V429" s="14" t="n"/>
    </row>
    <row r="430" ht="15" customHeight="1">
      <c r="A430" s="51">
        <f>IF(C430="","",IFERROR(IF(SUMPRODUCT(MAX((tbl_Finance[Job Number]=C430&amp;"")*tbl_Finance[Date]))=0,"",SUMPRODUCT(MAX((tbl_Finance[Job Number]=C430&amp;"")*tbl_Finance[Date]))),""))</f>
        <v/>
      </c>
      <c r="B430" s="15">
        <f>IF(A430="","",IFERROR(LOOKUP(2,1/((tbl_Finance[Job Number]=C430&amp;"")*(tbl_Finance[Date]=A430)),tbl_Finance[Xero Invoice No]),""))</f>
        <v/>
      </c>
      <c r="C430" s="14" t="n"/>
      <c r="D430" s="15">
        <f>IF(C430="","",IF(COUNTIF(lst_Jobs,C430&amp;"")&gt;0,"OK","CHECK"))</f>
        <v/>
      </c>
      <c r="E430" s="15">
        <f>IF(C430="","",IFERROR(INDEX(lst_JobName,MATCH(C430&amp;"",lst_Jobs,0)),""))</f>
        <v/>
      </c>
      <c r="F430" s="15">
        <f>IF(C430="","",IFERROR(INDEX(tbl_Finance[Client],MATCH(C430&amp;"",tbl_Finance[Job Number],0)),""))</f>
        <v/>
      </c>
      <c r="G430" s="52">
        <f>IF(C430="","",COUNTIFS(tbl_Finance[Job Number],C430&amp;"",tbl_Finance[Ex GST],"&lt;&gt;"))</f>
        <v/>
      </c>
      <c r="H430" s="17">
        <f>IF(C430="","",SUMIFS(tbl_Finance[Ex GST],tbl_Finance[Job Number],C430&amp;""))</f>
        <v/>
      </c>
      <c r="I430" s="15">
        <f>IF(C430="","",IFERROR(INDEX(tbl_Finance[Cost Centre],MATCH(C430&amp;"",tbl_Finance[Job Number],0)),"not invoiced yet"))</f>
        <v/>
      </c>
      <c r="J430" s="14" t="n"/>
      <c r="K430" s="15">
        <f>IF(J430="","",HYPERLINK(IF(LEFT(J430,4)="http",J430,set_QwilrBase&amp;J430),"Open quote"))</f>
        <v/>
      </c>
      <c r="L430" s="16" t="n"/>
      <c r="M430" s="16" t="n"/>
      <c r="N430" s="16" t="n"/>
      <c r="O430" s="15">
        <f>IF(C430="","",IF(N(L430)+N(M430)+N(N430)=0,"Not split",IF(ROUND(N(L430)+N(M430)+N(N430),2)=ROUND(H430,2),"OK","MISMATCH")))</f>
        <v/>
      </c>
      <c r="P430" s="16" t="n"/>
      <c r="Q430" s="16" t="n"/>
      <c r="R430" s="16" t="n"/>
      <c r="S430" s="17">
        <f>IF(C430="","",N(P430)+N(Q430)+N(R430))</f>
        <v/>
      </c>
      <c r="T430" s="17">
        <f>IF(C430="","",H430-S430)</f>
        <v/>
      </c>
      <c r="U430" s="54">
        <f>IFERROR(T430/H430,"")</f>
        <v/>
      </c>
      <c r="V430" s="14" t="n"/>
    </row>
    <row r="431" ht="15" customHeight="1">
      <c r="A431" s="51">
        <f>IF(C431="","",IFERROR(IF(SUMPRODUCT(MAX((tbl_Finance[Job Number]=C431&amp;"")*tbl_Finance[Date]))=0,"",SUMPRODUCT(MAX((tbl_Finance[Job Number]=C431&amp;"")*tbl_Finance[Date]))),""))</f>
        <v/>
      </c>
      <c r="B431" s="15">
        <f>IF(A431="","",IFERROR(LOOKUP(2,1/((tbl_Finance[Job Number]=C431&amp;"")*(tbl_Finance[Date]=A431)),tbl_Finance[Xero Invoice No]),""))</f>
        <v/>
      </c>
      <c r="C431" s="14" t="n"/>
      <c r="D431" s="15">
        <f>IF(C431="","",IF(COUNTIF(lst_Jobs,C431&amp;"")&gt;0,"OK","CHECK"))</f>
        <v/>
      </c>
      <c r="E431" s="15">
        <f>IF(C431="","",IFERROR(INDEX(lst_JobName,MATCH(C431&amp;"",lst_Jobs,0)),""))</f>
        <v/>
      </c>
      <c r="F431" s="15">
        <f>IF(C431="","",IFERROR(INDEX(tbl_Finance[Client],MATCH(C431&amp;"",tbl_Finance[Job Number],0)),""))</f>
        <v/>
      </c>
      <c r="G431" s="52">
        <f>IF(C431="","",COUNTIFS(tbl_Finance[Job Number],C431&amp;"",tbl_Finance[Ex GST],"&lt;&gt;"))</f>
        <v/>
      </c>
      <c r="H431" s="17">
        <f>IF(C431="","",SUMIFS(tbl_Finance[Ex GST],tbl_Finance[Job Number],C431&amp;""))</f>
        <v/>
      </c>
      <c r="I431" s="15">
        <f>IF(C431="","",IFERROR(INDEX(tbl_Finance[Cost Centre],MATCH(C431&amp;"",tbl_Finance[Job Number],0)),"not invoiced yet"))</f>
        <v/>
      </c>
      <c r="J431" s="14" t="n"/>
      <c r="K431" s="15">
        <f>IF(J431="","",HYPERLINK(IF(LEFT(J431,4)="http",J431,set_QwilrBase&amp;J431),"Open quote"))</f>
        <v/>
      </c>
      <c r="L431" s="16" t="n"/>
      <c r="M431" s="16" t="n"/>
      <c r="N431" s="16" t="n"/>
      <c r="O431" s="15">
        <f>IF(C431="","",IF(N(L431)+N(M431)+N(N431)=0,"Not split",IF(ROUND(N(L431)+N(M431)+N(N431),2)=ROUND(H431,2),"OK","MISMATCH")))</f>
        <v/>
      </c>
      <c r="P431" s="16" t="n"/>
      <c r="Q431" s="16" t="n"/>
      <c r="R431" s="16" t="n"/>
      <c r="S431" s="17">
        <f>IF(C431="","",N(P431)+N(Q431)+N(R431))</f>
        <v/>
      </c>
      <c r="T431" s="17">
        <f>IF(C431="","",H431-S431)</f>
        <v/>
      </c>
      <c r="U431" s="54">
        <f>IFERROR(T431/H431,"")</f>
        <v/>
      </c>
      <c r="V431" s="14" t="n"/>
    </row>
    <row r="432" ht="15" customHeight="1">
      <c r="A432" s="51">
        <f>IF(C432="","",IFERROR(IF(SUMPRODUCT(MAX((tbl_Finance[Job Number]=C432&amp;"")*tbl_Finance[Date]))=0,"",SUMPRODUCT(MAX((tbl_Finance[Job Number]=C432&amp;"")*tbl_Finance[Date]))),""))</f>
        <v/>
      </c>
      <c r="B432" s="15">
        <f>IF(A432="","",IFERROR(LOOKUP(2,1/((tbl_Finance[Job Number]=C432&amp;"")*(tbl_Finance[Date]=A432)),tbl_Finance[Xero Invoice No]),""))</f>
        <v/>
      </c>
      <c r="C432" s="14" t="n"/>
      <c r="D432" s="15">
        <f>IF(C432="","",IF(COUNTIF(lst_Jobs,C432&amp;"")&gt;0,"OK","CHECK"))</f>
        <v/>
      </c>
      <c r="E432" s="15">
        <f>IF(C432="","",IFERROR(INDEX(lst_JobName,MATCH(C432&amp;"",lst_Jobs,0)),""))</f>
        <v/>
      </c>
      <c r="F432" s="15">
        <f>IF(C432="","",IFERROR(INDEX(tbl_Finance[Client],MATCH(C432&amp;"",tbl_Finance[Job Number],0)),""))</f>
        <v/>
      </c>
      <c r="G432" s="52">
        <f>IF(C432="","",COUNTIFS(tbl_Finance[Job Number],C432&amp;"",tbl_Finance[Ex GST],"&lt;&gt;"))</f>
        <v/>
      </c>
      <c r="H432" s="17">
        <f>IF(C432="","",SUMIFS(tbl_Finance[Ex GST],tbl_Finance[Job Number],C432&amp;""))</f>
        <v/>
      </c>
      <c r="I432" s="15">
        <f>IF(C432="","",IFERROR(INDEX(tbl_Finance[Cost Centre],MATCH(C432&amp;"",tbl_Finance[Job Number],0)),"not invoiced yet"))</f>
        <v/>
      </c>
      <c r="J432" s="14" t="n"/>
      <c r="K432" s="15">
        <f>IF(J432="","",HYPERLINK(IF(LEFT(J432,4)="http",J432,set_QwilrBase&amp;J432),"Open quote"))</f>
        <v/>
      </c>
      <c r="L432" s="16" t="n"/>
      <c r="M432" s="16" t="n"/>
      <c r="N432" s="16" t="n"/>
      <c r="O432" s="15">
        <f>IF(C432="","",IF(N(L432)+N(M432)+N(N432)=0,"Not split",IF(ROUND(N(L432)+N(M432)+N(N432),2)=ROUND(H432,2),"OK","MISMATCH")))</f>
        <v/>
      </c>
      <c r="P432" s="16" t="n"/>
      <c r="Q432" s="16" t="n"/>
      <c r="R432" s="16" t="n"/>
      <c r="S432" s="17">
        <f>IF(C432="","",N(P432)+N(Q432)+N(R432))</f>
        <v/>
      </c>
      <c r="T432" s="17">
        <f>IF(C432="","",H432-S432)</f>
        <v/>
      </c>
      <c r="U432" s="54">
        <f>IFERROR(T432/H432,"")</f>
        <v/>
      </c>
      <c r="V43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conditionalFormatting sqref="O5:O5000">
    <cfRule type="expression" priority="2" dxfId="1" stopIfTrue="0">
      <formula>O5="MISMATCH"</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N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11" customWidth="1" min="11" max="11"/>
    <col width="14" customWidth="1" min="12" max="12"/>
    <col width="14" customWidth="1" min="13" max="13"/>
    <col width="40" customWidth="1" min="14" max="14"/>
  </cols>
  <sheetData>
    <row r="1" ht="24" customHeight="1">
      <c r="A1" s="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9">
        <f>"Amount  "&amp;TEXT(SUBTOTAL(109,tbl_WIP[Amount]),"$#,##0.00")</f>
        <v/>
      </c>
    </row>
    <row r="4" ht="34" customHeight="1">
      <c r="A4" s="10" t="inlineStr">
        <is>
          <t>Month</t>
        </is>
      </c>
      <c r="B4" s="11" t="inlineStr">
        <is>
          <t>Invoice Date</t>
        </is>
      </c>
      <c r="C4" s="10" t="inlineStr">
        <is>
          <t>Xero Invoice No</t>
        </is>
      </c>
      <c r="D4" s="10" t="inlineStr">
        <is>
          <t>Job Number</t>
        </is>
      </c>
      <c r="E4" s="11" t="inlineStr">
        <is>
          <t>Job in Xero?</t>
        </is>
      </c>
      <c r="F4" s="10" t="inlineStr">
        <is>
          <t>Client</t>
        </is>
      </c>
      <c r="G4" s="10" t="inlineStr">
        <is>
          <t>Cost Centre</t>
        </is>
      </c>
      <c r="H4" s="10" t="inlineStr">
        <is>
          <t>Description</t>
        </is>
      </c>
      <c r="I4" s="10" t="inlineStr">
        <is>
          <t>Type</t>
        </is>
      </c>
      <c r="J4" s="10" t="inlineStr">
        <is>
          <t>Amount</t>
        </is>
      </c>
      <c r="K4" s="10" t="inlineStr">
        <is>
          <t>GL Code</t>
        </is>
      </c>
      <c r="L4" s="10" t="inlineStr">
        <is>
          <t>Journal Ref</t>
        </is>
      </c>
      <c r="M4" s="10" t="inlineStr">
        <is>
          <t>Posted to Xero</t>
        </is>
      </c>
      <c r="N4" s="10" t="inlineStr">
        <is>
          <t>Notes</t>
        </is>
      </c>
    </row>
    <row r="5" ht="15" customHeight="1">
      <c r="A5" s="55" t="n">
        <v>46234</v>
      </c>
      <c r="B5" s="51">
        <f>IF(C5="","",IFERROR(INDEX(tbl_Finance[Date],MATCH(C5&amp;"",tbl_Finance[Xero Invoice No],0)),""))</f>
        <v/>
      </c>
      <c r="C5" s="14" t="n"/>
      <c r="D5" s="14" t="inlineStr">
        <is>
          <t>2506208</t>
        </is>
      </c>
      <c r="E5" s="15">
        <f>IF(D5="","",IF(COUNTIF(lst_Jobs,D5&amp;"")&gt;0,"OK","CHECK"))</f>
        <v/>
      </c>
      <c r="F5" s="14" t="inlineStr">
        <is>
          <t>CBA</t>
        </is>
      </c>
      <c r="G5" s="14" t="inlineStr">
        <is>
          <t>PRODUCTION</t>
        </is>
      </c>
      <c r="H5" s="14" t="inlineStr">
        <is>
          <t>CBA AGM 2026 Pre-production work at $130ph</t>
        </is>
      </c>
      <c r="I5" s="14" t="inlineStr">
        <is>
          <t>Accrual - unbilled work</t>
        </is>
      </c>
      <c r="J5" s="16" t="n">
        <v>2535</v>
      </c>
      <c r="K5" s="14" t="inlineStr">
        <is>
          <t>11300</t>
        </is>
      </c>
      <c r="L5" s="14" t="n"/>
      <c r="M5" s="14" t="inlineStr">
        <is>
          <t>Y</t>
        </is>
      </c>
      <c r="N5" s="14" t="inlineStr">
        <is>
          <t>Migrated from FY27 Revenue Tracker v2 - confirm type/sign</t>
        </is>
      </c>
    </row>
    <row r="6" ht="15" customHeight="1">
      <c r="A6" s="55" t="n">
        <v>46234</v>
      </c>
      <c r="B6" s="51">
        <f>IF(C6="","",IFERROR(INDEX(tbl_Finance[Date],MATCH(C6&amp;"",tbl_Finance[Xero Invoice No],0)),""))</f>
        <v/>
      </c>
      <c r="C6" s="14" t="n"/>
      <c r="D6" s="14" t="inlineStr">
        <is>
          <t>25070702</t>
        </is>
      </c>
      <c r="E6" s="15">
        <f>IF(D6="","",IF(COUNTIF(lst_Jobs,D6&amp;"")&gt;0,"OK","CHECK"))</f>
        <v/>
      </c>
      <c r="F6" s="14" t="inlineStr">
        <is>
          <t>APA</t>
        </is>
      </c>
      <c r="G6" s="14" t="inlineStr">
        <is>
          <t>INTEGRATION</t>
        </is>
      </c>
      <c r="H6" s="14" t="inlineStr">
        <is>
          <t>APA BNE &amp; NT Year 1/3 Inv9988 (Revenue) Sep 2025 - Aug 2026</t>
        </is>
      </c>
      <c r="I6" s="14" t="inlineStr">
        <is>
          <t>Accrual - unbilled work</t>
        </is>
      </c>
      <c r="J6" s="16" t="n">
        <v>308.16</v>
      </c>
      <c r="K6" s="14" t="inlineStr">
        <is>
          <t>11300</t>
        </is>
      </c>
      <c r="L6" s="14" t="n"/>
      <c r="M6" s="14" t="inlineStr">
        <is>
          <t>Y</t>
        </is>
      </c>
      <c r="N6" s="14" t="inlineStr">
        <is>
          <t>Migrated from FY27 Revenue Tracker v2 - confirm type/sign</t>
        </is>
      </c>
    </row>
    <row r="7" ht="15" customHeight="1">
      <c r="A7" s="55" t="n">
        <v>46234</v>
      </c>
      <c r="B7" s="51">
        <f>IF(C7="","",IFERROR(INDEX(tbl_Finance[Date],MATCH(C7&amp;"",tbl_Finance[Xero Invoice No],0)),""))</f>
        <v/>
      </c>
      <c r="C7" s="14" t="n"/>
      <c r="D7" s="14" t="inlineStr">
        <is>
          <t>3072</t>
        </is>
      </c>
      <c r="E7" s="15">
        <f>IF(D7="","",IF(COUNTIF(lst_Jobs,D7&amp;"")&gt;0,"OK","CHECK"))</f>
        <v/>
      </c>
      <c r="F7" s="14" t="inlineStr">
        <is>
          <t>APA Thomastown</t>
        </is>
      </c>
      <c r="G7" s="14" t="inlineStr">
        <is>
          <t>INTEGRATION</t>
        </is>
      </c>
      <c r="H7" s="14" t="inlineStr">
        <is>
          <t>APA Thomastown INV-10133 Year 3 Licence (January - December 2026)</t>
        </is>
      </c>
      <c r="I7" s="14" t="inlineStr">
        <is>
          <t>Accrual - unbilled work</t>
        </is>
      </c>
      <c r="J7" s="16" t="n">
        <v>1033.06</v>
      </c>
      <c r="K7" s="14" t="inlineStr">
        <is>
          <t>11300</t>
        </is>
      </c>
      <c r="L7" s="14" t="n"/>
      <c r="M7" s="14" t="inlineStr">
        <is>
          <t>Y</t>
        </is>
      </c>
      <c r="N7" s="14" t="inlineStr">
        <is>
          <t>Migrated from FY27 Revenue Tracker v2 - confirm type/sign</t>
        </is>
      </c>
    </row>
    <row r="8" ht="15" customHeight="1">
      <c r="A8" s="55" t="n">
        <v>46234</v>
      </c>
      <c r="B8" s="51">
        <f>IF(C8="","",IFERROR(INDEX(tbl_Finance[Date],MATCH(C8&amp;"",tbl_Finance[Xero Invoice No],0)),""))</f>
        <v/>
      </c>
      <c r="C8" s="14" t="n"/>
      <c r="D8" s="14" t="inlineStr">
        <is>
          <t>2519</t>
        </is>
      </c>
      <c r="E8" s="15">
        <f>IF(D8="","",IF(COUNTIF(lst_Jobs,D8&amp;"")&gt;0,"OK","CHECK"))</f>
        <v/>
      </c>
      <c r="F8" s="14" t="inlineStr">
        <is>
          <t>NSW Property</t>
        </is>
      </c>
      <c r="G8" s="14" t="inlineStr">
        <is>
          <t>INTEGRATION</t>
        </is>
      </c>
      <c r="H8" s="14" t="inlineStr">
        <is>
          <t>NSW Property 6PSQ Multi-Tennant Year 4 INV 10162 Revenue (November - October 2026)</t>
        </is>
      </c>
      <c r="I8" s="14" t="inlineStr">
        <is>
          <t>Accrual - unbilled work</t>
        </is>
      </c>
      <c r="J8" s="16" t="n">
        <v>929.33</v>
      </c>
      <c r="K8" s="14" t="inlineStr">
        <is>
          <t>11300</t>
        </is>
      </c>
      <c r="L8" s="14" t="n"/>
      <c r="M8" s="14" t="inlineStr">
        <is>
          <t>Y</t>
        </is>
      </c>
      <c r="N8" s="14" t="inlineStr">
        <is>
          <t>Migrated from FY27 Revenue Tracker v2 - confirm type/sign</t>
        </is>
      </c>
    </row>
    <row r="9" ht="15" customHeight="1">
      <c r="A9" s="55" t="n">
        <v>46234</v>
      </c>
      <c r="B9" s="51">
        <f>IF(C9="","",IFERROR(INDEX(tbl_Finance[Date],MATCH(C9&amp;"",tbl_Finance[Xero Invoice No],0)),""))</f>
        <v/>
      </c>
      <c r="C9" s="14" t="n"/>
      <c r="D9" s="14" t="inlineStr">
        <is>
          <t>2510804</t>
        </is>
      </c>
      <c r="E9" s="15">
        <f>IF(D9="","",IF(COUNTIF(lst_Jobs,D9&amp;"")&gt;0,"OK","CHECK"))</f>
        <v/>
      </c>
      <c r="F9" s="14" t="inlineStr">
        <is>
          <t>Presynct</t>
        </is>
      </c>
      <c r="G9" s="14" t="inlineStr">
        <is>
          <t>INTEGRATION</t>
        </is>
      </c>
      <c r="H9" s="14" t="inlineStr">
        <is>
          <t>Presynct - QLD - Condeco Desk Booking System INV 10199 Revenue (Nov 2025 - Oct 2025)</t>
        </is>
      </c>
      <c r="I9" s="14" t="inlineStr">
        <is>
          <t>Accrual - unbilled work</t>
        </is>
      </c>
      <c r="J9" s="16" t="n">
        <v>439.33</v>
      </c>
      <c r="K9" s="14" t="inlineStr">
        <is>
          <t>11300</t>
        </is>
      </c>
      <c r="L9" s="14" t="n"/>
      <c r="M9" s="14" t="inlineStr">
        <is>
          <t>Y</t>
        </is>
      </c>
      <c r="N9" s="14" t="inlineStr">
        <is>
          <t>Migrated from FY27 Revenue Tracker v2 - confirm type/sign</t>
        </is>
      </c>
    </row>
    <row r="10" ht="15" customHeight="1">
      <c r="A10" s="55" t="n">
        <v>46234</v>
      </c>
      <c r="B10" s="51">
        <f>IF(C10="","",IFERROR(INDEX(tbl_Finance[Date],MATCH(C10&amp;"",tbl_Finance[Xero Invoice No],0)),""))</f>
        <v/>
      </c>
      <c r="C10" s="14" t="n"/>
      <c r="D10" s="14" t="inlineStr">
        <is>
          <t>2719</t>
        </is>
      </c>
      <c r="E10" s="15">
        <f>IF(D10="","",IF(COUNTIF(lst_Jobs,D10&amp;"")&gt;0,"OK","CHECK"))</f>
        <v/>
      </c>
      <c r="F10" s="14" t="inlineStr">
        <is>
          <t>NSW Property</t>
        </is>
      </c>
      <c r="G10" s="14" t="inlineStr">
        <is>
          <t>INTEGRATION</t>
        </is>
      </c>
      <c r="H10" s="14" t="inlineStr">
        <is>
          <t>NSW Property GSP Proxyclick INV 10176 Revenue (Dec 2025 - Nov 2026)</t>
        </is>
      </c>
      <c r="I10" s="14" t="inlineStr">
        <is>
          <t>Accrual - unbilled work</t>
        </is>
      </c>
      <c r="J10" s="16" t="n">
        <v>381.15</v>
      </c>
      <c r="K10" s="14" t="inlineStr">
        <is>
          <t>11300</t>
        </is>
      </c>
      <c r="L10" s="14" t="n"/>
      <c r="M10" s="14" t="inlineStr">
        <is>
          <t>Y</t>
        </is>
      </c>
      <c r="N10" s="14" t="inlineStr">
        <is>
          <t>Migrated from FY27 Revenue Tracker v2 - confirm type/sign</t>
        </is>
      </c>
    </row>
    <row r="11" ht="15" customHeight="1">
      <c r="A11" s="55" t="n">
        <v>46234</v>
      </c>
      <c r="B11" s="51">
        <f>IF(C11="","",IFERROR(INDEX(tbl_Finance[Date],MATCH(C11&amp;"",tbl_Finance[Xero Invoice No],0)),""))</f>
        <v/>
      </c>
      <c r="C11" s="14" t="n"/>
      <c r="D11" s="14" t="inlineStr">
        <is>
          <t>2834</t>
        </is>
      </c>
      <c r="E11" s="15">
        <f>IF(D11="","",IF(COUNTIF(lst_Jobs,D11&amp;"")&gt;0,"OK","CHECK"))</f>
        <v/>
      </c>
      <c r="F11" s="14" t="inlineStr">
        <is>
          <t>APA</t>
        </is>
      </c>
      <c r="G11" s="14" t="inlineStr">
        <is>
          <t>INTEGRATION</t>
        </is>
      </c>
      <c r="H11" s="14" t="inlineStr">
        <is>
          <t>APA Young Year 4 INV-10280 Revenue (Mar 2026 - Feb 2027)</t>
        </is>
      </c>
      <c r="I11" s="14" t="inlineStr">
        <is>
          <t>Accrual - unbilled work</t>
        </is>
      </c>
      <c r="J11" s="16" t="n">
        <v>312.9</v>
      </c>
      <c r="K11" s="14" t="inlineStr">
        <is>
          <t>11300</t>
        </is>
      </c>
      <c r="L11" s="14" t="n"/>
      <c r="M11" s="14" t="inlineStr">
        <is>
          <t>Y</t>
        </is>
      </c>
      <c r="N11" s="14" t="inlineStr">
        <is>
          <t>Migrated from FY27 Revenue Tracker v2 - confirm type/sign</t>
        </is>
      </c>
    </row>
    <row r="12" ht="15" customHeight="1">
      <c r="A12" s="55" t="n">
        <v>46234</v>
      </c>
      <c r="B12" s="51">
        <f>IF(C12="","",IFERROR(INDEX(tbl_Finance[Date],MATCH(C12&amp;"",tbl_Finance[Xero Invoice No],0)),""))</f>
        <v/>
      </c>
      <c r="C12" s="14" t="n"/>
      <c r="D12" s="14" t="inlineStr">
        <is>
          <t>3027</t>
        </is>
      </c>
      <c r="E12" s="15">
        <f>IF(D12="","",IF(COUNTIF(lst_Jobs,D12&amp;"")&gt;0,"OK","CHECK"))</f>
        <v/>
      </c>
      <c r="F12" s="14" t="inlineStr">
        <is>
          <t>NSW Property</t>
        </is>
      </c>
      <c r="G12" s="14" t="inlineStr">
        <is>
          <t>INTEGRATION</t>
        </is>
      </c>
      <c r="H12" s="14" t="inlineStr">
        <is>
          <t>NSW Property  - 231 Eliz L13 Touchdown - Condeco Desk Booking System (INV10391 Revenue)</t>
        </is>
      </c>
      <c r="I12" s="14" t="inlineStr">
        <is>
          <t>Accrual - unbilled work</t>
        </is>
      </c>
      <c r="J12" s="16" t="n">
        <v>721.7</v>
      </c>
      <c r="K12" s="14" t="inlineStr">
        <is>
          <t>11300</t>
        </is>
      </c>
      <c r="L12" s="14" t="n"/>
      <c r="M12" s="14" t="inlineStr">
        <is>
          <t>Y</t>
        </is>
      </c>
      <c r="N12" s="14" t="inlineStr">
        <is>
          <t>Migrated from FY27 Revenue Tracker v2 - confirm type/sign</t>
        </is>
      </c>
    </row>
    <row r="13" ht="15" customHeight="1">
      <c r="A13" s="55" t="n">
        <v>46234</v>
      </c>
      <c r="B13" s="51">
        <f>IF(C13="","",IFERROR(INDEX(tbl_Finance[Date],MATCH(C13&amp;"",tbl_Finance[Xero Invoice No],0)),""))</f>
        <v/>
      </c>
      <c r="C13" s="14" t="n"/>
      <c r="D13" s="14" t="inlineStr">
        <is>
          <t>3027</t>
        </is>
      </c>
      <c r="E13" s="15">
        <f>IF(D13="","",IF(COUNTIF(lst_Jobs,D13&amp;"")&gt;0,"OK","CHECK"))</f>
        <v/>
      </c>
      <c r="F13" s="14" t="inlineStr">
        <is>
          <t>NSW Property</t>
        </is>
      </c>
      <c r="G13" s="14" t="inlineStr">
        <is>
          <t>INTEGRATION</t>
        </is>
      </c>
      <c r="H13" s="14" t="inlineStr">
        <is>
          <t>NSW Property - 231 Eliz Workplace L1 (INV10392 Revenue)</t>
        </is>
      </c>
      <c r="I13" s="14" t="inlineStr">
        <is>
          <t>Accrual - unbilled work</t>
        </is>
      </c>
      <c r="J13" s="16" t="n">
        <v>876.35</v>
      </c>
      <c r="K13" s="14" t="inlineStr">
        <is>
          <t>11300</t>
        </is>
      </c>
      <c r="L13" s="14" t="n"/>
      <c r="M13" s="14" t="inlineStr">
        <is>
          <t>Y</t>
        </is>
      </c>
      <c r="N13" s="14" t="inlineStr">
        <is>
          <t>Migrated from FY27 Revenue Tracker v2 - confirm type/sign</t>
        </is>
      </c>
    </row>
    <row r="14" ht="15" customHeight="1">
      <c r="A14" s="55" t="n">
        <v>46234</v>
      </c>
      <c r="B14" s="51">
        <f>IF(C14="","",IFERROR(INDEX(tbl_Finance[Date],MATCH(C14&amp;"",tbl_Finance[Xero Invoice No],0)),""))</f>
        <v/>
      </c>
      <c r="C14" s="14" t="n"/>
      <c r="D14" s="14" t="inlineStr">
        <is>
          <t>25060301</t>
        </is>
      </c>
      <c r="E14" s="15">
        <f>IF(D14="","",IF(COUNTIF(lst_Jobs,D14&amp;"")&gt;0,"OK","CHECK"))</f>
        <v/>
      </c>
      <c r="F14" s="14" t="inlineStr">
        <is>
          <t>NSW Property</t>
        </is>
      </c>
      <c r="G14" s="14" t="inlineStr">
        <is>
          <t>INTEGRATION</t>
        </is>
      </c>
      <c r="H14" s="14" t="inlineStr">
        <is>
          <t>NSW Property - 6PSQ Workplace L12 Hub (INV10393 Revenue)</t>
        </is>
      </c>
      <c r="I14" s="14" t="inlineStr">
        <is>
          <t>Accrual - unbilled work</t>
        </is>
      </c>
      <c r="J14" s="16" t="n">
        <v>2964.14</v>
      </c>
      <c r="K14" s="14" t="inlineStr">
        <is>
          <t>11300</t>
        </is>
      </c>
      <c r="L14" s="14" t="n"/>
      <c r="M14" s="14" t="inlineStr">
        <is>
          <t>Y</t>
        </is>
      </c>
      <c r="N14" s="14" t="inlineStr">
        <is>
          <t>Migrated from FY27 Revenue Tracker v2 - confirm type/sign</t>
        </is>
      </c>
    </row>
    <row r="15" ht="15" customHeight="1">
      <c r="A15" s="55" t="n">
        <v>46234</v>
      </c>
      <c r="B15" s="51">
        <f>IF(C15="","",IFERROR(INDEX(tbl_Finance[Date],MATCH(C15&amp;"",tbl_Finance[Xero Invoice No],0)),""))</f>
        <v/>
      </c>
      <c r="C15" s="14" t="n"/>
      <c r="D15" s="14" t="inlineStr">
        <is>
          <t>2519</t>
        </is>
      </c>
      <c r="E15" s="15">
        <f>IF(D15="","",IF(COUNTIF(lst_Jobs,D15&amp;"")&gt;0,"OK","CHECK"))</f>
        <v/>
      </c>
      <c r="F15" s="14" t="inlineStr">
        <is>
          <t>NSW Property</t>
        </is>
      </c>
      <c r="G15" s="14" t="inlineStr">
        <is>
          <t>INTEGRATION</t>
        </is>
      </c>
      <c r="H15" s="14" t="inlineStr">
        <is>
          <t>NSW Property - 6PSQ L11 Touchdown (INV10394 Revenue)</t>
        </is>
      </c>
      <c r="I15" s="14" t="inlineStr">
        <is>
          <t>Accrual - unbilled work</t>
        </is>
      </c>
      <c r="J15" s="16" t="n">
        <v>799.03</v>
      </c>
      <c r="K15" s="14" t="inlineStr">
        <is>
          <t>11300</t>
        </is>
      </c>
      <c r="L15" s="14" t="n"/>
      <c r="M15" s="14" t="inlineStr">
        <is>
          <t>Y</t>
        </is>
      </c>
      <c r="N15" s="14" t="inlineStr">
        <is>
          <t>Migrated from FY27 Revenue Tracker v2 - confirm type/sign</t>
        </is>
      </c>
    </row>
    <row r="16" ht="15" customHeight="1">
      <c r="A16" s="55" t="n">
        <v>46234</v>
      </c>
      <c r="B16" s="51">
        <f>IF(C16="","",IFERROR(INDEX(tbl_Finance[Date],MATCH(C16&amp;"",tbl_Finance[Xero Invoice No],0)),""))</f>
        <v/>
      </c>
      <c r="C16" s="14" t="n"/>
      <c r="D16" s="14" t="inlineStr">
        <is>
          <t>3068</t>
        </is>
      </c>
      <c r="E16" s="15">
        <f>IF(D16="","",IF(COUNTIF(lst_Jobs,D16&amp;"")&gt;0,"OK","CHECK"))</f>
        <v/>
      </c>
      <c r="F16" s="14" t="inlineStr">
        <is>
          <t>NSW Property</t>
        </is>
      </c>
      <c r="G16" s="14" t="inlineStr">
        <is>
          <t>INTEGRATION</t>
        </is>
      </c>
      <c r="H16" s="14" t="inlineStr">
        <is>
          <t>NSW Property  – Penrith 50 Belmore St – Workplace Hub (INV10395 Revenue)</t>
        </is>
      </c>
      <c r="I16" s="14" t="inlineStr">
        <is>
          <t>Accrual - unbilled work</t>
        </is>
      </c>
      <c r="J16" s="16" t="n">
        <v>154.65</v>
      </c>
      <c r="K16" s="14" t="inlineStr">
        <is>
          <t>11300</t>
        </is>
      </c>
      <c r="L16" s="14" t="n"/>
      <c r="M16" s="14" t="inlineStr">
        <is>
          <t>Y</t>
        </is>
      </c>
      <c r="N16" s="14" t="inlineStr">
        <is>
          <t>Migrated from FY27 Revenue Tracker v2 - confirm type/sign</t>
        </is>
      </c>
    </row>
    <row r="17" ht="15" customHeight="1">
      <c r="A17" s="55" t="n">
        <v>46234</v>
      </c>
      <c r="B17" s="51">
        <f>IF(C17="","",IFERROR(INDEX(tbl_Finance[Date],MATCH(C17&amp;"",tbl_Finance[Xero Invoice No],0)),""))</f>
        <v/>
      </c>
      <c r="C17" s="14" t="n"/>
      <c r="D17" s="14" t="inlineStr">
        <is>
          <t>25051302</t>
        </is>
      </c>
      <c r="E17" s="15">
        <f>IF(D17="","",IF(COUNTIF(lst_Jobs,D17&amp;"")&gt;0,"OK","CHECK"))</f>
        <v/>
      </c>
      <c r="F17" s="14" t="inlineStr">
        <is>
          <t>NSW Property</t>
        </is>
      </c>
      <c r="G17" s="14" t="inlineStr">
        <is>
          <t>INTEGRATION</t>
        </is>
      </c>
      <c r="H17" s="14" t="inlineStr">
        <is>
          <t>NSW Property - Penrith BDA (INV10396)</t>
        </is>
      </c>
      <c r="I17" s="14" t="inlineStr">
        <is>
          <t>Accrual - unbilled work</t>
        </is>
      </c>
      <c r="J17" s="16" t="n">
        <v>1494.96</v>
      </c>
      <c r="K17" s="14" t="inlineStr">
        <is>
          <t>11300</t>
        </is>
      </c>
      <c r="L17" s="14" t="n"/>
      <c r="M17" s="14" t="inlineStr">
        <is>
          <t>Y</t>
        </is>
      </c>
      <c r="N17" s="14" t="inlineStr">
        <is>
          <t>Migrated from FY27 Revenue Tracker v2 - confirm type/sign</t>
        </is>
      </c>
    </row>
    <row r="18" ht="15" customHeight="1">
      <c r="A18" s="55" t="n">
        <v>46234</v>
      </c>
      <c r="B18" s="51">
        <f>IF(C18="","",IFERROR(INDEX(tbl_Finance[Date],MATCH(C18&amp;"",tbl_Finance[Xero Invoice No],0)),""))</f>
        <v/>
      </c>
      <c r="C18" s="14" t="n"/>
      <c r="D18" s="14" t="inlineStr">
        <is>
          <t>25060307</t>
        </is>
      </c>
      <c r="E18" s="15">
        <f>IF(D18="","",IF(COUNTIF(lst_Jobs,D18&amp;"")&gt;0,"OK","CHECK"))</f>
        <v/>
      </c>
      <c r="F18" s="14" t="inlineStr">
        <is>
          <t>NSW Property</t>
        </is>
      </c>
      <c r="G18" s="14" t="inlineStr">
        <is>
          <t>INTEGRATION</t>
        </is>
      </c>
      <c r="H18" s="14" t="inlineStr">
        <is>
          <t>NSW Property - RA Molesworth St (INV10397 Revenue)</t>
        </is>
      </c>
      <c r="I18" s="14" t="inlineStr">
        <is>
          <t>Accrual - unbilled work</t>
        </is>
      </c>
      <c r="J18" s="16" t="n">
        <v>786.14</v>
      </c>
      <c r="K18" s="14" t="inlineStr">
        <is>
          <t>11300</t>
        </is>
      </c>
      <c r="L18" s="14" t="n"/>
      <c r="M18" s="14" t="inlineStr">
        <is>
          <t>Y</t>
        </is>
      </c>
      <c r="N18" s="14" t="inlineStr">
        <is>
          <t>Migrated from FY27 Revenue Tracker v2 - confirm type/sign</t>
        </is>
      </c>
    </row>
    <row r="19" ht="15" customHeight="1">
      <c r="A19" s="55" t="n">
        <v>46234</v>
      </c>
      <c r="B19" s="51">
        <f>IF(C19="","",IFERROR(INDEX(tbl_Finance[Date],MATCH(C19&amp;"",tbl_Finance[Xero Invoice No],0)),""))</f>
        <v/>
      </c>
      <c r="C19" s="14" t="n"/>
      <c r="D19" s="14" t="inlineStr">
        <is>
          <t>2510805</t>
        </is>
      </c>
      <c r="E19" s="15">
        <f>IF(D19="","",IF(COUNTIF(lst_Jobs,D19&amp;"")&gt;0,"OK","CHECK"))</f>
        <v/>
      </c>
      <c r="F19" s="14" t="inlineStr">
        <is>
          <t>NSW Property</t>
        </is>
      </c>
      <c r="G19" s="14" t="inlineStr">
        <is>
          <t>INTEGRATION</t>
        </is>
      </c>
      <c r="H19" s="14" t="inlineStr">
        <is>
          <t>NSW Property - RA Newcastle Bellvue (INV10398 Revenue)</t>
        </is>
      </c>
      <c r="I19" s="14" t="inlineStr">
        <is>
          <t>Accrual - unbilled work</t>
        </is>
      </c>
      <c r="J19" s="16" t="n">
        <v>270.64</v>
      </c>
      <c r="K19" s="14" t="inlineStr">
        <is>
          <t>11300</t>
        </is>
      </c>
      <c r="L19" s="14" t="n"/>
      <c r="M19" s="14" t="inlineStr">
        <is>
          <t>Y</t>
        </is>
      </c>
      <c r="N19" s="14" t="inlineStr">
        <is>
          <t>Migrated from FY27 Revenue Tracker v2 - confirm type/sign</t>
        </is>
      </c>
    </row>
    <row r="20" ht="15" customHeight="1">
      <c r="A20" s="55" t="n">
        <v>46234</v>
      </c>
      <c r="B20" s="51">
        <f>IF(C20="","",IFERROR(INDEX(tbl_Finance[Date],MATCH(C20&amp;"",tbl_Finance[Xero Invoice No],0)),""))</f>
        <v/>
      </c>
      <c r="C20" s="14" t="n"/>
      <c r="D20" s="14" t="inlineStr">
        <is>
          <t>2603202</t>
        </is>
      </c>
      <c r="E20" s="15">
        <f>IF(D20="","",IF(COUNTIF(lst_Jobs,D20&amp;"")&gt;0,"OK","CHECK"))</f>
        <v/>
      </c>
      <c r="F20" s="14" t="inlineStr">
        <is>
          <t>NSW Property</t>
        </is>
      </c>
      <c r="G20" s="14" t="inlineStr">
        <is>
          <t>INTEGRATION</t>
        </is>
      </c>
      <c r="H20" s="14" t="inlineStr">
        <is>
          <t>NSW Property - 5 O’Keefe Ave Nowra Workplace Hub (INV10399 Revenue)</t>
        </is>
      </c>
      <c r="I20" s="14" t="inlineStr">
        <is>
          <t>Accrual - unbilled work</t>
        </is>
      </c>
      <c r="J20" s="16" t="n">
        <v>2242.44</v>
      </c>
      <c r="K20" s="14" t="inlineStr">
        <is>
          <t>11300</t>
        </is>
      </c>
      <c r="L20" s="14" t="n"/>
      <c r="M20" s="14" t="inlineStr">
        <is>
          <t>Y</t>
        </is>
      </c>
      <c r="N20" s="14" t="inlineStr">
        <is>
          <t>Migrated from FY27 Revenue Tracker v2 - confirm type/sign</t>
        </is>
      </c>
    </row>
    <row r="21" ht="15" customHeight="1">
      <c r="A21" s="55" t="n">
        <v>46234</v>
      </c>
      <c r="B21" s="51">
        <f>IF(C21="","",IFERROR(INDEX(tbl_Finance[Date],MATCH(C21&amp;"",tbl_Finance[Xero Invoice No],0)),""))</f>
        <v/>
      </c>
      <c r="C21" s="14" t="n"/>
      <c r="D21" s="14" t="inlineStr">
        <is>
          <t>25041502</t>
        </is>
      </c>
      <c r="E21" s="15">
        <f>IF(D21="","",IF(COUNTIF(lst_Jobs,D21&amp;"")&gt;0,"OK","CHECK"))</f>
        <v/>
      </c>
      <c r="F21" s="14" t="inlineStr">
        <is>
          <t>NSW Property</t>
        </is>
      </c>
      <c r="G21" s="14" t="inlineStr">
        <is>
          <t>INTEGRATION</t>
        </is>
      </c>
      <c r="H21" s="14" t="inlineStr">
        <is>
          <t>NSW Property -  Maitland 510-516 High St WP Services (INV10400 Revenue)</t>
        </is>
      </c>
      <c r="I21" s="14" t="inlineStr">
        <is>
          <t>Accrual - unbilled work</t>
        </is>
      </c>
      <c r="J21" s="16" t="n">
        <v>3041.47</v>
      </c>
      <c r="K21" s="14" t="inlineStr">
        <is>
          <t>11300</t>
        </is>
      </c>
      <c r="L21" s="14" t="n"/>
      <c r="M21" s="14" t="inlineStr">
        <is>
          <t>Y</t>
        </is>
      </c>
      <c r="N21" s="14" t="inlineStr">
        <is>
          <t>Migrated from FY27 Revenue Tracker v2 - confirm type/sign</t>
        </is>
      </c>
    </row>
    <row r="22" ht="15" customHeight="1">
      <c r="A22" s="55" t="n">
        <v>46234</v>
      </c>
      <c r="B22" s="51">
        <f>IF(C22="","",IFERROR(INDEX(tbl_Finance[Date],MATCH(C22&amp;"",tbl_Finance[Xero Invoice No],0)),""))</f>
        <v/>
      </c>
      <c r="C22" s="14" t="n"/>
      <c r="D22" s="14" t="inlineStr">
        <is>
          <t>3068</t>
        </is>
      </c>
      <c r="E22" s="15">
        <f>IF(D22="","",IF(COUNTIF(lst_Jobs,D22&amp;"")&gt;0,"OK","CHECK"))</f>
        <v/>
      </c>
      <c r="F22" s="14" t="inlineStr">
        <is>
          <t>NSW Property</t>
        </is>
      </c>
      <c r="G22" s="14" t="inlineStr">
        <is>
          <t>INTEGRATION</t>
        </is>
      </c>
      <c r="H22" s="14" t="inlineStr">
        <is>
          <t>NSW Property -  252 Pitt St Parkline Workplace Hub (INV10401 Revenue)</t>
        </is>
      </c>
      <c r="I22" s="14" t="inlineStr">
        <is>
          <t>Accrual - unbilled work</t>
        </is>
      </c>
      <c r="J22" s="16" t="n">
        <v>4085.36</v>
      </c>
      <c r="K22" s="14" t="inlineStr">
        <is>
          <t>11300</t>
        </is>
      </c>
      <c r="L22" s="14" t="n"/>
      <c r="M22" s="14" t="inlineStr">
        <is>
          <t>Y</t>
        </is>
      </c>
      <c r="N22" s="14" t="inlineStr">
        <is>
          <t>Migrated from FY27 Revenue Tracker v2 - confirm type/sign</t>
        </is>
      </c>
    </row>
    <row r="23" ht="15" customHeight="1">
      <c r="A23" s="55" t="n">
        <v>46234</v>
      </c>
      <c r="B23" s="51">
        <f>IF(C23="","",IFERROR(INDEX(tbl_Finance[Date],MATCH(C23&amp;"",tbl_Finance[Xero Invoice No],0)),""))</f>
        <v/>
      </c>
      <c r="C23" s="14" t="n"/>
      <c r="D23" s="14" t="inlineStr">
        <is>
          <t>2510205</t>
        </is>
      </c>
      <c r="E23" s="15">
        <f>IF(D23="","",IF(COUNTIF(lst_Jobs,D23&amp;"")&gt;0,"OK","CHECK"))</f>
        <v/>
      </c>
      <c r="F23" s="14" t="inlineStr">
        <is>
          <t>NSW Property</t>
        </is>
      </c>
      <c r="G23" s="14" t="inlineStr">
        <is>
          <t>INTEGRATION</t>
        </is>
      </c>
      <c r="H23" s="14" t="inlineStr">
        <is>
          <t>NSW Property - Sydney 1 Prince Albert Workplace Hub (INV10412 Revenue)</t>
        </is>
      </c>
      <c r="I23" s="14" t="inlineStr">
        <is>
          <t>Accrual - unbilled work</t>
        </is>
      </c>
      <c r="J23" s="16" t="n">
        <v>1868.7</v>
      </c>
      <c r="K23" s="14" t="inlineStr">
        <is>
          <t>11300</t>
        </is>
      </c>
      <c r="L23" s="14" t="n"/>
      <c r="M23" s="14" t="inlineStr">
        <is>
          <t>Y</t>
        </is>
      </c>
      <c r="N23" s="14" t="inlineStr">
        <is>
          <t>Migrated from FY27 Revenue Tracker v2 - confirm type/sign</t>
        </is>
      </c>
    </row>
    <row r="24" ht="15" customHeight="1">
      <c r="A24" s="55" t="n">
        <v>46234</v>
      </c>
      <c r="B24" s="51">
        <f>IF(C24="","",IFERROR(INDEX(tbl_Finance[Date],MATCH(C24&amp;"",tbl_Finance[Xero Invoice No],0)),""))</f>
        <v/>
      </c>
      <c r="C24" s="14" t="n"/>
      <c r="D24" s="14" t="inlineStr">
        <is>
          <t>26043001</t>
        </is>
      </c>
      <c r="E24" s="15">
        <f>IF(D24="","",IF(COUNTIF(lst_Jobs,D24&amp;"")&gt;0,"OK","CHECK"))</f>
        <v/>
      </c>
      <c r="F24" s="14" t="inlineStr">
        <is>
          <t>CBA</t>
        </is>
      </c>
      <c r="G24" s="14" t="inlineStr">
        <is>
          <t>ONSITE</t>
        </is>
      </c>
      <c r="H24" s="14" t="inlineStr">
        <is>
          <t>CBA Melbourne Half of May 2026 not invoiced yet (Invoiced in June)</t>
        </is>
      </c>
      <c r="I24" s="14" t="inlineStr">
        <is>
          <t>Deferral - invoiced in advance</t>
        </is>
      </c>
      <c r="J24" s="16" t="n">
        <v>-5950</v>
      </c>
      <c r="K24" s="14" t="inlineStr">
        <is>
          <t>11300</t>
        </is>
      </c>
      <c r="L24" s="14" t="n"/>
      <c r="M24" s="14" t="inlineStr">
        <is>
          <t>Y</t>
        </is>
      </c>
      <c r="N24" s="14" t="inlineStr">
        <is>
          <t>Migrated from FY27 Revenue Tracker v2 - confirm type/sign</t>
        </is>
      </c>
    </row>
    <row r="25" ht="15" customHeight="1">
      <c r="A25" s="55" t="n">
        <v>46234</v>
      </c>
      <c r="B25" s="51">
        <f>IF(C25="","",IFERROR(INDEX(tbl_Finance[Date],MATCH(C25&amp;"",tbl_Finance[Xero Invoice No],0)),""))</f>
        <v/>
      </c>
      <c r="C25" s="14" t="n"/>
      <c r="D25" s="14" t="inlineStr">
        <is>
          <t>2604704</t>
        </is>
      </c>
      <c r="E25" s="15">
        <f>IF(D25="","",IF(COUNTIF(lst_Jobs,D25&amp;"")&gt;0,"OK","CHECK"))</f>
        <v/>
      </c>
      <c r="F25" s="14" t="inlineStr">
        <is>
          <t>Aware Super</t>
        </is>
      </c>
      <c r="G25" s="14" t="inlineStr">
        <is>
          <t>INTEGRATION</t>
        </is>
      </c>
      <c r="H25" s="14" t="inlineStr">
        <is>
          <t>Aware Super Seminar Room Audio Upgrade [INT] Revenue</t>
        </is>
      </c>
      <c r="I25" s="14" t="inlineStr">
        <is>
          <t>Accrual - unbilled work</t>
        </is>
      </c>
      <c r="J25" s="16" t="n">
        <v>1821.25</v>
      </c>
      <c r="K25" s="14" t="inlineStr">
        <is>
          <t>11300</t>
        </is>
      </c>
      <c r="L25" s="14" t="n"/>
      <c r="M25" s="14" t="inlineStr">
        <is>
          <t>Y</t>
        </is>
      </c>
      <c r="N25" s="14" t="inlineStr">
        <is>
          <t>Migrated from FY27 Revenue Tracker v2 - confirm type/sign</t>
        </is>
      </c>
    </row>
    <row r="26" ht="15" customHeight="1">
      <c r="A26" s="55" t="n">
        <v>46234</v>
      </c>
      <c r="B26" s="51">
        <f>IF(C26="","",IFERROR(INDEX(tbl_Finance[Date],MATCH(C26&amp;"",tbl_Finance[Xero Invoice No],0)),""))</f>
        <v/>
      </c>
      <c r="C26" s="14" t="n"/>
      <c r="D26" s="14" t="inlineStr">
        <is>
          <t>3028</t>
        </is>
      </c>
      <c r="E26" s="15">
        <f>IF(D26="","",IF(COUNTIF(lst_Jobs,D26&amp;"")&gt;0,"OK","CHECK"))</f>
        <v/>
      </c>
      <c r="F26" s="14" t="inlineStr">
        <is>
          <t>APA</t>
        </is>
      </c>
      <c r="G26" s="14" t="inlineStr">
        <is>
          <t>INTEGRATION</t>
        </is>
      </c>
      <c r="H26" s="14" t="inlineStr">
        <is>
          <t>APA Kidman Proxyclick Term 3 Jun26-Dec26 INV-10477 (Revenue)</t>
        </is>
      </c>
      <c r="I26" s="14" t="inlineStr">
        <is>
          <t>Accrual - unbilled work</t>
        </is>
      </c>
      <c r="J26" s="16" t="n">
        <v>996.74</v>
      </c>
      <c r="K26" s="14" t="inlineStr">
        <is>
          <t>11300</t>
        </is>
      </c>
      <c r="L26" s="14" t="n"/>
      <c r="M26" s="14" t="inlineStr">
        <is>
          <t>Y</t>
        </is>
      </c>
      <c r="N26" s="14" t="inlineStr">
        <is>
          <t>Migrated from FY27 Revenue Tracker v2 - confirm type/sign</t>
        </is>
      </c>
    </row>
    <row r="27" ht="15" customHeight="1">
      <c r="A27" s="55" t="n">
        <v>46234</v>
      </c>
      <c r="B27" s="51">
        <f>IF(C27="","",IFERROR(INDEX(tbl_Finance[Date],MATCH(C27&amp;"",tbl_Finance[Xero Invoice No],0)),""))</f>
        <v/>
      </c>
      <c r="C27" s="14" t="n"/>
      <c r="D27" s="14" t="inlineStr">
        <is>
          <t>2855</t>
        </is>
      </c>
      <c r="E27" s="15">
        <f>IF(D27="","",IF(COUNTIF(lst_Jobs,D27&amp;"")&gt;0,"OK","CHECK"))</f>
        <v/>
      </c>
      <c r="F27" s="14" t="inlineStr">
        <is>
          <t>APA</t>
        </is>
      </c>
      <c r="G27" s="14" t="inlineStr">
        <is>
          <t>INTEGRATION</t>
        </is>
      </c>
      <c r="H27" s="14" t="inlineStr">
        <is>
          <t>APA Melbourne Proxyclick Jul26-Jun27 INV-10501(Revenue)</t>
        </is>
      </c>
      <c r="I27" s="14" t="inlineStr">
        <is>
          <t>Accrual - unbilled work</t>
        </is>
      </c>
      <c r="J27" s="16" t="n">
        <v>1357.33</v>
      </c>
      <c r="K27" s="14" t="inlineStr">
        <is>
          <t>11300</t>
        </is>
      </c>
      <c r="L27" s="14" t="n"/>
      <c r="M27" s="14" t="inlineStr">
        <is>
          <t>Y</t>
        </is>
      </c>
      <c r="N27" s="14" t="inlineStr">
        <is>
          <t>Migrated from FY27 Revenue Tracker v2 - confirm type/sign</t>
        </is>
      </c>
    </row>
    <row r="28" ht="15" customHeight="1">
      <c r="A28" s="55" t="n">
        <v>46234</v>
      </c>
      <c r="B28" s="51">
        <f>IF(C28="","",IFERROR(INDEX(tbl_Finance[Date],MATCH(C28&amp;"",tbl_Finance[Xero Invoice No],0)),""))</f>
        <v/>
      </c>
      <c r="C28" s="14" t="n"/>
      <c r="D28" s="14" t="inlineStr">
        <is>
          <t>2857</t>
        </is>
      </c>
      <c r="E28" s="15">
        <f>IF(D28="","",IF(COUNTIF(lst_Jobs,D28&amp;"")&gt;0,"OK","CHECK"))</f>
        <v/>
      </c>
      <c r="F28" s="14" t="inlineStr">
        <is>
          <t>APA</t>
        </is>
      </c>
      <c r="G28" s="14" t="inlineStr">
        <is>
          <t>INTEGRATION</t>
        </is>
      </c>
      <c r="H28" s="14" t="inlineStr">
        <is>
          <t>APA Sydney Proxyclick Jul26-Jun27 INV-10502(Revenue)</t>
        </is>
      </c>
      <c r="I28" s="14" t="inlineStr">
        <is>
          <t>Accrual - unbilled work</t>
        </is>
      </c>
      <c r="J28" s="16" t="n">
        <v>1357.33</v>
      </c>
      <c r="K28" s="14" t="inlineStr">
        <is>
          <t>11300</t>
        </is>
      </c>
      <c r="L28" s="14" t="n"/>
      <c r="M28" s="14" t="inlineStr">
        <is>
          <t>Y</t>
        </is>
      </c>
      <c r="N28" s="14" t="inlineStr">
        <is>
          <t>Migrated from FY27 Revenue Tracker v2 - confirm type/sign</t>
        </is>
      </c>
    </row>
    <row r="29" ht="15" customHeight="1">
      <c r="A29" s="55" t="n">
        <v>46234</v>
      </c>
      <c r="B29" s="51">
        <f>IF(C29="","",IFERROR(INDEX(tbl_Finance[Date],MATCH(C29&amp;"",tbl_Finance[Xero Invoice No],0)),""))</f>
        <v/>
      </c>
      <c r="C29" s="14" t="n"/>
      <c r="D29" s="14" t="inlineStr">
        <is>
          <t>2848</t>
        </is>
      </c>
      <c r="E29" s="15">
        <f>IF(D29="","",IF(COUNTIF(lst_Jobs,D29&amp;"")&gt;0,"OK","CHECK"))</f>
        <v/>
      </c>
      <c r="F29" s="14" t="inlineStr">
        <is>
          <t>APA</t>
        </is>
      </c>
      <c r="G29" s="14" t="inlineStr">
        <is>
          <t>INTEGRATION</t>
        </is>
      </c>
      <c r="H29" s="14" t="inlineStr">
        <is>
          <t>APA Adelaide Proxyclick INV-10514 Renewal Jul26-Jun27 (Revenue)</t>
        </is>
      </c>
      <c r="I29" s="14" t="inlineStr">
        <is>
          <t>Accrual - unbilled work</t>
        </is>
      </c>
      <c r="J29" s="16" t="n">
        <v>618.08</v>
      </c>
      <c r="K29" s="14" t="inlineStr">
        <is>
          <t>11300</t>
        </is>
      </c>
      <c r="L29" s="14" t="n"/>
      <c r="M29" s="14" t="inlineStr">
        <is>
          <t>Y</t>
        </is>
      </c>
      <c r="N29" s="14" t="inlineStr">
        <is>
          <t>Migrated from FY27 Revenue Tracker v2 - confirm type/sign</t>
        </is>
      </c>
    </row>
    <row r="30" ht="15" customHeight="1">
      <c r="A30" s="55" t="n">
        <v>46234</v>
      </c>
      <c r="B30" s="51">
        <f>IF(C30="","",IFERROR(INDEX(tbl_Finance[Date],MATCH(C30&amp;"",tbl_Finance[Xero Invoice No],0)),""))</f>
        <v/>
      </c>
      <c r="C30" s="14" t="n"/>
      <c r="D30" s="14" t="inlineStr">
        <is>
          <t>2606101</t>
        </is>
      </c>
      <c r="E30" s="15">
        <f>IF(D30="","",IF(COUNTIF(lst_Jobs,D30&amp;"")&gt;0,"OK","CHECK"))</f>
        <v/>
      </c>
      <c r="F30" s="14" t="inlineStr">
        <is>
          <t>APA</t>
        </is>
      </c>
      <c r="G30" s="14" t="inlineStr">
        <is>
          <t>INTEGRATION</t>
        </is>
      </c>
      <c r="H30" s="14" t="inlineStr">
        <is>
          <t>APA | Young Eptura Proxyclick Licence Renewal Mar27-Feb28 INV-10548 (Revenue)</t>
        </is>
      </c>
      <c r="I30" s="14" t="inlineStr">
        <is>
          <t>Deferral - invoiced in advance</t>
        </is>
      </c>
      <c r="J30" s="16" t="n">
        <v>-4205</v>
      </c>
      <c r="K30" s="14" t="inlineStr">
        <is>
          <t>11300</t>
        </is>
      </c>
      <c r="L30" s="14" t="n"/>
      <c r="M30" s="14" t="inlineStr">
        <is>
          <t>Y</t>
        </is>
      </c>
      <c r="N30" s="14" t="inlineStr">
        <is>
          <t>Migrated from FY27 Revenue Tracker v2 - confirm type/sign</t>
        </is>
      </c>
    </row>
    <row r="31" ht="15" customHeight="1">
      <c r="A31" s="55" t="n">
        <v>46234</v>
      </c>
      <c r="B31" s="51">
        <f>IF(C31="","",IFERROR(INDEX(tbl_Finance[Date],MATCH(C31&amp;"",tbl_Finance[Xero Invoice No],0)),""))</f>
        <v/>
      </c>
      <c r="C31" s="14" t="n"/>
      <c r="D31" s="14" t="inlineStr">
        <is>
          <t>2605402</t>
        </is>
      </c>
      <c r="E31" s="15">
        <f>IF(D31="","",IF(COUNTIF(lst_Jobs,D31&amp;"")&gt;0,"OK","CHECK"))</f>
        <v/>
      </c>
      <c r="F31" s="14" t="inlineStr">
        <is>
          <t>AGL</t>
        </is>
      </c>
      <c r="G31" s="14" t="inlineStr">
        <is>
          <t>PRODUCTION</t>
        </is>
      </c>
      <c r="H31" s="14" t="inlineStr">
        <is>
          <t>AGL FYR - Employee Town Hall [PRD] pre-prod work</t>
        </is>
      </c>
      <c r="I31" s="14" t="inlineStr">
        <is>
          <t>Accrual - unbilled work</t>
        </is>
      </c>
      <c r="J31" s="16" t="n">
        <v>1322.5</v>
      </c>
      <c r="K31" s="14" t="inlineStr">
        <is>
          <t>11300</t>
        </is>
      </c>
      <c r="L31" s="14" t="n"/>
      <c r="M31" s="14" t="inlineStr">
        <is>
          <t>Y</t>
        </is>
      </c>
      <c r="N31" s="14" t="inlineStr">
        <is>
          <t>Migrated from FY27 Revenue Tracker v2 - confirm type/sign</t>
        </is>
      </c>
    </row>
    <row r="32" ht="15" customHeight="1">
      <c r="A32" s="55" t="n">
        <v>46234</v>
      </c>
      <c r="B32" s="51">
        <f>IF(C32="","",IFERROR(INDEX(tbl_Finance[Date],MATCH(C32&amp;"",tbl_Finance[Xero Invoice No],0)),""))</f>
        <v/>
      </c>
      <c r="C32" s="14" t="n"/>
      <c r="D32" s="14" t="inlineStr">
        <is>
          <t>26061105</t>
        </is>
      </c>
      <c r="E32" s="15">
        <f>IF(D32="","",IF(COUNTIF(lst_Jobs,D32&amp;"")&gt;0,"OK","CHECK"))</f>
        <v/>
      </c>
      <c r="F32" s="14" t="inlineStr">
        <is>
          <t>CBA</t>
        </is>
      </c>
      <c r="G32" s="14" t="inlineStr">
        <is>
          <t>PRODUCTION</t>
        </is>
      </c>
      <c r="H32" s="14" t="inlineStr">
        <is>
          <t>CBA - FYR 2026 - 12.8.26 [PRD] pre-prod work</t>
        </is>
      </c>
      <c r="I32" s="14" t="inlineStr">
        <is>
          <t>Accrual - unbilled work</t>
        </is>
      </c>
      <c r="J32" s="16" t="n">
        <v>417.5</v>
      </c>
      <c r="K32" s="14" t="inlineStr">
        <is>
          <t>11300</t>
        </is>
      </c>
      <c r="L32" s="14" t="n"/>
      <c r="M32" s="14" t="inlineStr">
        <is>
          <t>Y</t>
        </is>
      </c>
      <c r="N32" s="14" t="inlineStr">
        <is>
          <t>Migrated from FY27 Revenue Tracker v2 - confirm type/sign</t>
        </is>
      </c>
    </row>
    <row r="33" ht="15" customHeight="1">
      <c r="A33" s="55" t="n">
        <v>46234</v>
      </c>
      <c r="B33" s="51">
        <f>IF(C33="","",IFERROR(INDEX(tbl_Finance[Date],MATCH(C33&amp;"",tbl_Finance[Xero Invoice No],0)),""))</f>
        <v/>
      </c>
      <c r="C33" s="14" t="n"/>
      <c r="D33" s="14" t="inlineStr">
        <is>
          <t>2606903</t>
        </is>
      </c>
      <c r="E33" s="15">
        <f>IF(D33="","",IF(COUNTIF(lst_Jobs,D33&amp;"")&gt;0,"OK","CHECK"))</f>
        <v/>
      </c>
      <c r="F33" s="14" t="inlineStr">
        <is>
          <t>Virgin</t>
        </is>
      </c>
      <c r="G33" s="14" t="inlineStr">
        <is>
          <t>PRODUCTION</t>
        </is>
      </c>
      <c r="H33" s="14" t="inlineStr">
        <is>
          <t>Virgin FY26 Results [PRD] pre-prod work</t>
        </is>
      </c>
      <c r="I33" s="14" t="inlineStr">
        <is>
          <t>Accrual - unbilled work</t>
        </is>
      </c>
      <c r="J33" s="16" t="n">
        <v>57.5</v>
      </c>
      <c r="K33" s="14" t="inlineStr">
        <is>
          <t>11300</t>
        </is>
      </c>
      <c r="L33" s="14" t="n"/>
      <c r="M33" s="14" t="inlineStr">
        <is>
          <t>Y</t>
        </is>
      </c>
      <c r="N33" s="14" t="inlineStr">
        <is>
          <t>Migrated from FY27 Revenue Tracker v2 - confirm type/sign</t>
        </is>
      </c>
    </row>
    <row r="34" ht="15" customHeight="1">
      <c r="A34" s="55" t="n">
        <v>46234</v>
      </c>
      <c r="B34" s="51">
        <f>IF(C34="","",IFERROR(INDEX(tbl_Finance[Date],MATCH(C34&amp;"",tbl_Finance[Xero Invoice No],0)),""))</f>
        <v/>
      </c>
      <c r="C34" s="14" t="n"/>
      <c r="D34" s="14" t="inlineStr">
        <is>
          <t>26061109</t>
        </is>
      </c>
      <c r="E34" s="15">
        <f>IF(D34="","",IF(COUNTIF(lst_Jobs,D34&amp;"")&gt;0,"OK","CHECK"))</f>
        <v/>
      </c>
      <c r="F34" s="14" t="inlineStr">
        <is>
          <t>Ventia</t>
        </is>
      </c>
      <c r="G34" s="14" t="inlineStr">
        <is>
          <t>PRODUCTION</t>
        </is>
      </c>
      <c r="H34" s="14" t="inlineStr">
        <is>
          <t>Ventia - FYR26 - 24.8.26 [PRD] pre-prod work</t>
        </is>
      </c>
      <c r="I34" s="14" t="inlineStr">
        <is>
          <t>Accrual - unbilled work</t>
        </is>
      </c>
      <c r="J34" s="16" t="n">
        <v>862.5</v>
      </c>
      <c r="K34" s="14" t="inlineStr">
        <is>
          <t>11300</t>
        </is>
      </c>
      <c r="L34" s="14" t="n"/>
      <c r="M34" s="14" t="inlineStr">
        <is>
          <t>Y</t>
        </is>
      </c>
      <c r="N34" s="14" t="inlineStr">
        <is>
          <t>Migrated from FY27 Revenue Tracker v2 - confirm type/sign</t>
        </is>
      </c>
    </row>
    <row r="35" ht="15" customHeight="1">
      <c r="A35" s="55" t="n">
        <v>46234</v>
      </c>
      <c r="B35" s="51">
        <f>IF(C35="","",IFERROR(INDEX(tbl_Finance[Date],MATCH(C35&amp;"",tbl_Finance[Xero Invoice No],0)),""))</f>
        <v/>
      </c>
      <c r="C35" s="14" t="n"/>
      <c r="D35" s="14" t="inlineStr">
        <is>
          <t>26061107</t>
        </is>
      </c>
      <c r="E35" s="15">
        <f>IF(D35="","",IF(COUNTIF(lst_Jobs,D35&amp;"")&gt;0,"OK","CHECK"))</f>
        <v/>
      </c>
      <c r="F35" s="14" t="inlineStr">
        <is>
          <t>Downer</t>
        </is>
      </c>
      <c r="G35" s="14" t="inlineStr">
        <is>
          <t>PRODUCTION</t>
        </is>
      </c>
      <c r="H35" s="14" t="inlineStr">
        <is>
          <t>Downer - FYR 2026 - 19.8.26 [PRD] pre-prod work</t>
        </is>
      </c>
      <c r="I35" s="14" t="inlineStr">
        <is>
          <t>Accrual - unbilled work</t>
        </is>
      </c>
      <c r="J35" s="16" t="n">
        <v>115</v>
      </c>
      <c r="K35" s="14" t="inlineStr">
        <is>
          <t>11300</t>
        </is>
      </c>
      <c r="L35" s="14" t="n"/>
      <c r="M35" s="14" t="inlineStr">
        <is>
          <t>Y</t>
        </is>
      </c>
      <c r="N35" s="14" t="inlineStr">
        <is>
          <t>Migrated from FY27 Revenue Tracker v2 - confirm type/sign</t>
        </is>
      </c>
    </row>
    <row r="36" ht="15" customHeight="1">
      <c r="A36" s="55" t="n">
        <v>46234</v>
      </c>
      <c r="B36" s="51">
        <f>IF(C36="","",IFERROR(INDEX(tbl_Finance[Date],MATCH(C36&amp;"",tbl_Finance[Xero Invoice No],0)),""))</f>
        <v/>
      </c>
      <c r="C36" s="14" t="n"/>
      <c r="D36" s="14" t="inlineStr">
        <is>
          <t>26061108</t>
        </is>
      </c>
      <c r="E36" s="15">
        <f>IF(D36="","",IF(COUNTIF(lst_Jobs,D36&amp;"")&gt;0,"OK","CHECK"))</f>
        <v/>
      </c>
      <c r="F36" s="14" t="inlineStr">
        <is>
          <t>APA</t>
        </is>
      </c>
      <c r="G36" s="14" t="inlineStr">
        <is>
          <t>PRODUCTION</t>
        </is>
      </c>
      <c r="H36" s="14" t="inlineStr">
        <is>
          <t>APA FYR All Hands August 2026 Package - Conf Call (Revenue) INV-10521</t>
        </is>
      </c>
      <c r="I36" s="14" t="inlineStr">
        <is>
          <t>Deferral - invoiced in advance</t>
        </is>
      </c>
      <c r="J36" s="16" t="n">
        <v>-600</v>
      </c>
      <c r="K36" s="14" t="inlineStr">
        <is>
          <t>11300</t>
        </is>
      </c>
      <c r="L36" s="14" t="n"/>
      <c r="M36" s="14" t="inlineStr">
        <is>
          <t>Y</t>
        </is>
      </c>
      <c r="N36" s="14" t="inlineStr">
        <is>
          <t>Migrated from FY27 Revenue Tracker v2 - confirm type/sign</t>
        </is>
      </c>
    </row>
    <row r="37" ht="15" customHeight="1">
      <c r="A37" s="55" t="n">
        <v>46234</v>
      </c>
      <c r="B37" s="51">
        <f>IF(C37="","",IFERROR(INDEX(tbl_Finance[Date],MATCH(C37&amp;"",tbl_Finance[Xero Invoice No],0)),""))</f>
        <v/>
      </c>
      <c r="C37" s="14" t="n"/>
      <c r="D37" s="14" t="inlineStr">
        <is>
          <t>26061108</t>
        </is>
      </c>
      <c r="E37" s="15">
        <f>IF(D37="","",IF(COUNTIF(lst_Jobs,D37&amp;"")&gt;0,"OK","CHECK"))</f>
        <v/>
      </c>
      <c r="F37" s="14" t="inlineStr">
        <is>
          <t>APA</t>
        </is>
      </c>
      <c r="G37" s="14" t="inlineStr">
        <is>
          <t>PRODUCTION</t>
        </is>
      </c>
      <c r="H37" s="14" t="inlineStr">
        <is>
          <t>APA FYR 20.7.26 [PRD]</t>
        </is>
      </c>
      <c r="I37" s="14" t="inlineStr">
        <is>
          <t>Deferral - invoiced in advance</t>
        </is>
      </c>
      <c r="J37" s="16" t="n">
        <v>-237.5</v>
      </c>
      <c r="K37" s="14" t="inlineStr">
        <is>
          <t>11300</t>
        </is>
      </c>
      <c r="L37" s="14" t="n"/>
      <c r="M37" s="14" t="inlineStr">
        <is>
          <t>Y</t>
        </is>
      </c>
      <c r="N37" s="14" t="inlineStr">
        <is>
          <t>Migrated from FY27 Revenue Tracker v2 - confirm type/sign</t>
        </is>
      </c>
    </row>
    <row r="38" ht="15" customHeight="1">
      <c r="A38" s="55" t="n">
        <v>46234</v>
      </c>
      <c r="B38" s="51">
        <f>IF(C38="","",IFERROR(INDEX(tbl_Finance[Date],MATCH(C38&amp;"",tbl_Finance[Xero Invoice No],0)),""))</f>
        <v/>
      </c>
      <c r="C38" s="14" t="n"/>
      <c r="D38" s="14" t="inlineStr">
        <is>
          <t>26061108</t>
        </is>
      </c>
      <c r="E38" s="15">
        <f>IF(D38="","",IF(COUNTIF(lst_Jobs,D38&amp;"")&gt;0,"OK","CHECK"))</f>
        <v/>
      </c>
      <c r="F38" s="14" t="inlineStr">
        <is>
          <t>APA</t>
        </is>
      </c>
      <c r="G38" s="14" t="inlineStr">
        <is>
          <t>PRODUCTION</t>
        </is>
      </c>
      <c r="H38" s="14" t="inlineStr">
        <is>
          <t>APA FYR All Hands August 2026 Package - Prd Equipment Hire (Revenue) INV-10521</t>
        </is>
      </c>
      <c r="I38" s="14" t="inlineStr">
        <is>
          <t>Deferral - invoiced in advance</t>
        </is>
      </c>
      <c r="J38" s="16" t="n">
        <v>-5413.6</v>
      </c>
      <c r="K38" s="14" t="inlineStr">
        <is>
          <t>11300</t>
        </is>
      </c>
      <c r="L38" s="14" t="n"/>
      <c r="M38" s="14" t="inlineStr">
        <is>
          <t>Y</t>
        </is>
      </c>
      <c r="N38" s="14" t="inlineStr">
        <is>
          <t>Migrated from FY27 Revenue Tracker v2 - confirm type/sign</t>
        </is>
      </c>
    </row>
    <row r="39" ht="15" customHeight="1">
      <c r="A39" s="55" t="n">
        <v>46234</v>
      </c>
      <c r="B39" s="51">
        <f>IF(C39="","",IFERROR(INDEX(tbl_Finance[Date],MATCH(C39&amp;"",tbl_Finance[Xero Invoice No],0)),""))</f>
        <v/>
      </c>
      <c r="C39" s="14" t="n"/>
      <c r="D39" s="14" t="inlineStr">
        <is>
          <t>26061108V</t>
        </is>
      </c>
      <c r="E39" s="15">
        <f>IF(D39="","",IF(COUNTIF(lst_Jobs,D39&amp;"")&gt;0,"OK","CHECK"))</f>
        <v/>
      </c>
      <c r="F39" s="14" t="inlineStr">
        <is>
          <t>APA</t>
        </is>
      </c>
      <c r="G39" s="14" t="inlineStr">
        <is>
          <t>VIDEO</t>
        </is>
      </c>
      <c r="H39" s="14" t="inlineStr">
        <is>
          <t>APA FYR All Hands August 2026 Package - Vid Equipment Hire (Revenue) INV-10521</t>
        </is>
      </c>
      <c r="I39" s="14" t="inlineStr">
        <is>
          <t>Deferral - invoiced in advance</t>
        </is>
      </c>
      <c r="J39" s="16" t="n">
        <v>-592</v>
      </c>
      <c r="K39" s="14" t="inlineStr">
        <is>
          <t>11300</t>
        </is>
      </c>
      <c r="L39" s="14" t="n"/>
      <c r="M39" s="14" t="inlineStr">
        <is>
          <t>Y</t>
        </is>
      </c>
      <c r="N39" s="14" t="inlineStr">
        <is>
          <t>Migrated from FY27 Revenue Tracker v2 - confirm type/sign</t>
        </is>
      </c>
    </row>
    <row r="40" ht="15" customHeight="1">
      <c r="A40" s="55" t="n">
        <v>46234</v>
      </c>
      <c r="B40" s="51">
        <f>IF(C40="","",IFERROR(INDEX(tbl_Finance[Date],MATCH(C40&amp;"",tbl_Finance[Xero Invoice No],0)),""))</f>
        <v/>
      </c>
      <c r="C40" s="14" t="n"/>
      <c r="D40" s="14" t="inlineStr">
        <is>
          <t>26061108</t>
        </is>
      </c>
      <c r="E40" s="15">
        <f>IF(D40="","",IF(COUNTIF(lst_Jobs,D40&amp;"")&gt;0,"OK","CHECK"))</f>
        <v/>
      </c>
      <c r="F40" s="14" t="inlineStr">
        <is>
          <t>APA</t>
        </is>
      </c>
      <c r="G40" s="14" t="inlineStr">
        <is>
          <t>PRODUCTION</t>
        </is>
      </c>
      <c r="H40" s="14" t="inlineStr">
        <is>
          <t>APA FYR All Hands August 2026 Package - Prd Labour (Revenue) INV-10521</t>
        </is>
      </c>
      <c r="I40" s="14" t="inlineStr">
        <is>
          <t>Deferral - invoiced in advance</t>
        </is>
      </c>
      <c r="J40" s="16" t="n">
        <v>-4520</v>
      </c>
      <c r="K40" s="14" t="inlineStr">
        <is>
          <t>11300</t>
        </is>
      </c>
      <c r="L40" s="14" t="n"/>
      <c r="M40" s="14" t="inlineStr">
        <is>
          <t>Y</t>
        </is>
      </c>
      <c r="N40" s="14" t="inlineStr">
        <is>
          <t>Migrated from FY27 Revenue Tracker v2 - confirm type/sign</t>
        </is>
      </c>
    </row>
    <row r="41" ht="15" customHeight="1">
      <c r="A41" s="55" t="n">
        <v>46234</v>
      </c>
      <c r="B41" s="51">
        <f>IF(C41="","",IFERROR(INDEX(tbl_Finance[Date],MATCH(C41&amp;"",tbl_Finance[Xero Invoice No],0)),""))</f>
        <v/>
      </c>
      <c r="C41" s="14" t="n"/>
      <c r="D41" s="14" t="inlineStr">
        <is>
          <t>26061108V</t>
        </is>
      </c>
      <c r="E41" s="15">
        <f>IF(D41="","",IF(COUNTIF(lst_Jobs,D41&amp;"")&gt;0,"OK","CHECK"))</f>
        <v/>
      </c>
      <c r="F41" s="14" t="inlineStr">
        <is>
          <t>APA</t>
        </is>
      </c>
      <c r="G41" s="14" t="inlineStr">
        <is>
          <t>VIDEO</t>
        </is>
      </c>
      <c r="H41" s="14" t="inlineStr">
        <is>
          <t>APA FYR All Hands August 2026 Package - Vid Labour (Revenue) INV-10521</t>
        </is>
      </c>
      <c r="I41" s="14" t="inlineStr">
        <is>
          <t>Deferral - invoiced in advance</t>
        </is>
      </c>
      <c r="J41" s="16" t="n">
        <v>-485</v>
      </c>
      <c r="K41" s="14" t="inlineStr">
        <is>
          <t>11300</t>
        </is>
      </c>
      <c r="L41" s="14" t="n"/>
      <c r="M41" s="14" t="inlineStr">
        <is>
          <t>Y</t>
        </is>
      </c>
      <c r="N41" s="14" t="inlineStr">
        <is>
          <t>Migrated from FY27 Revenue Tracker v2 - confirm type/sign</t>
        </is>
      </c>
    </row>
    <row r="42" ht="15" customHeight="1">
      <c r="A42" s="55" t="n">
        <v>46234</v>
      </c>
      <c r="B42" s="51">
        <f>IF(C42="","",IFERROR(INDEX(tbl_Finance[Date],MATCH(C42&amp;"",tbl_Finance[Xero Invoice No],0)),""))</f>
        <v/>
      </c>
      <c r="C42" s="14" t="n"/>
      <c r="D42" s="14" t="inlineStr">
        <is>
          <t>26061108</t>
        </is>
      </c>
      <c r="E42" s="15">
        <f>IF(D42="","",IF(COUNTIF(lst_Jobs,D42&amp;"")&gt;0,"OK","CHECK"))</f>
        <v/>
      </c>
      <c r="F42" s="14" t="inlineStr">
        <is>
          <t>APA</t>
        </is>
      </c>
      <c r="G42" s="14" t="inlineStr">
        <is>
          <t>PRODUCTION</t>
        </is>
      </c>
      <c r="H42" s="14" t="inlineStr">
        <is>
          <t>APA FYR All Hands August 2026 Package - Transport (Revenue) INV-10521</t>
        </is>
      </c>
      <c r="I42" s="14" t="inlineStr">
        <is>
          <t>Deferral - invoiced in advance</t>
        </is>
      </c>
      <c r="J42" s="16" t="n">
        <v>-300</v>
      </c>
      <c r="K42" s="14" t="inlineStr">
        <is>
          <t>11300</t>
        </is>
      </c>
      <c r="L42" s="14" t="n"/>
      <c r="M42" s="14" t="inlineStr">
        <is>
          <t>Y</t>
        </is>
      </c>
      <c r="N42" s="14" t="inlineStr">
        <is>
          <t>Migrated from FY27 Revenue Tracker v2 - confirm type/sign</t>
        </is>
      </c>
    </row>
    <row r="43" ht="15" customHeight="1">
      <c r="A43" s="55" t="n">
        <v>46234</v>
      </c>
      <c r="B43" s="51">
        <f>IF(C43="","",IFERROR(INDEX(tbl_Finance[Date],MATCH(C43&amp;"",tbl_Finance[Xero Invoice No],0)),""))</f>
        <v/>
      </c>
      <c r="C43" s="14" t="n"/>
      <c r="D43" s="14" t="inlineStr">
        <is>
          <t>26061108</t>
        </is>
      </c>
      <c r="E43" s="15">
        <f>IF(D43="","",IF(COUNTIF(lst_Jobs,D43&amp;"")&gt;0,"OK","CHECK"))</f>
        <v/>
      </c>
      <c r="F43" s="14" t="inlineStr">
        <is>
          <t>APA</t>
        </is>
      </c>
      <c r="G43" s="14" t="inlineStr">
        <is>
          <t>PRODUCTION</t>
        </is>
      </c>
      <c r="H43" s="14" t="inlineStr">
        <is>
          <t>APA FYR All Hands August 2026 Package - Tech  Event Mgmt (Revenue) INV-10521</t>
        </is>
      </c>
      <c r="I43" s="14" t="inlineStr">
        <is>
          <t>Deferral - invoiced in advance</t>
        </is>
      </c>
      <c r="J43" s="16" t="n">
        <v>-690</v>
      </c>
      <c r="K43" s="14" t="inlineStr">
        <is>
          <t>11300</t>
        </is>
      </c>
      <c r="L43" s="14" t="n"/>
      <c r="M43" s="14" t="inlineStr">
        <is>
          <t>Y</t>
        </is>
      </c>
      <c r="N43" s="14" t="inlineStr">
        <is>
          <t>Migrated from FY27 Revenue Tracker v2 - confirm type/sign</t>
        </is>
      </c>
    </row>
    <row r="44" ht="15" customHeight="1">
      <c r="A44" s="55" t="n">
        <v>46234</v>
      </c>
      <c r="B44" s="51">
        <f>IF(C44="","",IFERROR(INDEX(tbl_Finance[Date],MATCH(C44&amp;"",tbl_Finance[Xero Invoice No],0)),""))</f>
        <v/>
      </c>
      <c r="C44" s="14" t="n"/>
      <c r="D44" s="14" t="inlineStr">
        <is>
          <t>26061607</t>
        </is>
      </c>
      <c r="E44" s="15">
        <f>IF(D44="","",IF(COUNTIF(lst_Jobs,D44&amp;"")&gt;0,"OK","CHECK"))</f>
        <v/>
      </c>
      <c r="F44" s="14" t="inlineStr">
        <is>
          <t>APA</t>
        </is>
      </c>
      <c r="G44" s="14" t="inlineStr">
        <is>
          <t>PRODUCTION</t>
        </is>
      </c>
      <c r="H44" s="14" t="inlineStr">
        <is>
          <t>APA Qtrly All Hands Nov 2026 Package - Prd Equipment Hire (Revenue) INV-10521</t>
        </is>
      </c>
      <c r="I44" s="14" t="inlineStr">
        <is>
          <t>Deferral - invoiced in advance</t>
        </is>
      </c>
      <c r="J44" s="16" t="n">
        <v>-5269.6</v>
      </c>
      <c r="K44" s="14" t="inlineStr">
        <is>
          <t>11300</t>
        </is>
      </c>
      <c r="L44" s="14" t="n"/>
      <c r="M44" s="14" t="inlineStr">
        <is>
          <t>Y</t>
        </is>
      </c>
      <c r="N44" s="14" t="inlineStr">
        <is>
          <t>Migrated from FY27 Revenue Tracker v2 - confirm type/sign</t>
        </is>
      </c>
    </row>
    <row r="45" ht="15" customHeight="1">
      <c r="A45" s="55" t="n">
        <v>46234</v>
      </c>
      <c r="B45" s="51">
        <f>IF(C45="","",IFERROR(INDEX(tbl_Finance[Date],MATCH(C45&amp;"",tbl_Finance[Xero Invoice No],0)),""))</f>
        <v/>
      </c>
      <c r="C45" s="14" t="n"/>
      <c r="D45" s="14" t="inlineStr">
        <is>
          <t>26061607V</t>
        </is>
      </c>
      <c r="E45" s="15">
        <f>IF(D45="","",IF(COUNTIF(lst_Jobs,D45&amp;"")&gt;0,"OK","CHECK"))</f>
        <v/>
      </c>
      <c r="F45" s="14" t="inlineStr">
        <is>
          <t>APA</t>
        </is>
      </c>
      <c r="G45" s="14" t="inlineStr">
        <is>
          <t>VIDEO</t>
        </is>
      </c>
      <c r="H45" s="14" t="inlineStr">
        <is>
          <t>APA Qtrly All Hands Nov 2026 Package - Vid Equipment Hire (Revenue) INV-10521</t>
        </is>
      </c>
      <c r="I45" s="14" t="inlineStr">
        <is>
          <t>Deferral - invoiced in advance</t>
        </is>
      </c>
      <c r="J45" s="16" t="n">
        <v>-592</v>
      </c>
      <c r="K45" s="14" t="inlineStr">
        <is>
          <t>11300</t>
        </is>
      </c>
      <c r="L45" s="14" t="n"/>
      <c r="M45" s="14" t="inlineStr">
        <is>
          <t>Y</t>
        </is>
      </c>
      <c r="N45" s="14" t="inlineStr">
        <is>
          <t>Migrated from FY27 Revenue Tracker v2 - confirm type/sign</t>
        </is>
      </c>
    </row>
    <row r="46" ht="15" customHeight="1">
      <c r="A46" s="55" t="n">
        <v>46234</v>
      </c>
      <c r="B46" s="51">
        <f>IF(C46="","",IFERROR(INDEX(tbl_Finance[Date],MATCH(C46&amp;"",tbl_Finance[Xero Invoice No],0)),""))</f>
        <v/>
      </c>
      <c r="C46" s="14" t="n"/>
      <c r="D46" s="14" t="inlineStr">
        <is>
          <t>26061607</t>
        </is>
      </c>
      <c r="E46" s="15">
        <f>IF(D46="","",IF(COUNTIF(lst_Jobs,D46&amp;"")&gt;0,"OK","CHECK"))</f>
        <v/>
      </c>
      <c r="F46" s="14" t="inlineStr">
        <is>
          <t>APA</t>
        </is>
      </c>
      <c r="G46" s="14" t="inlineStr">
        <is>
          <t>PRODUCTION</t>
        </is>
      </c>
      <c r="H46" s="14" t="inlineStr">
        <is>
          <t>APA Qtrly All Hands Nov 2026 Package - Prd Labour (Revenue) INV-10521</t>
        </is>
      </c>
      <c r="I46" s="14" t="inlineStr">
        <is>
          <t>Deferral - invoiced in advance</t>
        </is>
      </c>
      <c r="J46" s="16" t="n">
        <v>-4869</v>
      </c>
      <c r="K46" s="14" t="inlineStr">
        <is>
          <t>11300</t>
        </is>
      </c>
      <c r="L46" s="14" t="n"/>
      <c r="M46" s="14" t="inlineStr">
        <is>
          <t>Y</t>
        </is>
      </c>
      <c r="N46" s="14" t="inlineStr">
        <is>
          <t>Migrated from FY27 Revenue Tracker v2 - confirm type/sign</t>
        </is>
      </c>
    </row>
    <row r="47" ht="15" customHeight="1">
      <c r="A47" s="55" t="n">
        <v>46234</v>
      </c>
      <c r="B47" s="51">
        <f>IF(C47="","",IFERROR(INDEX(tbl_Finance[Date],MATCH(C47&amp;"",tbl_Finance[Xero Invoice No],0)),""))</f>
        <v/>
      </c>
      <c r="C47" s="14" t="n"/>
      <c r="D47" s="14" t="inlineStr">
        <is>
          <t>26061607V</t>
        </is>
      </c>
      <c r="E47" s="15">
        <f>IF(D47="","",IF(COUNTIF(lst_Jobs,D47&amp;"")&gt;0,"OK","CHECK"))</f>
        <v/>
      </c>
      <c r="F47" s="14" t="inlineStr">
        <is>
          <t>APA</t>
        </is>
      </c>
      <c r="G47" s="14" t="inlineStr">
        <is>
          <t>VIDEO</t>
        </is>
      </c>
      <c r="H47" s="14" t="inlineStr">
        <is>
          <t>APA Qtrly All Hands Nov 2026 Package - Vid Labour (Revenue) INV-10521</t>
        </is>
      </c>
      <c r="I47" s="14" t="inlineStr">
        <is>
          <t>Deferral - invoiced in advance</t>
        </is>
      </c>
      <c r="J47" s="16" t="n">
        <v>-485</v>
      </c>
      <c r="K47" s="14" t="inlineStr">
        <is>
          <t>11300</t>
        </is>
      </c>
      <c r="L47" s="14" t="n"/>
      <c r="M47" s="14" t="inlineStr">
        <is>
          <t>Y</t>
        </is>
      </c>
      <c r="N47" s="14" t="inlineStr">
        <is>
          <t>Migrated from FY27 Revenue Tracker v2 - confirm type/sign</t>
        </is>
      </c>
    </row>
    <row r="48" ht="15" customHeight="1">
      <c r="A48" s="55" t="n">
        <v>46234</v>
      </c>
      <c r="B48" s="51">
        <f>IF(C48="","",IFERROR(INDEX(tbl_Finance[Date],MATCH(C48&amp;"",tbl_Finance[Xero Invoice No],0)),""))</f>
        <v/>
      </c>
      <c r="C48" s="14" t="n"/>
      <c r="D48" s="14" t="inlineStr">
        <is>
          <t>26061607</t>
        </is>
      </c>
      <c r="E48" s="15">
        <f>IF(D48="","",IF(COUNTIF(lst_Jobs,D48&amp;"")&gt;0,"OK","CHECK"))</f>
        <v/>
      </c>
      <c r="F48" s="14" t="inlineStr">
        <is>
          <t>APA</t>
        </is>
      </c>
      <c r="G48" s="14" t="inlineStr">
        <is>
          <t>PRODUCTION</t>
        </is>
      </c>
      <c r="H48" s="14" t="inlineStr">
        <is>
          <t>APA Qtrly All Hands Nov 2026 Package - Conf Call (Revenue) INV-10521</t>
        </is>
      </c>
      <c r="I48" s="14" t="inlineStr">
        <is>
          <t>Deferral - invoiced in advance</t>
        </is>
      </c>
      <c r="J48" s="16" t="n">
        <v>-750</v>
      </c>
      <c r="K48" s="14" t="inlineStr">
        <is>
          <t>11300</t>
        </is>
      </c>
      <c r="L48" s="14" t="n"/>
      <c r="M48" s="14" t="inlineStr">
        <is>
          <t>Y</t>
        </is>
      </c>
      <c r="N48" s="14" t="inlineStr">
        <is>
          <t>Migrated from FY27 Revenue Tracker v2 - confirm type/sign</t>
        </is>
      </c>
    </row>
    <row r="49" ht="15" customHeight="1">
      <c r="A49" s="55" t="n">
        <v>46234</v>
      </c>
      <c r="B49" s="51">
        <f>IF(C49="","",IFERROR(INDEX(tbl_Finance[Date],MATCH(C49&amp;"",tbl_Finance[Xero Invoice No],0)),""))</f>
        <v/>
      </c>
      <c r="C49" s="14" t="n"/>
      <c r="D49" s="14" t="inlineStr">
        <is>
          <t>26061607</t>
        </is>
      </c>
      <c r="E49" s="15">
        <f>IF(D49="","",IF(COUNTIF(lst_Jobs,D49&amp;"")&gt;0,"OK","CHECK"))</f>
        <v/>
      </c>
      <c r="F49" s="14" t="inlineStr">
        <is>
          <t>APA</t>
        </is>
      </c>
      <c r="G49" s="14" t="inlineStr">
        <is>
          <t>PRODUCTION</t>
        </is>
      </c>
      <c r="H49" s="14" t="inlineStr">
        <is>
          <t>APA Qtrly All Hands Nov 2026 Package - Transport (Revenue) INV-10521</t>
        </is>
      </c>
      <c r="I49" s="14" t="inlineStr">
        <is>
          <t>Deferral - invoiced in advance</t>
        </is>
      </c>
      <c r="J49" s="16" t="n">
        <v>-300</v>
      </c>
      <c r="K49" s="14" t="inlineStr">
        <is>
          <t>11300</t>
        </is>
      </c>
      <c r="L49" s="14" t="n"/>
      <c r="M49" s="14" t="inlineStr">
        <is>
          <t>Y</t>
        </is>
      </c>
      <c r="N49" s="14" t="inlineStr">
        <is>
          <t>Migrated from FY27 Revenue Tracker v2 - confirm type/sign</t>
        </is>
      </c>
    </row>
    <row r="50" ht="15" customHeight="1">
      <c r="A50" s="55" t="n">
        <v>46234</v>
      </c>
      <c r="B50" s="51">
        <f>IF(C50="","",IFERROR(INDEX(tbl_Finance[Date],MATCH(C50&amp;"",tbl_Finance[Xero Invoice No],0)),""))</f>
        <v/>
      </c>
      <c r="C50" s="14" t="n"/>
      <c r="D50" s="14" t="inlineStr">
        <is>
          <t>26061607</t>
        </is>
      </c>
      <c r="E50" s="15">
        <f>IF(D50="","",IF(COUNTIF(lst_Jobs,D50&amp;"")&gt;0,"OK","CHECK"))</f>
        <v/>
      </c>
      <c r="F50" s="14" t="inlineStr">
        <is>
          <t>APA</t>
        </is>
      </c>
      <c r="G50" s="14" t="inlineStr">
        <is>
          <t>PRODUCTION</t>
        </is>
      </c>
      <c r="H50" s="14" t="inlineStr">
        <is>
          <t>APA Qtrly All Hands Nov 2026 Package - Tech  Event Mgmt (Revenue) INV-10521</t>
        </is>
      </c>
      <c r="I50" s="14" t="inlineStr">
        <is>
          <t>Deferral - invoiced in advance</t>
        </is>
      </c>
      <c r="J50" s="16" t="n">
        <v>-690</v>
      </c>
      <c r="K50" s="14" t="inlineStr">
        <is>
          <t>11300</t>
        </is>
      </c>
      <c r="L50" s="14" t="n"/>
      <c r="M50" s="14" t="inlineStr">
        <is>
          <t>Y</t>
        </is>
      </c>
      <c r="N50" s="14" t="inlineStr">
        <is>
          <t>Migrated from FY27 Revenue Tracker v2 - confirm type/sign</t>
        </is>
      </c>
    </row>
    <row r="51" ht="15" customHeight="1">
      <c r="A51" s="55" t="n">
        <v>46234</v>
      </c>
      <c r="B51" s="51">
        <f>IF(C51="","",IFERROR(INDEX(tbl_Finance[Date],MATCH(C51&amp;"",tbl_Finance[Xero Invoice No],0)),""))</f>
        <v/>
      </c>
      <c r="C51" s="14" t="n"/>
      <c r="D51" s="14" t="inlineStr">
        <is>
          <t>26061607</t>
        </is>
      </c>
      <c r="E51" s="15">
        <f>IF(D51="","",IF(COUNTIF(lst_Jobs,D51&amp;"")&gt;0,"OK","CHECK"))</f>
        <v/>
      </c>
      <c r="F51" s="14" t="inlineStr">
        <is>
          <t>APA</t>
        </is>
      </c>
      <c r="G51" s="14" t="inlineStr">
        <is>
          <t>PRODUCTION</t>
        </is>
      </c>
      <c r="H51" s="14" t="inlineStr">
        <is>
          <t>APA Qtrly All Hands Nov 2026 Package - Travel (Revenue) INV-10521</t>
        </is>
      </c>
      <c r="I51" s="14" t="inlineStr">
        <is>
          <t>Deferral - invoiced in advance</t>
        </is>
      </c>
      <c r="J51" s="16" t="n">
        <v>-1025</v>
      </c>
      <c r="K51" s="14" t="inlineStr">
        <is>
          <t>11300</t>
        </is>
      </c>
      <c r="L51" s="14" t="n"/>
      <c r="M51" s="14" t="inlineStr">
        <is>
          <t>Y</t>
        </is>
      </c>
      <c r="N51" s="14" t="inlineStr">
        <is>
          <t>Migrated from FY27 Revenue Tracker v2 - confirm type/sign</t>
        </is>
      </c>
    </row>
    <row r="52" ht="15" customHeight="1">
      <c r="A52" s="55" t="n">
        <v>46234</v>
      </c>
      <c r="B52" s="51">
        <f>IF(C52="","",IFERROR(INDEX(tbl_Finance[Date],MATCH(C52&amp;"",tbl_Finance[Xero Invoice No],0)),""))</f>
        <v/>
      </c>
      <c r="C52" s="14" t="n"/>
      <c r="D52" s="14" t="inlineStr">
        <is>
          <t>26061608</t>
        </is>
      </c>
      <c r="E52" s="15">
        <f>IF(D52="","",IF(COUNTIF(lst_Jobs,D52&amp;"")&gt;0,"OK","CHECK"))</f>
        <v/>
      </c>
      <c r="F52" s="14" t="inlineStr">
        <is>
          <t>APA</t>
        </is>
      </c>
      <c r="G52" s="14" t="inlineStr">
        <is>
          <t>PRODUCTION</t>
        </is>
      </c>
      <c r="H52" s="14" t="inlineStr">
        <is>
          <t>APA Qtrly All Hands Feb 2027 Package - Prd Equipment Hire (Revenue) INV-10521</t>
        </is>
      </c>
      <c r="I52" s="14" t="inlineStr">
        <is>
          <t>Deferral - invoiced in advance</t>
        </is>
      </c>
      <c r="J52" s="16" t="n">
        <v>-5857.6</v>
      </c>
      <c r="K52" s="14" t="inlineStr">
        <is>
          <t>11300</t>
        </is>
      </c>
      <c r="L52" s="14" t="n"/>
      <c r="M52" s="14" t="inlineStr">
        <is>
          <t>Y</t>
        </is>
      </c>
      <c r="N52" s="14" t="inlineStr">
        <is>
          <t>Migrated from FY27 Revenue Tracker v2 - confirm type/sign</t>
        </is>
      </c>
    </row>
    <row r="53" ht="15" customHeight="1">
      <c r="A53" s="55" t="n">
        <v>46234</v>
      </c>
      <c r="B53" s="51">
        <f>IF(C53="","",IFERROR(INDEX(tbl_Finance[Date],MATCH(C53&amp;"",tbl_Finance[Xero Invoice No],0)),""))</f>
        <v/>
      </c>
      <c r="C53" s="14" t="n"/>
      <c r="D53" s="14" t="inlineStr">
        <is>
          <t>26061608V</t>
        </is>
      </c>
      <c r="E53" s="15">
        <f>IF(D53="","",IF(COUNTIF(lst_Jobs,D53&amp;"")&gt;0,"OK","CHECK"))</f>
        <v/>
      </c>
      <c r="F53" s="14" t="inlineStr">
        <is>
          <t>APA</t>
        </is>
      </c>
      <c r="G53" s="14" t="inlineStr">
        <is>
          <t>VIDEO</t>
        </is>
      </c>
      <c r="H53" s="14" t="inlineStr">
        <is>
          <t>APA Qtrly All Hands Feb 2027 Package - Vid Equipment Hire (Revenue) INV-10521</t>
        </is>
      </c>
      <c r="I53" s="14" t="inlineStr">
        <is>
          <t>Deferral - invoiced in advance</t>
        </is>
      </c>
      <c r="J53" s="16" t="n">
        <v>-592</v>
      </c>
      <c r="K53" s="14" t="inlineStr">
        <is>
          <t>11300</t>
        </is>
      </c>
      <c r="L53" s="14" t="n"/>
      <c r="M53" s="14" t="inlineStr">
        <is>
          <t>Y</t>
        </is>
      </c>
      <c r="N53" s="14" t="inlineStr">
        <is>
          <t>Migrated from FY27 Revenue Tracker v2 - confirm type/sign</t>
        </is>
      </c>
    </row>
    <row r="54" ht="15" customHeight="1">
      <c r="A54" s="55" t="n">
        <v>46234</v>
      </c>
      <c r="B54" s="51">
        <f>IF(C54="","",IFERROR(INDEX(tbl_Finance[Date],MATCH(C54&amp;"",tbl_Finance[Xero Invoice No],0)),""))</f>
        <v/>
      </c>
      <c r="C54" s="14" t="n"/>
      <c r="D54" s="14" t="inlineStr">
        <is>
          <t>26061608</t>
        </is>
      </c>
      <c r="E54" s="15">
        <f>IF(D54="","",IF(COUNTIF(lst_Jobs,D54&amp;"")&gt;0,"OK","CHECK"))</f>
        <v/>
      </c>
      <c r="F54" s="14" t="inlineStr">
        <is>
          <t>APA</t>
        </is>
      </c>
      <c r="G54" s="14" t="inlineStr">
        <is>
          <t>PRODUCTION</t>
        </is>
      </c>
      <c r="H54" s="14" t="inlineStr">
        <is>
          <t>APA Qtrly All Hands Feb 2027 Package - Prd Labour (Revenue) INV-10521</t>
        </is>
      </c>
      <c r="I54" s="14" t="inlineStr">
        <is>
          <t>Deferral - invoiced in advance</t>
        </is>
      </c>
      <c r="J54" s="16" t="n">
        <v>-4076</v>
      </c>
      <c r="K54" s="14" t="inlineStr">
        <is>
          <t>11300</t>
        </is>
      </c>
      <c r="L54" s="14" t="n"/>
      <c r="M54" s="14" t="inlineStr">
        <is>
          <t>Y</t>
        </is>
      </c>
      <c r="N54" s="14" t="inlineStr">
        <is>
          <t>Migrated from FY27 Revenue Tracker v2 - confirm type/sign</t>
        </is>
      </c>
    </row>
    <row r="55" ht="15" customHeight="1">
      <c r="A55" s="55" t="n">
        <v>46234</v>
      </c>
      <c r="B55" s="51">
        <f>IF(C55="","",IFERROR(INDEX(tbl_Finance[Date],MATCH(C55&amp;"",tbl_Finance[Xero Invoice No],0)),""))</f>
        <v/>
      </c>
      <c r="C55" s="14" t="n"/>
      <c r="D55" s="14" t="inlineStr">
        <is>
          <t>26061608V</t>
        </is>
      </c>
      <c r="E55" s="15">
        <f>IF(D55="","",IF(COUNTIF(lst_Jobs,D55&amp;"")&gt;0,"OK","CHECK"))</f>
        <v/>
      </c>
      <c r="F55" s="14" t="inlineStr">
        <is>
          <t>APA</t>
        </is>
      </c>
      <c r="G55" s="14" t="inlineStr">
        <is>
          <t>VIDEO</t>
        </is>
      </c>
      <c r="H55" s="14" t="inlineStr">
        <is>
          <t>APA Qtrly All Hands Feb 2027 Package - Vid Labour (Revenue) INV-10521</t>
        </is>
      </c>
      <c r="I55" s="14" t="inlineStr">
        <is>
          <t>Deferral - invoiced in advance</t>
        </is>
      </c>
      <c r="J55" s="16" t="n">
        <v>-485</v>
      </c>
      <c r="K55" s="14" t="inlineStr">
        <is>
          <t>11300</t>
        </is>
      </c>
      <c r="L55" s="14" t="n"/>
      <c r="M55" s="14" t="inlineStr">
        <is>
          <t>Y</t>
        </is>
      </c>
      <c r="N55" s="14" t="inlineStr">
        <is>
          <t>Migrated from FY27 Revenue Tracker v2 - confirm type/sign</t>
        </is>
      </c>
    </row>
    <row r="56" ht="15" customHeight="1">
      <c r="A56" s="55" t="n">
        <v>46234</v>
      </c>
      <c r="B56" s="51">
        <f>IF(C56="","",IFERROR(INDEX(tbl_Finance[Date],MATCH(C56&amp;"",tbl_Finance[Xero Invoice No],0)),""))</f>
        <v/>
      </c>
      <c r="C56" s="14" t="n"/>
      <c r="D56" s="14" t="inlineStr">
        <is>
          <t>26061608</t>
        </is>
      </c>
      <c r="E56" s="15">
        <f>IF(D56="","",IF(COUNTIF(lst_Jobs,D56&amp;"")&gt;0,"OK","CHECK"))</f>
        <v/>
      </c>
      <c r="F56" s="14" t="inlineStr">
        <is>
          <t>APA</t>
        </is>
      </c>
      <c r="G56" s="14" t="inlineStr">
        <is>
          <t>PRODUCTION</t>
        </is>
      </c>
      <c r="H56" s="14" t="inlineStr">
        <is>
          <t>APA Qtrly All Hands Feb 2027 Package - Conf Call (Revenue) INV-10521</t>
        </is>
      </c>
      <c r="I56" s="14" t="inlineStr">
        <is>
          <t>Deferral - invoiced in advance</t>
        </is>
      </c>
      <c r="J56" s="16" t="n">
        <v>-600</v>
      </c>
      <c r="K56" s="14" t="inlineStr">
        <is>
          <t>11300</t>
        </is>
      </c>
      <c r="L56" s="14" t="n"/>
      <c r="M56" s="14" t="inlineStr">
        <is>
          <t>Y</t>
        </is>
      </c>
      <c r="N56" s="14" t="inlineStr">
        <is>
          <t>Migrated from FY27 Revenue Tracker v2 - confirm type/sign</t>
        </is>
      </c>
    </row>
    <row r="57" ht="15" customHeight="1">
      <c r="A57" s="55" t="n">
        <v>46234</v>
      </c>
      <c r="B57" s="51">
        <f>IF(C57="","",IFERROR(INDEX(tbl_Finance[Date],MATCH(C57&amp;"",tbl_Finance[Xero Invoice No],0)),""))</f>
        <v/>
      </c>
      <c r="C57" s="14" t="n"/>
      <c r="D57" s="14" t="inlineStr">
        <is>
          <t>26061608</t>
        </is>
      </c>
      <c r="E57" s="15">
        <f>IF(D57="","",IF(COUNTIF(lst_Jobs,D57&amp;"")&gt;0,"OK","CHECK"))</f>
        <v/>
      </c>
      <c r="F57" s="14" t="inlineStr">
        <is>
          <t>APA</t>
        </is>
      </c>
      <c r="G57" s="14" t="inlineStr">
        <is>
          <t>PRODUCTION</t>
        </is>
      </c>
      <c r="H57" s="14" t="inlineStr">
        <is>
          <t>APA Qtrly All Hands Feb 2027 Package - Transport (Revenue) INV-10521</t>
        </is>
      </c>
      <c r="I57" s="14" t="inlineStr">
        <is>
          <t>Deferral - invoiced in advance</t>
        </is>
      </c>
      <c r="J57" s="16" t="n">
        <v>-300</v>
      </c>
      <c r="K57" s="14" t="inlineStr">
        <is>
          <t>11300</t>
        </is>
      </c>
      <c r="L57" s="14" t="n"/>
      <c r="M57" s="14" t="inlineStr">
        <is>
          <t>Y</t>
        </is>
      </c>
      <c r="N57" s="14" t="inlineStr">
        <is>
          <t>Migrated from FY27 Revenue Tracker v2 - confirm type/sign</t>
        </is>
      </c>
    </row>
    <row r="58" ht="15" customHeight="1">
      <c r="A58" s="55" t="n">
        <v>46234</v>
      </c>
      <c r="B58" s="51">
        <f>IF(C58="","",IFERROR(INDEX(tbl_Finance[Date],MATCH(C58&amp;"",tbl_Finance[Xero Invoice No],0)),""))</f>
        <v/>
      </c>
      <c r="C58" s="14" t="n"/>
      <c r="D58" s="14" t="inlineStr">
        <is>
          <t>26061608</t>
        </is>
      </c>
      <c r="E58" s="15">
        <f>IF(D58="","",IF(COUNTIF(lst_Jobs,D58&amp;"")&gt;0,"OK","CHECK"))</f>
        <v/>
      </c>
      <c r="F58" s="14" t="inlineStr">
        <is>
          <t>APA</t>
        </is>
      </c>
      <c r="G58" s="14" t="inlineStr">
        <is>
          <t>PRODUCTION</t>
        </is>
      </c>
      <c r="H58" s="14" t="inlineStr">
        <is>
          <t>APA Qtrly All Hands Feb 2027 Package - Tech  Event Mgmt (Revenue) INV-10521</t>
        </is>
      </c>
      <c r="I58" s="14" t="inlineStr">
        <is>
          <t>Deferral - invoiced in advance</t>
        </is>
      </c>
      <c r="J58" s="16" t="n">
        <v>-690</v>
      </c>
      <c r="K58" s="14" t="inlineStr">
        <is>
          <t>11300</t>
        </is>
      </c>
      <c r="L58" s="14" t="n"/>
      <c r="M58" s="14" t="inlineStr">
        <is>
          <t>Y</t>
        </is>
      </c>
      <c r="N58" s="14" t="inlineStr">
        <is>
          <t>Migrated from FY27 Revenue Tracker v2 - confirm type/sign</t>
        </is>
      </c>
    </row>
    <row r="59" ht="15" customHeight="1">
      <c r="A59" s="55" t="n">
        <v>46234</v>
      </c>
      <c r="B59" s="51">
        <f>IF(C59="","",IFERROR(INDEX(tbl_Finance[Date],MATCH(C59&amp;"",tbl_Finance[Xero Invoice No],0)),""))</f>
        <v/>
      </c>
      <c r="C59" s="14" t="n"/>
      <c r="D59" s="14" t="inlineStr">
        <is>
          <t>26061609</t>
        </is>
      </c>
      <c r="E59" s="15">
        <f>IF(D59="","",IF(COUNTIF(lst_Jobs,D59&amp;"")&gt;0,"OK","CHECK"))</f>
        <v/>
      </c>
      <c r="F59" s="14" t="inlineStr">
        <is>
          <t>APA</t>
        </is>
      </c>
      <c r="G59" s="14" t="inlineStr">
        <is>
          <t>PRODUCTION</t>
        </is>
      </c>
      <c r="H59" s="14" t="inlineStr">
        <is>
          <t>APA Qtrly All Hands May 2027 Package - Prd Equipment Hire (Revenue) INV-10521</t>
        </is>
      </c>
      <c r="I59" s="14" t="inlineStr">
        <is>
          <t>Deferral - invoiced in advance</t>
        </is>
      </c>
      <c r="J59" s="16" t="n">
        <v>-5857.6</v>
      </c>
      <c r="K59" s="14" t="inlineStr">
        <is>
          <t>11300</t>
        </is>
      </c>
      <c r="L59" s="14" t="n"/>
      <c r="M59" s="14" t="inlineStr">
        <is>
          <t>Y</t>
        </is>
      </c>
      <c r="N59" s="14" t="inlineStr">
        <is>
          <t>Migrated from FY27 Revenue Tracker v2 - confirm type/sign</t>
        </is>
      </c>
    </row>
    <row r="60" ht="15" customHeight="1">
      <c r="A60" s="55" t="n">
        <v>46234</v>
      </c>
      <c r="B60" s="51">
        <f>IF(C60="","",IFERROR(INDEX(tbl_Finance[Date],MATCH(C60&amp;"",tbl_Finance[Xero Invoice No],0)),""))</f>
        <v/>
      </c>
      <c r="C60" s="14" t="n"/>
      <c r="D60" s="14" t="inlineStr">
        <is>
          <t>26061609V</t>
        </is>
      </c>
      <c r="E60" s="15">
        <f>IF(D60="","",IF(COUNTIF(lst_Jobs,D60&amp;"")&gt;0,"OK","CHECK"))</f>
        <v/>
      </c>
      <c r="F60" s="14" t="inlineStr">
        <is>
          <t>APA</t>
        </is>
      </c>
      <c r="G60" s="14" t="inlineStr">
        <is>
          <t>VIDEO</t>
        </is>
      </c>
      <c r="H60" s="14" t="inlineStr">
        <is>
          <t>APA Qtrly All Hands May 2027 Package - Vid Equipment Hire (Revenue) INV-10521</t>
        </is>
      </c>
      <c r="I60" s="14" t="inlineStr">
        <is>
          <t>Deferral - invoiced in advance</t>
        </is>
      </c>
      <c r="J60" s="16" t="n">
        <v>-592</v>
      </c>
      <c r="K60" s="14" t="inlineStr">
        <is>
          <t>11300</t>
        </is>
      </c>
      <c r="L60" s="14" t="n"/>
      <c r="M60" s="14" t="inlineStr">
        <is>
          <t>Y</t>
        </is>
      </c>
      <c r="N60" s="14" t="inlineStr">
        <is>
          <t>Migrated from FY27 Revenue Tracker v2 - confirm type/sign</t>
        </is>
      </c>
    </row>
    <row r="61" ht="15" customHeight="1">
      <c r="A61" s="55" t="n">
        <v>46234</v>
      </c>
      <c r="B61" s="51">
        <f>IF(C61="","",IFERROR(INDEX(tbl_Finance[Date],MATCH(C61&amp;"",tbl_Finance[Xero Invoice No],0)),""))</f>
        <v/>
      </c>
      <c r="C61" s="14" t="n"/>
      <c r="D61" s="14" t="inlineStr">
        <is>
          <t>26061609</t>
        </is>
      </c>
      <c r="E61" s="15">
        <f>IF(D61="","",IF(COUNTIF(lst_Jobs,D61&amp;"")&gt;0,"OK","CHECK"))</f>
        <v/>
      </c>
      <c r="F61" s="14" t="inlineStr">
        <is>
          <t>APA</t>
        </is>
      </c>
      <c r="G61" s="14" t="inlineStr">
        <is>
          <t>PRODUCTION</t>
        </is>
      </c>
      <c r="H61" s="14" t="inlineStr">
        <is>
          <t>APA Qtrly All Hands May 2027 Package - Prd Labour (Revenue) INV-10521</t>
        </is>
      </c>
      <c r="I61" s="14" t="inlineStr">
        <is>
          <t>Deferral - invoiced in advance</t>
        </is>
      </c>
      <c r="J61" s="16" t="n">
        <v>-4995</v>
      </c>
      <c r="K61" s="14" t="inlineStr">
        <is>
          <t>11300</t>
        </is>
      </c>
      <c r="L61" s="14" t="n"/>
      <c r="M61" s="14" t="inlineStr">
        <is>
          <t>Y</t>
        </is>
      </c>
      <c r="N61" s="14" t="inlineStr">
        <is>
          <t>Migrated from FY27 Revenue Tracker v2 - confirm type/sign</t>
        </is>
      </c>
    </row>
    <row r="62" ht="15" customHeight="1">
      <c r="A62" s="55" t="n">
        <v>46234</v>
      </c>
      <c r="B62" s="51">
        <f>IF(C62="","",IFERROR(INDEX(tbl_Finance[Date],MATCH(C62&amp;"",tbl_Finance[Xero Invoice No],0)),""))</f>
        <v/>
      </c>
      <c r="C62" s="14" t="n"/>
      <c r="D62" s="14" t="inlineStr">
        <is>
          <t>26061609V</t>
        </is>
      </c>
      <c r="E62" s="15">
        <f>IF(D62="","",IF(COUNTIF(lst_Jobs,D62&amp;"")&gt;0,"OK","CHECK"))</f>
        <v/>
      </c>
      <c r="F62" s="14" t="inlineStr">
        <is>
          <t>APA</t>
        </is>
      </c>
      <c r="G62" s="14" t="inlineStr">
        <is>
          <t>VIDEO</t>
        </is>
      </c>
      <c r="H62" s="14" t="inlineStr">
        <is>
          <t>APA Qtrly All Hands May 2027 Package - Vid Labour (Revenue) INV-10521</t>
        </is>
      </c>
      <c r="I62" s="14" t="inlineStr">
        <is>
          <t>Deferral - invoiced in advance</t>
        </is>
      </c>
      <c r="J62" s="16" t="n">
        <v>-485</v>
      </c>
      <c r="K62" s="14" t="inlineStr">
        <is>
          <t>11300</t>
        </is>
      </c>
      <c r="L62" s="14" t="n"/>
      <c r="M62" s="14" t="inlineStr">
        <is>
          <t>Y</t>
        </is>
      </c>
      <c r="N62" s="14" t="inlineStr">
        <is>
          <t>Migrated from FY27 Revenue Tracker v2 - confirm type/sign</t>
        </is>
      </c>
    </row>
    <row r="63" ht="15" customHeight="1">
      <c r="A63" s="55" t="n">
        <v>46234</v>
      </c>
      <c r="B63" s="51">
        <f>IF(C63="","",IFERROR(INDEX(tbl_Finance[Date],MATCH(C63&amp;"",tbl_Finance[Xero Invoice No],0)),""))</f>
        <v/>
      </c>
      <c r="C63" s="14" t="n"/>
      <c r="D63" s="14" t="inlineStr">
        <is>
          <t>26061609</t>
        </is>
      </c>
      <c r="E63" s="15">
        <f>IF(D63="","",IF(COUNTIF(lst_Jobs,D63&amp;"")&gt;0,"OK","CHECK"))</f>
        <v/>
      </c>
      <c r="F63" s="14" t="inlineStr">
        <is>
          <t>APA</t>
        </is>
      </c>
      <c r="G63" s="14" t="inlineStr">
        <is>
          <t>PRODUCTION</t>
        </is>
      </c>
      <c r="H63" s="14" t="inlineStr">
        <is>
          <t>APA Qtrly All Hands May 2027 Package - Conf Call (Revenue) INV-10521</t>
        </is>
      </c>
      <c r="I63" s="14" t="inlineStr">
        <is>
          <t>Deferral - invoiced in advance</t>
        </is>
      </c>
      <c r="J63" s="16" t="n">
        <v>-750</v>
      </c>
      <c r="K63" s="14" t="inlineStr">
        <is>
          <t>11300</t>
        </is>
      </c>
      <c r="L63" s="14" t="n"/>
      <c r="M63" s="14" t="inlineStr">
        <is>
          <t>Y</t>
        </is>
      </c>
      <c r="N63" s="14" t="inlineStr">
        <is>
          <t>Migrated from FY27 Revenue Tracker v2 - confirm type/sign</t>
        </is>
      </c>
    </row>
    <row r="64" ht="15" customHeight="1">
      <c r="A64" s="55" t="n">
        <v>46234</v>
      </c>
      <c r="B64" s="51">
        <f>IF(C64="","",IFERROR(INDEX(tbl_Finance[Date],MATCH(C64&amp;"",tbl_Finance[Xero Invoice No],0)),""))</f>
        <v/>
      </c>
      <c r="C64" s="14" t="n"/>
      <c r="D64" s="14" t="inlineStr">
        <is>
          <t>26061609</t>
        </is>
      </c>
      <c r="E64" s="15">
        <f>IF(D64="","",IF(COUNTIF(lst_Jobs,D64&amp;"")&gt;0,"OK","CHECK"))</f>
        <v/>
      </c>
      <c r="F64" s="14" t="inlineStr">
        <is>
          <t>APA</t>
        </is>
      </c>
      <c r="G64" s="14" t="inlineStr">
        <is>
          <t>PRODUCTION</t>
        </is>
      </c>
      <c r="H64" s="14" t="inlineStr">
        <is>
          <t>APA Qtrly All Hands May 2027 Package - Transport (Revenue) INV-10521</t>
        </is>
      </c>
      <c r="I64" s="14" t="inlineStr">
        <is>
          <t>Deferral - invoiced in advance</t>
        </is>
      </c>
      <c r="J64" s="16" t="n">
        <v>-300</v>
      </c>
      <c r="K64" s="14" t="inlineStr">
        <is>
          <t>11300</t>
        </is>
      </c>
      <c r="L64" s="14" t="n"/>
      <c r="M64" s="14" t="inlineStr">
        <is>
          <t>Y</t>
        </is>
      </c>
      <c r="N64" s="14" t="inlineStr">
        <is>
          <t>Migrated from FY27 Revenue Tracker v2 - confirm type/sign</t>
        </is>
      </c>
    </row>
    <row r="65" ht="15" customHeight="1">
      <c r="A65" s="55" t="n">
        <v>46234</v>
      </c>
      <c r="B65" s="51">
        <f>IF(C65="","",IFERROR(INDEX(tbl_Finance[Date],MATCH(C65&amp;"",tbl_Finance[Xero Invoice No],0)),""))</f>
        <v/>
      </c>
      <c r="C65" s="14" t="n"/>
      <c r="D65" s="14" t="inlineStr">
        <is>
          <t>26061609</t>
        </is>
      </c>
      <c r="E65" s="15">
        <f>IF(D65="","",IF(COUNTIF(lst_Jobs,D65&amp;"")&gt;0,"OK","CHECK"))</f>
        <v/>
      </c>
      <c r="F65" s="14" t="inlineStr">
        <is>
          <t>APA</t>
        </is>
      </c>
      <c r="G65" s="14" t="inlineStr">
        <is>
          <t>PRODUCTION</t>
        </is>
      </c>
      <c r="H65" s="14" t="inlineStr">
        <is>
          <t>APA Qtrly All Hands May 2027 Package - Tech  Event Mgmt (Revenue) INV-10521</t>
        </is>
      </c>
      <c r="I65" s="14" t="inlineStr">
        <is>
          <t>Deferral - invoiced in advance</t>
        </is>
      </c>
      <c r="J65" s="16" t="n">
        <v>-690</v>
      </c>
      <c r="K65" s="14" t="inlineStr">
        <is>
          <t>11300</t>
        </is>
      </c>
      <c r="L65" s="14" t="n"/>
      <c r="M65" s="14" t="inlineStr">
        <is>
          <t>Y</t>
        </is>
      </c>
      <c r="N65" s="14" t="inlineStr">
        <is>
          <t>Migrated from FY27 Revenue Tracker v2 - confirm type/sign</t>
        </is>
      </c>
    </row>
    <row r="66" ht="15" customHeight="1">
      <c r="A66" s="55" t="n">
        <v>46234</v>
      </c>
      <c r="B66" s="51">
        <f>IF(C66="","",IFERROR(INDEX(tbl_Finance[Date],MATCH(C66&amp;"",tbl_Finance[Xero Invoice No],0)),""))</f>
        <v/>
      </c>
      <c r="C66" s="14" t="n"/>
      <c r="D66" s="14" t="inlineStr">
        <is>
          <t>26061609</t>
        </is>
      </c>
      <c r="E66" s="15">
        <f>IF(D66="","",IF(COUNTIF(lst_Jobs,D66&amp;"")&gt;0,"OK","CHECK"))</f>
        <v/>
      </c>
      <c r="F66" s="14" t="inlineStr">
        <is>
          <t>APA</t>
        </is>
      </c>
      <c r="G66" s="14" t="inlineStr">
        <is>
          <t>PRODUCTION</t>
        </is>
      </c>
      <c r="H66" s="14" t="inlineStr">
        <is>
          <t>APA Qtrly All Hands May 2027 Package - Travel (Revenue) INV-10521</t>
        </is>
      </c>
      <c r="I66" s="14" t="inlineStr">
        <is>
          <t>Deferral - invoiced in advance</t>
        </is>
      </c>
      <c r="J66" s="16" t="n">
        <v>-1200</v>
      </c>
      <c r="K66" s="14" t="inlineStr">
        <is>
          <t>11300</t>
        </is>
      </c>
      <c r="L66" s="14" t="n"/>
      <c r="M66" s="14" t="inlineStr">
        <is>
          <t>Y</t>
        </is>
      </c>
      <c r="N66" s="14" t="inlineStr">
        <is>
          <t>Migrated from FY27 Revenue Tracker v2 - confirm type/sign</t>
        </is>
      </c>
    </row>
    <row r="67" ht="15" customHeight="1">
      <c r="A67" s="55" t="n">
        <v>46234</v>
      </c>
      <c r="B67" s="51">
        <f>IF(C67="","",IFERROR(INDEX(tbl_Finance[Date],MATCH(C67&amp;"",tbl_Finance[Xero Invoice No],0)),""))</f>
        <v/>
      </c>
      <c r="C67" s="14" t="n"/>
      <c r="D67" s="14" t="inlineStr">
        <is>
          <t>2603104</t>
        </is>
      </c>
      <c r="E67" s="15">
        <f>IF(D67="","",IF(COUNTIF(lst_Jobs,D67&amp;"")&gt;0,"OK","CHECK"))</f>
        <v/>
      </c>
      <c r="F67" s="14" t="inlineStr">
        <is>
          <t>Cochlear</t>
        </is>
      </c>
      <c r="G67" s="14" t="inlineStr">
        <is>
          <t>PRODUCTION</t>
        </is>
      </c>
      <c r="H67" s="14" t="inlineStr">
        <is>
          <t>Cochlear FY26 Results 18.8.26 [PRD] pre-prod work</t>
        </is>
      </c>
      <c r="I67" s="14" t="inlineStr">
        <is>
          <t>Accrual - unbilled work</t>
        </is>
      </c>
      <c r="J67" s="16" t="n">
        <v>172.5</v>
      </c>
      <c r="K67" s="14" t="inlineStr">
        <is>
          <t>11300</t>
        </is>
      </c>
      <c r="L67" s="14" t="n"/>
      <c r="M67" s="14" t="inlineStr">
        <is>
          <t>Y</t>
        </is>
      </c>
      <c r="N67" s="14" t="inlineStr">
        <is>
          <t>Migrated from FY27 Revenue Tracker v2 - confirm type/sign</t>
        </is>
      </c>
    </row>
    <row r="68" ht="15" customHeight="1">
      <c r="A68" s="55" t="n">
        <v>46234</v>
      </c>
      <c r="B68" s="51">
        <f>IF(C68="","",IFERROR(INDEX(tbl_Finance[Date],MATCH(C68&amp;"",tbl_Finance[Xero Invoice No],0)),""))</f>
        <v/>
      </c>
      <c r="C68" s="14" t="n"/>
      <c r="D68" s="14" t="inlineStr">
        <is>
          <t>2512804</t>
        </is>
      </c>
      <c r="E68" s="15">
        <f>IF(D68="","",IF(COUNTIF(lst_Jobs,D68&amp;"")&gt;0,"OK","CHECK"))</f>
        <v/>
      </c>
      <c r="F68" s="14" t="inlineStr">
        <is>
          <t>RSNSW</t>
        </is>
      </c>
      <c r="G68" s="14" t="inlineStr">
        <is>
          <t>PRODUCTION</t>
        </is>
      </c>
      <c r="H68" s="14" t="inlineStr">
        <is>
          <t>RSNSW Ordinary General Meeting 5.8.26 [PRD] pre-prod work</t>
        </is>
      </c>
      <c r="I68" s="14" t="inlineStr">
        <is>
          <t>Accrual - unbilled work</t>
        </is>
      </c>
      <c r="J68" s="16" t="n">
        <v>115</v>
      </c>
      <c r="K68" s="14" t="inlineStr">
        <is>
          <t>11300</t>
        </is>
      </c>
      <c r="L68" s="14" t="n"/>
      <c r="M68" s="14" t="inlineStr">
        <is>
          <t>Y</t>
        </is>
      </c>
      <c r="N68" s="14" t="inlineStr">
        <is>
          <t>Migrated from FY27 Revenue Tracker v2 - confirm type/sign</t>
        </is>
      </c>
    </row>
    <row r="69" ht="15" customHeight="1">
      <c r="A69" s="55" t="n">
        <v>46234</v>
      </c>
      <c r="B69" s="51">
        <f>IF(C69="","",IFERROR(INDEX(tbl_Finance[Date],MATCH(C69&amp;"",tbl_Finance[Xero Invoice No],0)),""))</f>
        <v/>
      </c>
      <c r="C69" s="14" t="n"/>
      <c r="D69" s="14" t="inlineStr">
        <is>
          <t>26061108</t>
        </is>
      </c>
      <c r="E69" s="15">
        <f>IF(D69="","",IF(COUNTIF(lst_Jobs,D69&amp;"")&gt;0,"OK","CHECK"))</f>
        <v/>
      </c>
      <c r="F69" s="14" t="inlineStr">
        <is>
          <t>APA</t>
        </is>
      </c>
      <c r="G69" s="14" t="inlineStr">
        <is>
          <t>PRODUCTION</t>
        </is>
      </c>
      <c r="H69" s="14" t="inlineStr">
        <is>
          <t>APA - Qtly All Hands FYR26 - 20.8.26 [PRD] pre-prod work</t>
        </is>
      </c>
      <c r="I69" s="14" t="inlineStr">
        <is>
          <t>Accrual - unbilled work</t>
        </is>
      </c>
      <c r="J69" s="16" t="n">
        <v>172.5</v>
      </c>
      <c r="K69" s="14" t="inlineStr">
        <is>
          <t>11300</t>
        </is>
      </c>
      <c r="L69" s="14" t="n"/>
      <c r="M69" s="14" t="inlineStr">
        <is>
          <t>Y</t>
        </is>
      </c>
      <c r="N69" s="14" t="inlineStr">
        <is>
          <t>Migrated from FY27 Revenue Tracker v2 - confirm type/sign</t>
        </is>
      </c>
    </row>
    <row r="70" ht="15" customHeight="1">
      <c r="A70" s="55" t="n">
        <v>46265</v>
      </c>
      <c r="B70" s="51">
        <f>IF(C70="","",IFERROR(INDEX(tbl_Finance[Date],MATCH(C70&amp;"",tbl_Finance[Xero Invoice No],0)),""))</f>
        <v/>
      </c>
      <c r="C70" s="14" t="n"/>
      <c r="D70" s="14" t="inlineStr">
        <is>
          <t>26062503</t>
        </is>
      </c>
      <c r="E70" s="15">
        <f>IF(D70="","",IF(COUNTIF(lst_Jobs,D70&amp;"")&gt;0,"OK","CHECK"))</f>
        <v/>
      </c>
      <c r="F70" s="14" t="inlineStr">
        <is>
          <t>Aware Super</t>
        </is>
      </c>
      <c r="G70" s="14" t="n"/>
      <c r="H70" s="14" t="inlineStr">
        <is>
          <t>Aware Super 24.16 UC Engine Replacement [INT] Labour Revenue INV-10619 | Pre work</t>
        </is>
      </c>
      <c r="I70" s="14" t="inlineStr">
        <is>
          <t>Accrual - unbilled work</t>
        </is>
      </c>
      <c r="J70" s="16" t="n">
        <v>671</v>
      </c>
      <c r="K70" s="14" t="inlineStr">
        <is>
          <t>11300</t>
        </is>
      </c>
      <c r="L70" s="14" t="n"/>
      <c r="M70" s="14" t="inlineStr">
        <is>
          <t>Y</t>
        </is>
      </c>
      <c r="N70" s="14" t="inlineStr">
        <is>
          <t>Migrated from FY27 Revenue Tracker v2 - confirm type/sign</t>
        </is>
      </c>
    </row>
    <row r="71" ht="15" customHeight="1">
      <c r="A71" s="55" t="n">
        <v>46265</v>
      </c>
      <c r="B71" s="51">
        <f>IF(C71="","",IFERROR(INDEX(tbl_Finance[Date],MATCH(C71&amp;"",tbl_Finance[Xero Invoice No],0)),""))</f>
        <v/>
      </c>
      <c r="C71" s="14" t="n"/>
      <c r="D71" s="14" t="inlineStr">
        <is>
          <t>26062901</t>
        </is>
      </c>
      <c r="E71" s="15">
        <f>IF(D71="","",IF(COUNTIF(lst_Jobs,D71&amp;"")&gt;0,"OK","CHECK"))</f>
        <v/>
      </c>
      <c r="F71" s="14" t="inlineStr">
        <is>
          <t>Aware Super</t>
        </is>
      </c>
      <c r="G71" s="14" t="n"/>
      <c r="H71" s="14" t="inlineStr">
        <is>
          <t>Aware | SYD 28.06 Services [INT] Labour Revenue Pre work</t>
        </is>
      </c>
      <c r="I71" s="14" t="inlineStr">
        <is>
          <t>Deferral - invoiced in advance</t>
        </is>
      </c>
      <c r="J71" s="16" t="n">
        <v>-1450</v>
      </c>
      <c r="K71" s="14" t="inlineStr">
        <is>
          <t>11300</t>
        </is>
      </c>
      <c r="L71" s="14" t="n"/>
      <c r="M71" s="14" t="inlineStr">
        <is>
          <t>Y</t>
        </is>
      </c>
      <c r="N71" s="14" t="inlineStr">
        <is>
          <t>Migrated from FY27 Revenue Tracker v2 - confirm type/sign</t>
        </is>
      </c>
    </row>
    <row r="72" ht="15" customHeight="1">
      <c r="A72" s="55" t="n"/>
      <c r="B72" s="51">
        <f>IF(C72="","",IFERROR(INDEX(tbl_Finance[Date],MATCH(C72&amp;"",tbl_Finance[Xero Invoice No],0)),""))</f>
        <v/>
      </c>
      <c r="C72" s="14" t="n"/>
      <c r="D72" s="14" t="inlineStr">
        <is>
          <t>2604704</t>
        </is>
      </c>
      <c r="E72" s="15">
        <f>IF(D72="","",IF(COUNTIF(lst_Jobs,D72&amp;"")&gt;0,"OK","CHECK"))</f>
        <v/>
      </c>
      <c r="F72" s="14" t="inlineStr">
        <is>
          <t>Aware Super</t>
        </is>
      </c>
      <c r="G72" s="14" t="n"/>
      <c r="H72" s="14" t="inlineStr">
        <is>
          <t>Aware Super Seminar Room Audio Upgrade [INT] Labour Revenue INV-10596 | Pre work</t>
        </is>
      </c>
      <c r="I72" s="14" t="inlineStr">
        <is>
          <t>Accrual - unbilled work</t>
        </is>
      </c>
      <c r="J72" s="16" t="n"/>
      <c r="K72" s="14" t="inlineStr">
        <is>
          <t>11300</t>
        </is>
      </c>
      <c r="L72" s="14" t="n"/>
      <c r="M72" s="14" t="inlineStr">
        <is>
          <t>Y</t>
        </is>
      </c>
      <c r="N72" s="14" t="inlineStr">
        <is>
          <t>Migrated from FY27 Revenue Tracker v2 - confirm type/sign</t>
        </is>
      </c>
    </row>
    <row r="73" ht="15" customHeight="1">
      <c r="A73" s="55" t="n">
        <v>46265</v>
      </c>
      <c r="B73" s="51">
        <f>IF(C73="","",IFERROR(INDEX(tbl_Finance[Date],MATCH(C73&amp;"",tbl_Finance[Xero Invoice No],0)),""))</f>
        <v/>
      </c>
      <c r="C73" s="14" t="n"/>
      <c r="D73" s="14" t="inlineStr">
        <is>
          <t>26061602</t>
        </is>
      </c>
      <c r="E73" s="15">
        <f>IF(D73="","",IF(COUNTIF(lst_Jobs,D73&amp;"")&gt;0,"OK","CHECK"))</f>
        <v/>
      </c>
      <c r="F73" s="14" t="inlineStr">
        <is>
          <t>ASX</t>
        </is>
      </c>
      <c r="G73" s="14" t="n"/>
      <c r="H73" s="14" t="inlineStr">
        <is>
          <t>ASX CEO Connect (Extended Results) 1.9.26 [PRD] Pre-prod labour</t>
        </is>
      </c>
      <c r="I73" s="14" t="inlineStr">
        <is>
          <t>Accrual - unbilled work</t>
        </is>
      </c>
      <c r="J73" s="16" t="n">
        <v>1852.5</v>
      </c>
      <c r="K73" s="14" t="inlineStr">
        <is>
          <t>11300</t>
        </is>
      </c>
      <c r="L73" s="14" t="n"/>
      <c r="M73" s="14" t="inlineStr">
        <is>
          <t>Y</t>
        </is>
      </c>
      <c r="N73" s="14" t="inlineStr">
        <is>
          <t>Migrated from FY27 Revenue Tracker v2 - confirm type/sign</t>
        </is>
      </c>
    </row>
    <row r="74" ht="15" customHeight="1">
      <c r="A74" s="55" t="n">
        <v>46265</v>
      </c>
      <c r="B74" s="51">
        <f>IF(C74="","",IFERROR(INDEX(tbl_Finance[Date],MATCH(C74&amp;"",tbl_Finance[Xero Invoice No],0)),""))</f>
        <v/>
      </c>
      <c r="C74" s="14" t="n"/>
      <c r="D74" s="14" t="inlineStr">
        <is>
          <t>26071701</t>
        </is>
      </c>
      <c r="E74" s="15">
        <f>IF(D74="","",IF(COUNTIF(lst_Jobs,D74&amp;"")&gt;0,"OK","CHECK"))</f>
        <v/>
      </c>
      <c r="F74" s="14" t="inlineStr">
        <is>
          <t>ASX</t>
        </is>
      </c>
      <c r="G74" s="14" t="n"/>
      <c r="H74" s="14" t="inlineStr">
        <is>
          <t>ASX Live - 9.9.26 [PRD] Pre-prod labour</t>
        </is>
      </c>
      <c r="I74" s="14" t="inlineStr">
        <is>
          <t>Accrual - unbilled work</t>
        </is>
      </c>
      <c r="J74" s="16" t="n">
        <v>1885</v>
      </c>
      <c r="K74" s="14" t="inlineStr">
        <is>
          <t>11300</t>
        </is>
      </c>
      <c r="L74" s="14" t="n"/>
      <c r="M74" s="14" t="inlineStr">
        <is>
          <t>Y</t>
        </is>
      </c>
      <c r="N74" s="14" t="inlineStr">
        <is>
          <t>Migrated from FY27 Revenue Tracker v2 - confirm type/sign</t>
        </is>
      </c>
    </row>
    <row r="75" ht="15" customHeight="1">
      <c r="A75" s="55" t="n">
        <v>46265</v>
      </c>
      <c r="B75" s="51">
        <f>IF(C75="","",IFERROR(INDEX(tbl_Finance[Date],MATCH(C75&amp;"",tbl_Finance[Xero Invoice No],0)),""))</f>
        <v/>
      </c>
      <c r="C75" s="14" t="n"/>
      <c r="D75" s="14" t="inlineStr">
        <is>
          <t>26072102</t>
        </is>
      </c>
      <c r="E75" s="15">
        <f>IF(D75="","",IF(COUNTIF(lst_Jobs,D75&amp;"")&gt;0,"OK","CHECK"))</f>
        <v/>
      </c>
      <c r="F75" s="14" t="inlineStr">
        <is>
          <t>Ventia</t>
        </is>
      </c>
      <c r="G75" s="14" t="n"/>
      <c r="H75" s="14" t="inlineStr">
        <is>
          <t>Ventia - RUOK? Day - 10.09.2026 [PRD] pre-prd labour</t>
        </is>
      </c>
      <c r="I75" s="14" t="inlineStr">
        <is>
          <t>Accrual - unbilled work</t>
        </is>
      </c>
      <c r="J75" s="16" t="n">
        <v>585</v>
      </c>
      <c r="K75" s="14" t="inlineStr">
        <is>
          <t>11300</t>
        </is>
      </c>
      <c r="L75" s="14" t="n"/>
      <c r="M75" s="14" t="inlineStr">
        <is>
          <t>Y</t>
        </is>
      </c>
      <c r="N75" s="14" t="inlineStr">
        <is>
          <t>Migrated from FY27 Revenue Tracker v2 - confirm type/sign</t>
        </is>
      </c>
    </row>
    <row r="76" ht="15" customHeight="1">
      <c r="A76" s="55" t="n">
        <v>46265</v>
      </c>
      <c r="B76" s="51">
        <f>IF(C76="","",IFERROR(INDEX(tbl_Finance[Date],MATCH(C76&amp;"",tbl_Finance[Xero Invoice No],0)),""))</f>
        <v/>
      </c>
      <c r="C76" s="14" t="n"/>
      <c r="D76" s="14" t="inlineStr">
        <is>
          <t>26082502</t>
        </is>
      </c>
      <c r="E76" s="15">
        <f>IF(D76="","",IF(COUNTIF(lst_Jobs,D76&amp;"")&gt;0,"OK","CHECK"))</f>
        <v/>
      </c>
      <c r="F76" s="14" t="inlineStr">
        <is>
          <t>ICC</t>
        </is>
      </c>
      <c r="G76" s="14" t="n"/>
      <c r="H76" s="14" t="inlineStr">
        <is>
          <t>ICC - Presenter &amp; Speaker Preparation - September 2026 [PRD] pre-prod labour</t>
        </is>
      </c>
      <c r="I76" s="14" t="inlineStr">
        <is>
          <t>Accrual - unbilled work</t>
        </is>
      </c>
      <c r="J76" s="16" t="n">
        <v>292.5</v>
      </c>
      <c r="K76" s="14" t="inlineStr">
        <is>
          <t>11300</t>
        </is>
      </c>
      <c r="L76" s="14" t="n"/>
      <c r="M76" s="14" t="inlineStr">
        <is>
          <t>Y</t>
        </is>
      </c>
      <c r="N76" s="14" t="inlineStr">
        <is>
          <t>Migrated from FY27 Revenue Tracker v2 - confirm type/sign</t>
        </is>
      </c>
    </row>
    <row r="77" ht="15" customHeight="1">
      <c r="A77" s="55" t="n">
        <v>46265</v>
      </c>
      <c r="B77" s="51">
        <f>IF(C77="","",IFERROR(INDEX(tbl_Finance[Date],MATCH(C77&amp;"",tbl_Finance[Xero Invoice No],0)),""))</f>
        <v/>
      </c>
      <c r="C77" s="14" t="n"/>
      <c r="D77" s="14" t="inlineStr">
        <is>
          <t>26032302</t>
        </is>
      </c>
      <c r="E77" s="15">
        <f>IF(D77="","",IF(COUNTIF(lst_Jobs,D77&amp;"")&gt;0,"OK","CHECK"))</f>
        <v/>
      </c>
      <c r="F77" s="14" t="inlineStr">
        <is>
          <t>RSNSW</t>
        </is>
      </c>
      <c r="G77" s="14" t="n"/>
      <c r="H77" s="14" t="inlineStr">
        <is>
          <t>RSNSW - OGM - 2.9.2026 [PRD] pre-prod labour</t>
        </is>
      </c>
      <c r="I77" s="14" t="inlineStr">
        <is>
          <t>Accrual - unbilled work</t>
        </is>
      </c>
      <c r="J77" s="16" t="n">
        <v>260</v>
      </c>
      <c r="K77" s="14" t="inlineStr">
        <is>
          <t>11300</t>
        </is>
      </c>
      <c r="L77" s="14" t="n"/>
      <c r="M77" s="14" t="inlineStr">
        <is>
          <t>Y</t>
        </is>
      </c>
      <c r="N77" s="14" t="inlineStr">
        <is>
          <t>Migrated from FY27 Revenue Tracker v2 - confirm type/sign</t>
        </is>
      </c>
    </row>
    <row r="78" ht="15" customHeight="1">
      <c r="A78" s="55" t="n">
        <v>46265</v>
      </c>
      <c r="B78" s="51">
        <f>IF(C78="","",IFERROR(INDEX(tbl_Finance[Date],MATCH(C78&amp;"",tbl_Finance[Xero Invoice No],0)),""))</f>
        <v/>
      </c>
      <c r="C78" s="14" t="n"/>
      <c r="D78" s="14" t="inlineStr">
        <is>
          <t>26061602V</t>
        </is>
      </c>
      <c r="E78" s="15">
        <f>IF(D78="","",IF(COUNTIF(lst_Jobs,D78&amp;"")&gt;0,"OK","CHECK"))</f>
        <v/>
      </c>
      <c r="F78" s="14" t="inlineStr">
        <is>
          <t>ASX</t>
        </is>
      </c>
      <c r="G78" s="14" t="n"/>
      <c r="H78" s="14" t="inlineStr">
        <is>
          <t>ASX CEO Connect (Extended Results) 1.9.26 [VID] pre-vid labour</t>
        </is>
      </c>
      <c r="I78" s="14" t="inlineStr">
        <is>
          <t>Accrual - unbilled work</t>
        </is>
      </c>
      <c r="J78" s="16" t="n">
        <v>190</v>
      </c>
      <c r="K78" s="14" t="inlineStr">
        <is>
          <t>11300</t>
        </is>
      </c>
      <c r="L78" s="14" t="n"/>
      <c r="M78" s="14" t="inlineStr">
        <is>
          <t>Y</t>
        </is>
      </c>
      <c r="N78" s="14" t="inlineStr">
        <is>
          <t>Migrated from FY27 Revenue Tracker v2 - confirm type/sign</t>
        </is>
      </c>
    </row>
    <row r="79" ht="15" customHeight="1">
      <c r="A79" s="55" t="n">
        <v>46265</v>
      </c>
      <c r="B79" s="51">
        <f>IF(C79="","",IFERROR(INDEX(tbl_Finance[Date],MATCH(C79&amp;"",tbl_Finance[Xero Invoice No],0)),""))</f>
        <v/>
      </c>
      <c r="C79" s="14" t="n"/>
      <c r="D79" s="14" t="inlineStr">
        <is>
          <t>2591012C</t>
        </is>
      </c>
      <c r="E79" s="15">
        <f>IF(D79="","",IF(COUNTIF(lst_Jobs,D79&amp;"")&gt;0,"OK","CHECK"))</f>
        <v/>
      </c>
      <c r="F79" s="14" t="inlineStr">
        <is>
          <t>St Luke</t>
        </is>
      </c>
      <c r="G79" s="14" t="n"/>
      <c r="H79" s="14" t="inlineStr">
        <is>
          <t>St Luke Equipment Sale | DL to advise to invoice in SEPT26 | Indicative Revenue</t>
        </is>
      </c>
      <c r="I79" s="14" t="inlineStr">
        <is>
          <t>Deferral - invoiced in advance</t>
        </is>
      </c>
      <c r="J79" s="16" t="n">
        <v>-4227.27</v>
      </c>
      <c r="K79" s="14" t="inlineStr">
        <is>
          <t>11300</t>
        </is>
      </c>
      <c r="L79" s="14" t="n"/>
      <c r="M79" s="14" t="inlineStr">
        <is>
          <t>Y</t>
        </is>
      </c>
      <c r="N79" s="14" t="inlineStr">
        <is>
          <t>Migrated from FY27 Revenue Tracker v2 - confirm type/sign</t>
        </is>
      </c>
    </row>
    <row r="80" ht="15" customHeight="1">
      <c r="A80" s="55" t="n">
        <v>46265</v>
      </c>
      <c r="B80" s="51">
        <f>IF(C80="","",IFERROR(INDEX(tbl_Finance[Date],MATCH(C80&amp;"",tbl_Finance[Xero Invoice No],0)),""))</f>
        <v/>
      </c>
      <c r="C80" s="14" t="n"/>
      <c r="D80" s="14" t="inlineStr">
        <is>
          <t>26061108</t>
        </is>
      </c>
      <c r="E80" s="15">
        <f>IF(D80="","",IF(COUNTIF(lst_Jobs,D80&amp;"")&gt;0,"OK","CHECK"))</f>
        <v/>
      </c>
      <c r="F80" s="14" t="inlineStr">
        <is>
          <t>APA</t>
        </is>
      </c>
      <c r="G80" s="14" t="inlineStr">
        <is>
          <t>PRODUCTION</t>
        </is>
      </c>
      <c r="H80" s="14" t="inlineStr">
        <is>
          <t>APA FYR All Hands August 2026 Package - Prd Equipment Hire (Revenue) INV-10521</t>
        </is>
      </c>
      <c r="I80" s="14" t="inlineStr">
        <is>
          <t>Accrual - unbilled work</t>
        </is>
      </c>
      <c r="J80" s="16" t="n">
        <v>5413.6</v>
      </c>
      <c r="K80" s="14" t="inlineStr">
        <is>
          <t>11300</t>
        </is>
      </c>
      <c r="L80" s="14" t="n"/>
      <c r="M80" s="14" t="inlineStr">
        <is>
          <t>Y</t>
        </is>
      </c>
      <c r="N80" s="14" t="inlineStr">
        <is>
          <t>Migrated from FY27 Revenue Tracker v2 - confirm type/sign</t>
        </is>
      </c>
    </row>
    <row r="81" ht="15" customHeight="1">
      <c r="A81" s="55" t="n">
        <v>46265</v>
      </c>
      <c r="B81" s="51">
        <f>IF(C81="","",IFERROR(INDEX(tbl_Finance[Date],MATCH(C81&amp;"",tbl_Finance[Xero Invoice No],0)),""))</f>
        <v/>
      </c>
      <c r="C81" s="14" t="n"/>
      <c r="D81" s="14" t="inlineStr">
        <is>
          <t>26061108V</t>
        </is>
      </c>
      <c r="E81" s="15">
        <f>IF(D81="","",IF(COUNTIF(lst_Jobs,D81&amp;"")&gt;0,"OK","CHECK"))</f>
        <v/>
      </c>
      <c r="F81" s="14" t="inlineStr">
        <is>
          <t>APA</t>
        </is>
      </c>
      <c r="G81" s="14" t="inlineStr">
        <is>
          <t>VIDEO</t>
        </is>
      </c>
      <c r="H81" s="14" t="inlineStr">
        <is>
          <t>APA FYR All Hands August 2026 Package - Vid Equipment Hire (Revenue) INV-10521</t>
        </is>
      </c>
      <c r="I81" s="14" t="inlineStr">
        <is>
          <t>Accrual - unbilled work</t>
        </is>
      </c>
      <c r="J81" s="16" t="n">
        <v>592</v>
      </c>
      <c r="K81" s="14" t="inlineStr">
        <is>
          <t>11300</t>
        </is>
      </c>
      <c r="L81" s="14" t="n"/>
      <c r="M81" s="14" t="inlineStr">
        <is>
          <t>Y</t>
        </is>
      </c>
      <c r="N81" s="14" t="inlineStr">
        <is>
          <t>Migrated from FY27 Revenue Tracker v2 - confirm type/sign</t>
        </is>
      </c>
    </row>
    <row r="82" ht="15" customHeight="1">
      <c r="A82" s="55" t="n">
        <v>46265</v>
      </c>
      <c r="B82" s="51">
        <f>IF(C82="","",IFERROR(INDEX(tbl_Finance[Date],MATCH(C82&amp;"",tbl_Finance[Xero Invoice No],0)),""))</f>
        <v/>
      </c>
      <c r="C82" s="14" t="n"/>
      <c r="D82" s="14" t="inlineStr">
        <is>
          <t>26061108</t>
        </is>
      </c>
      <c r="E82" s="15">
        <f>IF(D82="","",IF(COUNTIF(lst_Jobs,D82&amp;"")&gt;0,"OK","CHECK"))</f>
        <v/>
      </c>
      <c r="F82" s="14" t="inlineStr">
        <is>
          <t>APA</t>
        </is>
      </c>
      <c r="G82" s="14" t="inlineStr">
        <is>
          <t>PRODUCTION</t>
        </is>
      </c>
      <c r="H82" s="14" t="inlineStr">
        <is>
          <t>APA FYR All Hands August 2026 Package - Prd Labour (Revenue) INV-10521</t>
        </is>
      </c>
      <c r="I82" s="14" t="inlineStr">
        <is>
          <t>Accrual - unbilled work</t>
        </is>
      </c>
      <c r="J82" s="16" t="n">
        <v>4520</v>
      </c>
      <c r="K82" s="14" t="inlineStr">
        <is>
          <t>11300</t>
        </is>
      </c>
      <c r="L82" s="14" t="n"/>
      <c r="M82" s="14" t="inlineStr">
        <is>
          <t>Y</t>
        </is>
      </c>
      <c r="N82" s="14" t="inlineStr">
        <is>
          <t>Migrated from FY27 Revenue Tracker v2 - confirm type/sign</t>
        </is>
      </c>
    </row>
    <row r="83" ht="15" customHeight="1">
      <c r="A83" s="55" t="n">
        <v>46265</v>
      </c>
      <c r="B83" s="51">
        <f>IF(C83="","",IFERROR(INDEX(tbl_Finance[Date],MATCH(C83&amp;"",tbl_Finance[Xero Invoice No],0)),""))</f>
        <v/>
      </c>
      <c r="C83" s="14" t="n"/>
      <c r="D83" s="14" t="inlineStr">
        <is>
          <t>26061108V</t>
        </is>
      </c>
      <c r="E83" s="15">
        <f>IF(D83="","",IF(COUNTIF(lst_Jobs,D83&amp;"")&gt;0,"OK","CHECK"))</f>
        <v/>
      </c>
      <c r="F83" s="14" t="inlineStr">
        <is>
          <t>APA</t>
        </is>
      </c>
      <c r="G83" s="14" t="inlineStr">
        <is>
          <t>VIDEO</t>
        </is>
      </c>
      <c r="H83" s="14" t="inlineStr">
        <is>
          <t>APA FYR All Hands August 2026 Package - Vid Labour (Revenue) INV-10521</t>
        </is>
      </c>
      <c r="I83" s="14" t="inlineStr">
        <is>
          <t>Accrual - unbilled work</t>
        </is>
      </c>
      <c r="J83" s="16" t="n">
        <v>485</v>
      </c>
      <c r="K83" s="14" t="inlineStr">
        <is>
          <t>11300</t>
        </is>
      </c>
      <c r="L83" s="14" t="n"/>
      <c r="M83" s="14" t="inlineStr">
        <is>
          <t>Y</t>
        </is>
      </c>
      <c r="N83" s="14" t="inlineStr">
        <is>
          <t>Migrated from FY27 Revenue Tracker v2 - confirm type/sign</t>
        </is>
      </c>
    </row>
    <row r="84" ht="15" customHeight="1">
      <c r="A84" s="55" t="n">
        <v>46265</v>
      </c>
      <c r="B84" s="51">
        <f>IF(C84="","",IFERROR(INDEX(tbl_Finance[Date],MATCH(C84&amp;"",tbl_Finance[Xero Invoice No],0)),""))</f>
        <v/>
      </c>
      <c r="C84" s="14" t="n"/>
      <c r="D84" s="14" t="inlineStr">
        <is>
          <t>26061108</t>
        </is>
      </c>
      <c r="E84" s="15">
        <f>IF(D84="","",IF(COUNTIF(lst_Jobs,D84&amp;"")&gt;0,"OK","CHECK"))</f>
        <v/>
      </c>
      <c r="F84" s="14" t="inlineStr">
        <is>
          <t>APA</t>
        </is>
      </c>
      <c r="G84" s="14" t="inlineStr">
        <is>
          <t>PRODUCTION</t>
        </is>
      </c>
      <c r="H84" s="14" t="inlineStr">
        <is>
          <t>APA FYR All Hands August 2026 Package - Conf Call (Revenue) INV-10521</t>
        </is>
      </c>
      <c r="I84" s="14" t="inlineStr">
        <is>
          <t>Accrual - unbilled work</t>
        </is>
      </c>
      <c r="J84" s="16" t="n">
        <v>600</v>
      </c>
      <c r="K84" s="14" t="inlineStr">
        <is>
          <t>11300</t>
        </is>
      </c>
      <c r="L84" s="14" t="n"/>
      <c r="M84" s="14" t="inlineStr">
        <is>
          <t>Y</t>
        </is>
      </c>
      <c r="N84" s="14" t="inlineStr">
        <is>
          <t>Migrated from FY27 Revenue Tracker v2 - confirm type/sign</t>
        </is>
      </c>
    </row>
    <row r="85" ht="15" customHeight="1">
      <c r="A85" s="55" t="n">
        <v>46265</v>
      </c>
      <c r="B85" s="51">
        <f>IF(C85="","",IFERROR(INDEX(tbl_Finance[Date],MATCH(C85&amp;"",tbl_Finance[Xero Invoice No],0)),""))</f>
        <v/>
      </c>
      <c r="C85" s="14" t="n"/>
      <c r="D85" s="14" t="inlineStr">
        <is>
          <t>26061108</t>
        </is>
      </c>
      <c r="E85" s="15">
        <f>IF(D85="","",IF(COUNTIF(lst_Jobs,D85&amp;"")&gt;0,"OK","CHECK"))</f>
        <v/>
      </c>
      <c r="F85" s="14" t="inlineStr">
        <is>
          <t>APA</t>
        </is>
      </c>
      <c r="G85" s="14" t="inlineStr">
        <is>
          <t>PRODUCTION</t>
        </is>
      </c>
      <c r="H85" s="14" t="inlineStr">
        <is>
          <t>APA FYR All Hands August 2026 Package - Transport (Revenue) INV-10521</t>
        </is>
      </c>
      <c r="I85" s="14" t="inlineStr">
        <is>
          <t>Accrual - unbilled work</t>
        </is>
      </c>
      <c r="J85" s="16" t="n">
        <v>300</v>
      </c>
      <c r="K85" s="14" t="inlineStr">
        <is>
          <t>11300</t>
        </is>
      </c>
      <c r="L85" s="14" t="n"/>
      <c r="M85" s="14" t="inlineStr">
        <is>
          <t>Y</t>
        </is>
      </c>
      <c r="N85" s="14" t="inlineStr">
        <is>
          <t>Migrated from FY27 Revenue Tracker v2 - confirm type/sign</t>
        </is>
      </c>
    </row>
    <row r="86" ht="15" customHeight="1">
      <c r="A86" s="55" t="n">
        <v>46265</v>
      </c>
      <c r="B86" s="51">
        <f>IF(C86="","",IFERROR(INDEX(tbl_Finance[Date],MATCH(C86&amp;"",tbl_Finance[Xero Invoice No],0)),""))</f>
        <v/>
      </c>
      <c r="C86" s="14" t="n"/>
      <c r="D86" s="14" t="inlineStr">
        <is>
          <t>26061108</t>
        </is>
      </c>
      <c r="E86" s="15">
        <f>IF(D86="","",IF(COUNTIF(lst_Jobs,D86&amp;"")&gt;0,"OK","CHECK"))</f>
        <v/>
      </c>
      <c r="F86" s="14" t="inlineStr">
        <is>
          <t>APA</t>
        </is>
      </c>
      <c r="G86" s="14" t="inlineStr">
        <is>
          <t>PRODUCTION</t>
        </is>
      </c>
      <c r="H86" s="14" t="inlineStr">
        <is>
          <t>APA FYR All Hands August 2026 Package - Tech  Event Mgmt (Revenue) INV-10521</t>
        </is>
      </c>
      <c r="I86" s="14" t="inlineStr">
        <is>
          <t>Accrual - unbilled work</t>
        </is>
      </c>
      <c r="J86" s="16" t="n">
        <v>690</v>
      </c>
      <c r="K86" s="14" t="inlineStr">
        <is>
          <t>11300</t>
        </is>
      </c>
      <c r="L86" s="14" t="n"/>
      <c r="M86" s="14" t="inlineStr">
        <is>
          <t>Y</t>
        </is>
      </c>
      <c r="N86" s="14" t="inlineStr">
        <is>
          <t>Migrated from FY27 Revenue Tracker v2 - confirm type/sign</t>
        </is>
      </c>
    </row>
    <row r="87" ht="15" customHeight="1">
      <c r="A87" s="55" t="n">
        <v>46265</v>
      </c>
      <c r="B87" s="51">
        <f>IF(C87="","",IFERROR(INDEX(tbl_Finance[Date],MATCH(C87&amp;"",tbl_Finance[Xero Invoice No],0)),""))</f>
        <v/>
      </c>
      <c r="C87" s="14" t="n"/>
      <c r="D87" s="14" t="inlineStr">
        <is>
          <t>2605402</t>
        </is>
      </c>
      <c r="E87" s="15">
        <f>IF(D87="","",IF(COUNTIF(lst_Jobs,D87&amp;"")&gt;0,"OK","CHECK"))</f>
        <v/>
      </c>
      <c r="F87" s="14" t="inlineStr">
        <is>
          <t>AGL</t>
        </is>
      </c>
      <c r="G87" s="14" t="inlineStr">
        <is>
          <t>PRODUCTION</t>
        </is>
      </c>
      <c r="H87" s="14" t="inlineStr">
        <is>
          <t>AGL FYR - Employee Town Hall [PRD] pre-prod work</t>
        </is>
      </c>
      <c r="I87" s="14" t="inlineStr">
        <is>
          <t>Deferral - invoiced in advance</t>
        </is>
      </c>
      <c r="J87" s="16" t="n">
        <v>-1322.5</v>
      </c>
      <c r="K87" s="14" t="inlineStr">
        <is>
          <t>11300</t>
        </is>
      </c>
      <c r="L87" s="14" t="n"/>
      <c r="M87" s="14" t="inlineStr">
        <is>
          <t>Y</t>
        </is>
      </c>
      <c r="N87" s="14" t="inlineStr">
        <is>
          <t>Migrated from FY27 Revenue Tracker v2 - confirm type/sign</t>
        </is>
      </c>
    </row>
    <row r="88" ht="15" customHeight="1">
      <c r="A88" s="55" t="n">
        <v>46265</v>
      </c>
      <c r="B88" s="51">
        <f>IF(C88="","",IFERROR(INDEX(tbl_Finance[Date],MATCH(C88&amp;"",tbl_Finance[Xero Invoice No],0)),""))</f>
        <v/>
      </c>
      <c r="C88" s="14" t="n"/>
      <c r="D88" s="14" t="inlineStr">
        <is>
          <t>26061105</t>
        </is>
      </c>
      <c r="E88" s="15">
        <f>IF(D88="","",IF(COUNTIF(lst_Jobs,D88&amp;"")&gt;0,"OK","CHECK"))</f>
        <v/>
      </c>
      <c r="F88" s="14" t="inlineStr">
        <is>
          <t>CBA</t>
        </is>
      </c>
      <c r="G88" s="14" t="inlineStr">
        <is>
          <t>PRODUCTION</t>
        </is>
      </c>
      <c r="H88" s="14" t="inlineStr">
        <is>
          <t>CBA - FYR 2026 - 12.8.26 [PRD] pre-prod work</t>
        </is>
      </c>
      <c r="I88" s="14" t="inlineStr">
        <is>
          <t>Deferral - invoiced in advance</t>
        </is>
      </c>
      <c r="J88" s="16" t="n">
        <v>-417.5</v>
      </c>
      <c r="K88" s="14" t="inlineStr">
        <is>
          <t>11300</t>
        </is>
      </c>
      <c r="L88" s="14" t="n"/>
      <c r="M88" s="14" t="inlineStr">
        <is>
          <t>Y</t>
        </is>
      </c>
      <c r="N88" s="14" t="inlineStr">
        <is>
          <t>Migrated from FY27 Revenue Tracker v2 - confirm type/sign</t>
        </is>
      </c>
    </row>
    <row r="89" ht="15" customHeight="1">
      <c r="A89" s="55" t="n">
        <v>46265</v>
      </c>
      <c r="B89" s="51">
        <f>IF(C89="","",IFERROR(INDEX(tbl_Finance[Date],MATCH(C89&amp;"",tbl_Finance[Xero Invoice No],0)),""))</f>
        <v/>
      </c>
      <c r="C89" s="14" t="n"/>
      <c r="D89" s="14" t="inlineStr">
        <is>
          <t>2606903</t>
        </is>
      </c>
      <c r="E89" s="15">
        <f>IF(D89="","",IF(COUNTIF(lst_Jobs,D89&amp;"")&gt;0,"OK","CHECK"))</f>
        <v/>
      </c>
      <c r="F89" s="14" t="inlineStr">
        <is>
          <t>Virgin</t>
        </is>
      </c>
      <c r="G89" s="14" t="inlineStr">
        <is>
          <t>PRODUCTION</t>
        </is>
      </c>
      <c r="H89" s="14" t="inlineStr">
        <is>
          <t>Virgin FY26 Results [PRD] pre-prod work</t>
        </is>
      </c>
      <c r="I89" s="14" t="inlineStr">
        <is>
          <t>Deferral - invoiced in advance</t>
        </is>
      </c>
      <c r="J89" s="16" t="n">
        <v>-57.5</v>
      </c>
      <c r="K89" s="14" t="inlineStr">
        <is>
          <t>11300</t>
        </is>
      </c>
      <c r="L89" s="14" t="n"/>
      <c r="M89" s="14" t="inlineStr">
        <is>
          <t>Y</t>
        </is>
      </c>
      <c r="N89" s="14" t="inlineStr">
        <is>
          <t>Migrated from FY27 Revenue Tracker v2 - confirm type/sign</t>
        </is>
      </c>
    </row>
    <row r="90" ht="15" customHeight="1">
      <c r="A90" s="55" t="n">
        <v>46265</v>
      </c>
      <c r="B90" s="51">
        <f>IF(C90="","",IFERROR(INDEX(tbl_Finance[Date],MATCH(C90&amp;"",tbl_Finance[Xero Invoice No],0)),""))</f>
        <v/>
      </c>
      <c r="C90" s="14" t="n"/>
      <c r="D90" s="14" t="inlineStr">
        <is>
          <t>26061109</t>
        </is>
      </c>
      <c r="E90" s="15">
        <f>IF(D90="","",IF(COUNTIF(lst_Jobs,D90&amp;"")&gt;0,"OK","CHECK"))</f>
        <v/>
      </c>
      <c r="F90" s="14" t="inlineStr">
        <is>
          <t>Ventia</t>
        </is>
      </c>
      <c r="G90" s="14" t="inlineStr">
        <is>
          <t>PRODUCTION</t>
        </is>
      </c>
      <c r="H90" s="14" t="inlineStr">
        <is>
          <t>Ventia - FYR26 - 24.8.26 [PRD] pre-prod work</t>
        </is>
      </c>
      <c r="I90" s="14" t="inlineStr">
        <is>
          <t>Deferral - invoiced in advance</t>
        </is>
      </c>
      <c r="J90" s="16" t="n">
        <v>-862.5</v>
      </c>
      <c r="K90" s="14" t="inlineStr">
        <is>
          <t>11300</t>
        </is>
      </c>
      <c r="L90" s="14" t="n"/>
      <c r="M90" s="14" t="inlineStr">
        <is>
          <t>Y</t>
        </is>
      </c>
      <c r="N90" s="14" t="inlineStr">
        <is>
          <t>Migrated from FY27 Revenue Tracker v2 - confirm type/sign</t>
        </is>
      </c>
    </row>
    <row r="91" ht="15" customHeight="1">
      <c r="A91" s="55" t="n">
        <v>46265</v>
      </c>
      <c r="B91" s="51">
        <f>IF(C91="","",IFERROR(INDEX(tbl_Finance[Date],MATCH(C91&amp;"",tbl_Finance[Xero Invoice No],0)),""))</f>
        <v/>
      </c>
      <c r="C91" s="14" t="n"/>
      <c r="D91" s="14" t="inlineStr">
        <is>
          <t>26061107</t>
        </is>
      </c>
      <c r="E91" s="15">
        <f>IF(D91="","",IF(COUNTIF(lst_Jobs,D91&amp;"")&gt;0,"OK","CHECK"))</f>
        <v/>
      </c>
      <c r="F91" s="14" t="inlineStr">
        <is>
          <t>Downer</t>
        </is>
      </c>
      <c r="G91" s="14" t="inlineStr">
        <is>
          <t>PRODUCTION</t>
        </is>
      </c>
      <c r="H91" s="14" t="inlineStr">
        <is>
          <t>Downer - FYR 2026 - 19.8.26 [PRD] pre-prod work</t>
        </is>
      </c>
      <c r="I91" s="14" t="inlineStr">
        <is>
          <t>Deferral - invoiced in advance</t>
        </is>
      </c>
      <c r="J91" s="16" t="n">
        <v>-115</v>
      </c>
      <c r="K91" s="14" t="inlineStr">
        <is>
          <t>11300</t>
        </is>
      </c>
      <c r="L91" s="14" t="n"/>
      <c r="M91" s="14" t="inlineStr">
        <is>
          <t>Y</t>
        </is>
      </c>
      <c r="N91" s="14" t="inlineStr">
        <is>
          <t>Migrated from FY27 Revenue Tracker v2 - confirm type/sign</t>
        </is>
      </c>
    </row>
    <row r="92" ht="15" customHeight="1">
      <c r="A92" s="55" t="n">
        <v>46265</v>
      </c>
      <c r="B92" s="51">
        <f>IF(C92="","",IFERROR(INDEX(tbl_Finance[Date],MATCH(C92&amp;"",tbl_Finance[Xero Invoice No],0)),""))</f>
        <v/>
      </c>
      <c r="C92" s="14" t="n"/>
      <c r="D92" s="14" t="inlineStr">
        <is>
          <t>2603104</t>
        </is>
      </c>
      <c r="E92" s="15">
        <f>IF(D92="","",IF(COUNTIF(lst_Jobs,D92&amp;"")&gt;0,"OK","CHECK"))</f>
        <v/>
      </c>
      <c r="F92" s="14" t="inlineStr">
        <is>
          <t>Cochlear</t>
        </is>
      </c>
      <c r="G92" s="14" t="inlineStr">
        <is>
          <t>PRODUCTION</t>
        </is>
      </c>
      <c r="H92" s="14" t="inlineStr">
        <is>
          <t>Cochlear FY26 Results 18.8.26 [PRD] pre-prod work</t>
        </is>
      </c>
      <c r="I92" s="14" t="inlineStr">
        <is>
          <t>Deferral - invoiced in advance</t>
        </is>
      </c>
      <c r="J92" s="16" t="n">
        <v>-172.5</v>
      </c>
      <c r="K92" s="14" t="inlineStr">
        <is>
          <t>11300</t>
        </is>
      </c>
      <c r="L92" s="14" t="n"/>
      <c r="M92" s="14" t="inlineStr">
        <is>
          <t>Y</t>
        </is>
      </c>
      <c r="N92" s="14" t="inlineStr">
        <is>
          <t>Migrated from FY27 Revenue Tracker v2 - confirm type/sign</t>
        </is>
      </c>
    </row>
    <row r="93" ht="15" customHeight="1">
      <c r="A93" s="55" t="n">
        <v>46265</v>
      </c>
      <c r="B93" s="51">
        <f>IF(C93="","",IFERROR(INDEX(tbl_Finance[Date],MATCH(C93&amp;"",tbl_Finance[Xero Invoice No],0)),""))</f>
        <v/>
      </c>
      <c r="C93" s="14" t="n"/>
      <c r="D93" s="14" t="inlineStr">
        <is>
          <t>2512804</t>
        </is>
      </c>
      <c r="E93" s="15">
        <f>IF(D93="","",IF(COUNTIF(lst_Jobs,D93&amp;"")&gt;0,"OK","CHECK"))</f>
        <v/>
      </c>
      <c r="F93" s="14" t="inlineStr">
        <is>
          <t>RSNSW</t>
        </is>
      </c>
      <c r="G93" s="14" t="inlineStr">
        <is>
          <t>PRODUCTION</t>
        </is>
      </c>
      <c r="H93" s="14" t="inlineStr">
        <is>
          <t>RSNSW Ordinary General Meeting 5.8.26 [PRD] pre-prod work</t>
        </is>
      </c>
      <c r="I93" s="14" t="inlineStr">
        <is>
          <t>Deferral - invoiced in advance</t>
        </is>
      </c>
      <c r="J93" s="16" t="n">
        <v>-115</v>
      </c>
      <c r="K93" s="14" t="inlineStr">
        <is>
          <t>11300</t>
        </is>
      </c>
      <c r="L93" s="14" t="n"/>
      <c r="M93" s="14" t="inlineStr">
        <is>
          <t>Y</t>
        </is>
      </c>
      <c r="N93" s="14" t="inlineStr">
        <is>
          <t>Migrated from FY27 Revenue Tracker v2 - confirm type/sign</t>
        </is>
      </c>
    </row>
    <row r="94" ht="15" customHeight="1">
      <c r="A94" s="55" t="n">
        <v>46265</v>
      </c>
      <c r="B94" s="51">
        <f>IF(C94="","",IFERROR(INDEX(tbl_Finance[Date],MATCH(C94&amp;"",tbl_Finance[Xero Invoice No],0)),""))</f>
        <v/>
      </c>
      <c r="C94" s="14" t="n"/>
      <c r="D94" s="14" t="inlineStr">
        <is>
          <t>26061108</t>
        </is>
      </c>
      <c r="E94" s="15">
        <f>IF(D94="","",IF(COUNTIF(lst_Jobs,D94&amp;"")&gt;0,"OK","CHECK"))</f>
        <v/>
      </c>
      <c r="F94" s="14" t="inlineStr">
        <is>
          <t>APA</t>
        </is>
      </c>
      <c r="G94" s="14" t="inlineStr">
        <is>
          <t>PRODUCTION</t>
        </is>
      </c>
      <c r="H94" s="14" t="inlineStr">
        <is>
          <t>APA - Qtly All Hands FYR26 - 20.8.26 [PRD] pre-prod work</t>
        </is>
      </c>
      <c r="I94" s="14" t="inlineStr">
        <is>
          <t>Deferral - invoiced in advance</t>
        </is>
      </c>
      <c r="J94" s="16" t="n">
        <v>-172.5</v>
      </c>
      <c r="K94" s="14" t="inlineStr">
        <is>
          <t>11300</t>
        </is>
      </c>
      <c r="L94" s="14" t="n"/>
      <c r="M94" s="14" t="inlineStr">
        <is>
          <t>Y</t>
        </is>
      </c>
      <c r="N94" s="14" t="inlineStr">
        <is>
          <t>Migrated from FY27 Revenue Tracker v2 - confirm type/sign</t>
        </is>
      </c>
    </row>
    <row r="95" ht="15" customHeight="1">
      <c r="A95" s="55" t="n">
        <v>46265</v>
      </c>
      <c r="B95" s="51">
        <f>IF(C95="","",IFERROR(INDEX(tbl_Finance[Date],MATCH(C95&amp;"",tbl_Finance[Xero Invoice No],0)),""))</f>
        <v/>
      </c>
      <c r="C95" s="14" t="n"/>
      <c r="D95" s="14" t="inlineStr">
        <is>
          <t>2606101</t>
        </is>
      </c>
      <c r="E95" s="15">
        <f>IF(D95="","",IF(COUNTIF(lst_Jobs,D95&amp;"")&gt;0,"OK","CHECK"))</f>
        <v/>
      </c>
      <c r="F95" s="14" t="inlineStr">
        <is>
          <t>APA</t>
        </is>
      </c>
      <c r="G95" s="14" t="inlineStr">
        <is>
          <t>INTEGRATION</t>
        </is>
      </c>
      <c r="H95" s="14" t="inlineStr">
        <is>
          <t>APA | Young Eptura Proxyclick Licence Renewal Mar27-Feb28 INV-10548 (Revenue)</t>
        </is>
      </c>
      <c r="I95" s="14" t="inlineStr">
        <is>
          <t>Accrual - unbilled work</t>
        </is>
      </c>
      <c r="J95" s="16" t="n">
        <v>0</v>
      </c>
      <c r="K95" s="14" t="inlineStr">
        <is>
          <t>11300</t>
        </is>
      </c>
      <c r="L95" s="14" t="n"/>
      <c r="M95" s="14" t="inlineStr">
        <is>
          <t>Y</t>
        </is>
      </c>
      <c r="N95" s="14" t="inlineStr">
        <is>
          <t>Migrated from FY27 Revenue Tracker v2 - confirm type/sign</t>
        </is>
      </c>
    </row>
    <row r="96" ht="15" customHeight="1">
      <c r="A96" s="55" t="n">
        <v>46265</v>
      </c>
      <c r="B96" s="51">
        <f>IF(C96="","",IFERROR(INDEX(tbl_Finance[Date],MATCH(C96&amp;"",tbl_Finance[Xero Invoice No],0)),""))</f>
        <v/>
      </c>
      <c r="C96" s="14" t="n"/>
      <c r="D96" s="14" t="inlineStr">
        <is>
          <t>3028</t>
        </is>
      </c>
      <c r="E96" s="15">
        <f>IF(D96="","",IF(COUNTIF(lst_Jobs,D96&amp;"")&gt;0,"OK","CHECK"))</f>
        <v/>
      </c>
      <c r="F96" s="14" t="inlineStr">
        <is>
          <t>APA</t>
        </is>
      </c>
      <c r="G96" s="14" t="inlineStr">
        <is>
          <t>INTEGRATION</t>
        </is>
      </c>
      <c r="H96" s="14" t="inlineStr">
        <is>
          <t>APA Kidman Proxyclick Term 3 Jun26-Dec26 INV-10477 (Revenue)</t>
        </is>
      </c>
      <c r="I96" s="14" t="inlineStr">
        <is>
          <t>Accrual - unbilled work</t>
        </is>
      </c>
      <c r="J96" s="16" t="n">
        <v>996.74</v>
      </c>
      <c r="K96" s="14" t="inlineStr">
        <is>
          <t>11300</t>
        </is>
      </c>
      <c r="L96" s="14" t="n"/>
      <c r="M96" s="14" t="inlineStr">
        <is>
          <t>Y</t>
        </is>
      </c>
      <c r="N96" s="14" t="inlineStr">
        <is>
          <t>Migrated from FY27 Revenue Tracker v2 - confirm type/sign</t>
        </is>
      </c>
    </row>
    <row r="97" ht="15" customHeight="1">
      <c r="A97" s="55" t="n">
        <v>46265</v>
      </c>
      <c r="B97" s="51">
        <f>IF(C97="","",IFERROR(INDEX(tbl_Finance[Date],MATCH(C97&amp;"",tbl_Finance[Xero Invoice No],0)),""))</f>
        <v/>
      </c>
      <c r="C97" s="14" t="n"/>
      <c r="D97" s="14" t="inlineStr">
        <is>
          <t>2855</t>
        </is>
      </c>
      <c r="E97" s="15">
        <f>IF(D97="","",IF(COUNTIF(lst_Jobs,D97&amp;"")&gt;0,"OK","CHECK"))</f>
        <v/>
      </c>
      <c r="F97" s="14" t="inlineStr">
        <is>
          <t>APA</t>
        </is>
      </c>
      <c r="G97" s="14" t="inlineStr">
        <is>
          <t>INTEGRATION</t>
        </is>
      </c>
      <c r="H97" s="14" t="inlineStr">
        <is>
          <t>APA Melbourne Proxyclick Jul26-Jun27 INV-10501(Revenue)</t>
        </is>
      </c>
      <c r="I97" s="14" t="inlineStr">
        <is>
          <t>Accrual - unbilled work</t>
        </is>
      </c>
      <c r="J97" s="16" t="n">
        <v>1357.33</v>
      </c>
      <c r="K97" s="14" t="inlineStr">
        <is>
          <t>11300</t>
        </is>
      </c>
      <c r="L97" s="14" t="n"/>
      <c r="M97" s="14" t="inlineStr">
        <is>
          <t>Y</t>
        </is>
      </c>
      <c r="N97" s="14" t="inlineStr">
        <is>
          <t>Migrated from FY27 Revenue Tracker v2 - confirm type/sign</t>
        </is>
      </c>
    </row>
    <row r="98" ht="15" customHeight="1">
      <c r="A98" s="55" t="n">
        <v>46265</v>
      </c>
      <c r="B98" s="51">
        <f>IF(C98="","",IFERROR(INDEX(tbl_Finance[Date],MATCH(C98&amp;"",tbl_Finance[Xero Invoice No],0)),""))</f>
        <v/>
      </c>
      <c r="C98" s="14" t="n"/>
      <c r="D98" s="14" t="inlineStr">
        <is>
          <t>2857</t>
        </is>
      </c>
      <c r="E98" s="15">
        <f>IF(D98="","",IF(COUNTIF(lst_Jobs,D98&amp;"")&gt;0,"OK","CHECK"))</f>
        <v/>
      </c>
      <c r="F98" s="14" t="inlineStr">
        <is>
          <t>APA</t>
        </is>
      </c>
      <c r="G98" s="14" t="inlineStr">
        <is>
          <t>INTEGRATION</t>
        </is>
      </c>
      <c r="H98" s="14" t="inlineStr">
        <is>
          <t>APA Sydney Proxyclick Jul26-Jun27 INV-10502(Revenue)</t>
        </is>
      </c>
      <c r="I98" s="14" t="inlineStr">
        <is>
          <t>Accrual - unbilled work</t>
        </is>
      </c>
      <c r="J98" s="16" t="n">
        <v>1357.33</v>
      </c>
      <c r="K98" s="14" t="inlineStr">
        <is>
          <t>11300</t>
        </is>
      </c>
      <c r="L98" s="14" t="n"/>
      <c r="M98" s="14" t="inlineStr">
        <is>
          <t>Y</t>
        </is>
      </c>
      <c r="N98" s="14" t="inlineStr">
        <is>
          <t>Migrated from FY27 Revenue Tracker v2 - confirm type/sign</t>
        </is>
      </c>
    </row>
    <row r="99" ht="15" customHeight="1">
      <c r="A99" s="55" t="n">
        <v>46265</v>
      </c>
      <c r="B99" s="51">
        <f>IF(C99="","",IFERROR(INDEX(tbl_Finance[Date],MATCH(C99&amp;"",tbl_Finance[Xero Invoice No],0)),""))</f>
        <v/>
      </c>
      <c r="C99" s="14" t="n"/>
      <c r="D99" s="14" t="inlineStr">
        <is>
          <t>2848</t>
        </is>
      </c>
      <c r="E99" s="15">
        <f>IF(D99="","",IF(COUNTIF(lst_Jobs,D99&amp;"")&gt;0,"OK","CHECK"))</f>
        <v/>
      </c>
      <c r="F99" s="14" t="inlineStr">
        <is>
          <t>APA</t>
        </is>
      </c>
      <c r="G99" s="14" t="inlineStr">
        <is>
          <t>INTEGRATION</t>
        </is>
      </c>
      <c r="H99" s="14" t="inlineStr">
        <is>
          <t>APA Adelaide Proxyclick INV-10514 Renewal Jul26-Jun27 (Revenue)</t>
        </is>
      </c>
      <c r="I99" s="14" t="inlineStr">
        <is>
          <t>Accrual - unbilled work</t>
        </is>
      </c>
      <c r="J99" s="16" t="n">
        <v>618.08</v>
      </c>
      <c r="K99" s="14" t="inlineStr">
        <is>
          <t>11300</t>
        </is>
      </c>
      <c r="L99" s="14" t="n"/>
      <c r="M99" s="14" t="inlineStr">
        <is>
          <t>Y</t>
        </is>
      </c>
      <c r="N99" s="14" t="inlineStr">
        <is>
          <t>Migrated from FY27 Revenue Tracker v2 - confirm type/sign</t>
        </is>
      </c>
    </row>
    <row r="100" ht="15" customHeight="1">
      <c r="A100" s="55" t="n">
        <v>46265</v>
      </c>
      <c r="B100" s="51">
        <f>IF(C100="","",IFERROR(INDEX(tbl_Finance[Date],MATCH(C100&amp;"",tbl_Finance[Xero Invoice No],0)),""))</f>
        <v/>
      </c>
      <c r="C100" s="14" t="n"/>
      <c r="D100" s="14" t="inlineStr">
        <is>
          <t>2604704</t>
        </is>
      </c>
      <c r="E100" s="15">
        <f>IF(D100="","",IF(COUNTIF(lst_Jobs,D100&amp;"")&gt;0,"OK","CHECK"))</f>
        <v/>
      </c>
      <c r="F100" s="14" t="inlineStr">
        <is>
          <t>Aware Super</t>
        </is>
      </c>
      <c r="G100" s="14" t="inlineStr">
        <is>
          <t>INTEGRATION</t>
        </is>
      </c>
      <c r="H100" s="14" t="inlineStr">
        <is>
          <t>Aware Super Seminar Room Audio Upgrade [INT] Revenue</t>
        </is>
      </c>
      <c r="I100" s="14" t="inlineStr">
        <is>
          <t>Accrual - unbilled work</t>
        </is>
      </c>
      <c r="J100" s="16" t="n">
        <v>1361.25</v>
      </c>
      <c r="K100" s="14" t="inlineStr">
        <is>
          <t>11300</t>
        </is>
      </c>
      <c r="L100" s="14" t="n"/>
      <c r="M100" s="14" t="inlineStr">
        <is>
          <t>Y</t>
        </is>
      </c>
      <c r="N100" s="14" t="inlineStr">
        <is>
          <t>Migrated from FY27 Revenue Tracker v2 - confirm type/sign</t>
        </is>
      </c>
    </row>
    <row r="101" ht="15" customHeight="1">
      <c r="A101" s="55" t="n">
        <v>46265</v>
      </c>
      <c r="B101" s="51">
        <f>IF(C101="","",IFERROR(INDEX(tbl_Finance[Date],MATCH(C101&amp;"",tbl_Finance[Xero Invoice No],0)),""))</f>
        <v/>
      </c>
      <c r="C101" s="14" t="n"/>
      <c r="D101" s="14" t="inlineStr">
        <is>
          <t>26061105</t>
        </is>
      </c>
      <c r="E101" s="15">
        <f>IF(D101="","",IF(COUNTIF(lst_Jobs,D101&amp;"")&gt;0,"OK","CHECK"))</f>
        <v/>
      </c>
      <c r="F101" s="14" t="inlineStr">
        <is>
          <t>CBA</t>
        </is>
      </c>
      <c r="G101" s="14" t="inlineStr">
        <is>
          <t>PRODUCTION</t>
        </is>
      </c>
      <c r="H101" s="14" t="inlineStr">
        <is>
          <t>CBA - FYR 2026 - 12.8.26 [PRD] pre-prod work</t>
        </is>
      </c>
      <c r="I101" s="14" t="inlineStr">
        <is>
          <t>Deferral - invoiced in advance</t>
        </is>
      </c>
      <c r="J101" s="16" t="n">
        <v>-285</v>
      </c>
      <c r="K101" s="14" t="inlineStr">
        <is>
          <t>11300</t>
        </is>
      </c>
      <c r="L101" s="14" t="n"/>
      <c r="M101" s="14" t="inlineStr">
        <is>
          <t>Y</t>
        </is>
      </c>
      <c r="N101" s="14" t="inlineStr">
        <is>
          <t>Migrated from FY27 Revenue Tracker v2 - confirm type/sign</t>
        </is>
      </c>
    </row>
    <row r="102" ht="15" customHeight="1">
      <c r="A102" s="55" t="n">
        <v>46265</v>
      </c>
      <c r="B102" s="51">
        <f>IF(C102="","",IFERROR(INDEX(tbl_Finance[Date],MATCH(C102&amp;"",tbl_Finance[Xero Invoice No],0)),""))</f>
        <v/>
      </c>
      <c r="C102" s="14" t="n"/>
      <c r="D102" s="14" t="inlineStr">
        <is>
          <t>2603104</t>
        </is>
      </c>
      <c r="E102" s="15">
        <f>IF(D102="","",IF(COUNTIF(lst_Jobs,D102&amp;"")&gt;0,"OK","CHECK"))</f>
        <v/>
      </c>
      <c r="F102" s="14" t="inlineStr">
        <is>
          <t>Cochlear</t>
        </is>
      </c>
      <c r="G102" s="14" t="inlineStr">
        <is>
          <t>PRODUCTION</t>
        </is>
      </c>
      <c r="H102" s="14" t="inlineStr">
        <is>
          <t>Cochlear FY26 Results 18.8.26 [PRD] pre-prod work</t>
        </is>
      </c>
      <c r="I102" s="14" t="inlineStr">
        <is>
          <t>Deferral - invoiced in advance</t>
        </is>
      </c>
      <c r="J102" s="16" t="n">
        <v>-95</v>
      </c>
      <c r="K102" s="14" t="inlineStr">
        <is>
          <t>11300</t>
        </is>
      </c>
      <c r="L102" s="14" t="n"/>
      <c r="M102" s="14" t="inlineStr">
        <is>
          <t>Y</t>
        </is>
      </c>
      <c r="N102" s="14" t="inlineStr">
        <is>
          <t>Migrated from FY27 Revenue Tracker v2 - confirm type/sign</t>
        </is>
      </c>
    </row>
    <row r="103" ht="15" customHeight="1">
      <c r="A103" s="55" t="n">
        <v>46265</v>
      </c>
      <c r="B103" s="51">
        <f>IF(C103="","",IFERROR(INDEX(tbl_Finance[Date],MATCH(C103&amp;"",tbl_Finance[Xero Invoice No],0)),""))</f>
        <v/>
      </c>
      <c r="C103" s="14" t="n"/>
      <c r="D103" s="14" t="inlineStr">
        <is>
          <t>26052702</t>
        </is>
      </c>
      <c r="E103" s="15">
        <f>IF(D103="","",IF(COUNTIF(lst_Jobs,D103&amp;"")&gt;0,"OK","CHECK"))</f>
        <v/>
      </c>
      <c r="F103" s="14" t="inlineStr">
        <is>
          <t>ASX</t>
        </is>
      </c>
      <c r="G103" s="14" t="inlineStr">
        <is>
          <t>PRODUCTION</t>
        </is>
      </c>
      <c r="H103" s="14" t="inlineStr">
        <is>
          <t>ASX - FYR - 13.8.26 [PRD]</t>
        </is>
      </c>
      <c r="I103" s="14" t="inlineStr">
        <is>
          <t>Deferral - invoiced in advance</t>
        </is>
      </c>
      <c r="J103" s="16" t="n">
        <v>-95</v>
      </c>
      <c r="K103" s="14" t="inlineStr">
        <is>
          <t>11300</t>
        </is>
      </c>
      <c r="L103" s="14" t="n"/>
      <c r="M103" s="14" t="inlineStr">
        <is>
          <t>Y</t>
        </is>
      </c>
      <c r="N103" s="14" t="inlineStr">
        <is>
          <t>Migrated from FY27 Revenue Tracker v2 - confirm type/sign</t>
        </is>
      </c>
    </row>
    <row r="104" ht="15" customHeight="1">
      <c r="A104" s="55" t="n">
        <v>46265</v>
      </c>
      <c r="B104" s="51">
        <f>IF(C104="","",IFERROR(INDEX(tbl_Finance[Date],MATCH(C104&amp;"",tbl_Finance[Xero Invoice No],0)),""))</f>
        <v/>
      </c>
      <c r="C104" s="14" t="n"/>
      <c r="D104" s="14" t="inlineStr">
        <is>
          <t>2606904</t>
        </is>
      </c>
      <c r="E104" s="15">
        <f>IF(D104="","",IF(COUNTIF(lst_Jobs,D104&amp;"")&gt;0,"OK","CHECK"))</f>
        <v/>
      </c>
      <c r="F104" s="14" t="inlineStr">
        <is>
          <t>Symal</t>
        </is>
      </c>
      <c r="G104" s="14" t="inlineStr">
        <is>
          <t>PRODUCTION</t>
        </is>
      </c>
      <c r="H104" s="14" t="inlineStr">
        <is>
          <t>Symal - FYR26 (Melb) - 24.8.26 [PRD]</t>
        </is>
      </c>
      <c r="I104" s="14" t="inlineStr">
        <is>
          <t>Deferral - invoiced in advance</t>
        </is>
      </c>
      <c r="J104" s="16" t="n">
        <v>-71.25</v>
      </c>
      <c r="K104" s="14" t="inlineStr">
        <is>
          <t>11300</t>
        </is>
      </c>
      <c r="L104" s="14" t="n"/>
      <c r="M104" s="14" t="inlineStr">
        <is>
          <t>Y</t>
        </is>
      </c>
      <c r="N104" s="14" t="inlineStr">
        <is>
          <t>Migrated from FY27 Revenue Tracker v2 - confirm type/sign</t>
        </is>
      </c>
    </row>
    <row r="105" ht="15" customHeight="1">
      <c r="A105" s="55" t="n">
        <v>46265</v>
      </c>
      <c r="B105" s="51">
        <f>IF(C105="","",IFERROR(INDEX(tbl_Finance[Date],MATCH(C105&amp;"",tbl_Finance[Xero Invoice No],0)),""))</f>
        <v/>
      </c>
      <c r="C105" s="14" t="n"/>
      <c r="D105" s="14" t="inlineStr">
        <is>
          <t>3027</t>
        </is>
      </c>
      <c r="E105" s="15">
        <f>IF(D105="","",IF(COUNTIF(lst_Jobs,D105&amp;"")&gt;0,"OK","CHECK"))</f>
        <v/>
      </c>
      <c r="F105" s="14" t="inlineStr">
        <is>
          <t>NSW Property</t>
        </is>
      </c>
      <c r="G105" s="14" t="inlineStr">
        <is>
          <t>INTEGRATION</t>
        </is>
      </c>
      <c r="H105" s="14" t="inlineStr">
        <is>
          <t>NSW Property  - 231 Eliz L13 Touchdown - Condeco Desk Booking System (INV10391 Revenue)</t>
        </is>
      </c>
      <c r="I105" s="14" t="inlineStr">
        <is>
          <t>Accrual - unbilled work</t>
        </is>
      </c>
      <c r="J105" s="16" t="n">
        <v>721.7</v>
      </c>
      <c r="K105" s="14" t="inlineStr">
        <is>
          <t>11300</t>
        </is>
      </c>
      <c r="L105" s="14" t="n"/>
      <c r="M105" s="14" t="inlineStr">
        <is>
          <t>Y</t>
        </is>
      </c>
      <c r="N105" s="14" t="inlineStr">
        <is>
          <t>Migrated from FY27 Revenue Tracker v2 - confirm type/sign</t>
        </is>
      </c>
    </row>
    <row r="106" ht="15" customHeight="1">
      <c r="A106" s="55" t="n">
        <v>46265</v>
      </c>
      <c r="B106" s="51">
        <f>IF(C106="","",IFERROR(INDEX(tbl_Finance[Date],MATCH(C106&amp;"",tbl_Finance[Xero Invoice No],0)),""))</f>
        <v/>
      </c>
      <c r="C106" s="14" t="n"/>
      <c r="D106" s="14" t="inlineStr">
        <is>
          <t>3027</t>
        </is>
      </c>
      <c r="E106" s="15">
        <f>IF(D106="","",IF(COUNTIF(lst_Jobs,D106&amp;"")&gt;0,"OK","CHECK"))</f>
        <v/>
      </c>
      <c r="F106" s="14" t="inlineStr">
        <is>
          <t>NSW Property</t>
        </is>
      </c>
      <c r="G106" s="14" t="inlineStr">
        <is>
          <t>INTEGRATION</t>
        </is>
      </c>
      <c r="H106" s="14" t="inlineStr">
        <is>
          <t>NSW Property - 231 Eliz Workplace L1 (INV10392 Revenue)</t>
        </is>
      </c>
      <c r="I106" s="14" t="inlineStr">
        <is>
          <t>Accrual - unbilled work</t>
        </is>
      </c>
      <c r="J106" s="16" t="n">
        <v>876.35</v>
      </c>
      <c r="K106" s="14" t="inlineStr">
        <is>
          <t>11300</t>
        </is>
      </c>
      <c r="L106" s="14" t="n"/>
      <c r="M106" s="14" t="inlineStr">
        <is>
          <t>Y</t>
        </is>
      </c>
      <c r="N106" s="14" t="inlineStr">
        <is>
          <t>Migrated from FY27 Revenue Tracker v2 - confirm type/sign</t>
        </is>
      </c>
    </row>
    <row r="107" ht="15" customHeight="1">
      <c r="A107" s="55" t="n">
        <v>46265</v>
      </c>
      <c r="B107" s="51">
        <f>IF(C107="","",IFERROR(INDEX(tbl_Finance[Date],MATCH(C107&amp;"",tbl_Finance[Xero Invoice No],0)),""))</f>
        <v/>
      </c>
      <c r="C107" s="14" t="n"/>
      <c r="D107" s="14" t="inlineStr">
        <is>
          <t>25060301</t>
        </is>
      </c>
      <c r="E107" s="15">
        <f>IF(D107="","",IF(COUNTIF(lst_Jobs,D107&amp;"")&gt;0,"OK","CHECK"))</f>
        <v/>
      </c>
      <c r="F107" s="14" t="inlineStr">
        <is>
          <t>NSW Property</t>
        </is>
      </c>
      <c r="G107" s="14" t="inlineStr">
        <is>
          <t>INTEGRATION</t>
        </is>
      </c>
      <c r="H107" s="14" t="inlineStr">
        <is>
          <t>NSW Property - 6PSQ Workplace L12 Hub (INV10393 Revenue)</t>
        </is>
      </c>
      <c r="I107" s="14" t="inlineStr">
        <is>
          <t>Accrual - unbilled work</t>
        </is>
      </c>
      <c r="J107" s="16" t="n">
        <v>2964.14</v>
      </c>
      <c r="K107" s="14" t="inlineStr">
        <is>
          <t>11300</t>
        </is>
      </c>
      <c r="L107" s="14" t="n"/>
      <c r="M107" s="14" t="inlineStr">
        <is>
          <t>Y</t>
        </is>
      </c>
      <c r="N107" s="14" t="inlineStr">
        <is>
          <t>Migrated from FY27 Revenue Tracker v2 - confirm type/sign</t>
        </is>
      </c>
    </row>
    <row r="108" ht="15" customHeight="1">
      <c r="A108" s="55" t="n">
        <v>46265</v>
      </c>
      <c r="B108" s="51">
        <f>IF(C108="","",IFERROR(INDEX(tbl_Finance[Date],MATCH(C108&amp;"",tbl_Finance[Xero Invoice No],0)),""))</f>
        <v/>
      </c>
      <c r="C108" s="14" t="n"/>
      <c r="D108" s="14" t="inlineStr">
        <is>
          <t>2519</t>
        </is>
      </c>
      <c r="E108" s="15">
        <f>IF(D108="","",IF(COUNTIF(lst_Jobs,D108&amp;"")&gt;0,"OK","CHECK"))</f>
        <v/>
      </c>
      <c r="F108" s="14" t="inlineStr">
        <is>
          <t>NSW Property</t>
        </is>
      </c>
      <c r="G108" s="14" t="inlineStr">
        <is>
          <t>INTEGRATION</t>
        </is>
      </c>
      <c r="H108" s="14" t="inlineStr">
        <is>
          <t>NSW Property - 6PSQ L11 Touchdown (INV10394 Revenue)</t>
        </is>
      </c>
      <c r="I108" s="14" t="inlineStr">
        <is>
          <t>Accrual - unbilled work</t>
        </is>
      </c>
      <c r="J108" s="16" t="n">
        <v>799.03</v>
      </c>
      <c r="K108" s="14" t="inlineStr">
        <is>
          <t>11300</t>
        </is>
      </c>
      <c r="L108" s="14" t="n"/>
      <c r="M108" s="14" t="inlineStr">
        <is>
          <t>Y</t>
        </is>
      </c>
      <c r="N108" s="14" t="inlineStr">
        <is>
          <t>Migrated from FY27 Revenue Tracker v2 - confirm type/sign</t>
        </is>
      </c>
    </row>
    <row r="109" ht="15" customHeight="1">
      <c r="A109" s="55" t="n">
        <v>46265</v>
      </c>
      <c r="B109" s="51">
        <f>IF(C109="","",IFERROR(INDEX(tbl_Finance[Date],MATCH(C109&amp;"",tbl_Finance[Xero Invoice No],0)),""))</f>
        <v/>
      </c>
      <c r="C109" s="14" t="n"/>
      <c r="D109" s="14" t="inlineStr">
        <is>
          <t>3068</t>
        </is>
      </c>
      <c r="E109" s="15">
        <f>IF(D109="","",IF(COUNTIF(lst_Jobs,D109&amp;"")&gt;0,"OK","CHECK"))</f>
        <v/>
      </c>
      <c r="F109" s="14" t="inlineStr">
        <is>
          <t>NSW Property</t>
        </is>
      </c>
      <c r="G109" s="14" t="inlineStr">
        <is>
          <t>INTEGRATION</t>
        </is>
      </c>
      <c r="H109" s="14" t="inlineStr">
        <is>
          <t>NSW Property  – Penrith 50 Belmore St – Workplace Hub (INV10395 Revenue)</t>
        </is>
      </c>
      <c r="I109" s="14" t="inlineStr">
        <is>
          <t>Accrual - unbilled work</t>
        </is>
      </c>
      <c r="J109" s="16" t="n">
        <v>154.65</v>
      </c>
      <c r="K109" s="14" t="inlineStr">
        <is>
          <t>11300</t>
        </is>
      </c>
      <c r="L109" s="14" t="n"/>
      <c r="M109" s="14" t="inlineStr">
        <is>
          <t>Y</t>
        </is>
      </c>
      <c r="N109" s="14" t="inlineStr">
        <is>
          <t>Migrated from FY27 Revenue Tracker v2 - confirm type/sign</t>
        </is>
      </c>
    </row>
    <row r="110" ht="15" customHeight="1">
      <c r="A110" s="55" t="n">
        <v>46265</v>
      </c>
      <c r="B110" s="51">
        <f>IF(C110="","",IFERROR(INDEX(tbl_Finance[Date],MATCH(C110&amp;"",tbl_Finance[Xero Invoice No],0)),""))</f>
        <v/>
      </c>
      <c r="C110" s="14" t="n"/>
      <c r="D110" s="14" t="inlineStr">
        <is>
          <t>25051302</t>
        </is>
      </c>
      <c r="E110" s="15">
        <f>IF(D110="","",IF(COUNTIF(lst_Jobs,D110&amp;"")&gt;0,"OK","CHECK"))</f>
        <v/>
      </c>
      <c r="F110" s="14" t="inlineStr">
        <is>
          <t>NSW Property</t>
        </is>
      </c>
      <c r="G110" s="14" t="inlineStr">
        <is>
          <t>INTEGRATION</t>
        </is>
      </c>
      <c r="H110" s="14" t="inlineStr">
        <is>
          <t>NSW Property - Penrith BDA (INV10396)</t>
        </is>
      </c>
      <c r="I110" s="14" t="inlineStr">
        <is>
          <t>Accrual - unbilled work</t>
        </is>
      </c>
      <c r="J110" s="16" t="n">
        <v>1494.96</v>
      </c>
      <c r="K110" s="14" t="inlineStr">
        <is>
          <t>11300</t>
        </is>
      </c>
      <c r="L110" s="14" t="n"/>
      <c r="M110" s="14" t="inlineStr">
        <is>
          <t>Y</t>
        </is>
      </c>
      <c r="N110" s="14" t="inlineStr">
        <is>
          <t>Migrated from FY27 Revenue Tracker v2 - confirm type/sign</t>
        </is>
      </c>
    </row>
    <row r="111" ht="15" customHeight="1">
      <c r="A111" s="55" t="n">
        <v>46265</v>
      </c>
      <c r="B111" s="51">
        <f>IF(C111="","",IFERROR(INDEX(tbl_Finance[Date],MATCH(C111&amp;"",tbl_Finance[Xero Invoice No],0)),""))</f>
        <v/>
      </c>
      <c r="C111" s="14" t="n"/>
      <c r="D111" s="14" t="inlineStr">
        <is>
          <t>25051302</t>
        </is>
      </c>
      <c r="E111" s="15">
        <f>IF(D111="","",IF(COUNTIF(lst_Jobs,D111&amp;"")&gt;0,"OK","CHECK"))</f>
        <v/>
      </c>
      <c r="F111" s="14" t="inlineStr">
        <is>
          <t>NSW Property</t>
        </is>
      </c>
      <c r="G111" s="14" t="inlineStr">
        <is>
          <t>INTEGRATION</t>
        </is>
      </c>
      <c r="H111" s="14" t="inlineStr">
        <is>
          <t>NSW Property - RA Molesworth St (INV10397 Revenue)</t>
        </is>
      </c>
      <c r="I111" s="14" t="inlineStr">
        <is>
          <t>Accrual - unbilled work</t>
        </is>
      </c>
      <c r="J111" s="16" t="n">
        <v>786.14</v>
      </c>
      <c r="K111" s="14" t="inlineStr">
        <is>
          <t>11300</t>
        </is>
      </c>
      <c r="L111" s="14" t="n"/>
      <c r="M111" s="14" t="inlineStr">
        <is>
          <t>Y</t>
        </is>
      </c>
      <c r="N111" s="14" t="inlineStr">
        <is>
          <t>Migrated from FY27 Revenue Tracker v2 - confirm type/sign</t>
        </is>
      </c>
    </row>
    <row r="112" ht="15" customHeight="1">
      <c r="A112" s="55" t="n">
        <v>46265</v>
      </c>
      <c r="B112" s="51">
        <f>IF(C112="","",IFERROR(INDEX(tbl_Finance[Date],MATCH(C112&amp;"",tbl_Finance[Xero Invoice No],0)),""))</f>
        <v/>
      </c>
      <c r="C112" s="14" t="n"/>
      <c r="D112" s="14" t="inlineStr">
        <is>
          <t>25060307</t>
        </is>
      </c>
      <c r="E112" s="15">
        <f>IF(D112="","",IF(COUNTIF(lst_Jobs,D112&amp;"")&gt;0,"OK","CHECK"))</f>
        <v/>
      </c>
      <c r="F112" s="14" t="inlineStr">
        <is>
          <t>NSW Property</t>
        </is>
      </c>
      <c r="G112" s="14" t="inlineStr">
        <is>
          <t>INTEGRATION</t>
        </is>
      </c>
      <c r="H112" s="14" t="inlineStr">
        <is>
          <t>NSW Property - RA Newcastle Bellvue (INV10398 Revenue)</t>
        </is>
      </c>
      <c r="I112" s="14" t="inlineStr">
        <is>
          <t>Accrual - unbilled work</t>
        </is>
      </c>
      <c r="J112" s="16" t="n">
        <v>270.64</v>
      </c>
      <c r="K112" s="14" t="inlineStr">
        <is>
          <t>11300</t>
        </is>
      </c>
      <c r="L112" s="14" t="n"/>
      <c r="M112" s="14" t="inlineStr">
        <is>
          <t>Y</t>
        </is>
      </c>
      <c r="N112" s="14" t="inlineStr">
        <is>
          <t>Migrated from FY27 Revenue Tracker v2 - confirm type/sign</t>
        </is>
      </c>
    </row>
    <row r="113" ht="15" customHeight="1">
      <c r="A113" s="55" t="n">
        <v>46265</v>
      </c>
      <c r="B113" s="51">
        <f>IF(C113="","",IFERROR(INDEX(tbl_Finance[Date],MATCH(C113&amp;"",tbl_Finance[Xero Invoice No],0)),""))</f>
        <v/>
      </c>
      <c r="C113" s="14" t="n"/>
      <c r="D113" s="14" t="inlineStr">
        <is>
          <t>2510805</t>
        </is>
      </c>
      <c r="E113" s="15">
        <f>IF(D113="","",IF(COUNTIF(lst_Jobs,D113&amp;"")&gt;0,"OK","CHECK"))</f>
        <v/>
      </c>
      <c r="F113" s="14" t="inlineStr">
        <is>
          <t>NSW Property</t>
        </is>
      </c>
      <c r="G113" s="14" t="inlineStr">
        <is>
          <t>INTEGRATION</t>
        </is>
      </c>
      <c r="H113" s="14" t="inlineStr">
        <is>
          <t>NSW Property - 5 O’Keefe Ave Nowra Workplace Hub (INV10399 Revenue)</t>
        </is>
      </c>
      <c r="I113" s="14" t="inlineStr">
        <is>
          <t>Accrual - unbilled work</t>
        </is>
      </c>
      <c r="J113" s="16" t="n">
        <v>2242.44</v>
      </c>
      <c r="K113" s="14" t="inlineStr">
        <is>
          <t>11300</t>
        </is>
      </c>
      <c r="L113" s="14" t="n"/>
      <c r="M113" s="14" t="inlineStr">
        <is>
          <t>Y</t>
        </is>
      </c>
      <c r="N113" s="14" t="inlineStr">
        <is>
          <t>Migrated from FY27 Revenue Tracker v2 - confirm type/sign</t>
        </is>
      </c>
    </row>
    <row r="114" ht="15" customHeight="1">
      <c r="A114" s="55" t="n">
        <v>46265</v>
      </c>
      <c r="B114" s="51">
        <f>IF(C114="","",IFERROR(INDEX(tbl_Finance[Date],MATCH(C114&amp;"",tbl_Finance[Xero Invoice No],0)),""))</f>
        <v/>
      </c>
      <c r="C114" s="14" t="n"/>
      <c r="D114" s="14" t="inlineStr">
        <is>
          <t>2603202</t>
        </is>
      </c>
      <c r="E114" s="15">
        <f>IF(D114="","",IF(COUNTIF(lst_Jobs,D114&amp;"")&gt;0,"OK","CHECK"))</f>
        <v/>
      </c>
      <c r="F114" s="14" t="inlineStr">
        <is>
          <t>NSW Property</t>
        </is>
      </c>
      <c r="G114" s="14" t="inlineStr">
        <is>
          <t>INTEGRATION</t>
        </is>
      </c>
      <c r="H114" s="14" t="inlineStr">
        <is>
          <t>NSW Property -  Maitland 510-516 High St WP Services (INV10400 Revenue)</t>
        </is>
      </c>
      <c r="I114" s="14" t="inlineStr">
        <is>
          <t>Accrual - unbilled work</t>
        </is>
      </c>
      <c r="J114" s="16" t="n">
        <v>3041.47</v>
      </c>
      <c r="K114" s="14" t="inlineStr">
        <is>
          <t>11300</t>
        </is>
      </c>
      <c r="L114" s="14" t="n"/>
      <c r="M114" s="14" t="inlineStr">
        <is>
          <t>Y</t>
        </is>
      </c>
      <c r="N114" s="14" t="inlineStr">
        <is>
          <t>Migrated from FY27 Revenue Tracker v2 - confirm type/sign</t>
        </is>
      </c>
    </row>
    <row r="115" ht="15" customHeight="1">
      <c r="A115" s="55" t="n">
        <v>46265</v>
      </c>
      <c r="B115" s="51">
        <f>IF(C115="","",IFERROR(INDEX(tbl_Finance[Date],MATCH(C115&amp;"",tbl_Finance[Xero Invoice No],0)),""))</f>
        <v/>
      </c>
      <c r="C115" s="14" t="n"/>
      <c r="D115" s="14" t="inlineStr">
        <is>
          <t>25041502</t>
        </is>
      </c>
      <c r="E115" s="15">
        <f>IF(D115="","",IF(COUNTIF(lst_Jobs,D115&amp;"")&gt;0,"OK","CHECK"))</f>
        <v/>
      </c>
      <c r="F115" s="14" t="inlineStr">
        <is>
          <t>NSW Property</t>
        </is>
      </c>
      <c r="G115" s="14" t="inlineStr">
        <is>
          <t>INTEGRATION</t>
        </is>
      </c>
      <c r="H115" s="14" t="inlineStr">
        <is>
          <t>NSW Property -  252 Pitt St Parkline Workplace Hub (INV10401 Revenue)</t>
        </is>
      </c>
      <c r="I115" s="14" t="inlineStr">
        <is>
          <t>Accrual - unbilled work</t>
        </is>
      </c>
      <c r="J115" s="16" t="n">
        <v>4085.36</v>
      </c>
      <c r="K115" s="14" t="inlineStr">
        <is>
          <t>11300</t>
        </is>
      </c>
      <c r="L115" s="14" t="n"/>
      <c r="M115" s="14" t="inlineStr">
        <is>
          <t>Y</t>
        </is>
      </c>
      <c r="N115" s="14" t="inlineStr">
        <is>
          <t>Migrated from FY27 Revenue Tracker v2 - confirm type/sign</t>
        </is>
      </c>
    </row>
    <row r="116" ht="15" customHeight="1">
      <c r="A116" s="55" t="n">
        <v>46265</v>
      </c>
      <c r="B116" s="51">
        <f>IF(C116="","",IFERROR(INDEX(tbl_Finance[Date],MATCH(C116&amp;"",tbl_Finance[Xero Invoice No],0)),""))</f>
        <v/>
      </c>
      <c r="C116" s="14" t="n"/>
      <c r="D116" s="14" t="inlineStr">
        <is>
          <t>3068</t>
        </is>
      </c>
      <c r="E116" s="15">
        <f>IF(D116="","",IF(COUNTIF(lst_Jobs,D116&amp;"")&gt;0,"OK","CHECK"))</f>
        <v/>
      </c>
      <c r="F116" s="14" t="inlineStr">
        <is>
          <t>NSW Property</t>
        </is>
      </c>
      <c r="G116" s="14" t="inlineStr">
        <is>
          <t>INTEGRATION</t>
        </is>
      </c>
      <c r="H116" s="14" t="inlineStr">
        <is>
          <t>NSW Property - Sydney 1 Prince Albert Workplace Hub (INV10412 Revenue)</t>
        </is>
      </c>
      <c r="I116" s="14" t="inlineStr">
        <is>
          <t>Accrual - unbilled work</t>
        </is>
      </c>
      <c r="J116" s="16" t="n">
        <v>1868.7</v>
      </c>
      <c r="K116" s="14" t="inlineStr">
        <is>
          <t>11300</t>
        </is>
      </c>
      <c r="L116" s="14" t="n"/>
      <c r="M116" s="14" t="inlineStr">
        <is>
          <t>Y</t>
        </is>
      </c>
      <c r="N116" s="14" t="inlineStr">
        <is>
          <t>Migrated from FY27 Revenue Tracker v2 - confirm type/sign</t>
        </is>
      </c>
    </row>
    <row r="117" ht="15" customHeight="1">
      <c r="A117" s="55" t="n">
        <v>46265</v>
      </c>
      <c r="B117" s="51">
        <f>IF(C117="","",IFERROR(INDEX(tbl_Finance[Date],MATCH(C117&amp;"",tbl_Finance[Xero Invoice No],0)),""))</f>
        <v/>
      </c>
      <c r="C117" s="14" t="n"/>
      <c r="D117" s="14" t="inlineStr">
        <is>
          <t>25121208</t>
        </is>
      </c>
      <c r="E117" s="15">
        <f>IF(D117="","",IF(COUNTIF(lst_Jobs,D117&amp;"")&gt;0,"OK","CHECK"))</f>
        <v/>
      </c>
      <c r="F117" s="14" t="inlineStr">
        <is>
          <t>APA</t>
        </is>
      </c>
      <c r="G117" s="14" t="inlineStr">
        <is>
          <t>PRODUCTION</t>
        </is>
      </c>
      <c r="H117" s="14" t="inlineStr">
        <is>
          <t>APA FYR August 2026 Package - Equipment Hire (Revenue)</t>
        </is>
      </c>
      <c r="I117" s="14" t="inlineStr">
        <is>
          <t>Accrual - unbilled work</t>
        </is>
      </c>
      <c r="J117" s="16" t="n">
        <v>2737.5</v>
      </c>
      <c r="K117" s="14" t="inlineStr">
        <is>
          <t>11300</t>
        </is>
      </c>
      <c r="L117" s="14" t="n"/>
      <c r="M117" s="14" t="inlineStr">
        <is>
          <t>Y</t>
        </is>
      </c>
      <c r="N117" s="14" t="inlineStr">
        <is>
          <t>Migrated from FY27 Revenue Tracker v2 - confirm type/sign</t>
        </is>
      </c>
    </row>
    <row r="118" ht="15" customHeight="1">
      <c r="A118" s="55" t="n">
        <v>46265</v>
      </c>
      <c r="B118" s="51">
        <f>IF(C118="","",IFERROR(INDEX(tbl_Finance[Date],MATCH(C118&amp;"",tbl_Finance[Xero Invoice No],0)),""))</f>
        <v/>
      </c>
      <c r="C118" s="14" t="n"/>
      <c r="D118" s="14" t="inlineStr">
        <is>
          <t>25121208</t>
        </is>
      </c>
      <c r="E118" s="15">
        <f>IF(D118="","",IF(COUNTIF(lst_Jobs,D118&amp;"")&gt;0,"OK","CHECK"))</f>
        <v/>
      </c>
      <c r="F118" s="14" t="inlineStr">
        <is>
          <t>APA</t>
        </is>
      </c>
      <c r="G118" s="14" t="inlineStr">
        <is>
          <t>PRODUCTION</t>
        </is>
      </c>
      <c r="H118" s="14" t="inlineStr">
        <is>
          <t>APA FYR August 2026 Package - Prod Labour (Revenue)</t>
        </is>
      </c>
      <c r="I118" s="14" t="inlineStr">
        <is>
          <t>Accrual - unbilled work</t>
        </is>
      </c>
      <c r="J118" s="16" t="n">
        <v>1900</v>
      </c>
      <c r="K118" s="14" t="inlineStr">
        <is>
          <t>11300</t>
        </is>
      </c>
      <c r="L118" s="14" t="n"/>
      <c r="M118" s="14" t="inlineStr">
        <is>
          <t>Y</t>
        </is>
      </c>
      <c r="N118" s="14" t="inlineStr">
        <is>
          <t>Migrated from FY27 Revenue Tracker v2 - confirm type/sign</t>
        </is>
      </c>
    </row>
    <row r="119" ht="15" customHeight="1">
      <c r="A119" s="55" t="n">
        <v>46265</v>
      </c>
      <c r="B119" s="51">
        <f>IF(C119="","",IFERROR(INDEX(tbl_Finance[Date],MATCH(C119&amp;"",tbl_Finance[Xero Invoice No],0)),""))</f>
        <v/>
      </c>
      <c r="C119" s="14" t="n"/>
      <c r="D119" s="14" t="inlineStr">
        <is>
          <t>25121208</t>
        </is>
      </c>
      <c r="E119" s="15">
        <f>IF(D119="","",IF(COUNTIF(lst_Jobs,D119&amp;"")&gt;0,"OK","CHECK"))</f>
        <v/>
      </c>
      <c r="F119" s="14" t="inlineStr">
        <is>
          <t>APA</t>
        </is>
      </c>
      <c r="G119" s="14" t="inlineStr">
        <is>
          <t>PRODUCTION</t>
        </is>
      </c>
      <c r="H119" s="14" t="inlineStr">
        <is>
          <t>APA FYR August 2026 Package - Conference Call (Revenue)</t>
        </is>
      </c>
      <c r="I119" s="14" t="inlineStr">
        <is>
          <t>Accrual - unbilled work</t>
        </is>
      </c>
      <c r="J119" s="16" t="n">
        <v>3575</v>
      </c>
      <c r="K119" s="14" t="inlineStr">
        <is>
          <t>11300</t>
        </is>
      </c>
      <c r="L119" s="14" t="n"/>
      <c r="M119" s="14" t="inlineStr">
        <is>
          <t>Y</t>
        </is>
      </c>
      <c r="N119" s="14" t="inlineStr">
        <is>
          <t>Migrated from FY27 Revenue Tracker v2 - confirm type/sign</t>
        </is>
      </c>
    </row>
    <row r="120" ht="15" customHeight="1">
      <c r="A120" s="55" t="n">
        <v>46265</v>
      </c>
      <c r="B120" s="51">
        <f>IF(C120="","",IFERROR(INDEX(tbl_Finance[Date],MATCH(C120&amp;"",tbl_Finance[Xero Invoice No],0)),""))</f>
        <v/>
      </c>
      <c r="C120" s="14" t="n"/>
      <c r="D120" s="14" t="inlineStr">
        <is>
          <t>25121208</t>
        </is>
      </c>
      <c r="E120" s="15">
        <f>IF(D120="","",IF(COUNTIF(lst_Jobs,D120&amp;"")&gt;0,"OK","CHECK"))</f>
        <v/>
      </c>
      <c r="F120" s="14" t="inlineStr">
        <is>
          <t>APA</t>
        </is>
      </c>
      <c r="G120" s="14" t="inlineStr">
        <is>
          <t>PRODUCTION</t>
        </is>
      </c>
      <c r="H120" s="14" t="inlineStr">
        <is>
          <t>APA FYR August 2026 Package - Tech Event Mgmt (Revenue)</t>
        </is>
      </c>
      <c r="I120" s="14" t="inlineStr">
        <is>
          <t>Accrual - unbilled work</t>
        </is>
      </c>
      <c r="J120" s="16" t="n">
        <v>230</v>
      </c>
      <c r="K120" s="14" t="inlineStr">
        <is>
          <t>11300</t>
        </is>
      </c>
      <c r="L120" s="14" t="n"/>
      <c r="M120" s="14" t="inlineStr">
        <is>
          <t>Y</t>
        </is>
      </c>
      <c r="N120" s="14" t="inlineStr">
        <is>
          <t>Migrated from FY27 Revenue Tracker v2 - confirm type/sign</t>
        </is>
      </c>
    </row>
    <row r="121" ht="15" customHeight="1">
      <c r="A121" s="55" t="n">
        <v>46265</v>
      </c>
      <c r="B121" s="51">
        <f>IF(C121="","",IFERROR(INDEX(tbl_Finance[Date],MATCH(C121&amp;"",tbl_Finance[Xero Invoice No],0)),""))</f>
        <v/>
      </c>
      <c r="C121" s="14" t="n"/>
      <c r="D121" s="14" t="inlineStr">
        <is>
          <t>25121208</t>
        </is>
      </c>
      <c r="E121" s="15">
        <f>IF(D121="","",IF(COUNTIF(lst_Jobs,D121&amp;"")&gt;0,"OK","CHECK"))</f>
        <v/>
      </c>
      <c r="F121" s="14" t="inlineStr">
        <is>
          <t>APA</t>
        </is>
      </c>
      <c r="G121" s="14" t="inlineStr">
        <is>
          <t>PRODUCTION</t>
        </is>
      </c>
      <c r="H121" s="14" t="inlineStr">
        <is>
          <t>APA FYR August 2026 Package - Freight (Revenue)</t>
        </is>
      </c>
      <c r="I121" s="14" t="inlineStr">
        <is>
          <t>Accrual - unbilled work</t>
        </is>
      </c>
      <c r="J121" s="16" t="n">
        <v>300</v>
      </c>
      <c r="K121" s="14" t="inlineStr">
        <is>
          <t>11300</t>
        </is>
      </c>
      <c r="L121" s="14" t="n"/>
      <c r="M121" s="14" t="inlineStr">
        <is>
          <t>Y</t>
        </is>
      </c>
      <c r="N121" s="14" t="inlineStr">
        <is>
          <t>Migrated from FY27 Revenue Tracker v2 - confirm type/sign</t>
        </is>
      </c>
    </row>
    <row r="122" ht="15" customHeight="1">
      <c r="A122" s="55" t="n">
        <v>46265</v>
      </c>
      <c r="B122" s="51">
        <f>IF(C122="","",IFERROR(INDEX(tbl_Finance[Date],MATCH(C122&amp;"",tbl_Finance[Xero Invoice No],0)),""))</f>
        <v/>
      </c>
      <c r="C122" s="14" t="n"/>
      <c r="D122" s="14" t="inlineStr">
        <is>
          <t>2506208</t>
        </is>
      </c>
      <c r="E122" s="15">
        <f>IF(D122="","",IF(COUNTIF(lst_Jobs,D122&amp;"")&gt;0,"OK","CHECK"))</f>
        <v/>
      </c>
      <c r="F122" s="14" t="inlineStr">
        <is>
          <t>CBA</t>
        </is>
      </c>
      <c r="G122" s="14" t="inlineStr">
        <is>
          <t>PRODUCTION</t>
        </is>
      </c>
      <c r="H122" s="14" t="inlineStr">
        <is>
          <t>CBA AGM 2026 Pre-production work at $130ph</t>
        </is>
      </c>
      <c r="I122" s="14" t="inlineStr">
        <is>
          <t>Accrual - unbilled work</t>
        </is>
      </c>
      <c r="J122" s="16" t="n">
        <v>1787.5</v>
      </c>
      <c r="K122" s="14" t="inlineStr">
        <is>
          <t>11300</t>
        </is>
      </c>
      <c r="L122" s="14" t="n"/>
      <c r="M122" s="14" t="inlineStr">
        <is>
          <t>Y</t>
        </is>
      </c>
      <c r="N122" s="14" t="inlineStr">
        <is>
          <t>Migrated from FY27 Revenue Tracker v2 - confirm type/sign</t>
        </is>
      </c>
    </row>
    <row r="123" ht="15" customHeight="1">
      <c r="A123" s="55" t="n">
        <v>46265</v>
      </c>
      <c r="B123" s="51">
        <f>IF(C123="","",IFERROR(INDEX(tbl_Finance[Date],MATCH(C123&amp;"",tbl_Finance[Xero Invoice No],0)),""))</f>
        <v/>
      </c>
      <c r="C123" s="14" t="n"/>
      <c r="D123" s="14" t="inlineStr">
        <is>
          <t>25070702</t>
        </is>
      </c>
      <c r="E123" s="15">
        <f>IF(D123="","",IF(COUNTIF(lst_Jobs,D123&amp;"")&gt;0,"OK","CHECK"))</f>
        <v/>
      </c>
      <c r="F123" s="14" t="inlineStr">
        <is>
          <t>APA</t>
        </is>
      </c>
      <c r="G123" s="14" t="inlineStr">
        <is>
          <t>INTEGRATION</t>
        </is>
      </c>
      <c r="H123" s="14" t="inlineStr">
        <is>
          <t>APA BNE &amp; NT Year 1/3 Inv9988 (Revenue) Sep 2025 - Aug 2026</t>
        </is>
      </c>
      <c r="I123" s="14" t="inlineStr">
        <is>
          <t>Accrual - unbilled work</t>
        </is>
      </c>
      <c r="J123" s="16" t="n">
        <v>308.16</v>
      </c>
      <c r="K123" s="14" t="inlineStr">
        <is>
          <t>11300</t>
        </is>
      </c>
      <c r="L123" s="14" t="n"/>
      <c r="M123" s="14" t="inlineStr">
        <is>
          <t>Y</t>
        </is>
      </c>
      <c r="N123" s="14" t="inlineStr">
        <is>
          <t>Migrated from FY27 Revenue Tracker v2 - confirm type/sign</t>
        </is>
      </c>
    </row>
    <row r="124" ht="15" customHeight="1">
      <c r="A124" s="55" t="n">
        <v>46265</v>
      </c>
      <c r="B124" s="51">
        <f>IF(C124="","",IFERROR(INDEX(tbl_Finance[Date],MATCH(C124&amp;"",tbl_Finance[Xero Invoice No],0)),""))</f>
        <v/>
      </c>
      <c r="C124" s="14" t="n"/>
      <c r="D124" s="14" t="inlineStr">
        <is>
          <t>3072</t>
        </is>
      </c>
      <c r="E124" s="15">
        <f>IF(D124="","",IF(COUNTIF(lst_Jobs,D124&amp;"")&gt;0,"OK","CHECK"))</f>
        <v/>
      </c>
      <c r="F124" s="14" t="inlineStr">
        <is>
          <t>APA Thomastown</t>
        </is>
      </c>
      <c r="G124" s="14" t="inlineStr">
        <is>
          <t>INTEGRATION</t>
        </is>
      </c>
      <c r="H124" s="14" t="inlineStr">
        <is>
          <t>APA Thomastown INV-10133 Year 3 Licence (January - December 2026)</t>
        </is>
      </c>
      <c r="I124" s="14" t="inlineStr">
        <is>
          <t>Accrual - unbilled work</t>
        </is>
      </c>
      <c r="J124" s="16" t="n">
        <v>1033.06</v>
      </c>
      <c r="K124" s="14" t="inlineStr">
        <is>
          <t>11300</t>
        </is>
      </c>
      <c r="L124" s="14" t="n"/>
      <c r="M124" s="14" t="inlineStr">
        <is>
          <t>Y</t>
        </is>
      </c>
      <c r="N124" s="14" t="inlineStr">
        <is>
          <t>Migrated from FY27 Revenue Tracker v2 - confirm type/sign</t>
        </is>
      </c>
    </row>
    <row r="125" ht="15" customHeight="1">
      <c r="A125" s="55" t="n">
        <v>46265</v>
      </c>
      <c r="B125" s="51">
        <f>IF(C125="","",IFERROR(INDEX(tbl_Finance[Date],MATCH(C125&amp;"",tbl_Finance[Xero Invoice No],0)),""))</f>
        <v/>
      </c>
      <c r="C125" s="14" t="n"/>
      <c r="D125" s="14" t="inlineStr">
        <is>
          <t>2519</t>
        </is>
      </c>
      <c r="E125" s="15">
        <f>IF(D125="","",IF(COUNTIF(lst_Jobs,D125&amp;"")&gt;0,"OK","CHECK"))</f>
        <v/>
      </c>
      <c r="F125" s="14" t="inlineStr">
        <is>
          <t>NSW Property</t>
        </is>
      </c>
      <c r="G125" s="14" t="inlineStr">
        <is>
          <t>INTEGRATION</t>
        </is>
      </c>
      <c r="H125" s="14" t="inlineStr">
        <is>
          <t>NSW Property 6PSQ Multi-Tennant Year 4 INV 10162 Revenue (November - October 2026)</t>
        </is>
      </c>
      <c r="I125" s="14" t="inlineStr">
        <is>
          <t>Accrual - unbilled work</t>
        </is>
      </c>
      <c r="J125" s="16" t="n">
        <v>929.33</v>
      </c>
      <c r="K125" s="14" t="inlineStr">
        <is>
          <t>11300</t>
        </is>
      </c>
      <c r="L125" s="14" t="n"/>
      <c r="M125" s="14" t="inlineStr">
        <is>
          <t>Y</t>
        </is>
      </c>
      <c r="N125" s="14" t="inlineStr">
        <is>
          <t>Migrated from FY27 Revenue Tracker v2 - confirm type/sign</t>
        </is>
      </c>
    </row>
    <row r="126" ht="15" customHeight="1">
      <c r="A126" s="55" t="n">
        <v>46265</v>
      </c>
      <c r="B126" s="51">
        <f>IF(C126="","",IFERROR(INDEX(tbl_Finance[Date],MATCH(C126&amp;"",tbl_Finance[Xero Invoice No],0)),""))</f>
        <v/>
      </c>
      <c r="C126" s="14" t="n"/>
      <c r="D126" s="14" t="inlineStr">
        <is>
          <t>2510804</t>
        </is>
      </c>
      <c r="E126" s="15">
        <f>IF(D126="","",IF(COUNTIF(lst_Jobs,D126&amp;"")&gt;0,"OK","CHECK"))</f>
        <v/>
      </c>
      <c r="F126" s="14" t="inlineStr">
        <is>
          <t>Presynct</t>
        </is>
      </c>
      <c r="G126" s="14" t="inlineStr">
        <is>
          <t>INTEGRATION</t>
        </is>
      </c>
      <c r="H126" s="14" t="inlineStr">
        <is>
          <t>Presynct - QLD - Condeco Desk Booking System INV 10199 Revenue (Nov 2025 - Oct 2025)</t>
        </is>
      </c>
      <c r="I126" s="14" t="inlineStr">
        <is>
          <t>Accrual - unbilled work</t>
        </is>
      </c>
      <c r="J126" s="16" t="n">
        <v>439.33</v>
      </c>
      <c r="K126" s="14" t="inlineStr">
        <is>
          <t>11300</t>
        </is>
      </c>
      <c r="L126" s="14" t="n"/>
      <c r="M126" s="14" t="inlineStr">
        <is>
          <t>Y</t>
        </is>
      </c>
      <c r="N126" s="14" t="inlineStr">
        <is>
          <t>Migrated from FY27 Revenue Tracker v2 - confirm type/sign</t>
        </is>
      </c>
    </row>
    <row r="127" ht="15" customHeight="1">
      <c r="A127" s="55" t="n">
        <v>46265</v>
      </c>
      <c r="B127" s="51">
        <f>IF(C127="","",IFERROR(INDEX(tbl_Finance[Date],MATCH(C127&amp;"",tbl_Finance[Xero Invoice No],0)),""))</f>
        <v/>
      </c>
      <c r="C127" s="14" t="n"/>
      <c r="D127" s="14" t="inlineStr">
        <is>
          <t>2719</t>
        </is>
      </c>
      <c r="E127" s="15">
        <f>IF(D127="","",IF(COUNTIF(lst_Jobs,D127&amp;"")&gt;0,"OK","CHECK"))</f>
        <v/>
      </c>
      <c r="F127" s="14" t="inlineStr">
        <is>
          <t>NSW Property</t>
        </is>
      </c>
      <c r="G127" s="14" t="inlineStr">
        <is>
          <t>INTEGRATION</t>
        </is>
      </c>
      <c r="H127" s="14" t="inlineStr">
        <is>
          <t>NSW Property GSP Proxyclick INV 10176 Revenue (Dec 2025 - Nov 2026)</t>
        </is>
      </c>
      <c r="I127" s="14" t="inlineStr">
        <is>
          <t>Accrual - unbilled work</t>
        </is>
      </c>
      <c r="J127" s="16" t="n">
        <v>381.15</v>
      </c>
      <c r="K127" s="14" t="inlineStr">
        <is>
          <t>11300</t>
        </is>
      </c>
      <c r="L127" s="14" t="n"/>
      <c r="M127" s="14" t="inlineStr">
        <is>
          <t>Y</t>
        </is>
      </c>
      <c r="N127" s="14" t="inlineStr">
        <is>
          <t>Migrated from FY27 Revenue Tracker v2 - confirm type/sign</t>
        </is>
      </c>
    </row>
    <row r="128" ht="15" customHeight="1">
      <c r="A128" s="55" t="n">
        <v>46265</v>
      </c>
      <c r="B128" s="51">
        <f>IF(C128="","",IFERROR(INDEX(tbl_Finance[Date],MATCH(C128&amp;"",tbl_Finance[Xero Invoice No],0)),""))</f>
        <v/>
      </c>
      <c r="C128" s="14" t="n"/>
      <c r="D128" s="14" t="inlineStr">
        <is>
          <t>2834</t>
        </is>
      </c>
      <c r="E128" s="15">
        <f>IF(D128="","",IF(COUNTIF(lst_Jobs,D128&amp;"")&gt;0,"OK","CHECK"))</f>
        <v/>
      </c>
      <c r="F128" s="14" t="inlineStr">
        <is>
          <t>APA</t>
        </is>
      </c>
      <c r="G128" s="14" t="inlineStr">
        <is>
          <t>INTEGRATION</t>
        </is>
      </c>
      <c r="H128" s="14" t="inlineStr">
        <is>
          <t>APA Young Year 4 INV-10280 Revenue (Mar 2026 - Feb 2027)</t>
        </is>
      </c>
      <c r="I128" s="14" t="inlineStr">
        <is>
          <t>Accrual - unbilled work</t>
        </is>
      </c>
      <c r="J128" s="16" t="n">
        <v>312.9</v>
      </c>
      <c r="K128" s="14" t="inlineStr">
        <is>
          <t>11300</t>
        </is>
      </c>
      <c r="L128" s="14" t="n"/>
      <c r="M128" s="14" t="inlineStr">
        <is>
          <t>Y</t>
        </is>
      </c>
      <c r="N128" s="14" t="inlineStr">
        <is>
          <t>Migrated from FY27 Revenue Tracker v2 - confirm type/sign</t>
        </is>
      </c>
    </row>
    <row r="129" ht="15" customHeight="1">
      <c r="A129" s="55" t="n">
        <v>46265</v>
      </c>
      <c r="B129" s="51">
        <f>IF(C129="","",IFERROR(INDEX(tbl_Finance[Date],MATCH(C129&amp;"",tbl_Finance[Xero Invoice No],0)),""))</f>
        <v/>
      </c>
      <c r="C129" s="14" t="n"/>
      <c r="D129" s="14" t="inlineStr">
        <is>
          <t>25021901</t>
        </is>
      </c>
      <c r="E129" s="15">
        <f>IF(D129="","",IF(COUNTIF(lst_Jobs,D129&amp;"")&gt;0,"OK","CHECK"))</f>
        <v/>
      </c>
      <c r="F129" s="14" t="inlineStr">
        <is>
          <t>DaFF</t>
        </is>
      </c>
      <c r="G129" s="14" t="inlineStr">
        <is>
          <t>INTEGRATION</t>
        </is>
      </c>
      <c r="H129" s="14" t="inlineStr">
        <is>
          <t>DAFF Consulting services invoiced in advance (INV9860)</t>
        </is>
      </c>
      <c r="I129" s="14" t="inlineStr">
        <is>
          <t>Accrual - unbilled work</t>
        </is>
      </c>
      <c r="J129" s="16" t="n">
        <v>536.25</v>
      </c>
      <c r="K129" s="14" t="inlineStr">
        <is>
          <t>11300</t>
        </is>
      </c>
      <c r="L129" s="14" t="n"/>
      <c r="M129" s="14" t="inlineStr">
        <is>
          <t>Y</t>
        </is>
      </c>
      <c r="N129" s="14" t="inlineStr">
        <is>
          <t>Migrated from FY27 Revenue Tracker v2 - confirm type/sign</t>
        </is>
      </c>
    </row>
    <row r="130" ht="15" customHeight="1">
      <c r="A130" s="55" t="n">
        <v>46265</v>
      </c>
      <c r="B130" s="51">
        <f>IF(C130="","",IFERROR(INDEX(tbl_Finance[Date],MATCH(C130&amp;"",tbl_Finance[Xero Invoice No],0)),""))</f>
        <v/>
      </c>
      <c r="C130" s="14" t="n"/>
      <c r="D130" s="14" t="inlineStr">
        <is>
          <t>26081901</t>
        </is>
      </c>
      <c r="E130" s="15">
        <f>IF(D130="","",IF(COUNTIF(lst_Jobs,D130&amp;"")&gt;0,"OK","CHECK"))</f>
        <v/>
      </c>
      <c r="F130" s="14" t="inlineStr">
        <is>
          <t>Auspost</t>
        </is>
      </c>
      <c r="G130" s="14" t="inlineStr">
        <is>
          <t>INTEGRATION</t>
        </is>
      </c>
      <c r="H130" s="14" t="inlineStr">
        <is>
          <t>AusPayNet | Logitech Room Essentials Subscription [INT] License Revenue INV-10574 (12 months lincense)</t>
        </is>
      </c>
      <c r="I130" s="14" t="inlineStr">
        <is>
          <t>Deferral - invoiced in advance</t>
        </is>
      </c>
      <c r="J130" s="16" t="n">
        <v>-993</v>
      </c>
      <c r="K130" s="14" t="inlineStr">
        <is>
          <t>11300</t>
        </is>
      </c>
      <c r="L130" s="14" t="n"/>
      <c r="M130" s="14" t="inlineStr">
        <is>
          <t>Y</t>
        </is>
      </c>
      <c r="N130" s="14" t="inlineStr">
        <is>
          <t>Migrated from FY27 Revenue Tracker v2 - confirm type/sign</t>
        </is>
      </c>
    </row>
    <row r="131" ht="15" customHeight="1">
      <c r="A131" s="55" t="n"/>
      <c r="B131" s="51">
        <f>IF(C131="","",IFERROR(INDEX(tbl_Finance[Date],MATCH(C131&amp;"",tbl_Finance[Xero Invoice No],0)),""))</f>
        <v/>
      </c>
      <c r="C131" s="14" t="n"/>
      <c r="D131" s="14" t="n"/>
      <c r="E131" s="15">
        <f>IF(D131="","",IF(COUNTIF(lst_Jobs,D131&amp;"")&gt;0,"OK","CHECK"))</f>
        <v/>
      </c>
      <c r="F131" s="14" t="n"/>
      <c r="G131" s="14" t="n"/>
      <c r="H131" s="14" t="n"/>
      <c r="I131" s="14" t="n"/>
      <c r="J131" s="16" t="n"/>
      <c r="K131" s="14" t="n"/>
      <c r="L131" s="14" t="n"/>
      <c r="M131" s="14" t="n"/>
      <c r="N131" s="14" t="n"/>
    </row>
    <row r="132" ht="15" customHeight="1">
      <c r="A132" s="55" t="n"/>
      <c r="B132" s="51">
        <f>IF(C132="","",IFERROR(INDEX(tbl_Finance[Date],MATCH(C132&amp;"",tbl_Finance[Xero Invoice No],0)),""))</f>
        <v/>
      </c>
      <c r="C132" s="14" t="n"/>
      <c r="D132" s="14" t="n"/>
      <c r="E132" s="15">
        <f>IF(D132="","",IF(COUNTIF(lst_Jobs,D132&amp;"")&gt;0,"OK","CHECK"))</f>
        <v/>
      </c>
      <c r="F132" s="14" t="n"/>
      <c r="G132" s="14" t="n"/>
      <c r="H132" s="14" t="n"/>
      <c r="I132" s="14" t="n"/>
      <c r="J132" s="16" t="n"/>
      <c r="K132" s="14" t="n"/>
      <c r="L132" s="14" t="n"/>
      <c r="M132" s="14" t="n"/>
      <c r="N132" s="14" t="n"/>
    </row>
    <row r="133" ht="15" customHeight="1">
      <c r="A133" s="55" t="n"/>
      <c r="B133" s="51">
        <f>IF(C133="","",IFERROR(INDEX(tbl_Finance[Date],MATCH(C133&amp;"",tbl_Finance[Xero Invoice No],0)),""))</f>
        <v/>
      </c>
      <c r="C133" s="14" t="n"/>
      <c r="D133" s="14" t="n"/>
      <c r="E133" s="15">
        <f>IF(D133="","",IF(COUNTIF(lst_Jobs,D133&amp;"")&gt;0,"OK","CHECK"))</f>
        <v/>
      </c>
      <c r="F133" s="14" t="n"/>
      <c r="G133" s="14" t="n"/>
      <c r="H133" s="14" t="n"/>
      <c r="I133" s="14" t="n"/>
      <c r="J133" s="16" t="n"/>
      <c r="K133" s="14" t="n"/>
      <c r="L133" s="14" t="n"/>
      <c r="M133" s="14" t="n"/>
      <c r="N133" s="14" t="n"/>
    </row>
    <row r="134" ht="15" customHeight="1">
      <c r="A134" s="55" t="n"/>
      <c r="B134" s="51">
        <f>IF(C134="","",IFERROR(INDEX(tbl_Finance[Date],MATCH(C134&amp;"",tbl_Finance[Xero Invoice No],0)),""))</f>
        <v/>
      </c>
      <c r="C134" s="14" t="n"/>
      <c r="D134" s="14" t="n"/>
      <c r="E134" s="15">
        <f>IF(D134="","",IF(COUNTIF(lst_Jobs,D134&amp;"")&gt;0,"OK","CHECK"))</f>
        <v/>
      </c>
      <c r="F134" s="14" t="n"/>
      <c r="G134" s="14" t="n"/>
      <c r="H134" s="14" t="n"/>
      <c r="I134" s="14" t="n"/>
      <c r="J134" s="16" t="n"/>
      <c r="K134" s="14" t="n"/>
      <c r="L134" s="14" t="n"/>
      <c r="M134" s="14" t="n"/>
      <c r="N134" s="14" t="n"/>
    </row>
    <row r="135" ht="15" customHeight="1">
      <c r="A135" s="55" t="n"/>
      <c r="B135" s="51">
        <f>IF(C135="","",IFERROR(INDEX(tbl_Finance[Date],MATCH(C135&amp;"",tbl_Finance[Xero Invoice No],0)),""))</f>
        <v/>
      </c>
      <c r="C135" s="14" t="n"/>
      <c r="D135" s="14" t="n"/>
      <c r="E135" s="15">
        <f>IF(D135="","",IF(COUNTIF(lst_Jobs,D135&amp;"")&gt;0,"OK","CHECK"))</f>
        <v/>
      </c>
      <c r="F135" s="14" t="n"/>
      <c r="G135" s="14" t="n"/>
      <c r="H135" s="14" t="n"/>
      <c r="I135" s="14" t="n"/>
      <c r="J135" s="16" t="n"/>
      <c r="K135" s="14" t="n"/>
      <c r="L135" s="14" t="n"/>
      <c r="M135" s="14" t="n"/>
      <c r="N135" s="14" t="n"/>
    </row>
    <row r="136" ht="15" customHeight="1">
      <c r="A136" s="55" t="n"/>
      <c r="B136" s="51">
        <f>IF(C136="","",IFERROR(INDEX(tbl_Finance[Date],MATCH(C136&amp;"",tbl_Finance[Xero Invoice No],0)),""))</f>
        <v/>
      </c>
      <c r="C136" s="14" t="n"/>
      <c r="D136" s="14" t="n"/>
      <c r="E136" s="15">
        <f>IF(D136="","",IF(COUNTIF(lst_Jobs,D136&amp;"")&gt;0,"OK","CHECK"))</f>
        <v/>
      </c>
      <c r="F136" s="14" t="n"/>
      <c r="G136" s="14" t="n"/>
      <c r="H136" s="14" t="n"/>
      <c r="I136" s="14" t="n"/>
      <c r="J136" s="16" t="n"/>
      <c r="K136" s="14" t="n"/>
      <c r="L136" s="14" t="n"/>
      <c r="M136" s="14" t="n"/>
      <c r="N136" s="14" t="n"/>
    </row>
    <row r="137" ht="15" customHeight="1">
      <c r="A137" s="55" t="n"/>
      <c r="B137" s="51">
        <f>IF(C137="","",IFERROR(INDEX(tbl_Finance[Date],MATCH(C137&amp;"",tbl_Finance[Xero Invoice No],0)),""))</f>
        <v/>
      </c>
      <c r="C137" s="14" t="n"/>
      <c r="D137" s="14" t="n"/>
      <c r="E137" s="15">
        <f>IF(D137="","",IF(COUNTIF(lst_Jobs,D137&amp;"")&gt;0,"OK","CHECK"))</f>
        <v/>
      </c>
      <c r="F137" s="14" t="n"/>
      <c r="G137" s="14" t="n"/>
      <c r="H137" s="14" t="n"/>
      <c r="I137" s="14" t="n"/>
      <c r="J137" s="16" t="n"/>
      <c r="K137" s="14" t="n"/>
      <c r="L137" s="14" t="n"/>
      <c r="M137" s="14" t="n"/>
      <c r="N137" s="14" t="n"/>
    </row>
    <row r="138" ht="15" customHeight="1">
      <c r="A138" s="55" t="n"/>
      <c r="B138" s="51">
        <f>IF(C138="","",IFERROR(INDEX(tbl_Finance[Date],MATCH(C138&amp;"",tbl_Finance[Xero Invoice No],0)),""))</f>
        <v/>
      </c>
      <c r="C138" s="14" t="n"/>
      <c r="D138" s="14" t="n"/>
      <c r="E138" s="15">
        <f>IF(D138="","",IF(COUNTIF(lst_Jobs,D138&amp;"")&gt;0,"OK","CHECK"))</f>
        <v/>
      </c>
      <c r="F138" s="14" t="n"/>
      <c r="G138" s="14" t="n"/>
      <c r="H138" s="14" t="n"/>
      <c r="I138" s="14" t="n"/>
      <c r="J138" s="16" t="n"/>
      <c r="K138" s="14" t="n"/>
      <c r="L138" s="14" t="n"/>
      <c r="M138" s="14" t="n"/>
      <c r="N138" s="14" t="n"/>
    </row>
    <row r="139" ht="15" customHeight="1">
      <c r="A139" s="55" t="n"/>
      <c r="B139" s="51">
        <f>IF(C139="","",IFERROR(INDEX(tbl_Finance[Date],MATCH(C139&amp;"",tbl_Finance[Xero Invoice No],0)),""))</f>
        <v/>
      </c>
      <c r="C139" s="14" t="n"/>
      <c r="D139" s="14" t="n"/>
      <c r="E139" s="15">
        <f>IF(D139="","",IF(COUNTIF(lst_Jobs,D139&amp;"")&gt;0,"OK","CHECK"))</f>
        <v/>
      </c>
      <c r="F139" s="14" t="n"/>
      <c r="G139" s="14" t="n"/>
      <c r="H139" s="14" t="n"/>
      <c r="I139" s="14" t="n"/>
      <c r="J139" s="16" t="n"/>
      <c r="K139" s="14" t="n"/>
      <c r="L139" s="14" t="n"/>
      <c r="M139" s="14" t="n"/>
      <c r="N139" s="14" t="n"/>
    </row>
    <row r="140" ht="15" customHeight="1">
      <c r="A140" s="55" t="n"/>
      <c r="B140" s="51">
        <f>IF(C140="","",IFERROR(INDEX(tbl_Finance[Date],MATCH(C140&amp;"",tbl_Finance[Xero Invoice No],0)),""))</f>
        <v/>
      </c>
      <c r="C140" s="14" t="n"/>
      <c r="D140" s="14" t="n"/>
      <c r="E140" s="15">
        <f>IF(D140="","",IF(COUNTIF(lst_Jobs,D140&amp;"")&gt;0,"OK","CHECK"))</f>
        <v/>
      </c>
      <c r="F140" s="14" t="n"/>
      <c r="G140" s="14" t="n"/>
      <c r="H140" s="14" t="n"/>
      <c r="I140" s="14" t="n"/>
      <c r="J140" s="16" t="n"/>
      <c r="K140" s="14" t="n"/>
      <c r="L140" s="14" t="n"/>
      <c r="M140" s="14" t="n"/>
      <c r="N140" s="14" t="n"/>
    </row>
    <row r="141" ht="15" customHeight="1">
      <c r="A141" s="55" t="n"/>
      <c r="B141" s="51">
        <f>IF(C141="","",IFERROR(INDEX(tbl_Finance[Date],MATCH(C141&amp;"",tbl_Finance[Xero Invoice No],0)),""))</f>
        <v/>
      </c>
      <c r="C141" s="14" t="n"/>
      <c r="D141" s="14" t="n"/>
      <c r="E141" s="15">
        <f>IF(D141="","",IF(COUNTIF(lst_Jobs,D141&amp;"")&gt;0,"OK","CHECK"))</f>
        <v/>
      </c>
      <c r="F141" s="14" t="n"/>
      <c r="G141" s="14" t="n"/>
      <c r="H141" s="14" t="n"/>
      <c r="I141" s="14" t="n"/>
      <c r="J141" s="16" t="n"/>
      <c r="K141" s="14" t="n"/>
      <c r="L141" s="14" t="n"/>
      <c r="M141" s="14" t="n"/>
      <c r="N141" s="14" t="n"/>
    </row>
    <row r="142" ht="15" customHeight="1">
      <c r="A142" s="55" t="n"/>
      <c r="B142" s="51">
        <f>IF(C142="","",IFERROR(INDEX(tbl_Finance[Date],MATCH(C142&amp;"",tbl_Finance[Xero Invoice No],0)),""))</f>
        <v/>
      </c>
      <c r="C142" s="14" t="n"/>
      <c r="D142" s="14" t="n"/>
      <c r="E142" s="15">
        <f>IF(D142="","",IF(COUNTIF(lst_Jobs,D142&amp;"")&gt;0,"OK","CHECK"))</f>
        <v/>
      </c>
      <c r="F142" s="14" t="n"/>
      <c r="G142" s="14" t="n"/>
      <c r="H142" s="14" t="n"/>
      <c r="I142" s="14" t="n"/>
      <c r="J142" s="16" t="n"/>
      <c r="K142" s="14" t="n"/>
      <c r="L142" s="14" t="n"/>
      <c r="M142" s="14" t="n"/>
      <c r="N142" s="14" t="n"/>
    </row>
    <row r="143" ht="15" customHeight="1">
      <c r="A143" s="55" t="n"/>
      <c r="B143" s="51">
        <f>IF(C143="","",IFERROR(INDEX(tbl_Finance[Date],MATCH(C143&amp;"",tbl_Finance[Xero Invoice No],0)),""))</f>
        <v/>
      </c>
      <c r="C143" s="14" t="n"/>
      <c r="D143" s="14" t="n"/>
      <c r="E143" s="15">
        <f>IF(D143="","",IF(COUNTIF(lst_Jobs,D143&amp;"")&gt;0,"OK","CHECK"))</f>
        <v/>
      </c>
      <c r="F143" s="14" t="n"/>
      <c r="G143" s="14" t="n"/>
      <c r="H143" s="14" t="n"/>
      <c r="I143" s="14" t="n"/>
      <c r="J143" s="16" t="n"/>
      <c r="K143" s="14" t="n"/>
      <c r="L143" s="14" t="n"/>
      <c r="M143" s="14" t="n"/>
      <c r="N143" s="14" t="n"/>
    </row>
    <row r="144" ht="15" customHeight="1">
      <c r="A144" s="55" t="n"/>
      <c r="B144" s="51">
        <f>IF(C144="","",IFERROR(INDEX(tbl_Finance[Date],MATCH(C144&amp;"",tbl_Finance[Xero Invoice No],0)),""))</f>
        <v/>
      </c>
      <c r="C144" s="14" t="n"/>
      <c r="D144" s="14" t="n"/>
      <c r="E144" s="15">
        <f>IF(D144="","",IF(COUNTIF(lst_Jobs,D144&amp;"")&gt;0,"OK","CHECK"))</f>
        <v/>
      </c>
      <c r="F144" s="14" t="n"/>
      <c r="G144" s="14" t="n"/>
      <c r="H144" s="14" t="n"/>
      <c r="I144" s="14" t="n"/>
      <c r="J144" s="16" t="n"/>
      <c r="K144" s="14" t="n"/>
      <c r="L144" s="14" t="n"/>
      <c r="M144" s="14" t="n"/>
      <c r="N144" s="14" t="n"/>
    </row>
    <row r="145" ht="15" customHeight="1">
      <c r="A145" s="55" t="n"/>
      <c r="B145" s="51">
        <f>IF(C145="","",IFERROR(INDEX(tbl_Finance[Date],MATCH(C145&amp;"",tbl_Finance[Xero Invoice No],0)),""))</f>
        <v/>
      </c>
      <c r="C145" s="14" t="n"/>
      <c r="D145" s="14" t="n"/>
      <c r="E145" s="15">
        <f>IF(D145="","",IF(COUNTIF(lst_Jobs,D145&amp;"")&gt;0,"OK","CHECK"))</f>
        <v/>
      </c>
      <c r="F145" s="14" t="n"/>
      <c r="G145" s="14" t="n"/>
      <c r="H145" s="14" t="n"/>
      <c r="I145" s="14" t="n"/>
      <c r="J145" s="16" t="n"/>
      <c r="K145" s="14" t="n"/>
      <c r="L145" s="14" t="n"/>
      <c r="M145" s="14" t="n"/>
      <c r="N145" s="14" t="n"/>
    </row>
    <row r="146" ht="15" customHeight="1">
      <c r="A146" s="55" t="n"/>
      <c r="B146" s="51">
        <f>IF(C146="","",IFERROR(INDEX(tbl_Finance[Date],MATCH(C146&amp;"",tbl_Finance[Xero Invoice No],0)),""))</f>
        <v/>
      </c>
      <c r="C146" s="14" t="n"/>
      <c r="D146" s="14" t="n"/>
      <c r="E146" s="15">
        <f>IF(D146="","",IF(COUNTIF(lst_Jobs,D146&amp;"")&gt;0,"OK","CHECK"))</f>
        <v/>
      </c>
      <c r="F146" s="14" t="n"/>
      <c r="G146" s="14" t="n"/>
      <c r="H146" s="14" t="n"/>
      <c r="I146" s="14" t="n"/>
      <c r="J146" s="16" t="n"/>
      <c r="K146" s="14" t="n"/>
      <c r="L146" s="14" t="n"/>
      <c r="M146" s="14" t="n"/>
      <c r="N146" s="14" t="n"/>
    </row>
    <row r="147" ht="15" customHeight="1">
      <c r="A147" s="55" t="n"/>
      <c r="B147" s="51">
        <f>IF(C147="","",IFERROR(INDEX(tbl_Finance[Date],MATCH(C147&amp;"",tbl_Finance[Xero Invoice No],0)),""))</f>
        <v/>
      </c>
      <c r="C147" s="14" t="n"/>
      <c r="D147" s="14" t="n"/>
      <c r="E147" s="15">
        <f>IF(D147="","",IF(COUNTIF(lst_Jobs,D147&amp;"")&gt;0,"OK","CHECK"))</f>
        <v/>
      </c>
      <c r="F147" s="14" t="n"/>
      <c r="G147" s="14" t="n"/>
      <c r="H147" s="14" t="n"/>
      <c r="I147" s="14" t="n"/>
      <c r="J147" s="16" t="n"/>
      <c r="K147" s="14" t="n"/>
      <c r="L147" s="14" t="n"/>
      <c r="M147" s="14" t="n"/>
      <c r="N147" s="14" t="n"/>
    </row>
    <row r="148" ht="15" customHeight="1">
      <c r="A148" s="55" t="n"/>
      <c r="B148" s="51">
        <f>IF(C148="","",IFERROR(INDEX(tbl_Finance[Date],MATCH(C148&amp;"",tbl_Finance[Xero Invoice No],0)),""))</f>
        <v/>
      </c>
      <c r="C148" s="14" t="n"/>
      <c r="D148" s="14" t="n"/>
      <c r="E148" s="15">
        <f>IF(D148="","",IF(COUNTIF(lst_Jobs,D148&amp;"")&gt;0,"OK","CHECK"))</f>
        <v/>
      </c>
      <c r="F148" s="14" t="n"/>
      <c r="G148" s="14" t="n"/>
      <c r="H148" s="14" t="n"/>
      <c r="I148" s="14" t="n"/>
      <c r="J148" s="16" t="n"/>
      <c r="K148" s="14" t="n"/>
      <c r="L148" s="14" t="n"/>
      <c r="M148" s="14" t="n"/>
      <c r="N148" s="14" t="n"/>
    </row>
    <row r="149" ht="15" customHeight="1">
      <c r="A149" s="55" t="n"/>
      <c r="B149" s="51">
        <f>IF(C149="","",IFERROR(INDEX(tbl_Finance[Date],MATCH(C149&amp;"",tbl_Finance[Xero Invoice No],0)),""))</f>
        <v/>
      </c>
      <c r="C149" s="14" t="n"/>
      <c r="D149" s="14" t="n"/>
      <c r="E149" s="15">
        <f>IF(D149="","",IF(COUNTIF(lst_Jobs,D149&amp;"")&gt;0,"OK","CHECK"))</f>
        <v/>
      </c>
      <c r="F149" s="14" t="n"/>
      <c r="G149" s="14" t="n"/>
      <c r="H149" s="14" t="n"/>
      <c r="I149" s="14" t="n"/>
      <c r="J149" s="16" t="n"/>
      <c r="K149" s="14" t="n"/>
      <c r="L149" s="14" t="n"/>
      <c r="M149" s="14" t="n"/>
      <c r="N149" s="14" t="n"/>
    </row>
    <row r="150" ht="15" customHeight="1">
      <c r="A150" s="55" t="n"/>
      <c r="B150" s="51">
        <f>IF(C150="","",IFERROR(INDEX(tbl_Finance[Date],MATCH(C150&amp;"",tbl_Finance[Xero Invoice No],0)),""))</f>
        <v/>
      </c>
      <c r="C150" s="14" t="n"/>
      <c r="D150" s="14" t="n"/>
      <c r="E150" s="15">
        <f>IF(D150="","",IF(COUNTIF(lst_Jobs,D150&amp;"")&gt;0,"OK","CHECK"))</f>
        <v/>
      </c>
      <c r="F150" s="14" t="n"/>
      <c r="G150" s="14" t="n"/>
      <c r="H150" s="14" t="n"/>
      <c r="I150" s="14" t="n"/>
      <c r="J150" s="16" t="n"/>
      <c r="K150" s="14" t="n"/>
      <c r="L150" s="14" t="n"/>
      <c r="M150" s="14" t="n"/>
      <c r="N150" s="14" t="n"/>
    </row>
    <row r="151" ht="15" customHeight="1">
      <c r="A151" s="55" t="n"/>
      <c r="B151" s="51">
        <f>IF(C151="","",IFERROR(INDEX(tbl_Finance[Date],MATCH(C151&amp;"",tbl_Finance[Xero Invoice No],0)),""))</f>
        <v/>
      </c>
      <c r="C151" s="14" t="n"/>
      <c r="D151" s="14" t="n"/>
      <c r="E151" s="15">
        <f>IF(D151="","",IF(COUNTIF(lst_Jobs,D151&amp;"")&gt;0,"OK","CHECK"))</f>
        <v/>
      </c>
      <c r="F151" s="14" t="n"/>
      <c r="G151" s="14" t="n"/>
      <c r="H151" s="14" t="n"/>
      <c r="I151" s="14" t="n"/>
      <c r="J151" s="16" t="n"/>
      <c r="K151" s="14" t="n"/>
      <c r="L151" s="14" t="n"/>
      <c r="M151" s="14" t="n"/>
      <c r="N151" s="14" t="n"/>
    </row>
    <row r="152" ht="15" customHeight="1">
      <c r="A152" s="55" t="n"/>
      <c r="B152" s="51">
        <f>IF(C152="","",IFERROR(INDEX(tbl_Finance[Date],MATCH(C152&amp;"",tbl_Finance[Xero Invoice No],0)),""))</f>
        <v/>
      </c>
      <c r="C152" s="14" t="n"/>
      <c r="D152" s="14" t="n"/>
      <c r="E152" s="15">
        <f>IF(D152="","",IF(COUNTIF(lst_Jobs,D152&amp;"")&gt;0,"OK","CHECK"))</f>
        <v/>
      </c>
      <c r="F152" s="14" t="n"/>
      <c r="G152" s="14" t="n"/>
      <c r="H152" s="14" t="n"/>
      <c r="I152" s="14" t="n"/>
      <c r="J152" s="16" t="n"/>
      <c r="K152" s="14" t="n"/>
      <c r="L152" s="14" t="n"/>
      <c r="M152" s="14" t="n"/>
      <c r="N152" s="14" t="n"/>
    </row>
    <row r="153" ht="15" customHeight="1">
      <c r="A153" s="55" t="n"/>
      <c r="B153" s="51">
        <f>IF(C153="","",IFERROR(INDEX(tbl_Finance[Date],MATCH(C153&amp;"",tbl_Finance[Xero Invoice No],0)),""))</f>
        <v/>
      </c>
      <c r="C153" s="14" t="n"/>
      <c r="D153" s="14" t="n"/>
      <c r="E153" s="15">
        <f>IF(D153="","",IF(COUNTIF(lst_Jobs,D153&amp;"")&gt;0,"OK","CHECK"))</f>
        <v/>
      </c>
      <c r="F153" s="14" t="n"/>
      <c r="G153" s="14" t="n"/>
      <c r="H153" s="14" t="n"/>
      <c r="I153" s="14" t="n"/>
      <c r="J153" s="16" t="n"/>
      <c r="K153" s="14" t="n"/>
      <c r="L153" s="14" t="n"/>
      <c r="M153" s="14" t="n"/>
      <c r="N153" s="14" t="n"/>
    </row>
    <row r="154" ht="15" customHeight="1">
      <c r="A154" s="55" t="n"/>
      <c r="B154" s="51">
        <f>IF(C154="","",IFERROR(INDEX(tbl_Finance[Date],MATCH(C154&amp;"",tbl_Finance[Xero Invoice No],0)),""))</f>
        <v/>
      </c>
      <c r="C154" s="14" t="n"/>
      <c r="D154" s="14" t="n"/>
      <c r="E154" s="15">
        <f>IF(D154="","",IF(COUNTIF(lst_Jobs,D154&amp;"")&gt;0,"OK","CHECK"))</f>
        <v/>
      </c>
      <c r="F154" s="14" t="n"/>
      <c r="G154" s="14" t="n"/>
      <c r="H154" s="14" t="n"/>
      <c r="I154" s="14" t="n"/>
      <c r="J154" s="16" t="n"/>
      <c r="K154" s="14" t="n"/>
      <c r="L154" s="14" t="n"/>
      <c r="M154" s="14" t="n"/>
      <c r="N154" s="14" t="n"/>
    </row>
    <row r="155" ht="15" customHeight="1">
      <c r="A155" s="55" t="n"/>
      <c r="B155" s="51">
        <f>IF(C155="","",IFERROR(INDEX(tbl_Finance[Date],MATCH(C155&amp;"",tbl_Finance[Xero Invoice No],0)),""))</f>
        <v/>
      </c>
      <c r="C155" s="14" t="n"/>
      <c r="D155" s="14" t="n"/>
      <c r="E155" s="15">
        <f>IF(D155="","",IF(COUNTIF(lst_Jobs,D155&amp;"")&gt;0,"OK","CHECK"))</f>
        <v/>
      </c>
      <c r="F155" s="14" t="n"/>
      <c r="G155" s="14" t="n"/>
      <c r="H155" s="14" t="n"/>
      <c r="I155" s="14" t="n"/>
      <c r="J155" s="16" t="n"/>
      <c r="K155" s="14" t="n"/>
      <c r="L155" s="14" t="n"/>
      <c r="M155" s="14" t="n"/>
      <c r="N155" s="14" t="n"/>
    </row>
    <row r="156" ht="15" customHeight="1">
      <c r="A156" s="55" t="n"/>
      <c r="B156" s="51">
        <f>IF(C156="","",IFERROR(INDEX(tbl_Finance[Date],MATCH(C156&amp;"",tbl_Finance[Xero Invoice No],0)),""))</f>
        <v/>
      </c>
      <c r="C156" s="14" t="n"/>
      <c r="D156" s="14" t="n"/>
      <c r="E156" s="15">
        <f>IF(D156="","",IF(COUNTIF(lst_Jobs,D156&amp;"")&gt;0,"OK","CHECK"))</f>
        <v/>
      </c>
      <c r="F156" s="14" t="n"/>
      <c r="G156" s="14" t="n"/>
      <c r="H156" s="14" t="n"/>
      <c r="I156" s="14" t="n"/>
      <c r="J156" s="16" t="n"/>
      <c r="K156" s="14" t="n"/>
      <c r="L156" s="14" t="n"/>
      <c r="M156" s="14" t="n"/>
      <c r="N156" s="14" t="n"/>
    </row>
    <row r="157" ht="15" customHeight="1">
      <c r="A157" s="55" t="n"/>
      <c r="B157" s="51">
        <f>IF(C157="","",IFERROR(INDEX(tbl_Finance[Date],MATCH(C157&amp;"",tbl_Finance[Xero Invoice No],0)),""))</f>
        <v/>
      </c>
      <c r="C157" s="14" t="n"/>
      <c r="D157" s="14" t="n"/>
      <c r="E157" s="15">
        <f>IF(D157="","",IF(COUNTIF(lst_Jobs,D157&amp;"")&gt;0,"OK","CHECK"))</f>
        <v/>
      </c>
      <c r="F157" s="14" t="n"/>
      <c r="G157" s="14" t="n"/>
      <c r="H157" s="14" t="n"/>
      <c r="I157" s="14" t="n"/>
      <c r="J157" s="16" t="n"/>
      <c r="K157" s="14" t="n"/>
      <c r="L157" s="14" t="n"/>
      <c r="M157" s="14" t="n"/>
      <c r="N157" s="14" t="n"/>
    </row>
    <row r="158" ht="15" customHeight="1">
      <c r="A158" s="55" t="n"/>
      <c r="B158" s="51">
        <f>IF(C158="","",IFERROR(INDEX(tbl_Finance[Date],MATCH(C158&amp;"",tbl_Finance[Xero Invoice No],0)),""))</f>
        <v/>
      </c>
      <c r="C158" s="14" t="n"/>
      <c r="D158" s="14" t="n"/>
      <c r="E158" s="15">
        <f>IF(D158="","",IF(COUNTIF(lst_Jobs,D158&amp;"")&gt;0,"OK","CHECK"))</f>
        <v/>
      </c>
      <c r="F158" s="14" t="n"/>
      <c r="G158" s="14" t="n"/>
      <c r="H158" s="14" t="n"/>
      <c r="I158" s="14" t="n"/>
      <c r="J158" s="16" t="n"/>
      <c r="K158" s="14" t="n"/>
      <c r="L158" s="14" t="n"/>
      <c r="M158" s="14" t="n"/>
      <c r="N158" s="14" t="n"/>
    </row>
    <row r="159" ht="15" customHeight="1">
      <c r="A159" s="55" t="n"/>
      <c r="B159" s="51">
        <f>IF(C159="","",IFERROR(INDEX(tbl_Finance[Date],MATCH(C159&amp;"",tbl_Finance[Xero Invoice No],0)),""))</f>
        <v/>
      </c>
      <c r="C159" s="14" t="n"/>
      <c r="D159" s="14" t="n"/>
      <c r="E159" s="15">
        <f>IF(D159="","",IF(COUNTIF(lst_Jobs,D159&amp;"")&gt;0,"OK","CHECK"))</f>
        <v/>
      </c>
      <c r="F159" s="14" t="n"/>
      <c r="G159" s="14" t="n"/>
      <c r="H159" s="14" t="n"/>
      <c r="I159" s="14" t="n"/>
      <c r="J159" s="16" t="n"/>
      <c r="K159" s="14" t="n"/>
      <c r="L159" s="14" t="n"/>
      <c r="M159" s="14" t="n"/>
      <c r="N159" s="14" t="n"/>
    </row>
    <row r="160" ht="15" customHeight="1">
      <c r="A160" s="55" t="n"/>
      <c r="B160" s="51">
        <f>IF(C160="","",IFERROR(INDEX(tbl_Finance[Date],MATCH(C160&amp;"",tbl_Finance[Xero Invoice No],0)),""))</f>
        <v/>
      </c>
      <c r="C160" s="14" t="n"/>
      <c r="D160" s="14" t="n"/>
      <c r="E160" s="15">
        <f>IF(D160="","",IF(COUNTIF(lst_Jobs,D160&amp;"")&gt;0,"OK","CHECK"))</f>
        <v/>
      </c>
      <c r="F160" s="14" t="n"/>
      <c r="G160" s="14" t="n"/>
      <c r="H160" s="14" t="n"/>
      <c r="I160" s="14" t="n"/>
      <c r="J160" s="16" t="n"/>
      <c r="K160" s="14" t="n"/>
      <c r="L160" s="14" t="n"/>
      <c r="M160" s="14" t="n"/>
      <c r="N160" s="14" t="n"/>
    </row>
    <row r="161" ht="15" customHeight="1">
      <c r="A161" s="55" t="n"/>
      <c r="B161" s="51">
        <f>IF(C161="","",IFERROR(INDEX(tbl_Finance[Date],MATCH(C161&amp;"",tbl_Finance[Xero Invoice No],0)),""))</f>
        <v/>
      </c>
      <c r="C161" s="14" t="n"/>
      <c r="D161" s="14" t="n"/>
      <c r="E161" s="15">
        <f>IF(D161="","",IF(COUNTIF(lst_Jobs,D161&amp;"")&gt;0,"OK","CHECK"))</f>
        <v/>
      </c>
      <c r="F161" s="14" t="n"/>
      <c r="G161" s="14" t="n"/>
      <c r="H161" s="14" t="n"/>
      <c r="I161" s="14" t="n"/>
      <c r="J161" s="16" t="n"/>
      <c r="K161" s="14" t="n"/>
      <c r="L161" s="14" t="n"/>
      <c r="M161" s="14" t="n"/>
      <c r="N161" s="14" t="n"/>
    </row>
    <row r="162" ht="15" customHeight="1">
      <c r="A162" s="55" t="n"/>
      <c r="B162" s="51">
        <f>IF(C162="","",IFERROR(INDEX(tbl_Finance[Date],MATCH(C162&amp;"",tbl_Finance[Xero Invoice No],0)),""))</f>
        <v/>
      </c>
      <c r="C162" s="14" t="n"/>
      <c r="D162" s="14" t="n"/>
      <c r="E162" s="15">
        <f>IF(D162="","",IF(COUNTIF(lst_Jobs,D162&amp;"")&gt;0,"OK","CHECK"))</f>
        <v/>
      </c>
      <c r="F162" s="14" t="n"/>
      <c r="G162" s="14" t="n"/>
      <c r="H162" s="14" t="n"/>
      <c r="I162" s="14" t="n"/>
      <c r="J162" s="16" t="n"/>
      <c r="K162" s="14" t="n"/>
      <c r="L162" s="14" t="n"/>
      <c r="M162" s="14" t="n"/>
      <c r="N162" s="14" t="n"/>
    </row>
    <row r="163" ht="15" customHeight="1">
      <c r="A163" s="55" t="n"/>
      <c r="B163" s="51">
        <f>IF(C163="","",IFERROR(INDEX(tbl_Finance[Date],MATCH(C163&amp;"",tbl_Finance[Xero Invoice No],0)),""))</f>
        <v/>
      </c>
      <c r="C163" s="14" t="n"/>
      <c r="D163" s="14" t="n"/>
      <c r="E163" s="15">
        <f>IF(D163="","",IF(COUNTIF(lst_Jobs,D163&amp;"")&gt;0,"OK","CHECK"))</f>
        <v/>
      </c>
      <c r="F163" s="14" t="n"/>
      <c r="G163" s="14" t="n"/>
      <c r="H163" s="14" t="n"/>
      <c r="I163" s="14" t="n"/>
      <c r="J163" s="16" t="n"/>
      <c r="K163" s="14" t="n"/>
      <c r="L163" s="14" t="n"/>
      <c r="M163" s="14" t="n"/>
      <c r="N163" s="14" t="n"/>
    </row>
    <row r="164" ht="15" customHeight="1">
      <c r="A164" s="55" t="n"/>
      <c r="B164" s="51">
        <f>IF(C164="","",IFERROR(INDEX(tbl_Finance[Date],MATCH(C164&amp;"",tbl_Finance[Xero Invoice No],0)),""))</f>
        <v/>
      </c>
      <c r="C164" s="14" t="n"/>
      <c r="D164" s="14" t="n"/>
      <c r="E164" s="15">
        <f>IF(D164="","",IF(COUNTIF(lst_Jobs,D164&amp;"")&gt;0,"OK","CHECK"))</f>
        <v/>
      </c>
      <c r="F164" s="14" t="n"/>
      <c r="G164" s="14" t="n"/>
      <c r="H164" s="14" t="n"/>
      <c r="I164" s="14" t="n"/>
      <c r="J164" s="16" t="n"/>
      <c r="K164" s="14" t="n"/>
      <c r="L164" s="14" t="n"/>
      <c r="M164" s="14" t="n"/>
      <c r="N164" s="14" t="n"/>
    </row>
    <row r="165" ht="15" customHeight="1">
      <c r="A165" s="55" t="n"/>
      <c r="B165" s="51">
        <f>IF(C165="","",IFERROR(INDEX(tbl_Finance[Date],MATCH(C165&amp;"",tbl_Finance[Xero Invoice No],0)),""))</f>
        <v/>
      </c>
      <c r="C165" s="14" t="n"/>
      <c r="D165" s="14" t="n"/>
      <c r="E165" s="15">
        <f>IF(D165="","",IF(COUNTIF(lst_Jobs,D165&amp;"")&gt;0,"OK","CHECK"))</f>
        <v/>
      </c>
      <c r="F165" s="14" t="n"/>
      <c r="G165" s="14" t="n"/>
      <c r="H165" s="14" t="n"/>
      <c r="I165" s="14" t="n"/>
      <c r="J165" s="16" t="n"/>
      <c r="K165" s="14" t="n"/>
      <c r="L165" s="14" t="n"/>
      <c r="M165" s="14" t="n"/>
      <c r="N165" s="14" t="n"/>
    </row>
    <row r="166" ht="15" customHeight="1">
      <c r="A166" s="55" t="n"/>
      <c r="B166" s="51">
        <f>IF(C166="","",IFERROR(INDEX(tbl_Finance[Date],MATCH(C166&amp;"",tbl_Finance[Xero Invoice No],0)),""))</f>
        <v/>
      </c>
      <c r="C166" s="14" t="n"/>
      <c r="D166" s="14" t="n"/>
      <c r="E166" s="15">
        <f>IF(D166="","",IF(COUNTIF(lst_Jobs,D166&amp;"")&gt;0,"OK","CHECK"))</f>
        <v/>
      </c>
      <c r="F166" s="14" t="n"/>
      <c r="G166" s="14" t="n"/>
      <c r="H166" s="14" t="n"/>
      <c r="I166" s="14" t="n"/>
      <c r="J166" s="16" t="n"/>
      <c r="K166" s="14" t="n"/>
      <c r="L166" s="14" t="n"/>
      <c r="M166" s="14" t="n"/>
      <c r="N166" s="14" t="n"/>
    </row>
    <row r="167" ht="15" customHeight="1">
      <c r="A167" s="55" t="n"/>
      <c r="B167" s="51">
        <f>IF(C167="","",IFERROR(INDEX(tbl_Finance[Date],MATCH(C167&amp;"",tbl_Finance[Xero Invoice No],0)),""))</f>
        <v/>
      </c>
      <c r="C167" s="14" t="n"/>
      <c r="D167" s="14" t="n"/>
      <c r="E167" s="15">
        <f>IF(D167="","",IF(COUNTIF(lst_Jobs,D167&amp;"")&gt;0,"OK","CHECK"))</f>
        <v/>
      </c>
      <c r="F167" s="14" t="n"/>
      <c r="G167" s="14" t="n"/>
      <c r="H167" s="14" t="n"/>
      <c r="I167" s="14" t="n"/>
      <c r="J167" s="16" t="n"/>
      <c r="K167" s="14" t="n"/>
      <c r="L167" s="14" t="n"/>
      <c r="M167" s="14" t="n"/>
      <c r="N167" s="14" t="n"/>
    </row>
    <row r="168" ht="15" customHeight="1">
      <c r="A168" s="55" t="n"/>
      <c r="B168" s="51">
        <f>IF(C168="","",IFERROR(INDEX(tbl_Finance[Date],MATCH(C168&amp;"",tbl_Finance[Xero Invoice No],0)),""))</f>
        <v/>
      </c>
      <c r="C168" s="14" t="n"/>
      <c r="D168" s="14" t="n"/>
      <c r="E168" s="15">
        <f>IF(D168="","",IF(COUNTIF(lst_Jobs,D168&amp;"")&gt;0,"OK","CHECK"))</f>
        <v/>
      </c>
      <c r="F168" s="14" t="n"/>
      <c r="G168" s="14" t="n"/>
      <c r="H168" s="14" t="n"/>
      <c r="I168" s="14" t="n"/>
      <c r="J168" s="16" t="n"/>
      <c r="K168" s="14" t="n"/>
      <c r="L168" s="14" t="n"/>
      <c r="M168" s="14" t="n"/>
      <c r="N168" s="14" t="n"/>
    </row>
    <row r="169" ht="15" customHeight="1">
      <c r="A169" s="55" t="n"/>
      <c r="B169" s="51">
        <f>IF(C169="","",IFERROR(INDEX(tbl_Finance[Date],MATCH(C169&amp;"",tbl_Finance[Xero Invoice No],0)),""))</f>
        <v/>
      </c>
      <c r="C169" s="14" t="n"/>
      <c r="D169" s="14" t="n"/>
      <c r="E169" s="15">
        <f>IF(D169="","",IF(COUNTIF(lst_Jobs,D169&amp;"")&gt;0,"OK","CHECK"))</f>
        <v/>
      </c>
      <c r="F169" s="14" t="n"/>
      <c r="G169" s="14" t="n"/>
      <c r="H169" s="14" t="n"/>
      <c r="I169" s="14" t="n"/>
      <c r="J169" s="16" t="n"/>
      <c r="K169" s="14" t="n"/>
      <c r="L169" s="14" t="n"/>
      <c r="M169" s="14" t="n"/>
      <c r="N169" s="14" t="n"/>
    </row>
    <row r="170" ht="15" customHeight="1">
      <c r="A170" s="55" t="n"/>
      <c r="B170" s="51">
        <f>IF(C170="","",IFERROR(INDEX(tbl_Finance[Date],MATCH(C170&amp;"",tbl_Finance[Xero Invoice No],0)),""))</f>
        <v/>
      </c>
      <c r="C170" s="14" t="n"/>
      <c r="D170" s="14" t="n"/>
      <c r="E170" s="15">
        <f>IF(D170="","",IF(COUNTIF(lst_Jobs,D170&amp;"")&gt;0,"OK","CHECK"))</f>
        <v/>
      </c>
      <c r="F170" s="14" t="n"/>
      <c r="G170" s="14" t="n"/>
      <c r="H170" s="14" t="n"/>
      <c r="I170" s="14" t="n"/>
      <c r="J170" s="16" t="n"/>
      <c r="K170" s="14" t="n"/>
      <c r="L170" s="14" t="n"/>
      <c r="M170" s="14" t="n"/>
      <c r="N170" s="14" t="n"/>
    </row>
    <row r="171" ht="15" customHeight="1">
      <c r="A171" s="55" t="n"/>
      <c r="B171" s="51">
        <f>IF(C171="","",IFERROR(INDEX(tbl_Finance[Date],MATCH(C171&amp;"",tbl_Finance[Xero Invoice No],0)),""))</f>
        <v/>
      </c>
      <c r="C171" s="14" t="n"/>
      <c r="D171" s="14" t="n"/>
      <c r="E171" s="15">
        <f>IF(D171="","",IF(COUNTIF(lst_Jobs,D171&amp;"")&gt;0,"OK","CHECK"))</f>
        <v/>
      </c>
      <c r="F171" s="14" t="n"/>
      <c r="G171" s="14" t="n"/>
      <c r="H171" s="14" t="n"/>
      <c r="I171" s="14" t="n"/>
      <c r="J171" s="16" t="n"/>
      <c r="K171" s="14" t="n"/>
      <c r="L171" s="14" t="n"/>
      <c r="M171" s="14" t="n"/>
      <c r="N171" s="14" t="n"/>
    </row>
    <row r="172" ht="15" customHeight="1">
      <c r="A172" s="55" t="n"/>
      <c r="B172" s="51">
        <f>IF(C172="","",IFERROR(INDEX(tbl_Finance[Date],MATCH(C172&amp;"",tbl_Finance[Xero Invoice No],0)),""))</f>
        <v/>
      </c>
      <c r="C172" s="14" t="n"/>
      <c r="D172" s="14" t="n"/>
      <c r="E172" s="15">
        <f>IF(D172="","",IF(COUNTIF(lst_Jobs,D172&amp;"")&gt;0,"OK","CHECK"))</f>
        <v/>
      </c>
      <c r="F172" s="14" t="n"/>
      <c r="G172" s="14" t="n"/>
      <c r="H172" s="14" t="n"/>
      <c r="I172" s="14" t="n"/>
      <c r="J172" s="16" t="n"/>
      <c r="K172" s="14" t="n"/>
      <c r="L172" s="14" t="n"/>
      <c r="M172" s="14" t="n"/>
      <c r="N172" s="14" t="n"/>
    </row>
    <row r="173" ht="15" customHeight="1">
      <c r="A173" s="55" t="n"/>
      <c r="B173" s="51">
        <f>IF(C173="","",IFERROR(INDEX(tbl_Finance[Date],MATCH(C173&amp;"",tbl_Finance[Xero Invoice No],0)),""))</f>
        <v/>
      </c>
      <c r="C173" s="14" t="n"/>
      <c r="D173" s="14" t="n"/>
      <c r="E173" s="15">
        <f>IF(D173="","",IF(COUNTIF(lst_Jobs,D173&amp;"")&gt;0,"OK","CHECK"))</f>
        <v/>
      </c>
      <c r="F173" s="14" t="n"/>
      <c r="G173" s="14" t="n"/>
      <c r="H173" s="14" t="n"/>
      <c r="I173" s="14" t="n"/>
      <c r="J173" s="16" t="n"/>
      <c r="K173" s="14" t="n"/>
      <c r="L173" s="14" t="n"/>
      <c r="M173" s="14" t="n"/>
      <c r="N173" s="14" t="n"/>
    </row>
    <row r="174" ht="15" customHeight="1">
      <c r="A174" s="55" t="n"/>
      <c r="B174" s="51">
        <f>IF(C174="","",IFERROR(INDEX(tbl_Finance[Date],MATCH(C174&amp;"",tbl_Finance[Xero Invoice No],0)),""))</f>
        <v/>
      </c>
      <c r="C174" s="14" t="n"/>
      <c r="D174" s="14" t="n"/>
      <c r="E174" s="15">
        <f>IF(D174="","",IF(COUNTIF(lst_Jobs,D174&amp;"")&gt;0,"OK","CHECK"))</f>
        <v/>
      </c>
      <c r="F174" s="14" t="n"/>
      <c r="G174" s="14" t="n"/>
      <c r="H174" s="14" t="n"/>
      <c r="I174" s="14" t="n"/>
      <c r="J174" s="16" t="n"/>
      <c r="K174" s="14" t="n"/>
      <c r="L174" s="14" t="n"/>
      <c r="M174" s="14" t="n"/>
      <c r="N174" s="14" t="n"/>
    </row>
    <row r="175" ht="15" customHeight="1">
      <c r="A175" s="55" t="n"/>
      <c r="B175" s="51">
        <f>IF(C175="","",IFERROR(INDEX(tbl_Finance[Date],MATCH(C175&amp;"",tbl_Finance[Xero Invoice No],0)),""))</f>
        <v/>
      </c>
      <c r="C175" s="14" t="n"/>
      <c r="D175" s="14" t="n"/>
      <c r="E175" s="15">
        <f>IF(D175="","",IF(COUNTIF(lst_Jobs,D175&amp;"")&gt;0,"OK","CHECK"))</f>
        <v/>
      </c>
      <c r="F175" s="14" t="n"/>
      <c r="G175" s="14" t="n"/>
      <c r="H175" s="14" t="n"/>
      <c r="I175" s="14" t="n"/>
      <c r="J175" s="16" t="n"/>
      <c r="K175" s="14" t="n"/>
      <c r="L175" s="14" t="n"/>
      <c r="M175" s="14" t="n"/>
      <c r="N175" s="14" t="n"/>
    </row>
    <row r="176" ht="15" customHeight="1">
      <c r="A176" s="55" t="n"/>
      <c r="B176" s="51">
        <f>IF(C176="","",IFERROR(INDEX(tbl_Finance[Date],MATCH(C176&amp;"",tbl_Finance[Xero Invoice No],0)),""))</f>
        <v/>
      </c>
      <c r="C176" s="14" t="n"/>
      <c r="D176" s="14" t="n"/>
      <c r="E176" s="15">
        <f>IF(D176="","",IF(COUNTIF(lst_Jobs,D176&amp;"")&gt;0,"OK","CHECK"))</f>
        <v/>
      </c>
      <c r="F176" s="14" t="n"/>
      <c r="G176" s="14" t="n"/>
      <c r="H176" s="14" t="n"/>
      <c r="I176" s="14" t="n"/>
      <c r="J176" s="16" t="n"/>
      <c r="K176" s="14" t="n"/>
      <c r="L176" s="14" t="n"/>
      <c r="M176" s="14" t="n"/>
      <c r="N176" s="14" t="n"/>
    </row>
    <row r="177" ht="15" customHeight="1">
      <c r="A177" s="55" t="n"/>
      <c r="B177" s="51">
        <f>IF(C177="","",IFERROR(INDEX(tbl_Finance[Date],MATCH(C177&amp;"",tbl_Finance[Xero Invoice No],0)),""))</f>
        <v/>
      </c>
      <c r="C177" s="14" t="n"/>
      <c r="D177" s="14" t="n"/>
      <c r="E177" s="15">
        <f>IF(D177="","",IF(COUNTIF(lst_Jobs,D177&amp;"")&gt;0,"OK","CHECK"))</f>
        <v/>
      </c>
      <c r="F177" s="14" t="n"/>
      <c r="G177" s="14" t="n"/>
      <c r="H177" s="14" t="n"/>
      <c r="I177" s="14" t="n"/>
      <c r="J177" s="16" t="n"/>
      <c r="K177" s="14" t="n"/>
      <c r="L177" s="14" t="n"/>
      <c r="M177" s="14" t="n"/>
      <c r="N177" s="14" t="n"/>
    </row>
    <row r="178" ht="15" customHeight="1">
      <c r="A178" s="55" t="n"/>
      <c r="B178" s="51">
        <f>IF(C178="","",IFERROR(INDEX(tbl_Finance[Date],MATCH(C178&amp;"",tbl_Finance[Xero Invoice No],0)),""))</f>
        <v/>
      </c>
      <c r="C178" s="14" t="n"/>
      <c r="D178" s="14" t="n"/>
      <c r="E178" s="15">
        <f>IF(D178="","",IF(COUNTIF(lst_Jobs,D178&amp;"")&gt;0,"OK","CHECK"))</f>
        <v/>
      </c>
      <c r="F178" s="14" t="n"/>
      <c r="G178" s="14" t="n"/>
      <c r="H178" s="14" t="n"/>
      <c r="I178" s="14" t="n"/>
      <c r="J178" s="16" t="n"/>
      <c r="K178" s="14" t="n"/>
      <c r="L178" s="14" t="n"/>
      <c r="M178" s="14" t="n"/>
      <c r="N178" s="14" t="n"/>
    </row>
    <row r="179" ht="15" customHeight="1">
      <c r="A179" s="55" t="n"/>
      <c r="B179" s="51">
        <f>IF(C179="","",IFERROR(INDEX(tbl_Finance[Date],MATCH(C179&amp;"",tbl_Finance[Xero Invoice No],0)),""))</f>
        <v/>
      </c>
      <c r="C179" s="14" t="n"/>
      <c r="D179" s="14" t="n"/>
      <c r="E179" s="15">
        <f>IF(D179="","",IF(COUNTIF(lst_Jobs,D179&amp;"")&gt;0,"OK","CHECK"))</f>
        <v/>
      </c>
      <c r="F179" s="14" t="n"/>
      <c r="G179" s="14" t="n"/>
      <c r="H179" s="14" t="n"/>
      <c r="I179" s="14" t="n"/>
      <c r="J179" s="16" t="n"/>
      <c r="K179" s="14" t="n"/>
      <c r="L179" s="14" t="n"/>
      <c r="M179" s="14" t="n"/>
      <c r="N179" s="14" t="n"/>
    </row>
    <row r="180" ht="15" customHeight="1">
      <c r="A180" s="55" t="n"/>
      <c r="B180" s="51">
        <f>IF(C180="","",IFERROR(INDEX(tbl_Finance[Date],MATCH(C180&amp;"",tbl_Finance[Xero Invoice No],0)),""))</f>
        <v/>
      </c>
      <c r="C180" s="14" t="n"/>
      <c r="D180" s="14" t="n"/>
      <c r="E180" s="15">
        <f>IF(D180="","",IF(COUNTIF(lst_Jobs,D180&amp;"")&gt;0,"OK","CHECK"))</f>
        <v/>
      </c>
      <c r="F180" s="14" t="n"/>
      <c r="G180" s="14" t="n"/>
      <c r="H180" s="14" t="n"/>
      <c r="I180" s="14" t="n"/>
      <c r="J180" s="16" t="n"/>
      <c r="K180" s="14" t="n"/>
      <c r="L180" s="14" t="n"/>
      <c r="M180" s="14" t="n"/>
      <c r="N180" s="14" t="n"/>
    </row>
    <row r="181" ht="15" customHeight="1">
      <c r="A181" s="55" t="n"/>
      <c r="B181" s="51">
        <f>IF(C181="","",IFERROR(INDEX(tbl_Finance[Date],MATCH(C181&amp;"",tbl_Finance[Xero Invoice No],0)),""))</f>
        <v/>
      </c>
      <c r="C181" s="14" t="n"/>
      <c r="D181" s="14" t="n"/>
      <c r="E181" s="15">
        <f>IF(D181="","",IF(COUNTIF(lst_Jobs,D181&amp;"")&gt;0,"OK","CHECK"))</f>
        <v/>
      </c>
      <c r="F181" s="14" t="n"/>
      <c r="G181" s="14" t="n"/>
      <c r="H181" s="14" t="n"/>
      <c r="I181" s="14" t="n"/>
      <c r="J181" s="16" t="n"/>
      <c r="K181" s="14" t="n"/>
      <c r="L181" s="14" t="n"/>
      <c r="M181" s="14" t="n"/>
      <c r="N181" s="14" t="n"/>
    </row>
    <row r="182" ht="15" customHeight="1">
      <c r="A182" s="55" t="n"/>
      <c r="B182" s="51">
        <f>IF(C182="","",IFERROR(INDEX(tbl_Finance[Date],MATCH(C182&amp;"",tbl_Finance[Xero Invoice No],0)),""))</f>
        <v/>
      </c>
      <c r="C182" s="14" t="n"/>
      <c r="D182" s="14" t="n"/>
      <c r="E182" s="15">
        <f>IF(D182="","",IF(COUNTIF(lst_Jobs,D182&amp;"")&gt;0,"OK","CHECK"))</f>
        <v/>
      </c>
      <c r="F182" s="14" t="n"/>
      <c r="G182" s="14" t="n"/>
      <c r="H182" s="14" t="n"/>
      <c r="I182" s="14" t="n"/>
      <c r="J182" s="16" t="n"/>
      <c r="K182" s="14" t="n"/>
      <c r="L182" s="14" t="n"/>
      <c r="M182" s="14" t="n"/>
      <c r="N182" s="14" t="n"/>
    </row>
    <row r="183" ht="15" customHeight="1">
      <c r="A183" s="55" t="n"/>
      <c r="B183" s="51">
        <f>IF(C183="","",IFERROR(INDEX(tbl_Finance[Date],MATCH(C183&amp;"",tbl_Finance[Xero Invoice No],0)),""))</f>
        <v/>
      </c>
      <c r="C183" s="14" t="n"/>
      <c r="D183" s="14" t="n"/>
      <c r="E183" s="15">
        <f>IF(D183="","",IF(COUNTIF(lst_Jobs,D183&amp;"")&gt;0,"OK","CHECK"))</f>
        <v/>
      </c>
      <c r="F183" s="14" t="n"/>
      <c r="G183" s="14" t="n"/>
      <c r="H183" s="14" t="n"/>
      <c r="I183" s="14" t="n"/>
      <c r="J183" s="16" t="n"/>
      <c r="K183" s="14" t="n"/>
      <c r="L183" s="14" t="n"/>
      <c r="M183" s="14" t="n"/>
      <c r="N183" s="14" t="n"/>
    </row>
    <row r="184" ht="15" customHeight="1">
      <c r="A184" s="55" t="n"/>
      <c r="B184" s="51">
        <f>IF(C184="","",IFERROR(INDEX(tbl_Finance[Date],MATCH(C184&amp;"",tbl_Finance[Xero Invoice No],0)),""))</f>
        <v/>
      </c>
      <c r="C184" s="14" t="n"/>
      <c r="D184" s="14" t="n"/>
      <c r="E184" s="15">
        <f>IF(D184="","",IF(COUNTIF(lst_Jobs,D184&amp;"")&gt;0,"OK","CHECK"))</f>
        <v/>
      </c>
      <c r="F184" s="14" t="n"/>
      <c r="G184" s="14" t="n"/>
      <c r="H184" s="14" t="n"/>
      <c r="I184" s="14" t="n"/>
      <c r="J184" s="16" t="n"/>
      <c r="K184" s="14" t="n"/>
      <c r="L184" s="14" t="n"/>
      <c r="M184" s="14" t="n"/>
      <c r="N184" s="14" t="n"/>
    </row>
    <row r="185" ht="15" customHeight="1">
      <c r="A185" s="55" t="n"/>
      <c r="B185" s="51">
        <f>IF(C185="","",IFERROR(INDEX(tbl_Finance[Date],MATCH(C185&amp;"",tbl_Finance[Xero Invoice No],0)),""))</f>
        <v/>
      </c>
      <c r="C185" s="14" t="n"/>
      <c r="D185" s="14" t="n"/>
      <c r="E185" s="15">
        <f>IF(D185="","",IF(COUNTIF(lst_Jobs,D185&amp;"")&gt;0,"OK","CHECK"))</f>
        <v/>
      </c>
      <c r="F185" s="14" t="n"/>
      <c r="G185" s="14" t="n"/>
      <c r="H185" s="14" t="n"/>
      <c r="I185" s="14" t="n"/>
      <c r="J185" s="16" t="n"/>
      <c r="K185" s="14" t="n"/>
      <c r="L185" s="14" t="n"/>
      <c r="M185" s="14" t="n"/>
      <c r="N185" s="14" t="n"/>
    </row>
    <row r="186" ht="15" customHeight="1">
      <c r="A186" s="55" t="n"/>
      <c r="B186" s="51">
        <f>IF(C186="","",IFERROR(INDEX(tbl_Finance[Date],MATCH(C186&amp;"",tbl_Finance[Xero Invoice No],0)),""))</f>
        <v/>
      </c>
      <c r="C186" s="14" t="n"/>
      <c r="D186" s="14" t="n"/>
      <c r="E186" s="15">
        <f>IF(D186="","",IF(COUNTIF(lst_Jobs,D186&amp;"")&gt;0,"OK","CHECK"))</f>
        <v/>
      </c>
      <c r="F186" s="14" t="n"/>
      <c r="G186" s="14" t="n"/>
      <c r="H186" s="14" t="n"/>
      <c r="I186" s="14" t="n"/>
      <c r="J186" s="16" t="n"/>
      <c r="K186" s="14" t="n"/>
      <c r="L186" s="14" t="n"/>
      <c r="M186" s="14" t="n"/>
      <c r="N186" s="14" t="n"/>
    </row>
    <row r="187" ht="15" customHeight="1">
      <c r="A187" s="55" t="n"/>
      <c r="B187" s="51">
        <f>IF(C187="","",IFERROR(INDEX(tbl_Finance[Date],MATCH(C187&amp;"",tbl_Finance[Xero Invoice No],0)),""))</f>
        <v/>
      </c>
      <c r="C187" s="14" t="n"/>
      <c r="D187" s="14" t="n"/>
      <c r="E187" s="15">
        <f>IF(D187="","",IF(COUNTIF(lst_Jobs,D187&amp;"")&gt;0,"OK","CHECK"))</f>
        <v/>
      </c>
      <c r="F187" s="14" t="n"/>
      <c r="G187" s="14" t="n"/>
      <c r="H187" s="14" t="n"/>
      <c r="I187" s="14" t="n"/>
      <c r="J187" s="16" t="n"/>
      <c r="K187" s="14" t="n"/>
      <c r="L187" s="14" t="n"/>
      <c r="M187" s="14" t="n"/>
      <c r="N187" s="14" t="n"/>
    </row>
    <row r="188" ht="15" customHeight="1">
      <c r="A188" s="55" t="n"/>
      <c r="B188" s="51">
        <f>IF(C188="","",IFERROR(INDEX(tbl_Finance[Date],MATCH(C188&amp;"",tbl_Finance[Xero Invoice No],0)),""))</f>
        <v/>
      </c>
      <c r="C188" s="14" t="n"/>
      <c r="D188" s="14" t="n"/>
      <c r="E188" s="15">
        <f>IF(D188="","",IF(COUNTIF(lst_Jobs,D188&amp;"")&gt;0,"OK","CHECK"))</f>
        <v/>
      </c>
      <c r="F188" s="14" t="n"/>
      <c r="G188" s="14" t="n"/>
      <c r="H188" s="14" t="n"/>
      <c r="I188" s="14" t="n"/>
      <c r="J188" s="16" t="n"/>
      <c r="K188" s="14" t="n"/>
      <c r="L188" s="14" t="n"/>
      <c r="M188" s="14" t="n"/>
      <c r="N188" s="14" t="n"/>
    </row>
    <row r="189" ht="15" customHeight="1">
      <c r="A189" s="55" t="n"/>
      <c r="B189" s="51">
        <f>IF(C189="","",IFERROR(INDEX(tbl_Finance[Date],MATCH(C189&amp;"",tbl_Finance[Xero Invoice No],0)),""))</f>
        <v/>
      </c>
      <c r="C189" s="14" t="n"/>
      <c r="D189" s="14" t="n"/>
      <c r="E189" s="15">
        <f>IF(D189="","",IF(COUNTIF(lst_Jobs,D189&amp;"")&gt;0,"OK","CHECK"))</f>
        <v/>
      </c>
      <c r="F189" s="14" t="n"/>
      <c r="G189" s="14" t="n"/>
      <c r="H189" s="14" t="n"/>
      <c r="I189" s="14" t="n"/>
      <c r="J189" s="16" t="n"/>
      <c r="K189" s="14" t="n"/>
      <c r="L189" s="14" t="n"/>
      <c r="M189" s="14" t="n"/>
      <c r="N189" s="14" t="n"/>
    </row>
    <row r="190" ht="15" customHeight="1">
      <c r="A190" s="55" t="n"/>
      <c r="B190" s="51">
        <f>IF(C190="","",IFERROR(INDEX(tbl_Finance[Date],MATCH(C190&amp;"",tbl_Finance[Xero Invoice No],0)),""))</f>
        <v/>
      </c>
      <c r="C190" s="14" t="n"/>
      <c r="D190" s="14" t="n"/>
      <c r="E190" s="15">
        <f>IF(D190="","",IF(COUNTIF(lst_Jobs,D190&amp;"")&gt;0,"OK","CHECK"))</f>
        <v/>
      </c>
      <c r="F190" s="14" t="n"/>
      <c r="G190" s="14" t="n"/>
      <c r="H190" s="14" t="n"/>
      <c r="I190" s="14" t="n"/>
      <c r="J190" s="16" t="n"/>
      <c r="K190" s="14" t="n"/>
      <c r="L190" s="14" t="n"/>
      <c r="M190" s="14" t="n"/>
      <c r="N190" s="14" t="n"/>
    </row>
    <row r="191" ht="15" customHeight="1">
      <c r="A191" s="55" t="n"/>
      <c r="B191" s="51">
        <f>IF(C191="","",IFERROR(INDEX(tbl_Finance[Date],MATCH(C191&amp;"",tbl_Finance[Xero Invoice No],0)),""))</f>
        <v/>
      </c>
      <c r="C191" s="14" t="n"/>
      <c r="D191" s="14" t="n"/>
      <c r="E191" s="15">
        <f>IF(D191="","",IF(COUNTIF(lst_Jobs,D191&amp;"")&gt;0,"OK","CHECK"))</f>
        <v/>
      </c>
      <c r="F191" s="14" t="n"/>
      <c r="G191" s="14" t="n"/>
      <c r="H191" s="14" t="n"/>
      <c r="I191" s="14" t="n"/>
      <c r="J191" s="16" t="n"/>
      <c r="K191" s="14" t="n"/>
      <c r="L191" s="14" t="n"/>
      <c r="M191" s="14" t="n"/>
      <c r="N191" s="14" t="n"/>
    </row>
    <row r="192" ht="15" customHeight="1">
      <c r="A192" s="55" t="n"/>
      <c r="B192" s="51">
        <f>IF(C192="","",IFERROR(INDEX(tbl_Finance[Date],MATCH(C192&amp;"",tbl_Finance[Xero Invoice No],0)),""))</f>
        <v/>
      </c>
      <c r="C192" s="14" t="n"/>
      <c r="D192" s="14" t="n"/>
      <c r="E192" s="15">
        <f>IF(D192="","",IF(COUNTIF(lst_Jobs,D192&amp;"")&gt;0,"OK","CHECK"))</f>
        <v/>
      </c>
      <c r="F192" s="14" t="n"/>
      <c r="G192" s="14" t="n"/>
      <c r="H192" s="14" t="n"/>
      <c r="I192" s="14" t="n"/>
      <c r="J192" s="16" t="n"/>
      <c r="K192" s="14" t="n"/>
      <c r="L192" s="14" t="n"/>
      <c r="M192" s="14" t="n"/>
      <c r="N192" s="14" t="n"/>
    </row>
    <row r="193" ht="15" customHeight="1">
      <c r="A193" s="55" t="n"/>
      <c r="B193" s="51">
        <f>IF(C193="","",IFERROR(INDEX(tbl_Finance[Date],MATCH(C193&amp;"",tbl_Finance[Xero Invoice No],0)),""))</f>
        <v/>
      </c>
      <c r="C193" s="14" t="n"/>
      <c r="D193" s="14" t="n"/>
      <c r="E193" s="15">
        <f>IF(D193="","",IF(COUNTIF(lst_Jobs,D193&amp;"")&gt;0,"OK","CHECK"))</f>
        <v/>
      </c>
      <c r="F193" s="14" t="n"/>
      <c r="G193" s="14" t="n"/>
      <c r="H193" s="14" t="n"/>
      <c r="I193" s="14" t="n"/>
      <c r="J193" s="16" t="n"/>
      <c r="K193" s="14" t="n"/>
      <c r="L193" s="14" t="n"/>
      <c r="M193" s="14" t="n"/>
      <c r="N193" s="14" t="n"/>
    </row>
    <row r="194" ht="15" customHeight="1">
      <c r="A194" s="55" t="n"/>
      <c r="B194" s="51">
        <f>IF(C194="","",IFERROR(INDEX(tbl_Finance[Date],MATCH(C194&amp;"",tbl_Finance[Xero Invoice No],0)),""))</f>
        <v/>
      </c>
      <c r="C194" s="14" t="n"/>
      <c r="D194" s="14" t="n"/>
      <c r="E194" s="15">
        <f>IF(D194="","",IF(COUNTIF(lst_Jobs,D194&amp;"")&gt;0,"OK","CHECK"))</f>
        <v/>
      </c>
      <c r="F194" s="14" t="n"/>
      <c r="G194" s="14" t="n"/>
      <c r="H194" s="14" t="n"/>
      <c r="I194" s="14" t="n"/>
      <c r="J194" s="16" t="n"/>
      <c r="K194" s="14" t="n"/>
      <c r="L194" s="14" t="n"/>
      <c r="M194" s="14" t="n"/>
      <c r="N194" s="14" t="n"/>
    </row>
    <row r="195" ht="15" customHeight="1">
      <c r="A195" s="55" t="n"/>
      <c r="B195" s="51">
        <f>IF(C195="","",IFERROR(INDEX(tbl_Finance[Date],MATCH(C195&amp;"",tbl_Finance[Xero Invoice No],0)),""))</f>
        <v/>
      </c>
      <c r="C195" s="14" t="n"/>
      <c r="D195" s="14" t="n"/>
      <c r="E195" s="15">
        <f>IF(D195="","",IF(COUNTIF(lst_Jobs,D195&amp;"")&gt;0,"OK","CHECK"))</f>
        <v/>
      </c>
      <c r="F195" s="14" t="n"/>
      <c r="G195" s="14" t="n"/>
      <c r="H195" s="14" t="n"/>
      <c r="I195" s="14" t="n"/>
      <c r="J195" s="16" t="n"/>
      <c r="K195" s="14" t="n"/>
      <c r="L195" s="14" t="n"/>
      <c r="M195" s="14" t="n"/>
      <c r="N195" s="14" t="n"/>
    </row>
    <row r="196" ht="15" customHeight="1">
      <c r="A196" s="55" t="n"/>
      <c r="B196" s="51">
        <f>IF(C196="","",IFERROR(INDEX(tbl_Finance[Date],MATCH(C196&amp;"",tbl_Finance[Xero Invoice No],0)),""))</f>
        <v/>
      </c>
      <c r="C196" s="14" t="n"/>
      <c r="D196" s="14" t="n"/>
      <c r="E196" s="15">
        <f>IF(D196="","",IF(COUNTIF(lst_Jobs,D196&amp;"")&gt;0,"OK","CHECK"))</f>
        <v/>
      </c>
      <c r="F196" s="14" t="n"/>
      <c r="G196" s="14" t="n"/>
      <c r="H196" s="14" t="n"/>
      <c r="I196" s="14" t="n"/>
      <c r="J196" s="16" t="n"/>
      <c r="K196" s="14" t="n"/>
      <c r="L196" s="14" t="n"/>
      <c r="M196" s="14" t="n"/>
      <c r="N196" s="14" t="n"/>
    </row>
    <row r="197" ht="15" customHeight="1">
      <c r="A197" s="55" t="n"/>
      <c r="B197" s="51">
        <f>IF(C197="","",IFERROR(INDEX(tbl_Finance[Date],MATCH(C197&amp;"",tbl_Finance[Xero Invoice No],0)),""))</f>
        <v/>
      </c>
      <c r="C197" s="14" t="n"/>
      <c r="D197" s="14" t="n"/>
      <c r="E197" s="15">
        <f>IF(D197="","",IF(COUNTIF(lst_Jobs,D197&amp;"")&gt;0,"OK","CHECK"))</f>
        <v/>
      </c>
      <c r="F197" s="14" t="n"/>
      <c r="G197" s="14" t="n"/>
      <c r="H197" s="14" t="n"/>
      <c r="I197" s="14" t="n"/>
      <c r="J197" s="16" t="n"/>
      <c r="K197" s="14" t="n"/>
      <c r="L197" s="14" t="n"/>
      <c r="M197" s="14" t="n"/>
      <c r="N197" s="14" t="n"/>
    </row>
    <row r="198" ht="15" customHeight="1">
      <c r="A198" s="55" t="n"/>
      <c r="B198" s="51">
        <f>IF(C198="","",IFERROR(INDEX(tbl_Finance[Date],MATCH(C198&amp;"",tbl_Finance[Xero Invoice No],0)),""))</f>
        <v/>
      </c>
      <c r="C198" s="14" t="n"/>
      <c r="D198" s="14" t="n"/>
      <c r="E198" s="15">
        <f>IF(D198="","",IF(COUNTIF(lst_Jobs,D198&amp;"")&gt;0,"OK","CHECK"))</f>
        <v/>
      </c>
      <c r="F198" s="14" t="n"/>
      <c r="G198" s="14" t="n"/>
      <c r="H198" s="14" t="n"/>
      <c r="I198" s="14" t="n"/>
      <c r="J198" s="16" t="n"/>
      <c r="K198" s="14" t="n"/>
      <c r="L198" s="14" t="n"/>
      <c r="M198" s="14" t="n"/>
      <c r="N198" s="14" t="n"/>
    </row>
    <row r="199" ht="15" customHeight="1">
      <c r="A199" s="55" t="n"/>
      <c r="B199" s="51">
        <f>IF(C199="","",IFERROR(INDEX(tbl_Finance[Date],MATCH(C199&amp;"",tbl_Finance[Xero Invoice No],0)),""))</f>
        <v/>
      </c>
      <c r="C199" s="14" t="n"/>
      <c r="D199" s="14" t="n"/>
      <c r="E199" s="15">
        <f>IF(D199="","",IF(COUNTIF(lst_Jobs,D199&amp;"")&gt;0,"OK","CHECK"))</f>
        <v/>
      </c>
      <c r="F199" s="14" t="n"/>
      <c r="G199" s="14" t="n"/>
      <c r="H199" s="14" t="n"/>
      <c r="I199" s="14" t="n"/>
      <c r="J199" s="16" t="n"/>
      <c r="K199" s="14" t="n"/>
      <c r="L199" s="14" t="n"/>
      <c r="M199" s="14" t="n"/>
      <c r="N199" s="14" t="n"/>
    </row>
    <row r="200" ht="15" customHeight="1">
      <c r="A200" s="55" t="n"/>
      <c r="B200" s="51">
        <f>IF(C200="","",IFERROR(INDEX(tbl_Finance[Date],MATCH(C200&amp;"",tbl_Finance[Xero Invoice No],0)),""))</f>
        <v/>
      </c>
      <c r="C200" s="14" t="n"/>
      <c r="D200" s="14" t="n"/>
      <c r="E200" s="15">
        <f>IF(D200="","",IF(COUNTIF(lst_Jobs,D200&amp;"")&gt;0,"OK","CHECK"))</f>
        <v/>
      </c>
      <c r="F200" s="14" t="n"/>
      <c r="G200" s="14" t="n"/>
      <c r="H200" s="14" t="n"/>
      <c r="I200" s="14" t="n"/>
      <c r="J200" s="16" t="n"/>
      <c r="K200" s="14" t="n"/>
      <c r="L200" s="14" t="n"/>
      <c r="M200" s="14" t="n"/>
      <c r="N200" s="14" t="n"/>
    </row>
    <row r="201" ht="15" customHeight="1">
      <c r="A201" s="55" t="n"/>
      <c r="B201" s="51">
        <f>IF(C201="","",IFERROR(INDEX(tbl_Finance[Date],MATCH(C201&amp;"",tbl_Finance[Xero Invoice No],0)),""))</f>
        <v/>
      </c>
      <c r="C201" s="14" t="n"/>
      <c r="D201" s="14" t="n"/>
      <c r="E201" s="15">
        <f>IF(D201="","",IF(COUNTIF(lst_Jobs,D201&amp;"")&gt;0,"OK","CHECK"))</f>
        <v/>
      </c>
      <c r="F201" s="14" t="n"/>
      <c r="G201" s="14" t="n"/>
      <c r="H201" s="14" t="n"/>
      <c r="I201" s="14" t="n"/>
      <c r="J201" s="16" t="n"/>
      <c r="K201" s="14" t="n"/>
      <c r="L201" s="14" t="n"/>
      <c r="M201" s="14" t="n"/>
      <c r="N201" s="14" t="n"/>
    </row>
    <row r="202" ht="15" customHeight="1">
      <c r="A202" s="55" t="n"/>
      <c r="B202" s="51">
        <f>IF(C202="","",IFERROR(INDEX(tbl_Finance[Date],MATCH(C202&amp;"",tbl_Finance[Xero Invoice No],0)),""))</f>
        <v/>
      </c>
      <c r="C202" s="14" t="n"/>
      <c r="D202" s="14" t="n"/>
      <c r="E202" s="15">
        <f>IF(D202="","",IF(COUNTIF(lst_Jobs,D202&amp;"")&gt;0,"OK","CHECK"))</f>
        <v/>
      </c>
      <c r="F202" s="14" t="n"/>
      <c r="G202" s="14" t="n"/>
      <c r="H202" s="14" t="n"/>
      <c r="I202" s="14" t="n"/>
      <c r="J202" s="16" t="n"/>
      <c r="K202" s="14" t="n"/>
      <c r="L202" s="14" t="n"/>
      <c r="M202" s="14" t="n"/>
      <c r="N202" s="14" t="n"/>
    </row>
    <row r="203" ht="15" customHeight="1">
      <c r="A203" s="55" t="n"/>
      <c r="B203" s="51">
        <f>IF(C203="","",IFERROR(INDEX(tbl_Finance[Date],MATCH(C203&amp;"",tbl_Finance[Xero Invoice No],0)),""))</f>
        <v/>
      </c>
      <c r="C203" s="14" t="n"/>
      <c r="D203" s="14" t="n"/>
      <c r="E203" s="15">
        <f>IF(D203="","",IF(COUNTIF(lst_Jobs,D203&amp;"")&gt;0,"OK","CHECK"))</f>
        <v/>
      </c>
      <c r="F203" s="14" t="n"/>
      <c r="G203" s="14" t="n"/>
      <c r="H203" s="14" t="n"/>
      <c r="I203" s="14" t="n"/>
      <c r="J203" s="16" t="n"/>
      <c r="K203" s="14" t="n"/>
      <c r="L203" s="14" t="n"/>
      <c r="M203" s="14" t="n"/>
      <c r="N203" s="14" t="n"/>
    </row>
    <row r="204" ht="15" customHeight="1">
      <c r="A204" s="55" t="n"/>
      <c r="B204" s="51">
        <f>IF(C204="","",IFERROR(INDEX(tbl_Finance[Date],MATCH(C204&amp;"",tbl_Finance[Xero Invoice No],0)),""))</f>
        <v/>
      </c>
      <c r="C204" s="14" t="n"/>
      <c r="D204" s="14" t="n"/>
      <c r="E204" s="15">
        <f>IF(D204="","",IF(COUNTIF(lst_Jobs,D204&amp;"")&gt;0,"OK","CHECK"))</f>
        <v/>
      </c>
      <c r="F204" s="14" t="n"/>
      <c r="G204" s="14" t="n"/>
      <c r="H204" s="14" t="n"/>
      <c r="I204" s="14" t="n"/>
      <c r="J204" s="16" t="n"/>
      <c r="K204" s="14" t="n"/>
      <c r="L204" s="14" t="n"/>
      <c r="M204" s="14" t="n"/>
      <c r="N204" s="14" t="n"/>
    </row>
    <row r="205" ht="15" customHeight="1">
      <c r="A205" s="55" t="n"/>
      <c r="B205" s="51">
        <f>IF(C205="","",IFERROR(INDEX(tbl_Finance[Date],MATCH(C205&amp;"",tbl_Finance[Xero Invoice No],0)),""))</f>
        <v/>
      </c>
      <c r="C205" s="14" t="n"/>
      <c r="D205" s="14" t="n"/>
      <c r="E205" s="15">
        <f>IF(D205="","",IF(COUNTIF(lst_Jobs,D205&amp;"")&gt;0,"OK","CHECK"))</f>
        <v/>
      </c>
      <c r="F205" s="14" t="n"/>
      <c r="G205" s="14" t="n"/>
      <c r="H205" s="14" t="n"/>
      <c r="I205" s="14" t="n"/>
      <c r="J205" s="16" t="n"/>
      <c r="K205" s="14" t="n"/>
      <c r="L205" s="14" t="n"/>
      <c r="M205" s="14" t="n"/>
      <c r="N205" s="14" t="n"/>
    </row>
    <row r="206" ht="15" customHeight="1">
      <c r="A206" s="55" t="n"/>
      <c r="B206" s="51">
        <f>IF(C206="","",IFERROR(INDEX(tbl_Finance[Date],MATCH(C206&amp;"",tbl_Finance[Xero Invoice No],0)),""))</f>
        <v/>
      </c>
      <c r="C206" s="14" t="n"/>
      <c r="D206" s="14" t="n"/>
      <c r="E206" s="15">
        <f>IF(D206="","",IF(COUNTIF(lst_Jobs,D206&amp;"")&gt;0,"OK","CHECK"))</f>
        <v/>
      </c>
      <c r="F206" s="14" t="n"/>
      <c r="G206" s="14" t="n"/>
      <c r="H206" s="14" t="n"/>
      <c r="I206" s="14" t="n"/>
      <c r="J206" s="16" t="n"/>
      <c r="K206" s="14" t="n"/>
      <c r="L206" s="14" t="n"/>
      <c r="M206" s="14" t="n"/>
      <c r="N206" s="14" t="n"/>
    </row>
    <row r="207" ht="15" customHeight="1">
      <c r="A207" s="55" t="n"/>
      <c r="B207" s="51">
        <f>IF(C207="","",IFERROR(INDEX(tbl_Finance[Date],MATCH(C207&amp;"",tbl_Finance[Xero Invoice No],0)),""))</f>
        <v/>
      </c>
      <c r="C207" s="14" t="n"/>
      <c r="D207" s="14" t="n"/>
      <c r="E207" s="15">
        <f>IF(D207="","",IF(COUNTIF(lst_Jobs,D207&amp;"")&gt;0,"OK","CHECK"))</f>
        <v/>
      </c>
      <c r="F207" s="14" t="n"/>
      <c r="G207" s="14" t="n"/>
      <c r="H207" s="14" t="n"/>
      <c r="I207" s="14" t="n"/>
      <c r="J207" s="16" t="n"/>
      <c r="K207" s="14" t="n"/>
      <c r="L207" s="14" t="n"/>
      <c r="M207" s="14" t="n"/>
      <c r="N207" s="14" t="n"/>
    </row>
    <row r="208" ht="15" customHeight="1">
      <c r="A208" s="55" t="n"/>
      <c r="B208" s="51">
        <f>IF(C208="","",IFERROR(INDEX(tbl_Finance[Date],MATCH(C208&amp;"",tbl_Finance[Xero Invoice No],0)),""))</f>
        <v/>
      </c>
      <c r="C208" s="14" t="n"/>
      <c r="D208" s="14" t="n"/>
      <c r="E208" s="15">
        <f>IF(D208="","",IF(COUNTIF(lst_Jobs,D208&amp;"")&gt;0,"OK","CHECK"))</f>
        <v/>
      </c>
      <c r="F208" s="14" t="n"/>
      <c r="G208" s="14" t="n"/>
      <c r="H208" s="14" t="n"/>
      <c r="I208" s="14" t="n"/>
      <c r="J208" s="16" t="n"/>
      <c r="K208" s="14" t="n"/>
      <c r="L208" s="14" t="n"/>
      <c r="M208" s="14" t="n"/>
      <c r="N208" s="14" t="n"/>
    </row>
    <row r="209" ht="15" customHeight="1">
      <c r="A209" s="55" t="n"/>
      <c r="B209" s="51">
        <f>IF(C209="","",IFERROR(INDEX(tbl_Finance[Date],MATCH(C209&amp;"",tbl_Finance[Xero Invoice No],0)),""))</f>
        <v/>
      </c>
      <c r="C209" s="14" t="n"/>
      <c r="D209" s="14" t="n"/>
      <c r="E209" s="15">
        <f>IF(D209="","",IF(COUNTIF(lst_Jobs,D209&amp;"")&gt;0,"OK","CHECK"))</f>
        <v/>
      </c>
      <c r="F209" s="14" t="n"/>
      <c r="G209" s="14" t="n"/>
      <c r="H209" s="14" t="n"/>
      <c r="I209" s="14" t="n"/>
      <c r="J209" s="16" t="n"/>
      <c r="K209" s="14" t="n"/>
      <c r="L209" s="14" t="n"/>
      <c r="M209" s="14" t="n"/>
      <c r="N209" s="14" t="n"/>
    </row>
    <row r="210" ht="15" customHeight="1">
      <c r="A210" s="55" t="n"/>
      <c r="B210" s="51">
        <f>IF(C210="","",IFERROR(INDEX(tbl_Finance[Date],MATCH(C210&amp;"",tbl_Finance[Xero Invoice No],0)),""))</f>
        <v/>
      </c>
      <c r="C210" s="14" t="n"/>
      <c r="D210" s="14" t="n"/>
      <c r="E210" s="15">
        <f>IF(D210="","",IF(COUNTIF(lst_Jobs,D210&amp;"")&gt;0,"OK","CHECK"))</f>
        <v/>
      </c>
      <c r="F210" s="14" t="n"/>
      <c r="G210" s="14" t="n"/>
      <c r="H210" s="14" t="n"/>
      <c r="I210" s="14" t="n"/>
      <c r="J210" s="16" t="n"/>
      <c r="K210" s="14" t="n"/>
      <c r="L210" s="14" t="n"/>
      <c r="M210" s="14" t="n"/>
      <c r="N210" s="14" t="n"/>
    </row>
    <row r="211" ht="15" customHeight="1">
      <c r="A211" s="55" t="n"/>
      <c r="B211" s="51">
        <f>IF(C211="","",IFERROR(INDEX(tbl_Finance[Date],MATCH(C211&amp;"",tbl_Finance[Xero Invoice No],0)),""))</f>
        <v/>
      </c>
      <c r="C211" s="14" t="n"/>
      <c r="D211" s="14" t="n"/>
      <c r="E211" s="15">
        <f>IF(D211="","",IF(COUNTIF(lst_Jobs,D211&amp;"")&gt;0,"OK","CHECK"))</f>
        <v/>
      </c>
      <c r="F211" s="14" t="n"/>
      <c r="G211" s="14" t="n"/>
      <c r="H211" s="14" t="n"/>
      <c r="I211" s="14" t="n"/>
      <c r="J211" s="16" t="n"/>
      <c r="K211" s="14" t="n"/>
      <c r="L211" s="14" t="n"/>
      <c r="M211" s="14" t="n"/>
      <c r="N211" s="14" t="n"/>
    </row>
    <row r="212" ht="15" customHeight="1">
      <c r="A212" s="55" t="n"/>
      <c r="B212" s="51">
        <f>IF(C212="","",IFERROR(INDEX(tbl_Finance[Date],MATCH(C212&amp;"",tbl_Finance[Xero Invoice No],0)),""))</f>
        <v/>
      </c>
      <c r="C212" s="14" t="n"/>
      <c r="D212" s="14" t="n"/>
      <c r="E212" s="15">
        <f>IF(D212="","",IF(COUNTIF(lst_Jobs,D212&amp;"")&gt;0,"OK","CHECK"))</f>
        <v/>
      </c>
      <c r="F212" s="14" t="n"/>
      <c r="G212" s="14" t="n"/>
      <c r="H212" s="14" t="n"/>
      <c r="I212" s="14" t="n"/>
      <c r="J212" s="16" t="n"/>
      <c r="K212" s="14" t="n"/>
      <c r="L212" s="14" t="n"/>
      <c r="M212" s="14" t="n"/>
      <c r="N212" s="14" t="n"/>
    </row>
    <row r="213" ht="15" customHeight="1">
      <c r="A213" s="55" t="n"/>
      <c r="B213" s="51">
        <f>IF(C213="","",IFERROR(INDEX(tbl_Finance[Date],MATCH(C213&amp;"",tbl_Finance[Xero Invoice No],0)),""))</f>
        <v/>
      </c>
      <c r="C213" s="14" t="n"/>
      <c r="D213" s="14" t="n"/>
      <c r="E213" s="15">
        <f>IF(D213="","",IF(COUNTIF(lst_Jobs,D213&amp;"")&gt;0,"OK","CHECK"))</f>
        <v/>
      </c>
      <c r="F213" s="14" t="n"/>
      <c r="G213" s="14" t="n"/>
      <c r="H213" s="14" t="n"/>
      <c r="I213" s="14" t="n"/>
      <c r="J213" s="16" t="n"/>
      <c r="K213" s="14" t="n"/>
      <c r="L213" s="14" t="n"/>
      <c r="M213" s="14" t="n"/>
      <c r="N213" s="14" t="n"/>
    </row>
    <row r="214" ht="15" customHeight="1">
      <c r="A214" s="55" t="n"/>
      <c r="B214" s="51">
        <f>IF(C214="","",IFERROR(INDEX(tbl_Finance[Date],MATCH(C214&amp;"",tbl_Finance[Xero Invoice No],0)),""))</f>
        <v/>
      </c>
      <c r="C214" s="14" t="n"/>
      <c r="D214" s="14" t="n"/>
      <c r="E214" s="15">
        <f>IF(D214="","",IF(COUNTIF(lst_Jobs,D214&amp;"")&gt;0,"OK","CHECK"))</f>
        <v/>
      </c>
      <c r="F214" s="14" t="n"/>
      <c r="G214" s="14" t="n"/>
      <c r="H214" s="14" t="n"/>
      <c r="I214" s="14" t="n"/>
      <c r="J214" s="16" t="n"/>
      <c r="K214" s="14" t="n"/>
      <c r="L214" s="14" t="n"/>
      <c r="M214" s="14" t="n"/>
      <c r="N214" s="14" t="n"/>
    </row>
    <row r="215" ht="15" customHeight="1">
      <c r="A215" s="55" t="n"/>
      <c r="B215" s="51">
        <f>IF(C215="","",IFERROR(INDEX(tbl_Finance[Date],MATCH(C215&amp;"",tbl_Finance[Xero Invoice No],0)),""))</f>
        <v/>
      </c>
      <c r="C215" s="14" t="n"/>
      <c r="D215" s="14" t="n"/>
      <c r="E215" s="15">
        <f>IF(D215="","",IF(COUNTIF(lst_Jobs,D215&amp;"")&gt;0,"OK","CHECK"))</f>
        <v/>
      </c>
      <c r="F215" s="14" t="n"/>
      <c r="G215" s="14" t="n"/>
      <c r="H215" s="14" t="n"/>
      <c r="I215" s="14" t="n"/>
      <c r="J215" s="16" t="n"/>
      <c r="K215" s="14" t="n"/>
      <c r="L215" s="14" t="n"/>
      <c r="M215" s="14" t="n"/>
      <c r="N215" s="14" t="n"/>
    </row>
    <row r="216" ht="15" customHeight="1">
      <c r="A216" s="55" t="n"/>
      <c r="B216" s="51">
        <f>IF(C216="","",IFERROR(INDEX(tbl_Finance[Date],MATCH(C216&amp;"",tbl_Finance[Xero Invoice No],0)),""))</f>
        <v/>
      </c>
      <c r="C216" s="14" t="n"/>
      <c r="D216" s="14" t="n"/>
      <c r="E216" s="15">
        <f>IF(D216="","",IF(COUNTIF(lst_Jobs,D216&amp;"")&gt;0,"OK","CHECK"))</f>
        <v/>
      </c>
      <c r="F216" s="14" t="n"/>
      <c r="G216" s="14" t="n"/>
      <c r="H216" s="14" t="n"/>
      <c r="I216" s="14" t="n"/>
      <c r="J216" s="16" t="n"/>
      <c r="K216" s="14" t="n"/>
      <c r="L216" s="14" t="n"/>
      <c r="M216" s="14" t="n"/>
      <c r="N216" s="14" t="n"/>
    </row>
    <row r="217" ht="15" customHeight="1">
      <c r="A217" s="55" t="n"/>
      <c r="B217" s="51">
        <f>IF(C217="","",IFERROR(INDEX(tbl_Finance[Date],MATCH(C217&amp;"",tbl_Finance[Xero Invoice No],0)),""))</f>
        <v/>
      </c>
      <c r="C217" s="14" t="n"/>
      <c r="D217" s="14" t="n"/>
      <c r="E217" s="15">
        <f>IF(D217="","",IF(COUNTIF(lst_Jobs,D217&amp;"")&gt;0,"OK","CHECK"))</f>
        <v/>
      </c>
      <c r="F217" s="14" t="n"/>
      <c r="G217" s="14" t="n"/>
      <c r="H217" s="14" t="n"/>
      <c r="I217" s="14" t="n"/>
      <c r="J217" s="16" t="n"/>
      <c r="K217" s="14" t="n"/>
      <c r="L217" s="14" t="n"/>
      <c r="M217" s="14" t="n"/>
      <c r="N217" s="14" t="n"/>
    </row>
    <row r="218" ht="15" customHeight="1">
      <c r="A218" s="55" t="n"/>
      <c r="B218" s="51">
        <f>IF(C218="","",IFERROR(INDEX(tbl_Finance[Date],MATCH(C218&amp;"",tbl_Finance[Xero Invoice No],0)),""))</f>
        <v/>
      </c>
      <c r="C218" s="14" t="n"/>
      <c r="D218" s="14" t="n"/>
      <c r="E218" s="15">
        <f>IF(D218="","",IF(COUNTIF(lst_Jobs,D218&amp;"")&gt;0,"OK","CHECK"))</f>
        <v/>
      </c>
      <c r="F218" s="14" t="n"/>
      <c r="G218" s="14" t="n"/>
      <c r="H218" s="14" t="n"/>
      <c r="I218" s="14" t="n"/>
      <c r="J218" s="16" t="n"/>
      <c r="K218" s="14" t="n"/>
      <c r="L218" s="14" t="n"/>
      <c r="M218" s="14" t="n"/>
      <c r="N218" s="14" t="n"/>
    </row>
    <row r="219" ht="15" customHeight="1">
      <c r="A219" s="55" t="n"/>
      <c r="B219" s="51">
        <f>IF(C219="","",IFERROR(INDEX(tbl_Finance[Date],MATCH(C219&amp;"",tbl_Finance[Xero Invoice No],0)),""))</f>
        <v/>
      </c>
      <c r="C219" s="14" t="n"/>
      <c r="D219" s="14" t="n"/>
      <c r="E219" s="15">
        <f>IF(D219="","",IF(COUNTIF(lst_Jobs,D219&amp;"")&gt;0,"OK","CHECK"))</f>
        <v/>
      </c>
      <c r="F219" s="14" t="n"/>
      <c r="G219" s="14" t="n"/>
      <c r="H219" s="14" t="n"/>
      <c r="I219" s="14" t="n"/>
      <c r="J219" s="16" t="n"/>
      <c r="K219" s="14" t="n"/>
      <c r="L219" s="14" t="n"/>
      <c r="M219" s="14" t="n"/>
      <c r="N219" s="14" t="n"/>
    </row>
    <row r="220" ht="15" customHeight="1">
      <c r="A220" s="55" t="n"/>
      <c r="B220" s="51">
        <f>IF(C220="","",IFERROR(INDEX(tbl_Finance[Date],MATCH(C220&amp;"",tbl_Finance[Xero Invoice No],0)),""))</f>
        <v/>
      </c>
      <c r="C220" s="14" t="n"/>
      <c r="D220" s="14" t="n"/>
      <c r="E220" s="15">
        <f>IF(D220="","",IF(COUNTIF(lst_Jobs,D220&amp;"")&gt;0,"OK","CHECK"))</f>
        <v/>
      </c>
      <c r="F220" s="14" t="n"/>
      <c r="G220" s="14" t="n"/>
      <c r="H220" s="14" t="n"/>
      <c r="I220" s="14" t="n"/>
      <c r="J220" s="16" t="n"/>
      <c r="K220" s="14" t="n"/>
      <c r="L220" s="14" t="n"/>
      <c r="M220" s="14" t="n"/>
      <c r="N220" s="14" t="n"/>
    </row>
    <row r="221" ht="15" customHeight="1">
      <c r="A221" s="55" t="n"/>
      <c r="B221" s="51">
        <f>IF(C221="","",IFERROR(INDEX(tbl_Finance[Date],MATCH(C221&amp;"",tbl_Finance[Xero Invoice No],0)),""))</f>
        <v/>
      </c>
      <c r="C221" s="14" t="n"/>
      <c r="D221" s="14" t="n"/>
      <c r="E221" s="15">
        <f>IF(D221="","",IF(COUNTIF(lst_Jobs,D221&amp;"")&gt;0,"OK","CHECK"))</f>
        <v/>
      </c>
      <c r="F221" s="14" t="n"/>
      <c r="G221" s="14" t="n"/>
      <c r="H221" s="14" t="n"/>
      <c r="I221" s="14" t="n"/>
      <c r="J221" s="16" t="n"/>
      <c r="K221" s="14" t="n"/>
      <c r="L221" s="14" t="n"/>
      <c r="M221" s="14" t="n"/>
      <c r="N221" s="14" t="n"/>
    </row>
    <row r="222" ht="15" customHeight="1">
      <c r="A222" s="55" t="n"/>
      <c r="B222" s="51">
        <f>IF(C222="","",IFERROR(INDEX(tbl_Finance[Date],MATCH(C222&amp;"",tbl_Finance[Xero Invoice No],0)),""))</f>
        <v/>
      </c>
      <c r="C222" s="14" t="n"/>
      <c r="D222" s="14" t="n"/>
      <c r="E222" s="15">
        <f>IF(D222="","",IF(COUNTIF(lst_Jobs,D222&amp;"")&gt;0,"OK","CHECK"))</f>
        <v/>
      </c>
      <c r="F222" s="14" t="n"/>
      <c r="G222" s="14" t="n"/>
      <c r="H222" s="14" t="n"/>
      <c r="I222" s="14" t="n"/>
      <c r="J222" s="16" t="n"/>
      <c r="K222" s="14" t="n"/>
      <c r="L222" s="14" t="n"/>
      <c r="M222" s="14" t="n"/>
      <c r="N222" s="14" t="n"/>
    </row>
    <row r="223" ht="15" customHeight="1">
      <c r="A223" s="55" t="n"/>
      <c r="B223" s="51">
        <f>IF(C223="","",IFERROR(INDEX(tbl_Finance[Date],MATCH(C223&amp;"",tbl_Finance[Xero Invoice No],0)),""))</f>
        <v/>
      </c>
      <c r="C223" s="14" t="n"/>
      <c r="D223" s="14" t="n"/>
      <c r="E223" s="15">
        <f>IF(D223="","",IF(COUNTIF(lst_Jobs,D223&amp;"")&gt;0,"OK","CHECK"))</f>
        <v/>
      </c>
      <c r="F223" s="14" t="n"/>
      <c r="G223" s="14" t="n"/>
      <c r="H223" s="14" t="n"/>
      <c r="I223" s="14" t="n"/>
      <c r="J223" s="16" t="n"/>
      <c r="K223" s="14" t="n"/>
      <c r="L223" s="14" t="n"/>
      <c r="M223" s="14" t="n"/>
      <c r="N223" s="14" t="n"/>
    </row>
    <row r="224" ht="15" customHeight="1">
      <c r="A224" s="55" t="n"/>
      <c r="B224" s="51">
        <f>IF(C224="","",IFERROR(INDEX(tbl_Finance[Date],MATCH(C224&amp;"",tbl_Finance[Xero Invoice No],0)),""))</f>
        <v/>
      </c>
      <c r="C224" s="14" t="n"/>
      <c r="D224" s="14" t="n"/>
      <c r="E224" s="15">
        <f>IF(D224="","",IF(COUNTIF(lst_Jobs,D224&amp;"")&gt;0,"OK","CHECK"))</f>
        <v/>
      </c>
      <c r="F224" s="14" t="n"/>
      <c r="G224" s="14" t="n"/>
      <c r="H224" s="14" t="n"/>
      <c r="I224" s="14" t="n"/>
      <c r="J224" s="16" t="n"/>
      <c r="K224" s="14" t="n"/>
      <c r="L224" s="14" t="n"/>
      <c r="M224" s="14" t="n"/>
      <c r="N224" s="14" t="n"/>
    </row>
    <row r="225" ht="15" customHeight="1">
      <c r="A225" s="55" t="n"/>
      <c r="B225" s="51">
        <f>IF(C225="","",IFERROR(INDEX(tbl_Finance[Date],MATCH(C225&amp;"",tbl_Finance[Xero Invoice No],0)),""))</f>
        <v/>
      </c>
      <c r="C225" s="14" t="n"/>
      <c r="D225" s="14" t="n"/>
      <c r="E225" s="15">
        <f>IF(D225="","",IF(COUNTIF(lst_Jobs,D225&amp;"")&gt;0,"OK","CHECK"))</f>
        <v/>
      </c>
      <c r="F225" s="14" t="n"/>
      <c r="G225" s="14" t="n"/>
      <c r="H225" s="14" t="n"/>
      <c r="I225" s="14" t="n"/>
      <c r="J225" s="16" t="n"/>
      <c r="K225" s="14" t="n"/>
      <c r="L225" s="14" t="n"/>
      <c r="M225" s="14" t="n"/>
      <c r="N225" s="14" t="n"/>
    </row>
    <row r="226" ht="15" customHeight="1">
      <c r="A226" s="55" t="n"/>
      <c r="B226" s="51">
        <f>IF(C226="","",IFERROR(INDEX(tbl_Finance[Date],MATCH(C226&amp;"",tbl_Finance[Xero Invoice No],0)),""))</f>
        <v/>
      </c>
      <c r="C226" s="14" t="n"/>
      <c r="D226" s="14" t="n"/>
      <c r="E226" s="15">
        <f>IF(D226="","",IF(COUNTIF(lst_Jobs,D226&amp;"")&gt;0,"OK","CHECK"))</f>
        <v/>
      </c>
      <c r="F226" s="14" t="n"/>
      <c r="G226" s="14" t="n"/>
      <c r="H226" s="14" t="n"/>
      <c r="I226" s="14" t="n"/>
      <c r="J226" s="16" t="n"/>
      <c r="K226" s="14" t="n"/>
      <c r="L226" s="14" t="n"/>
      <c r="M226" s="14" t="n"/>
      <c r="N226" s="14" t="n"/>
    </row>
    <row r="227" ht="15" customHeight="1">
      <c r="A227" s="55" t="n"/>
      <c r="B227" s="51">
        <f>IF(C227="","",IFERROR(INDEX(tbl_Finance[Date],MATCH(C227&amp;"",tbl_Finance[Xero Invoice No],0)),""))</f>
        <v/>
      </c>
      <c r="C227" s="14" t="n"/>
      <c r="D227" s="14" t="n"/>
      <c r="E227" s="15">
        <f>IF(D227="","",IF(COUNTIF(lst_Jobs,D227&amp;"")&gt;0,"OK","CHECK"))</f>
        <v/>
      </c>
      <c r="F227" s="14" t="n"/>
      <c r="G227" s="14" t="n"/>
      <c r="H227" s="14" t="n"/>
      <c r="I227" s="14" t="n"/>
      <c r="J227" s="16" t="n"/>
      <c r="K227" s="14" t="n"/>
      <c r="L227" s="14" t="n"/>
      <c r="M227" s="14" t="n"/>
      <c r="N227" s="14" t="n"/>
    </row>
    <row r="228" ht="15" customHeight="1">
      <c r="A228" s="55" t="n"/>
      <c r="B228" s="51">
        <f>IF(C228="","",IFERROR(INDEX(tbl_Finance[Date],MATCH(C228&amp;"",tbl_Finance[Xero Invoice No],0)),""))</f>
        <v/>
      </c>
      <c r="C228" s="14" t="n"/>
      <c r="D228" s="14" t="n"/>
      <c r="E228" s="15">
        <f>IF(D228="","",IF(COUNTIF(lst_Jobs,D228&amp;"")&gt;0,"OK","CHECK"))</f>
        <v/>
      </c>
      <c r="F228" s="14" t="n"/>
      <c r="G228" s="14" t="n"/>
      <c r="H228" s="14" t="n"/>
      <c r="I228" s="14" t="n"/>
      <c r="J228" s="16" t="n"/>
      <c r="K228" s="14" t="n"/>
      <c r="L228" s="14" t="n"/>
      <c r="M228" s="14" t="n"/>
      <c r="N228" s="14" t="n"/>
    </row>
    <row r="229" ht="15" customHeight="1">
      <c r="A229" s="55" t="n"/>
      <c r="B229" s="51">
        <f>IF(C229="","",IFERROR(INDEX(tbl_Finance[Date],MATCH(C229&amp;"",tbl_Finance[Xero Invoice No],0)),""))</f>
        <v/>
      </c>
      <c r="C229" s="14" t="n"/>
      <c r="D229" s="14" t="n"/>
      <c r="E229" s="15">
        <f>IF(D229="","",IF(COUNTIF(lst_Jobs,D229&amp;"")&gt;0,"OK","CHECK"))</f>
        <v/>
      </c>
      <c r="F229" s="14" t="n"/>
      <c r="G229" s="14" t="n"/>
      <c r="H229" s="14" t="n"/>
      <c r="I229" s="14" t="n"/>
      <c r="J229" s="16" t="n"/>
      <c r="K229" s="14" t="n"/>
      <c r="L229" s="14" t="n"/>
      <c r="M229" s="14" t="n"/>
      <c r="N229" s="14" t="n"/>
    </row>
    <row r="230" ht="15" customHeight="1">
      <c r="A230" s="55" t="n"/>
      <c r="B230" s="51">
        <f>IF(C230="","",IFERROR(INDEX(tbl_Finance[Date],MATCH(C230&amp;"",tbl_Finance[Xero Invoice No],0)),""))</f>
        <v/>
      </c>
      <c r="C230" s="14" t="n"/>
      <c r="D230" s="14" t="n"/>
      <c r="E230" s="15">
        <f>IF(D230="","",IF(COUNTIF(lst_Jobs,D230&amp;"")&gt;0,"OK","CHECK"))</f>
        <v/>
      </c>
      <c r="F230" s="14" t="n"/>
      <c r="G230" s="14" t="n"/>
      <c r="H230" s="14" t="n"/>
      <c r="I230" s="14" t="n"/>
      <c r="J230" s="16" t="n"/>
      <c r="K230" s="14" t="n"/>
      <c r="L230" s="14" t="n"/>
      <c r="M230" s="14" t="n"/>
      <c r="N230" s="14" t="n"/>
    </row>
    <row r="231" ht="15" customHeight="1">
      <c r="A231" s="55" t="n"/>
      <c r="B231" s="51">
        <f>IF(C231="","",IFERROR(INDEX(tbl_Finance[Date],MATCH(C231&amp;"",tbl_Finance[Xero Invoice No],0)),""))</f>
        <v/>
      </c>
      <c r="C231" s="14" t="n"/>
      <c r="D231" s="14" t="n"/>
      <c r="E231" s="15">
        <f>IF(D231="","",IF(COUNTIF(lst_Jobs,D231&amp;"")&gt;0,"OK","CHECK"))</f>
        <v/>
      </c>
      <c r="F231" s="14" t="n"/>
      <c r="G231" s="14" t="n"/>
      <c r="H231" s="14" t="n"/>
      <c r="I231" s="14" t="n"/>
      <c r="J231" s="16" t="n"/>
      <c r="K231" s="14" t="n"/>
      <c r="L231" s="14" t="n"/>
      <c r="M231" s="14" t="n"/>
      <c r="N231" s="14" t="n"/>
    </row>
    <row r="232" ht="15" customHeight="1">
      <c r="A232" s="55" t="n"/>
      <c r="B232" s="51">
        <f>IF(C232="","",IFERROR(INDEX(tbl_Finance[Date],MATCH(C232&amp;"",tbl_Finance[Xero Invoice No],0)),""))</f>
        <v/>
      </c>
      <c r="C232" s="14" t="n"/>
      <c r="D232" s="14" t="n"/>
      <c r="E232" s="15">
        <f>IF(D232="","",IF(COUNTIF(lst_Jobs,D232&amp;"")&gt;0,"OK","CHECK"))</f>
        <v/>
      </c>
      <c r="F232" s="14" t="n"/>
      <c r="G232" s="14" t="n"/>
      <c r="H232" s="14" t="n"/>
      <c r="I232" s="14" t="n"/>
      <c r="J232" s="16" t="n"/>
      <c r="K232" s="14" t="n"/>
      <c r="L232" s="14" t="n"/>
      <c r="M232" s="14" t="n"/>
      <c r="N232" s="14" t="n"/>
    </row>
    <row r="233" ht="15" customHeight="1">
      <c r="A233" s="55" t="n"/>
      <c r="B233" s="51">
        <f>IF(C233="","",IFERROR(INDEX(tbl_Finance[Date],MATCH(C233&amp;"",tbl_Finance[Xero Invoice No],0)),""))</f>
        <v/>
      </c>
      <c r="C233" s="14" t="n"/>
      <c r="D233" s="14" t="n"/>
      <c r="E233" s="15">
        <f>IF(D233="","",IF(COUNTIF(lst_Jobs,D233&amp;"")&gt;0,"OK","CHECK"))</f>
        <v/>
      </c>
      <c r="F233" s="14" t="n"/>
      <c r="G233" s="14" t="n"/>
      <c r="H233" s="14" t="n"/>
      <c r="I233" s="14" t="n"/>
      <c r="J233" s="16" t="n"/>
      <c r="K233" s="14" t="n"/>
      <c r="L233" s="14" t="n"/>
      <c r="M233" s="14" t="n"/>
      <c r="N233" s="14" t="n"/>
    </row>
    <row r="234" ht="15" customHeight="1">
      <c r="A234" s="55" t="n"/>
      <c r="B234" s="51">
        <f>IF(C234="","",IFERROR(INDEX(tbl_Finance[Date],MATCH(C234&amp;"",tbl_Finance[Xero Invoice No],0)),""))</f>
        <v/>
      </c>
      <c r="C234" s="14" t="n"/>
      <c r="D234" s="14" t="n"/>
      <c r="E234" s="15">
        <f>IF(D234="","",IF(COUNTIF(lst_Jobs,D234&amp;"")&gt;0,"OK","CHECK"))</f>
        <v/>
      </c>
      <c r="F234" s="14" t="n"/>
      <c r="G234" s="14" t="n"/>
      <c r="H234" s="14" t="n"/>
      <c r="I234" s="14" t="n"/>
      <c r="J234" s="16" t="n"/>
      <c r="K234" s="14" t="n"/>
      <c r="L234" s="14" t="n"/>
      <c r="M234" s="14" t="n"/>
      <c r="N234" s="14" t="n"/>
    </row>
    <row r="235" ht="15" customHeight="1">
      <c r="A235" s="55" t="n"/>
      <c r="B235" s="51">
        <f>IF(C235="","",IFERROR(INDEX(tbl_Finance[Date],MATCH(C235&amp;"",tbl_Finance[Xero Invoice No],0)),""))</f>
        <v/>
      </c>
      <c r="C235" s="14" t="n"/>
      <c r="D235" s="14" t="n"/>
      <c r="E235" s="15">
        <f>IF(D235="","",IF(COUNTIF(lst_Jobs,D235&amp;"")&gt;0,"OK","CHECK"))</f>
        <v/>
      </c>
      <c r="F235" s="14" t="n"/>
      <c r="G235" s="14" t="n"/>
      <c r="H235" s="14" t="n"/>
      <c r="I235" s="14" t="n"/>
      <c r="J235" s="16" t="n"/>
      <c r="K235" s="14" t="n"/>
      <c r="L235" s="14" t="n"/>
      <c r="M235" s="14" t="n"/>
      <c r="N235" s="14" t="n"/>
    </row>
    <row r="236" ht="15" customHeight="1">
      <c r="A236" s="55" t="n"/>
      <c r="B236" s="51">
        <f>IF(C236="","",IFERROR(INDEX(tbl_Finance[Date],MATCH(C236&amp;"",tbl_Finance[Xero Invoice No],0)),""))</f>
        <v/>
      </c>
      <c r="C236" s="14" t="n"/>
      <c r="D236" s="14" t="n"/>
      <c r="E236" s="15">
        <f>IF(D236="","",IF(COUNTIF(lst_Jobs,D236&amp;"")&gt;0,"OK","CHECK"))</f>
        <v/>
      </c>
      <c r="F236" s="14" t="n"/>
      <c r="G236" s="14" t="n"/>
      <c r="H236" s="14" t="n"/>
      <c r="I236" s="14" t="n"/>
      <c r="J236" s="16" t="n"/>
      <c r="K236" s="14" t="n"/>
      <c r="L236" s="14" t="n"/>
      <c r="M236" s="14" t="n"/>
      <c r="N236" s="14" t="n"/>
    </row>
    <row r="237" ht="15" customHeight="1">
      <c r="A237" s="55" t="n"/>
      <c r="B237" s="51">
        <f>IF(C237="","",IFERROR(INDEX(tbl_Finance[Date],MATCH(C237&amp;"",tbl_Finance[Xero Invoice No],0)),""))</f>
        <v/>
      </c>
      <c r="C237" s="14" t="n"/>
      <c r="D237" s="14" t="n"/>
      <c r="E237" s="15">
        <f>IF(D237="","",IF(COUNTIF(lst_Jobs,D237&amp;"")&gt;0,"OK","CHECK"))</f>
        <v/>
      </c>
      <c r="F237" s="14" t="n"/>
      <c r="G237" s="14" t="n"/>
      <c r="H237" s="14" t="n"/>
      <c r="I237" s="14" t="n"/>
      <c r="J237" s="16" t="n"/>
      <c r="K237" s="14" t="n"/>
      <c r="L237" s="14" t="n"/>
      <c r="M237" s="14" t="n"/>
      <c r="N237" s="14" t="n"/>
    </row>
    <row r="238" ht="15" customHeight="1">
      <c r="A238" s="55" t="n"/>
      <c r="B238" s="51">
        <f>IF(C238="","",IFERROR(INDEX(tbl_Finance[Date],MATCH(C238&amp;"",tbl_Finance[Xero Invoice No],0)),""))</f>
        <v/>
      </c>
      <c r="C238" s="14" t="n"/>
      <c r="D238" s="14" t="n"/>
      <c r="E238" s="15">
        <f>IF(D238="","",IF(COUNTIF(lst_Jobs,D238&amp;"")&gt;0,"OK","CHECK"))</f>
        <v/>
      </c>
      <c r="F238" s="14" t="n"/>
      <c r="G238" s="14" t="n"/>
      <c r="H238" s="14" t="n"/>
      <c r="I238" s="14" t="n"/>
      <c r="J238" s="16" t="n"/>
      <c r="K238" s="14" t="n"/>
      <c r="L238" s="14" t="n"/>
      <c r="M238" s="14" t="n"/>
      <c r="N238" s="14" t="n"/>
    </row>
    <row r="239" ht="15" customHeight="1">
      <c r="A239" s="55" t="n"/>
      <c r="B239" s="51">
        <f>IF(C239="","",IFERROR(INDEX(tbl_Finance[Date],MATCH(C239&amp;"",tbl_Finance[Xero Invoice No],0)),""))</f>
        <v/>
      </c>
      <c r="C239" s="14" t="n"/>
      <c r="D239" s="14" t="n"/>
      <c r="E239" s="15">
        <f>IF(D239="","",IF(COUNTIF(lst_Jobs,D239&amp;"")&gt;0,"OK","CHECK"))</f>
        <v/>
      </c>
      <c r="F239" s="14" t="n"/>
      <c r="G239" s="14" t="n"/>
      <c r="H239" s="14" t="n"/>
      <c r="I239" s="14" t="n"/>
      <c r="J239" s="16" t="n"/>
      <c r="K239" s="14" t="n"/>
      <c r="L239" s="14" t="n"/>
      <c r="M239" s="14" t="n"/>
      <c r="N239" s="14" t="n"/>
    </row>
    <row r="240" ht="15" customHeight="1">
      <c r="A240" s="55" t="n"/>
      <c r="B240" s="51">
        <f>IF(C240="","",IFERROR(INDEX(tbl_Finance[Date],MATCH(C240&amp;"",tbl_Finance[Xero Invoice No],0)),""))</f>
        <v/>
      </c>
      <c r="C240" s="14" t="n"/>
      <c r="D240" s="14" t="n"/>
      <c r="E240" s="15">
        <f>IF(D240="","",IF(COUNTIF(lst_Jobs,D240&amp;"")&gt;0,"OK","CHECK"))</f>
        <v/>
      </c>
      <c r="F240" s="14" t="n"/>
      <c r="G240" s="14" t="n"/>
      <c r="H240" s="14" t="n"/>
      <c r="I240" s="14" t="n"/>
      <c r="J240" s="16" t="n"/>
      <c r="K240" s="14" t="n"/>
      <c r="L240" s="14" t="n"/>
      <c r="M240" s="14" t="n"/>
      <c r="N240" s="14" t="n"/>
    </row>
    <row r="241" ht="15" customHeight="1">
      <c r="A241" s="55" t="n"/>
      <c r="B241" s="51">
        <f>IF(C241="","",IFERROR(INDEX(tbl_Finance[Date],MATCH(C241&amp;"",tbl_Finance[Xero Invoice No],0)),""))</f>
        <v/>
      </c>
      <c r="C241" s="14" t="n"/>
      <c r="D241" s="14" t="n"/>
      <c r="E241" s="15">
        <f>IF(D241="","",IF(COUNTIF(lst_Jobs,D241&amp;"")&gt;0,"OK","CHECK"))</f>
        <v/>
      </c>
      <c r="F241" s="14" t="n"/>
      <c r="G241" s="14" t="n"/>
      <c r="H241" s="14" t="n"/>
      <c r="I241" s="14" t="n"/>
      <c r="J241" s="16" t="n"/>
      <c r="K241" s="14" t="n"/>
      <c r="L241" s="14" t="n"/>
      <c r="M241" s="14" t="n"/>
      <c r="N241" s="14" t="n"/>
    </row>
    <row r="242" ht="15" customHeight="1">
      <c r="A242" s="55" t="n"/>
      <c r="B242" s="51">
        <f>IF(C242="","",IFERROR(INDEX(tbl_Finance[Date],MATCH(C242&amp;"",tbl_Finance[Xero Invoice No],0)),""))</f>
        <v/>
      </c>
      <c r="C242" s="14" t="n"/>
      <c r="D242" s="14" t="n"/>
      <c r="E242" s="15">
        <f>IF(D242="","",IF(COUNTIF(lst_Jobs,D242&amp;"")&gt;0,"OK","CHECK"))</f>
        <v/>
      </c>
      <c r="F242" s="14" t="n"/>
      <c r="G242" s="14" t="n"/>
      <c r="H242" s="14" t="n"/>
      <c r="I242" s="14" t="n"/>
      <c r="J242" s="16" t="n"/>
      <c r="K242" s="14" t="n"/>
      <c r="L242" s="14" t="n"/>
      <c r="M242" s="14" t="n"/>
      <c r="N242" s="14" t="n"/>
    </row>
    <row r="243" ht="15" customHeight="1">
      <c r="A243" s="55" t="n"/>
      <c r="B243" s="51">
        <f>IF(C243="","",IFERROR(INDEX(tbl_Finance[Date],MATCH(C243&amp;"",tbl_Finance[Xero Invoice No],0)),""))</f>
        <v/>
      </c>
      <c r="C243" s="14" t="n"/>
      <c r="D243" s="14" t="n"/>
      <c r="E243" s="15">
        <f>IF(D243="","",IF(COUNTIF(lst_Jobs,D243&amp;"")&gt;0,"OK","CHECK"))</f>
        <v/>
      </c>
      <c r="F243" s="14" t="n"/>
      <c r="G243" s="14" t="n"/>
      <c r="H243" s="14" t="n"/>
      <c r="I243" s="14" t="n"/>
      <c r="J243" s="16" t="n"/>
      <c r="K243" s="14" t="n"/>
      <c r="L243" s="14" t="n"/>
      <c r="M243" s="14" t="n"/>
      <c r="N243" s="14" t="n"/>
    </row>
    <row r="244" ht="15" customHeight="1">
      <c r="A244" s="55" t="n"/>
      <c r="B244" s="51">
        <f>IF(C244="","",IFERROR(INDEX(tbl_Finance[Date],MATCH(C244&amp;"",tbl_Finance[Xero Invoice No],0)),""))</f>
        <v/>
      </c>
      <c r="C244" s="14" t="n"/>
      <c r="D244" s="14" t="n"/>
      <c r="E244" s="15">
        <f>IF(D244="","",IF(COUNTIF(lst_Jobs,D244&amp;"")&gt;0,"OK","CHECK"))</f>
        <v/>
      </c>
      <c r="F244" s="14" t="n"/>
      <c r="G244" s="14" t="n"/>
      <c r="H244" s="14" t="n"/>
      <c r="I244" s="14" t="n"/>
      <c r="J244" s="16" t="n"/>
      <c r="K244" s="14" t="n"/>
      <c r="L244" s="14" t="n"/>
      <c r="M244" s="14" t="n"/>
      <c r="N244" s="14" t="n"/>
    </row>
    <row r="245" ht="15" customHeight="1">
      <c r="A245" s="55" t="n"/>
      <c r="B245" s="51">
        <f>IF(C245="","",IFERROR(INDEX(tbl_Finance[Date],MATCH(C245&amp;"",tbl_Finance[Xero Invoice No],0)),""))</f>
        <v/>
      </c>
      <c r="C245" s="14" t="n"/>
      <c r="D245" s="14" t="n"/>
      <c r="E245" s="15">
        <f>IF(D245="","",IF(COUNTIF(lst_Jobs,D245&amp;"")&gt;0,"OK","CHECK"))</f>
        <v/>
      </c>
      <c r="F245" s="14" t="n"/>
      <c r="G245" s="14" t="n"/>
      <c r="H245" s="14" t="n"/>
      <c r="I245" s="14" t="n"/>
      <c r="J245" s="16" t="n"/>
      <c r="K245" s="14" t="n"/>
      <c r="L245" s="14" t="n"/>
      <c r="M245" s="14" t="n"/>
      <c r="N245" s="14" t="n"/>
    </row>
    <row r="246" ht="15" customHeight="1">
      <c r="A246" s="55" t="n"/>
      <c r="B246" s="51">
        <f>IF(C246="","",IFERROR(INDEX(tbl_Finance[Date],MATCH(C246&amp;"",tbl_Finance[Xero Invoice No],0)),""))</f>
        <v/>
      </c>
      <c r="C246" s="14" t="n"/>
      <c r="D246" s="14" t="n"/>
      <c r="E246" s="15">
        <f>IF(D246="","",IF(COUNTIF(lst_Jobs,D246&amp;"")&gt;0,"OK","CHECK"))</f>
        <v/>
      </c>
      <c r="F246" s="14" t="n"/>
      <c r="G246" s="14" t="n"/>
      <c r="H246" s="14" t="n"/>
      <c r="I246" s="14" t="n"/>
      <c r="J246" s="16" t="n"/>
      <c r="K246" s="14" t="n"/>
      <c r="L246" s="14" t="n"/>
      <c r="M246" s="14" t="n"/>
      <c r="N246" s="14" t="n"/>
    </row>
    <row r="247" ht="15" customHeight="1">
      <c r="A247" s="55" t="n"/>
      <c r="B247" s="51">
        <f>IF(C247="","",IFERROR(INDEX(tbl_Finance[Date],MATCH(C247&amp;"",tbl_Finance[Xero Invoice No],0)),""))</f>
        <v/>
      </c>
      <c r="C247" s="14" t="n"/>
      <c r="D247" s="14" t="n"/>
      <c r="E247" s="15">
        <f>IF(D247="","",IF(COUNTIF(lst_Jobs,D247&amp;"")&gt;0,"OK","CHECK"))</f>
        <v/>
      </c>
      <c r="F247" s="14" t="n"/>
      <c r="G247" s="14" t="n"/>
      <c r="H247" s="14" t="n"/>
      <c r="I247" s="14" t="n"/>
      <c r="J247" s="16" t="n"/>
      <c r="K247" s="14" t="n"/>
      <c r="L247" s="14" t="n"/>
      <c r="M247" s="14" t="n"/>
      <c r="N247" s="14" t="n"/>
    </row>
    <row r="248" ht="15" customHeight="1">
      <c r="A248" s="55" t="n"/>
      <c r="B248" s="51">
        <f>IF(C248="","",IFERROR(INDEX(tbl_Finance[Date],MATCH(C248&amp;"",tbl_Finance[Xero Invoice No],0)),""))</f>
        <v/>
      </c>
      <c r="C248" s="14" t="n"/>
      <c r="D248" s="14" t="n"/>
      <c r="E248" s="15">
        <f>IF(D248="","",IF(COUNTIF(lst_Jobs,D248&amp;"")&gt;0,"OK","CHECK"))</f>
        <v/>
      </c>
      <c r="F248" s="14" t="n"/>
      <c r="G248" s="14" t="n"/>
      <c r="H248" s="14" t="n"/>
      <c r="I248" s="14" t="n"/>
      <c r="J248" s="16" t="n"/>
      <c r="K248" s="14" t="n"/>
      <c r="L248" s="14" t="n"/>
      <c r="M248" s="14" t="n"/>
      <c r="N248" s="14" t="n"/>
    </row>
    <row r="249" ht="15" customHeight="1">
      <c r="A249" s="55" t="n"/>
      <c r="B249" s="51">
        <f>IF(C249="","",IFERROR(INDEX(tbl_Finance[Date],MATCH(C249&amp;"",tbl_Finance[Xero Invoice No],0)),""))</f>
        <v/>
      </c>
      <c r="C249" s="14" t="n"/>
      <c r="D249" s="14" t="n"/>
      <c r="E249" s="15">
        <f>IF(D249="","",IF(COUNTIF(lst_Jobs,D249&amp;"")&gt;0,"OK","CHECK"))</f>
        <v/>
      </c>
      <c r="F249" s="14" t="n"/>
      <c r="G249" s="14" t="n"/>
      <c r="H249" s="14" t="n"/>
      <c r="I249" s="14" t="n"/>
      <c r="J249" s="16" t="n"/>
      <c r="K249" s="14" t="n"/>
      <c r="L249" s="14" t="n"/>
      <c r="M249" s="14" t="n"/>
      <c r="N249" s="14" t="n"/>
    </row>
    <row r="250" ht="15" customHeight="1">
      <c r="A250" s="55" t="n"/>
      <c r="B250" s="51">
        <f>IF(C250="","",IFERROR(INDEX(tbl_Finance[Date],MATCH(C250&amp;"",tbl_Finance[Xero Invoice No],0)),""))</f>
        <v/>
      </c>
      <c r="C250" s="14" t="n"/>
      <c r="D250" s="14" t="n"/>
      <c r="E250" s="15">
        <f>IF(D250="","",IF(COUNTIF(lst_Jobs,D250&amp;"")&gt;0,"OK","CHECK"))</f>
        <v/>
      </c>
      <c r="F250" s="14" t="n"/>
      <c r="G250" s="14" t="n"/>
      <c r="H250" s="14" t="n"/>
      <c r="I250" s="14" t="n"/>
      <c r="J250" s="16" t="n"/>
      <c r="K250" s="14" t="n"/>
      <c r="L250" s="14" t="n"/>
      <c r="M250" s="14" t="n"/>
      <c r="N250" s="14" t="n"/>
    </row>
    <row r="251" ht="15" customHeight="1">
      <c r="A251" s="55" t="n"/>
      <c r="B251" s="51">
        <f>IF(C251="","",IFERROR(INDEX(tbl_Finance[Date],MATCH(C251&amp;"",tbl_Finance[Xero Invoice No],0)),""))</f>
        <v/>
      </c>
      <c r="C251" s="14" t="n"/>
      <c r="D251" s="14" t="n"/>
      <c r="E251" s="15">
        <f>IF(D251="","",IF(COUNTIF(lst_Jobs,D251&amp;"")&gt;0,"OK","CHECK"))</f>
        <v/>
      </c>
      <c r="F251" s="14" t="n"/>
      <c r="G251" s="14" t="n"/>
      <c r="H251" s="14" t="n"/>
      <c r="I251" s="14" t="n"/>
      <c r="J251" s="16" t="n"/>
      <c r="K251" s="14" t="n"/>
      <c r="L251" s="14" t="n"/>
      <c r="M251" s="14" t="n"/>
      <c r="N251" s="14" t="n"/>
    </row>
    <row r="252" ht="15" customHeight="1">
      <c r="A252" s="55" t="n"/>
      <c r="B252" s="51">
        <f>IF(C252="","",IFERROR(INDEX(tbl_Finance[Date],MATCH(C252&amp;"",tbl_Finance[Xero Invoice No],0)),""))</f>
        <v/>
      </c>
      <c r="C252" s="14" t="n"/>
      <c r="D252" s="14" t="n"/>
      <c r="E252" s="15">
        <f>IF(D252="","",IF(COUNTIF(lst_Jobs,D252&amp;"")&gt;0,"OK","CHECK"))</f>
        <v/>
      </c>
      <c r="F252" s="14" t="n"/>
      <c r="G252" s="14" t="n"/>
      <c r="H252" s="14" t="n"/>
      <c r="I252" s="14" t="n"/>
      <c r="J252" s="16" t="n"/>
      <c r="K252" s="14" t="n"/>
      <c r="L252" s="14" t="n"/>
      <c r="M252" s="14" t="n"/>
      <c r="N252" s="14" t="n"/>
    </row>
    <row r="253" ht="15" customHeight="1">
      <c r="A253" s="55" t="n"/>
      <c r="B253" s="51">
        <f>IF(C253="","",IFERROR(INDEX(tbl_Finance[Date],MATCH(C253&amp;"",tbl_Finance[Xero Invoice No],0)),""))</f>
        <v/>
      </c>
      <c r="C253" s="14" t="n"/>
      <c r="D253" s="14" t="n"/>
      <c r="E253" s="15">
        <f>IF(D253="","",IF(COUNTIF(lst_Jobs,D253&amp;"")&gt;0,"OK","CHECK"))</f>
        <v/>
      </c>
      <c r="F253" s="14" t="n"/>
      <c r="G253" s="14" t="n"/>
      <c r="H253" s="14" t="n"/>
      <c r="I253" s="14" t="n"/>
      <c r="J253" s="16" t="n"/>
      <c r="K253" s="14" t="n"/>
      <c r="L253" s="14" t="n"/>
      <c r="M253" s="14" t="n"/>
      <c r="N253" s="14" t="n"/>
    </row>
    <row r="254" ht="15" customHeight="1">
      <c r="A254" s="55" t="n"/>
      <c r="B254" s="51">
        <f>IF(C254="","",IFERROR(INDEX(tbl_Finance[Date],MATCH(C254&amp;"",tbl_Finance[Xero Invoice No],0)),""))</f>
        <v/>
      </c>
      <c r="C254" s="14" t="n"/>
      <c r="D254" s="14" t="n"/>
      <c r="E254" s="15">
        <f>IF(D254="","",IF(COUNTIF(lst_Jobs,D254&amp;"")&gt;0,"OK","CHECK"))</f>
        <v/>
      </c>
      <c r="F254" s="14" t="n"/>
      <c r="G254" s="14" t="n"/>
      <c r="H254" s="14" t="n"/>
      <c r="I254" s="14" t="n"/>
      <c r="J254" s="16" t="n"/>
      <c r="K254" s="14" t="n"/>
      <c r="L254" s="14" t="n"/>
      <c r="M254" s="14" t="n"/>
      <c r="N254" s="14" t="n"/>
    </row>
    <row r="255" ht="15" customHeight="1">
      <c r="A255" s="55" t="n"/>
      <c r="B255" s="51">
        <f>IF(C255="","",IFERROR(INDEX(tbl_Finance[Date],MATCH(C255&amp;"",tbl_Finance[Xero Invoice No],0)),""))</f>
        <v/>
      </c>
      <c r="C255" s="14" t="n"/>
      <c r="D255" s="14" t="n"/>
      <c r="E255" s="15">
        <f>IF(D255="","",IF(COUNTIF(lst_Jobs,D255&amp;"")&gt;0,"OK","CHECK"))</f>
        <v/>
      </c>
      <c r="F255" s="14" t="n"/>
      <c r="G255" s="14" t="n"/>
      <c r="H255" s="14" t="n"/>
      <c r="I255" s="14" t="n"/>
      <c r="J255" s="16" t="n"/>
      <c r="K255" s="14" t="n"/>
      <c r="L255" s="14" t="n"/>
      <c r="M255" s="14" t="n"/>
      <c r="N255" s="14" t="n"/>
    </row>
    <row r="256" ht="15" customHeight="1">
      <c r="A256" s="55" t="n"/>
      <c r="B256" s="51">
        <f>IF(C256="","",IFERROR(INDEX(tbl_Finance[Date],MATCH(C256&amp;"",tbl_Finance[Xero Invoice No],0)),""))</f>
        <v/>
      </c>
      <c r="C256" s="14" t="n"/>
      <c r="D256" s="14" t="n"/>
      <c r="E256" s="15">
        <f>IF(D256="","",IF(COUNTIF(lst_Jobs,D256&amp;"")&gt;0,"OK","CHECK"))</f>
        <v/>
      </c>
      <c r="F256" s="14" t="n"/>
      <c r="G256" s="14" t="n"/>
      <c r="H256" s="14" t="n"/>
      <c r="I256" s="14" t="n"/>
      <c r="J256" s="16" t="n"/>
      <c r="K256" s="14" t="n"/>
      <c r="L256" s="14" t="n"/>
      <c r="M256" s="14" t="n"/>
      <c r="N256" s="14" t="n"/>
    </row>
    <row r="257" ht="15" customHeight="1">
      <c r="A257" s="55" t="n"/>
      <c r="B257" s="51">
        <f>IF(C257="","",IFERROR(INDEX(tbl_Finance[Date],MATCH(C257&amp;"",tbl_Finance[Xero Invoice No],0)),""))</f>
        <v/>
      </c>
      <c r="C257" s="14" t="n"/>
      <c r="D257" s="14" t="n"/>
      <c r="E257" s="15">
        <f>IF(D257="","",IF(COUNTIF(lst_Jobs,D257&amp;"")&gt;0,"OK","CHECK"))</f>
        <v/>
      </c>
      <c r="F257" s="14" t="n"/>
      <c r="G257" s="14" t="n"/>
      <c r="H257" s="14" t="n"/>
      <c r="I257" s="14" t="n"/>
      <c r="J257" s="16" t="n"/>
      <c r="K257" s="14" t="n"/>
      <c r="L257" s="14" t="n"/>
      <c r="M257" s="14" t="n"/>
      <c r="N257" s="14" t="n"/>
    </row>
    <row r="258" ht="15" customHeight="1">
      <c r="A258" s="55" t="n"/>
      <c r="B258" s="51">
        <f>IF(C258="","",IFERROR(INDEX(tbl_Finance[Date],MATCH(C258&amp;"",tbl_Finance[Xero Invoice No],0)),""))</f>
        <v/>
      </c>
      <c r="C258" s="14" t="n"/>
      <c r="D258" s="14" t="n"/>
      <c r="E258" s="15">
        <f>IF(D258="","",IF(COUNTIF(lst_Jobs,D258&amp;"")&gt;0,"OK","CHECK"))</f>
        <v/>
      </c>
      <c r="F258" s="14" t="n"/>
      <c r="G258" s="14" t="n"/>
      <c r="H258" s="14" t="n"/>
      <c r="I258" s="14" t="n"/>
      <c r="J258" s="16" t="n"/>
      <c r="K258" s="14" t="n"/>
      <c r="L258" s="14" t="n"/>
      <c r="M258" s="14" t="n"/>
      <c r="N258" s="14" t="n"/>
    </row>
    <row r="259" ht="15" customHeight="1">
      <c r="A259" s="55" t="n"/>
      <c r="B259" s="51">
        <f>IF(C259="","",IFERROR(INDEX(tbl_Finance[Date],MATCH(C259&amp;"",tbl_Finance[Xero Invoice No],0)),""))</f>
        <v/>
      </c>
      <c r="C259" s="14" t="n"/>
      <c r="D259" s="14" t="n"/>
      <c r="E259" s="15">
        <f>IF(D259="","",IF(COUNTIF(lst_Jobs,D259&amp;"")&gt;0,"OK","CHECK"))</f>
        <v/>
      </c>
      <c r="F259" s="14" t="n"/>
      <c r="G259" s="14" t="n"/>
      <c r="H259" s="14" t="n"/>
      <c r="I259" s="14" t="n"/>
      <c r="J259" s="16" t="n"/>
      <c r="K259" s="14" t="n"/>
      <c r="L259" s="14" t="n"/>
      <c r="M259" s="14" t="n"/>
      <c r="N259" s="14" t="n"/>
    </row>
    <row r="260" ht="15" customHeight="1">
      <c r="A260" s="55" t="n"/>
      <c r="B260" s="51">
        <f>IF(C260="","",IFERROR(INDEX(tbl_Finance[Date],MATCH(C260&amp;"",tbl_Finance[Xero Invoice No],0)),""))</f>
        <v/>
      </c>
      <c r="C260" s="14" t="n"/>
      <c r="D260" s="14" t="n"/>
      <c r="E260" s="15">
        <f>IF(D260="","",IF(COUNTIF(lst_Jobs,D260&amp;"")&gt;0,"OK","CHECK"))</f>
        <v/>
      </c>
      <c r="F260" s="14" t="n"/>
      <c r="G260" s="14" t="n"/>
      <c r="H260" s="14" t="n"/>
      <c r="I260" s="14" t="n"/>
      <c r="J260" s="16" t="n"/>
      <c r="K260" s="14" t="n"/>
      <c r="L260" s="14" t="n"/>
      <c r="M260" s="14" t="n"/>
      <c r="N260" s="14" t="n"/>
    </row>
    <row r="261" ht="15" customHeight="1">
      <c r="A261" s="55" t="n"/>
      <c r="B261" s="51">
        <f>IF(C261="","",IFERROR(INDEX(tbl_Finance[Date],MATCH(C261&amp;"",tbl_Finance[Xero Invoice No],0)),""))</f>
        <v/>
      </c>
      <c r="C261" s="14" t="n"/>
      <c r="D261" s="14" t="n"/>
      <c r="E261" s="15">
        <f>IF(D261="","",IF(COUNTIF(lst_Jobs,D261&amp;"")&gt;0,"OK","CHECK"))</f>
        <v/>
      </c>
      <c r="F261" s="14" t="n"/>
      <c r="G261" s="14" t="n"/>
      <c r="H261" s="14" t="n"/>
      <c r="I261" s="14" t="n"/>
      <c r="J261" s="16" t="n"/>
      <c r="K261" s="14" t="n"/>
      <c r="L261" s="14" t="n"/>
      <c r="M261" s="14" t="n"/>
      <c r="N261" s="14" t="n"/>
    </row>
    <row r="262" ht="15" customHeight="1">
      <c r="A262" s="55" t="n"/>
      <c r="B262" s="51">
        <f>IF(C262="","",IFERROR(INDEX(tbl_Finance[Date],MATCH(C262&amp;"",tbl_Finance[Xero Invoice No],0)),""))</f>
        <v/>
      </c>
      <c r="C262" s="14" t="n"/>
      <c r="D262" s="14" t="n"/>
      <c r="E262" s="15">
        <f>IF(D262="","",IF(COUNTIF(lst_Jobs,D262&amp;"")&gt;0,"OK","CHECK"))</f>
        <v/>
      </c>
      <c r="F262" s="14" t="n"/>
      <c r="G262" s="14" t="n"/>
      <c r="H262" s="14" t="n"/>
      <c r="I262" s="14" t="n"/>
      <c r="J262" s="16" t="n"/>
      <c r="K262" s="14" t="n"/>
      <c r="L262" s="14" t="n"/>
      <c r="M262" s="14" t="n"/>
      <c r="N262" s="14" t="n"/>
    </row>
    <row r="263" ht="15" customHeight="1">
      <c r="A263" s="55" t="n"/>
      <c r="B263" s="51">
        <f>IF(C263="","",IFERROR(INDEX(tbl_Finance[Date],MATCH(C263&amp;"",tbl_Finance[Xero Invoice No],0)),""))</f>
        <v/>
      </c>
      <c r="C263" s="14" t="n"/>
      <c r="D263" s="14" t="n"/>
      <c r="E263" s="15">
        <f>IF(D263="","",IF(COUNTIF(lst_Jobs,D263&amp;"")&gt;0,"OK","CHECK"))</f>
        <v/>
      </c>
      <c r="F263" s="14" t="n"/>
      <c r="G263" s="14" t="n"/>
      <c r="H263" s="14" t="n"/>
      <c r="I263" s="14" t="n"/>
      <c r="J263" s="16" t="n"/>
      <c r="K263" s="14" t="n"/>
      <c r="L263" s="14" t="n"/>
      <c r="M263" s="14" t="n"/>
      <c r="N263" s="14" t="n"/>
    </row>
    <row r="264" ht="15" customHeight="1">
      <c r="A264" s="55" t="n"/>
      <c r="B264" s="51">
        <f>IF(C264="","",IFERROR(INDEX(tbl_Finance[Date],MATCH(C264&amp;"",tbl_Finance[Xero Invoice No],0)),""))</f>
        <v/>
      </c>
      <c r="C264" s="14" t="n"/>
      <c r="D264" s="14" t="n"/>
      <c r="E264" s="15">
        <f>IF(D264="","",IF(COUNTIF(lst_Jobs,D264&amp;"")&gt;0,"OK","CHECK"))</f>
        <v/>
      </c>
      <c r="F264" s="14" t="n"/>
      <c r="G264" s="14" t="n"/>
      <c r="H264" s="14" t="n"/>
      <c r="I264" s="14" t="n"/>
      <c r="J264" s="16" t="n"/>
      <c r="K264" s="14" t="n"/>
      <c r="L264" s="14" t="n"/>
      <c r="M264" s="14" t="n"/>
      <c r="N264" s="14" t="n"/>
    </row>
    <row r="265" ht="15" customHeight="1">
      <c r="A265" s="55" t="n"/>
      <c r="B265" s="51">
        <f>IF(C265="","",IFERROR(INDEX(tbl_Finance[Date],MATCH(C265&amp;"",tbl_Finance[Xero Invoice No],0)),""))</f>
        <v/>
      </c>
      <c r="C265" s="14" t="n"/>
      <c r="D265" s="14" t="n"/>
      <c r="E265" s="15">
        <f>IF(D265="","",IF(COUNTIF(lst_Jobs,D265&amp;"")&gt;0,"OK","CHECK"))</f>
        <v/>
      </c>
      <c r="F265" s="14" t="n"/>
      <c r="G265" s="14" t="n"/>
      <c r="H265" s="14" t="n"/>
      <c r="I265" s="14" t="n"/>
      <c r="J265" s="16" t="n"/>
      <c r="K265" s="14" t="n"/>
      <c r="L265" s="14" t="n"/>
      <c r="M265" s="14" t="n"/>
      <c r="N265" s="14" t="n"/>
    </row>
    <row r="266" ht="15" customHeight="1">
      <c r="A266" s="55" t="n"/>
      <c r="B266" s="51">
        <f>IF(C266="","",IFERROR(INDEX(tbl_Finance[Date],MATCH(C266&amp;"",tbl_Finance[Xero Invoice No],0)),""))</f>
        <v/>
      </c>
      <c r="C266" s="14" t="n"/>
      <c r="D266" s="14" t="n"/>
      <c r="E266" s="15">
        <f>IF(D266="","",IF(COUNTIF(lst_Jobs,D266&amp;"")&gt;0,"OK","CHECK"))</f>
        <v/>
      </c>
      <c r="F266" s="14" t="n"/>
      <c r="G266" s="14" t="n"/>
      <c r="H266" s="14" t="n"/>
      <c r="I266" s="14" t="n"/>
      <c r="J266" s="16" t="n"/>
      <c r="K266" s="14" t="n"/>
      <c r="L266" s="14" t="n"/>
      <c r="M266" s="14" t="n"/>
      <c r="N266" s="14" t="n"/>
    </row>
    <row r="267" ht="15" customHeight="1">
      <c r="A267" s="55" t="n"/>
      <c r="B267" s="51">
        <f>IF(C267="","",IFERROR(INDEX(tbl_Finance[Date],MATCH(C267&amp;"",tbl_Finance[Xero Invoice No],0)),""))</f>
        <v/>
      </c>
      <c r="C267" s="14" t="n"/>
      <c r="D267" s="14" t="n"/>
      <c r="E267" s="15">
        <f>IF(D267="","",IF(COUNTIF(lst_Jobs,D267&amp;"")&gt;0,"OK","CHECK"))</f>
        <v/>
      </c>
      <c r="F267" s="14" t="n"/>
      <c r="G267" s="14" t="n"/>
      <c r="H267" s="14" t="n"/>
      <c r="I267" s="14" t="n"/>
      <c r="J267" s="16" t="n"/>
      <c r="K267" s="14" t="n"/>
      <c r="L267" s="14" t="n"/>
      <c r="M267" s="14" t="n"/>
      <c r="N267" s="14" t="n"/>
    </row>
    <row r="268" ht="15" customHeight="1">
      <c r="A268" s="55" t="n"/>
      <c r="B268" s="51">
        <f>IF(C268="","",IFERROR(INDEX(tbl_Finance[Date],MATCH(C268&amp;"",tbl_Finance[Xero Invoice No],0)),""))</f>
        <v/>
      </c>
      <c r="C268" s="14" t="n"/>
      <c r="D268" s="14" t="n"/>
      <c r="E268" s="15">
        <f>IF(D268="","",IF(COUNTIF(lst_Jobs,D268&amp;"")&gt;0,"OK","CHECK"))</f>
        <v/>
      </c>
      <c r="F268" s="14" t="n"/>
      <c r="G268" s="14" t="n"/>
      <c r="H268" s="14" t="n"/>
      <c r="I268" s="14" t="n"/>
      <c r="J268" s="16" t="n"/>
      <c r="K268" s="14" t="n"/>
      <c r="L268" s="14" t="n"/>
      <c r="M268" s="14" t="n"/>
      <c r="N268" s="14" t="n"/>
    </row>
    <row r="269" ht="15" customHeight="1">
      <c r="A269" s="55" t="n"/>
      <c r="B269" s="51">
        <f>IF(C269="","",IFERROR(INDEX(tbl_Finance[Date],MATCH(C269&amp;"",tbl_Finance[Xero Invoice No],0)),""))</f>
        <v/>
      </c>
      <c r="C269" s="14" t="n"/>
      <c r="D269" s="14" t="n"/>
      <c r="E269" s="15">
        <f>IF(D269="","",IF(COUNTIF(lst_Jobs,D269&amp;"")&gt;0,"OK","CHECK"))</f>
        <v/>
      </c>
      <c r="F269" s="14" t="n"/>
      <c r="G269" s="14" t="n"/>
      <c r="H269" s="14" t="n"/>
      <c r="I269" s="14" t="n"/>
      <c r="J269" s="16" t="n"/>
      <c r="K269" s="14" t="n"/>
      <c r="L269" s="14" t="n"/>
      <c r="M269" s="14" t="n"/>
      <c r="N269" s="14" t="n"/>
    </row>
    <row r="270" ht="15" customHeight="1">
      <c r="A270" s="55" t="n"/>
      <c r="B270" s="51">
        <f>IF(C270="","",IFERROR(INDEX(tbl_Finance[Date],MATCH(C270&amp;"",tbl_Finance[Xero Invoice No],0)),""))</f>
        <v/>
      </c>
      <c r="C270" s="14" t="n"/>
      <c r="D270" s="14" t="n"/>
      <c r="E270" s="15">
        <f>IF(D270="","",IF(COUNTIF(lst_Jobs,D270&amp;"")&gt;0,"OK","CHECK"))</f>
        <v/>
      </c>
      <c r="F270" s="14" t="n"/>
      <c r="G270" s="14" t="n"/>
      <c r="H270" s="14" t="n"/>
      <c r="I270" s="14" t="n"/>
      <c r="J270" s="16" t="n"/>
      <c r="K270" s="14" t="n"/>
      <c r="L270" s="14" t="n"/>
      <c r="M270" s="14" t="n"/>
      <c r="N270" s="14" t="n"/>
    </row>
    <row r="271" ht="15" customHeight="1">
      <c r="A271" s="55" t="n"/>
      <c r="B271" s="51">
        <f>IF(C271="","",IFERROR(INDEX(tbl_Finance[Date],MATCH(C271&amp;"",tbl_Finance[Xero Invoice No],0)),""))</f>
        <v/>
      </c>
      <c r="C271" s="14" t="n"/>
      <c r="D271" s="14" t="n"/>
      <c r="E271" s="15">
        <f>IF(D271="","",IF(COUNTIF(lst_Jobs,D271&amp;"")&gt;0,"OK","CHECK"))</f>
        <v/>
      </c>
      <c r="F271" s="14" t="n"/>
      <c r="G271" s="14" t="n"/>
      <c r="H271" s="14" t="n"/>
      <c r="I271" s="14" t="n"/>
      <c r="J271" s="16" t="n"/>
      <c r="K271" s="14" t="n"/>
      <c r="L271" s="14" t="n"/>
      <c r="M271" s="14" t="n"/>
      <c r="N271" s="14" t="n"/>
    </row>
    <row r="272" ht="15" customHeight="1">
      <c r="A272" s="55" t="n"/>
      <c r="B272" s="51">
        <f>IF(C272="","",IFERROR(INDEX(tbl_Finance[Date],MATCH(C272&amp;"",tbl_Finance[Xero Invoice No],0)),""))</f>
        <v/>
      </c>
      <c r="C272" s="14" t="n"/>
      <c r="D272" s="14" t="n"/>
      <c r="E272" s="15">
        <f>IF(D272="","",IF(COUNTIF(lst_Jobs,D272&amp;"")&gt;0,"OK","CHECK"))</f>
        <v/>
      </c>
      <c r="F272" s="14" t="n"/>
      <c r="G272" s="14" t="n"/>
      <c r="H272" s="14" t="n"/>
      <c r="I272" s="14" t="n"/>
      <c r="J272" s="16" t="n"/>
      <c r="K272" s="14" t="n"/>
      <c r="L272" s="14" t="n"/>
      <c r="M272" s="14" t="n"/>
      <c r="N272" s="14" t="n"/>
    </row>
    <row r="273" ht="15" customHeight="1">
      <c r="A273" s="55" t="n"/>
      <c r="B273" s="51">
        <f>IF(C273="","",IFERROR(INDEX(tbl_Finance[Date],MATCH(C273&amp;"",tbl_Finance[Xero Invoice No],0)),""))</f>
        <v/>
      </c>
      <c r="C273" s="14" t="n"/>
      <c r="D273" s="14" t="n"/>
      <c r="E273" s="15">
        <f>IF(D273="","",IF(COUNTIF(lst_Jobs,D273&amp;"")&gt;0,"OK","CHECK"))</f>
        <v/>
      </c>
      <c r="F273" s="14" t="n"/>
      <c r="G273" s="14" t="n"/>
      <c r="H273" s="14" t="n"/>
      <c r="I273" s="14" t="n"/>
      <c r="J273" s="16" t="n"/>
      <c r="K273" s="14" t="n"/>
      <c r="L273" s="14" t="n"/>
      <c r="M273" s="14" t="n"/>
      <c r="N273" s="14" t="n"/>
    </row>
    <row r="274" ht="15" customHeight="1">
      <c r="A274" s="55" t="n"/>
      <c r="B274" s="51">
        <f>IF(C274="","",IFERROR(INDEX(tbl_Finance[Date],MATCH(C274&amp;"",tbl_Finance[Xero Invoice No],0)),""))</f>
        <v/>
      </c>
      <c r="C274" s="14" t="n"/>
      <c r="D274" s="14" t="n"/>
      <c r="E274" s="15">
        <f>IF(D274="","",IF(COUNTIF(lst_Jobs,D274&amp;"")&gt;0,"OK","CHECK"))</f>
        <v/>
      </c>
      <c r="F274" s="14" t="n"/>
      <c r="G274" s="14" t="n"/>
      <c r="H274" s="14" t="n"/>
      <c r="I274" s="14" t="n"/>
      <c r="J274" s="16" t="n"/>
      <c r="K274" s="14" t="n"/>
      <c r="L274" s="14" t="n"/>
      <c r="M274" s="14" t="n"/>
      <c r="N274" s="14" t="n"/>
    </row>
    <row r="275" ht="15" customHeight="1">
      <c r="A275" s="55" t="n"/>
      <c r="B275" s="51">
        <f>IF(C275="","",IFERROR(INDEX(tbl_Finance[Date],MATCH(C275&amp;"",tbl_Finance[Xero Invoice No],0)),""))</f>
        <v/>
      </c>
      <c r="C275" s="14" t="n"/>
      <c r="D275" s="14" t="n"/>
      <c r="E275" s="15">
        <f>IF(D275="","",IF(COUNTIF(lst_Jobs,D275&amp;"")&gt;0,"OK","CHECK"))</f>
        <v/>
      </c>
      <c r="F275" s="14" t="n"/>
      <c r="G275" s="14" t="n"/>
      <c r="H275" s="14" t="n"/>
      <c r="I275" s="14" t="n"/>
      <c r="J275" s="16" t="n"/>
      <c r="K275" s="14" t="n"/>
      <c r="L275" s="14" t="n"/>
      <c r="M275" s="14" t="n"/>
      <c r="N275" s="14" t="n"/>
    </row>
    <row r="276" ht="15" customHeight="1">
      <c r="A276" s="55" t="n"/>
      <c r="B276" s="51">
        <f>IF(C276="","",IFERROR(INDEX(tbl_Finance[Date],MATCH(C276&amp;"",tbl_Finance[Xero Invoice No],0)),""))</f>
        <v/>
      </c>
      <c r="C276" s="14" t="n"/>
      <c r="D276" s="14" t="n"/>
      <c r="E276" s="15">
        <f>IF(D276="","",IF(COUNTIF(lst_Jobs,D276&amp;"")&gt;0,"OK","CHECK"))</f>
        <v/>
      </c>
      <c r="F276" s="14" t="n"/>
      <c r="G276" s="14" t="n"/>
      <c r="H276" s="14" t="n"/>
      <c r="I276" s="14" t="n"/>
      <c r="J276" s="16" t="n"/>
      <c r="K276" s="14" t="n"/>
      <c r="L276" s="14" t="n"/>
      <c r="M276" s="14" t="n"/>
      <c r="N276" s="14" t="n"/>
    </row>
    <row r="277" ht="15" customHeight="1">
      <c r="A277" s="55" t="n"/>
      <c r="B277" s="51">
        <f>IF(C277="","",IFERROR(INDEX(tbl_Finance[Date],MATCH(C277&amp;"",tbl_Finance[Xero Invoice No],0)),""))</f>
        <v/>
      </c>
      <c r="C277" s="14" t="n"/>
      <c r="D277" s="14" t="n"/>
      <c r="E277" s="15">
        <f>IF(D277="","",IF(COUNTIF(lst_Jobs,D277&amp;"")&gt;0,"OK","CHECK"))</f>
        <v/>
      </c>
      <c r="F277" s="14" t="n"/>
      <c r="G277" s="14" t="n"/>
      <c r="H277" s="14" t="n"/>
      <c r="I277" s="14" t="n"/>
      <c r="J277" s="16" t="n"/>
      <c r="K277" s="14" t="n"/>
      <c r="L277" s="14" t="n"/>
      <c r="M277" s="14" t="n"/>
      <c r="N277" s="14" t="n"/>
    </row>
    <row r="278" ht="15" customHeight="1">
      <c r="A278" s="55" t="n"/>
      <c r="B278" s="51">
        <f>IF(C278="","",IFERROR(INDEX(tbl_Finance[Date],MATCH(C278&amp;"",tbl_Finance[Xero Invoice No],0)),""))</f>
        <v/>
      </c>
      <c r="C278" s="14" t="n"/>
      <c r="D278" s="14" t="n"/>
      <c r="E278" s="15">
        <f>IF(D278="","",IF(COUNTIF(lst_Jobs,D278&amp;"")&gt;0,"OK","CHECK"))</f>
        <v/>
      </c>
      <c r="F278" s="14" t="n"/>
      <c r="G278" s="14" t="n"/>
      <c r="H278" s="14" t="n"/>
      <c r="I278" s="14" t="n"/>
      <c r="J278" s="16" t="n"/>
      <c r="K278" s="14" t="n"/>
      <c r="L278" s="14" t="n"/>
      <c r="M278" s="14" t="n"/>
      <c r="N278" s="14" t="n"/>
    </row>
    <row r="279" ht="15" customHeight="1">
      <c r="A279" s="55" t="n"/>
      <c r="B279" s="51">
        <f>IF(C279="","",IFERROR(INDEX(tbl_Finance[Date],MATCH(C279&amp;"",tbl_Finance[Xero Invoice No],0)),""))</f>
        <v/>
      </c>
      <c r="C279" s="14" t="n"/>
      <c r="D279" s="14" t="n"/>
      <c r="E279" s="15">
        <f>IF(D279="","",IF(COUNTIF(lst_Jobs,D279&amp;"")&gt;0,"OK","CHECK"))</f>
        <v/>
      </c>
      <c r="F279" s="14" t="n"/>
      <c r="G279" s="14" t="n"/>
      <c r="H279" s="14" t="n"/>
      <c r="I279" s="14" t="n"/>
      <c r="J279" s="16" t="n"/>
      <c r="K279" s="14" t="n"/>
      <c r="L279" s="14" t="n"/>
      <c r="M279" s="14" t="n"/>
      <c r="N279" s="14" t="n"/>
    </row>
    <row r="280" ht="15" customHeight="1">
      <c r="A280" s="55" t="n"/>
      <c r="B280" s="51">
        <f>IF(C280="","",IFERROR(INDEX(tbl_Finance[Date],MATCH(C280&amp;"",tbl_Finance[Xero Invoice No],0)),""))</f>
        <v/>
      </c>
      <c r="C280" s="14" t="n"/>
      <c r="D280" s="14" t="n"/>
      <c r="E280" s="15">
        <f>IF(D280="","",IF(COUNTIF(lst_Jobs,D280&amp;"")&gt;0,"OK","CHECK"))</f>
        <v/>
      </c>
      <c r="F280" s="14" t="n"/>
      <c r="G280" s="14" t="n"/>
      <c r="H280" s="14" t="n"/>
      <c r="I280" s="14" t="n"/>
      <c r="J280" s="16" t="n"/>
      <c r="K280" s="14" t="n"/>
      <c r="L280" s="14" t="n"/>
      <c r="M280" s="14" t="n"/>
      <c r="N280" s="14" t="n"/>
    </row>
    <row r="281" ht="15" customHeight="1">
      <c r="A281" s="55" t="n"/>
      <c r="B281" s="51">
        <f>IF(C281="","",IFERROR(INDEX(tbl_Finance[Date],MATCH(C281&amp;"",tbl_Finance[Xero Invoice No],0)),""))</f>
        <v/>
      </c>
      <c r="C281" s="14" t="n"/>
      <c r="D281" s="14" t="n"/>
      <c r="E281" s="15">
        <f>IF(D281="","",IF(COUNTIF(lst_Jobs,D281&amp;"")&gt;0,"OK","CHECK"))</f>
        <v/>
      </c>
      <c r="F281" s="14" t="n"/>
      <c r="G281" s="14" t="n"/>
      <c r="H281" s="14" t="n"/>
      <c r="I281" s="14" t="n"/>
      <c r="J281" s="16" t="n"/>
      <c r="K281" s="14" t="n"/>
      <c r="L281" s="14" t="n"/>
      <c r="M281" s="14" t="n"/>
      <c r="N281" s="14" t="n"/>
    </row>
    <row r="282" ht="15" customHeight="1">
      <c r="A282" s="55" t="n"/>
      <c r="B282" s="51">
        <f>IF(C282="","",IFERROR(INDEX(tbl_Finance[Date],MATCH(C282&amp;"",tbl_Finance[Xero Invoice No],0)),""))</f>
        <v/>
      </c>
      <c r="C282" s="14" t="n"/>
      <c r="D282" s="14" t="n"/>
      <c r="E282" s="15">
        <f>IF(D282="","",IF(COUNTIF(lst_Jobs,D282&amp;"")&gt;0,"OK","CHECK"))</f>
        <v/>
      </c>
      <c r="F282" s="14" t="n"/>
      <c r="G282" s="14" t="n"/>
      <c r="H282" s="14" t="n"/>
      <c r="I282" s="14" t="n"/>
      <c r="J282" s="16" t="n"/>
      <c r="K282" s="14" t="n"/>
      <c r="L282" s="14" t="n"/>
      <c r="M282" s="14" t="n"/>
      <c r="N282" s="14" t="n"/>
    </row>
    <row r="283" ht="15" customHeight="1">
      <c r="A283" s="55" t="n"/>
      <c r="B283" s="51">
        <f>IF(C283="","",IFERROR(INDEX(tbl_Finance[Date],MATCH(C283&amp;"",tbl_Finance[Xero Invoice No],0)),""))</f>
        <v/>
      </c>
      <c r="C283" s="14" t="n"/>
      <c r="D283" s="14" t="n"/>
      <c r="E283" s="15">
        <f>IF(D283="","",IF(COUNTIF(lst_Jobs,D283&amp;"")&gt;0,"OK","CHECK"))</f>
        <v/>
      </c>
      <c r="F283" s="14" t="n"/>
      <c r="G283" s="14" t="n"/>
      <c r="H283" s="14" t="n"/>
      <c r="I283" s="14" t="n"/>
      <c r="J283" s="16" t="n"/>
      <c r="K283" s="14" t="n"/>
      <c r="L283" s="14" t="n"/>
      <c r="M283" s="14" t="n"/>
      <c r="N283" s="14" t="n"/>
    </row>
    <row r="284" ht="15" customHeight="1">
      <c r="A284" s="55" t="n"/>
      <c r="B284" s="51">
        <f>IF(C284="","",IFERROR(INDEX(tbl_Finance[Date],MATCH(C284&amp;"",tbl_Finance[Xero Invoice No],0)),""))</f>
        <v/>
      </c>
      <c r="C284" s="14" t="n"/>
      <c r="D284" s="14" t="n"/>
      <c r="E284" s="15">
        <f>IF(D284="","",IF(COUNTIF(lst_Jobs,D284&amp;"")&gt;0,"OK","CHECK"))</f>
        <v/>
      </c>
      <c r="F284" s="14" t="n"/>
      <c r="G284" s="14" t="n"/>
      <c r="H284" s="14" t="n"/>
      <c r="I284" s="14" t="n"/>
      <c r="J284" s="16" t="n"/>
      <c r="K284" s="14" t="n"/>
      <c r="L284" s="14" t="n"/>
      <c r="M284" s="14" t="n"/>
      <c r="N284" s="14" t="n"/>
    </row>
    <row r="285" ht="15" customHeight="1">
      <c r="A285" s="55" t="n"/>
      <c r="B285" s="51">
        <f>IF(C285="","",IFERROR(INDEX(tbl_Finance[Date],MATCH(C285&amp;"",tbl_Finance[Xero Invoice No],0)),""))</f>
        <v/>
      </c>
      <c r="C285" s="14" t="n"/>
      <c r="D285" s="14" t="n"/>
      <c r="E285" s="15">
        <f>IF(D285="","",IF(COUNTIF(lst_Jobs,D285&amp;"")&gt;0,"OK","CHECK"))</f>
        <v/>
      </c>
      <c r="F285" s="14" t="n"/>
      <c r="G285" s="14" t="n"/>
      <c r="H285" s="14" t="n"/>
      <c r="I285" s="14" t="n"/>
      <c r="J285" s="16" t="n"/>
      <c r="K285" s="14" t="n"/>
      <c r="L285" s="14" t="n"/>
      <c r="M285" s="14" t="n"/>
      <c r="N285" s="14" t="n"/>
    </row>
    <row r="286" ht="15" customHeight="1">
      <c r="A286" s="55" t="n"/>
      <c r="B286" s="51">
        <f>IF(C286="","",IFERROR(INDEX(tbl_Finance[Date],MATCH(C286&amp;"",tbl_Finance[Xero Invoice No],0)),""))</f>
        <v/>
      </c>
      <c r="C286" s="14" t="n"/>
      <c r="D286" s="14" t="n"/>
      <c r="E286" s="15">
        <f>IF(D286="","",IF(COUNTIF(lst_Jobs,D286&amp;"")&gt;0,"OK","CHECK"))</f>
        <v/>
      </c>
      <c r="F286" s="14" t="n"/>
      <c r="G286" s="14" t="n"/>
      <c r="H286" s="14" t="n"/>
      <c r="I286" s="14" t="n"/>
      <c r="J286" s="16" t="n"/>
      <c r="K286" s="14" t="n"/>
      <c r="L286" s="14" t="n"/>
      <c r="M286" s="14" t="n"/>
      <c r="N286" s="14" t="n"/>
    </row>
    <row r="287" ht="15" customHeight="1">
      <c r="A287" s="55" t="n"/>
      <c r="B287" s="51">
        <f>IF(C287="","",IFERROR(INDEX(tbl_Finance[Date],MATCH(C287&amp;"",tbl_Finance[Xero Invoice No],0)),""))</f>
        <v/>
      </c>
      <c r="C287" s="14" t="n"/>
      <c r="D287" s="14" t="n"/>
      <c r="E287" s="15">
        <f>IF(D287="","",IF(COUNTIF(lst_Jobs,D287&amp;"")&gt;0,"OK","CHECK"))</f>
        <v/>
      </c>
      <c r="F287" s="14" t="n"/>
      <c r="G287" s="14" t="n"/>
      <c r="H287" s="14" t="n"/>
      <c r="I287" s="14" t="n"/>
      <c r="J287" s="16" t="n"/>
      <c r="K287" s="14" t="n"/>
      <c r="L287" s="14" t="n"/>
      <c r="M287" s="14" t="n"/>
      <c r="N287" s="14" t="n"/>
    </row>
    <row r="288" ht="15" customHeight="1">
      <c r="A288" s="55" t="n"/>
      <c r="B288" s="51">
        <f>IF(C288="","",IFERROR(INDEX(tbl_Finance[Date],MATCH(C288&amp;"",tbl_Finance[Xero Invoice No],0)),""))</f>
        <v/>
      </c>
      <c r="C288" s="14" t="n"/>
      <c r="D288" s="14" t="n"/>
      <c r="E288" s="15">
        <f>IF(D288="","",IF(COUNTIF(lst_Jobs,D288&amp;"")&gt;0,"OK","CHECK"))</f>
        <v/>
      </c>
      <c r="F288" s="14" t="n"/>
      <c r="G288" s="14" t="n"/>
      <c r="H288" s="14" t="n"/>
      <c r="I288" s="14" t="n"/>
      <c r="J288" s="16" t="n"/>
      <c r="K288" s="14" t="n"/>
      <c r="L288" s="14" t="n"/>
      <c r="M288" s="14" t="n"/>
      <c r="N288" s="14" t="n"/>
    </row>
    <row r="289" ht="15" customHeight="1">
      <c r="A289" s="55" t="n"/>
      <c r="B289" s="51">
        <f>IF(C289="","",IFERROR(INDEX(tbl_Finance[Date],MATCH(C289&amp;"",tbl_Finance[Xero Invoice No],0)),""))</f>
        <v/>
      </c>
      <c r="C289" s="14" t="n"/>
      <c r="D289" s="14" t="n"/>
      <c r="E289" s="15">
        <f>IF(D289="","",IF(COUNTIF(lst_Jobs,D289&amp;"")&gt;0,"OK","CHECK"))</f>
        <v/>
      </c>
      <c r="F289" s="14" t="n"/>
      <c r="G289" s="14" t="n"/>
      <c r="H289" s="14" t="n"/>
      <c r="I289" s="14" t="n"/>
      <c r="J289" s="16" t="n"/>
      <c r="K289" s="14" t="n"/>
      <c r="L289" s="14" t="n"/>
      <c r="M289" s="14" t="n"/>
      <c r="N289" s="14" t="n"/>
    </row>
    <row r="290" ht="15" customHeight="1">
      <c r="A290" s="55" t="n"/>
      <c r="B290" s="51">
        <f>IF(C290="","",IFERROR(INDEX(tbl_Finance[Date],MATCH(C290&amp;"",tbl_Finance[Xero Invoice No],0)),""))</f>
        <v/>
      </c>
      <c r="C290" s="14" t="n"/>
      <c r="D290" s="14" t="n"/>
      <c r="E290" s="15">
        <f>IF(D290="","",IF(COUNTIF(lst_Jobs,D290&amp;"")&gt;0,"OK","CHECK"))</f>
        <v/>
      </c>
      <c r="F290" s="14" t="n"/>
      <c r="G290" s="14" t="n"/>
      <c r="H290" s="14" t="n"/>
      <c r="I290" s="14" t="n"/>
      <c r="J290" s="16" t="n"/>
      <c r="K290" s="14" t="n"/>
      <c r="L290" s="14" t="n"/>
      <c r="M290" s="14" t="n"/>
      <c r="N290" s="14" t="n"/>
    </row>
    <row r="291" ht="15" customHeight="1">
      <c r="A291" s="55" t="n"/>
      <c r="B291" s="51">
        <f>IF(C291="","",IFERROR(INDEX(tbl_Finance[Date],MATCH(C291&amp;"",tbl_Finance[Xero Invoice No],0)),""))</f>
        <v/>
      </c>
      <c r="C291" s="14" t="n"/>
      <c r="D291" s="14" t="n"/>
      <c r="E291" s="15">
        <f>IF(D291="","",IF(COUNTIF(lst_Jobs,D291&amp;"")&gt;0,"OK","CHECK"))</f>
        <v/>
      </c>
      <c r="F291" s="14" t="n"/>
      <c r="G291" s="14" t="n"/>
      <c r="H291" s="14" t="n"/>
      <c r="I291" s="14" t="n"/>
      <c r="J291" s="16" t="n"/>
      <c r="K291" s="14" t="n"/>
      <c r="L291" s="14" t="n"/>
      <c r="M291" s="14" t="n"/>
      <c r="N291" s="14" t="n"/>
    </row>
    <row r="292" ht="15" customHeight="1">
      <c r="A292" s="55" t="n"/>
      <c r="B292" s="51">
        <f>IF(C292="","",IFERROR(INDEX(tbl_Finance[Date],MATCH(C292&amp;"",tbl_Finance[Xero Invoice No],0)),""))</f>
        <v/>
      </c>
      <c r="C292" s="14" t="n"/>
      <c r="D292" s="14" t="n"/>
      <c r="E292" s="15">
        <f>IF(D292="","",IF(COUNTIF(lst_Jobs,D292&amp;"")&gt;0,"OK","CHECK"))</f>
        <v/>
      </c>
      <c r="F292" s="14" t="n"/>
      <c r="G292" s="14" t="n"/>
      <c r="H292" s="14" t="n"/>
      <c r="I292" s="14" t="n"/>
      <c r="J292" s="16" t="n"/>
      <c r="K292" s="14" t="n"/>
      <c r="L292" s="14" t="n"/>
      <c r="M292" s="14" t="n"/>
      <c r="N292" s="14" t="n"/>
    </row>
    <row r="293" ht="15" customHeight="1">
      <c r="A293" s="55" t="n"/>
      <c r="B293" s="51">
        <f>IF(C293="","",IFERROR(INDEX(tbl_Finance[Date],MATCH(C293&amp;"",tbl_Finance[Xero Invoice No],0)),""))</f>
        <v/>
      </c>
      <c r="C293" s="14" t="n"/>
      <c r="D293" s="14" t="n"/>
      <c r="E293" s="15">
        <f>IF(D293="","",IF(COUNTIF(lst_Jobs,D293&amp;"")&gt;0,"OK","CHECK"))</f>
        <v/>
      </c>
      <c r="F293" s="14" t="n"/>
      <c r="G293" s="14" t="n"/>
      <c r="H293" s="14" t="n"/>
      <c r="I293" s="14" t="n"/>
      <c r="J293" s="16" t="n"/>
      <c r="K293" s="14" t="n"/>
      <c r="L293" s="14" t="n"/>
      <c r="M293" s="14" t="n"/>
      <c r="N293" s="14" t="n"/>
    </row>
    <row r="294" ht="15" customHeight="1">
      <c r="A294" s="55" t="n"/>
      <c r="B294" s="51">
        <f>IF(C294="","",IFERROR(INDEX(tbl_Finance[Date],MATCH(C294&amp;"",tbl_Finance[Xero Invoice No],0)),""))</f>
        <v/>
      </c>
      <c r="C294" s="14" t="n"/>
      <c r="D294" s="14" t="n"/>
      <c r="E294" s="15">
        <f>IF(D294="","",IF(COUNTIF(lst_Jobs,D294&amp;"")&gt;0,"OK","CHECK"))</f>
        <v/>
      </c>
      <c r="F294" s="14" t="n"/>
      <c r="G294" s="14" t="n"/>
      <c r="H294" s="14" t="n"/>
      <c r="I294" s="14" t="n"/>
      <c r="J294" s="16" t="n"/>
      <c r="K294" s="14" t="n"/>
      <c r="L294" s="14" t="n"/>
      <c r="M294" s="14" t="n"/>
      <c r="N294" s="14" t="n"/>
    </row>
    <row r="295" ht="15" customHeight="1">
      <c r="A295" s="55" t="n"/>
      <c r="B295" s="51">
        <f>IF(C295="","",IFERROR(INDEX(tbl_Finance[Date],MATCH(C295&amp;"",tbl_Finance[Xero Invoice No],0)),""))</f>
        <v/>
      </c>
      <c r="C295" s="14" t="n"/>
      <c r="D295" s="14" t="n"/>
      <c r="E295" s="15">
        <f>IF(D295="","",IF(COUNTIF(lst_Jobs,D295&amp;"")&gt;0,"OK","CHECK"))</f>
        <v/>
      </c>
      <c r="F295" s="14" t="n"/>
      <c r="G295" s="14" t="n"/>
      <c r="H295" s="14" t="n"/>
      <c r="I295" s="14" t="n"/>
      <c r="J295" s="16" t="n"/>
      <c r="K295" s="14" t="n"/>
      <c r="L295" s="14" t="n"/>
      <c r="M295" s="14" t="n"/>
      <c r="N295" s="14" t="n"/>
    </row>
    <row r="296" ht="15" customHeight="1">
      <c r="A296" s="55" t="n"/>
      <c r="B296" s="51">
        <f>IF(C296="","",IFERROR(INDEX(tbl_Finance[Date],MATCH(C296&amp;"",tbl_Finance[Xero Invoice No],0)),""))</f>
        <v/>
      </c>
      <c r="C296" s="14" t="n"/>
      <c r="D296" s="14" t="n"/>
      <c r="E296" s="15">
        <f>IF(D296="","",IF(COUNTIF(lst_Jobs,D296&amp;"")&gt;0,"OK","CHECK"))</f>
        <v/>
      </c>
      <c r="F296" s="14" t="n"/>
      <c r="G296" s="14" t="n"/>
      <c r="H296" s="14" t="n"/>
      <c r="I296" s="14" t="n"/>
      <c r="J296" s="16" t="n"/>
      <c r="K296" s="14" t="n"/>
      <c r="L296" s="14" t="n"/>
      <c r="M296" s="14" t="n"/>
      <c r="N296" s="14" t="n"/>
    </row>
    <row r="297" ht="15" customHeight="1">
      <c r="A297" s="55" t="n"/>
      <c r="B297" s="51">
        <f>IF(C297="","",IFERROR(INDEX(tbl_Finance[Date],MATCH(C297&amp;"",tbl_Finance[Xero Invoice No],0)),""))</f>
        <v/>
      </c>
      <c r="C297" s="14" t="n"/>
      <c r="D297" s="14" t="n"/>
      <c r="E297" s="15">
        <f>IF(D297="","",IF(COUNTIF(lst_Jobs,D297&amp;"")&gt;0,"OK","CHECK"))</f>
        <v/>
      </c>
      <c r="F297" s="14" t="n"/>
      <c r="G297" s="14" t="n"/>
      <c r="H297" s="14" t="n"/>
      <c r="I297" s="14" t="n"/>
      <c r="J297" s="16" t="n"/>
      <c r="K297" s="14" t="n"/>
      <c r="L297" s="14" t="n"/>
      <c r="M297" s="14" t="n"/>
      <c r="N297" s="14" t="n"/>
    </row>
    <row r="298" ht="15" customHeight="1">
      <c r="A298" s="55" t="n"/>
      <c r="B298" s="51">
        <f>IF(C298="","",IFERROR(INDEX(tbl_Finance[Date],MATCH(C298&amp;"",tbl_Finance[Xero Invoice No],0)),""))</f>
        <v/>
      </c>
      <c r="C298" s="14" t="n"/>
      <c r="D298" s="14" t="n"/>
      <c r="E298" s="15">
        <f>IF(D298="","",IF(COUNTIF(lst_Jobs,D298&amp;"")&gt;0,"OK","CHECK"))</f>
        <v/>
      </c>
      <c r="F298" s="14" t="n"/>
      <c r="G298" s="14" t="n"/>
      <c r="H298" s="14" t="n"/>
      <c r="I298" s="14" t="n"/>
      <c r="J298" s="16" t="n"/>
      <c r="K298" s="14" t="n"/>
      <c r="L298" s="14" t="n"/>
      <c r="M298" s="14" t="n"/>
      <c r="N298" s="14" t="n"/>
    </row>
    <row r="299" ht="15" customHeight="1">
      <c r="A299" s="55" t="n"/>
      <c r="B299" s="51">
        <f>IF(C299="","",IFERROR(INDEX(tbl_Finance[Date],MATCH(C299&amp;"",tbl_Finance[Xero Invoice No],0)),""))</f>
        <v/>
      </c>
      <c r="C299" s="14" t="n"/>
      <c r="D299" s="14" t="n"/>
      <c r="E299" s="15">
        <f>IF(D299="","",IF(COUNTIF(lst_Jobs,D299&amp;"")&gt;0,"OK","CHECK"))</f>
        <v/>
      </c>
      <c r="F299" s="14" t="n"/>
      <c r="G299" s="14" t="n"/>
      <c r="H299" s="14" t="n"/>
      <c r="I299" s="14" t="n"/>
      <c r="J299" s="16" t="n"/>
      <c r="K299" s="14" t="n"/>
      <c r="L299" s="14" t="n"/>
      <c r="M299" s="14" t="n"/>
      <c r="N299" s="14" t="n"/>
    </row>
    <row r="300" ht="15" customHeight="1">
      <c r="A300" s="55" t="n"/>
      <c r="B300" s="51">
        <f>IF(C300="","",IFERROR(INDEX(tbl_Finance[Date],MATCH(C300&amp;"",tbl_Finance[Xero Invoice No],0)),""))</f>
        <v/>
      </c>
      <c r="C300" s="14" t="n"/>
      <c r="D300" s="14" t="n"/>
      <c r="E300" s="15">
        <f>IF(D300="","",IF(COUNTIF(lst_Jobs,D300&amp;"")&gt;0,"OK","CHECK"))</f>
        <v/>
      </c>
      <c r="F300" s="14" t="n"/>
      <c r="G300" s="14" t="n"/>
      <c r="H300" s="14" t="n"/>
      <c r="I300" s="14" t="n"/>
      <c r="J300" s="16" t="n"/>
      <c r="K300" s="14" t="n"/>
      <c r="L300" s="14" t="n"/>
      <c r="M300" s="14" t="n"/>
      <c r="N300" s="14" t="n"/>
    </row>
    <row r="301" ht="15" customHeight="1">
      <c r="A301" s="55" t="n"/>
      <c r="B301" s="51">
        <f>IF(C301="","",IFERROR(INDEX(tbl_Finance[Date],MATCH(C301&amp;"",tbl_Finance[Xero Invoice No],0)),""))</f>
        <v/>
      </c>
      <c r="C301" s="14" t="n"/>
      <c r="D301" s="14" t="n"/>
      <c r="E301" s="15">
        <f>IF(D301="","",IF(COUNTIF(lst_Jobs,D301&amp;"")&gt;0,"OK","CHECK"))</f>
        <v/>
      </c>
      <c r="F301" s="14" t="n"/>
      <c r="G301" s="14" t="n"/>
      <c r="H301" s="14" t="n"/>
      <c r="I301" s="14" t="n"/>
      <c r="J301" s="16" t="n"/>
      <c r="K301" s="14" t="n"/>
      <c r="L301" s="14" t="n"/>
      <c r="M301" s="14" t="n"/>
      <c r="N301" s="14" t="n"/>
    </row>
    <row r="302" ht="15" customHeight="1">
      <c r="A302" s="55" t="n"/>
      <c r="B302" s="51">
        <f>IF(C302="","",IFERROR(INDEX(tbl_Finance[Date],MATCH(C302&amp;"",tbl_Finance[Xero Invoice No],0)),""))</f>
        <v/>
      </c>
      <c r="C302" s="14" t="n"/>
      <c r="D302" s="14" t="n"/>
      <c r="E302" s="15">
        <f>IF(D302="","",IF(COUNTIF(lst_Jobs,D302&amp;"")&gt;0,"OK","CHECK"))</f>
        <v/>
      </c>
      <c r="F302" s="14" t="n"/>
      <c r="G302" s="14" t="n"/>
      <c r="H302" s="14" t="n"/>
      <c r="I302" s="14" t="n"/>
      <c r="J302" s="16" t="n"/>
      <c r="K302" s="14" t="n"/>
      <c r="L302" s="14" t="n"/>
      <c r="M302" s="14" t="n"/>
      <c r="N302" s="14" t="n"/>
    </row>
    <row r="303" ht="15" customHeight="1">
      <c r="A303" s="55" t="n"/>
      <c r="B303" s="51">
        <f>IF(C303="","",IFERROR(INDEX(tbl_Finance[Date],MATCH(C303&amp;"",tbl_Finance[Xero Invoice No],0)),""))</f>
        <v/>
      </c>
      <c r="C303" s="14" t="n"/>
      <c r="D303" s="14" t="n"/>
      <c r="E303" s="15">
        <f>IF(D303="","",IF(COUNTIF(lst_Jobs,D303&amp;"")&gt;0,"OK","CHECK"))</f>
        <v/>
      </c>
      <c r="F303" s="14" t="n"/>
      <c r="G303" s="14" t="n"/>
      <c r="H303" s="14" t="n"/>
      <c r="I303" s="14" t="n"/>
      <c r="J303" s="16" t="n"/>
      <c r="K303" s="14" t="n"/>
      <c r="L303" s="14" t="n"/>
      <c r="M303" s="14" t="n"/>
      <c r="N303" s="14" t="n"/>
    </row>
    <row r="304" ht="15" customHeight="1">
      <c r="A304" s="55" t="n"/>
      <c r="B304" s="51">
        <f>IF(C304="","",IFERROR(INDEX(tbl_Finance[Date],MATCH(C304&amp;"",tbl_Finance[Xero Invoice No],0)),""))</f>
        <v/>
      </c>
      <c r="C304" s="14" t="n"/>
      <c r="D304" s="14" t="n"/>
      <c r="E304" s="15">
        <f>IF(D304="","",IF(COUNTIF(lst_Jobs,D304&amp;"")&gt;0,"OK","CHECK"))</f>
        <v/>
      </c>
      <c r="F304" s="14" t="n"/>
      <c r="G304" s="14" t="n"/>
      <c r="H304" s="14" t="n"/>
      <c r="I304" s="14" t="n"/>
      <c r="J304" s="16" t="n"/>
      <c r="K304" s="14" t="n"/>
      <c r="L304" s="14" t="n"/>
      <c r="M304" s="14" t="n"/>
      <c r="N304" s="14" t="n"/>
    </row>
    <row r="305" ht="15" customHeight="1">
      <c r="A305" s="55" t="n"/>
      <c r="B305" s="51">
        <f>IF(C305="","",IFERROR(INDEX(tbl_Finance[Date],MATCH(C305&amp;"",tbl_Finance[Xero Invoice No],0)),""))</f>
        <v/>
      </c>
      <c r="C305" s="14" t="n"/>
      <c r="D305" s="14" t="n"/>
      <c r="E305" s="15">
        <f>IF(D305="","",IF(COUNTIF(lst_Jobs,D305&amp;"")&gt;0,"OK","CHECK"))</f>
        <v/>
      </c>
      <c r="F305" s="14" t="n"/>
      <c r="G305" s="14" t="n"/>
      <c r="H305" s="14" t="n"/>
      <c r="I305" s="14" t="n"/>
      <c r="J305" s="16" t="n"/>
      <c r="K305" s="14" t="n"/>
      <c r="L305" s="14" t="n"/>
      <c r="M305" s="14" t="n"/>
      <c r="N305" s="14" t="n"/>
    </row>
    <row r="306" ht="15" customHeight="1">
      <c r="A306" s="55" t="n"/>
      <c r="B306" s="51">
        <f>IF(C306="","",IFERROR(INDEX(tbl_Finance[Date],MATCH(C306&amp;"",tbl_Finance[Xero Invoice No],0)),""))</f>
        <v/>
      </c>
      <c r="C306" s="14" t="n"/>
      <c r="D306" s="14" t="n"/>
      <c r="E306" s="15">
        <f>IF(D306="","",IF(COUNTIF(lst_Jobs,D306&amp;"")&gt;0,"OK","CHECK"))</f>
        <v/>
      </c>
      <c r="F306" s="14" t="n"/>
      <c r="G306" s="14" t="n"/>
      <c r="H306" s="14" t="n"/>
      <c r="I306" s="14" t="n"/>
      <c r="J306" s="16" t="n"/>
      <c r="K306" s="14" t="n"/>
      <c r="L306" s="14" t="n"/>
      <c r="M306" s="14" t="n"/>
      <c r="N306" s="14" t="n"/>
    </row>
    <row r="307" ht="15" customHeight="1">
      <c r="A307" s="55" t="n"/>
      <c r="B307" s="51">
        <f>IF(C307="","",IFERROR(INDEX(tbl_Finance[Date],MATCH(C307&amp;"",tbl_Finance[Xero Invoice No],0)),""))</f>
        <v/>
      </c>
      <c r="C307" s="14" t="n"/>
      <c r="D307" s="14" t="n"/>
      <c r="E307" s="15">
        <f>IF(D307="","",IF(COUNTIF(lst_Jobs,D307&amp;"")&gt;0,"OK","CHECK"))</f>
        <v/>
      </c>
      <c r="F307" s="14" t="n"/>
      <c r="G307" s="14" t="n"/>
      <c r="H307" s="14" t="n"/>
      <c r="I307" s="14" t="n"/>
      <c r="J307" s="16" t="n"/>
      <c r="K307" s="14" t="n"/>
      <c r="L307" s="14" t="n"/>
      <c r="M307" s="14" t="n"/>
      <c r="N307" s="14" t="n"/>
    </row>
    <row r="308" ht="15" customHeight="1">
      <c r="A308" s="55" t="n"/>
      <c r="B308" s="51">
        <f>IF(C308="","",IFERROR(INDEX(tbl_Finance[Date],MATCH(C308&amp;"",tbl_Finance[Xero Invoice No],0)),""))</f>
        <v/>
      </c>
      <c r="C308" s="14" t="n"/>
      <c r="D308" s="14" t="n"/>
      <c r="E308" s="15">
        <f>IF(D308="","",IF(COUNTIF(lst_Jobs,D308&amp;"")&gt;0,"OK","CHECK"))</f>
        <v/>
      </c>
      <c r="F308" s="14" t="n"/>
      <c r="G308" s="14" t="n"/>
      <c r="H308" s="14" t="n"/>
      <c r="I308" s="14" t="n"/>
      <c r="J308" s="16" t="n"/>
      <c r="K308" s="14" t="n"/>
      <c r="L308" s="14" t="n"/>
      <c r="M308" s="14" t="n"/>
      <c r="N308" s="14" t="n"/>
    </row>
    <row r="309" ht="15" customHeight="1">
      <c r="A309" s="55" t="n"/>
      <c r="B309" s="51">
        <f>IF(C309="","",IFERROR(INDEX(tbl_Finance[Date],MATCH(C309&amp;"",tbl_Finance[Xero Invoice No],0)),""))</f>
        <v/>
      </c>
      <c r="C309" s="14" t="n"/>
      <c r="D309" s="14" t="n"/>
      <c r="E309" s="15">
        <f>IF(D309="","",IF(COUNTIF(lst_Jobs,D309&amp;"")&gt;0,"OK","CHECK"))</f>
        <v/>
      </c>
      <c r="F309" s="14" t="n"/>
      <c r="G309" s="14" t="n"/>
      <c r="H309" s="14" t="n"/>
      <c r="I309" s="14" t="n"/>
      <c r="J309" s="16" t="n"/>
      <c r="K309" s="14" t="n"/>
      <c r="L309" s="14" t="n"/>
      <c r="M309" s="14" t="n"/>
      <c r="N309" s="14" t="n"/>
    </row>
    <row r="310" ht="15" customHeight="1">
      <c r="A310" s="55" t="n"/>
      <c r="B310" s="51">
        <f>IF(C310="","",IFERROR(INDEX(tbl_Finance[Date],MATCH(C310&amp;"",tbl_Finance[Xero Invoice No],0)),""))</f>
        <v/>
      </c>
      <c r="C310" s="14" t="n"/>
      <c r="D310" s="14" t="n"/>
      <c r="E310" s="15">
        <f>IF(D310="","",IF(COUNTIF(lst_Jobs,D310&amp;"")&gt;0,"OK","CHECK"))</f>
        <v/>
      </c>
      <c r="F310" s="14" t="n"/>
      <c r="G310" s="14" t="n"/>
      <c r="H310" s="14" t="n"/>
      <c r="I310" s="14" t="n"/>
      <c r="J310" s="16" t="n"/>
      <c r="K310" s="14" t="n"/>
      <c r="L310" s="14" t="n"/>
      <c r="M310" s="14" t="n"/>
      <c r="N310" s="14" t="n"/>
    </row>
    <row r="311" ht="15" customHeight="1">
      <c r="A311" s="55" t="n"/>
      <c r="B311" s="51">
        <f>IF(C311="","",IFERROR(INDEX(tbl_Finance[Date],MATCH(C311&amp;"",tbl_Finance[Xero Invoice No],0)),""))</f>
        <v/>
      </c>
      <c r="C311" s="14" t="n"/>
      <c r="D311" s="14" t="n"/>
      <c r="E311" s="15">
        <f>IF(D311="","",IF(COUNTIF(lst_Jobs,D311&amp;"")&gt;0,"OK","CHECK"))</f>
        <v/>
      </c>
      <c r="F311" s="14" t="n"/>
      <c r="G311" s="14" t="n"/>
      <c r="H311" s="14" t="n"/>
      <c r="I311" s="14" t="n"/>
      <c r="J311" s="16" t="n"/>
      <c r="K311" s="14" t="n"/>
      <c r="L311" s="14" t="n"/>
      <c r="M311" s="14" t="n"/>
      <c r="N311" s="14" t="n"/>
    </row>
    <row r="312" ht="15" customHeight="1">
      <c r="A312" s="55" t="n"/>
      <c r="B312" s="51">
        <f>IF(C312="","",IFERROR(INDEX(tbl_Finance[Date],MATCH(C312&amp;"",tbl_Finance[Xero Invoice No],0)),""))</f>
        <v/>
      </c>
      <c r="C312" s="14" t="n"/>
      <c r="D312" s="14" t="n"/>
      <c r="E312" s="15">
        <f>IF(D312="","",IF(COUNTIF(lst_Jobs,D312&amp;"")&gt;0,"OK","CHECK"))</f>
        <v/>
      </c>
      <c r="F312" s="14" t="n"/>
      <c r="G312" s="14" t="n"/>
      <c r="H312" s="14" t="n"/>
      <c r="I312" s="14" t="n"/>
      <c r="J312" s="16" t="n"/>
      <c r="K312" s="14" t="n"/>
      <c r="L312" s="14" t="n"/>
      <c r="M312" s="14" t="n"/>
      <c r="N312" s="14" t="n"/>
    </row>
    <row r="313" ht="15" customHeight="1">
      <c r="A313" s="55" t="n"/>
      <c r="B313" s="51">
        <f>IF(C313="","",IFERROR(INDEX(tbl_Finance[Date],MATCH(C313&amp;"",tbl_Finance[Xero Invoice No],0)),""))</f>
        <v/>
      </c>
      <c r="C313" s="14" t="n"/>
      <c r="D313" s="14" t="n"/>
      <c r="E313" s="15">
        <f>IF(D313="","",IF(COUNTIF(lst_Jobs,D313&amp;"")&gt;0,"OK","CHECK"))</f>
        <v/>
      </c>
      <c r="F313" s="14" t="n"/>
      <c r="G313" s="14" t="n"/>
      <c r="H313" s="14" t="n"/>
      <c r="I313" s="14" t="n"/>
      <c r="J313" s="16" t="n"/>
      <c r="K313" s="14" t="n"/>
      <c r="L313" s="14" t="n"/>
      <c r="M313" s="14" t="n"/>
      <c r="N313" s="14" t="n"/>
    </row>
    <row r="314" ht="15" customHeight="1">
      <c r="A314" s="55" t="n"/>
      <c r="B314" s="51">
        <f>IF(C314="","",IFERROR(INDEX(tbl_Finance[Date],MATCH(C314&amp;"",tbl_Finance[Xero Invoice No],0)),""))</f>
        <v/>
      </c>
      <c r="C314" s="14" t="n"/>
      <c r="D314" s="14" t="n"/>
      <c r="E314" s="15">
        <f>IF(D314="","",IF(COUNTIF(lst_Jobs,D314&amp;"")&gt;0,"OK","CHECK"))</f>
        <v/>
      </c>
      <c r="F314" s="14" t="n"/>
      <c r="G314" s="14" t="n"/>
      <c r="H314" s="14" t="n"/>
      <c r="I314" s="14" t="n"/>
      <c r="J314" s="16" t="n"/>
      <c r="K314" s="14" t="n"/>
      <c r="L314" s="14" t="n"/>
      <c r="M314" s="14" t="n"/>
      <c r="N314" s="14" t="n"/>
    </row>
    <row r="315" ht="15" customHeight="1">
      <c r="A315" s="55" t="n"/>
      <c r="B315" s="51">
        <f>IF(C315="","",IFERROR(INDEX(tbl_Finance[Date],MATCH(C315&amp;"",tbl_Finance[Xero Invoice No],0)),""))</f>
        <v/>
      </c>
      <c r="C315" s="14" t="n"/>
      <c r="D315" s="14" t="n"/>
      <c r="E315" s="15">
        <f>IF(D315="","",IF(COUNTIF(lst_Jobs,D315&amp;"")&gt;0,"OK","CHECK"))</f>
        <v/>
      </c>
      <c r="F315" s="14" t="n"/>
      <c r="G315" s="14" t="n"/>
      <c r="H315" s="14" t="n"/>
      <c r="I315" s="14" t="n"/>
      <c r="J315" s="16" t="n"/>
      <c r="K315" s="14" t="n"/>
      <c r="L315" s="14" t="n"/>
      <c r="M315" s="14" t="n"/>
      <c r="N315" s="14" t="n"/>
    </row>
    <row r="316" ht="15" customHeight="1">
      <c r="A316" s="55" t="n"/>
      <c r="B316" s="51">
        <f>IF(C316="","",IFERROR(INDEX(tbl_Finance[Date],MATCH(C316&amp;"",tbl_Finance[Xero Invoice No],0)),""))</f>
        <v/>
      </c>
      <c r="C316" s="14" t="n"/>
      <c r="D316" s="14" t="n"/>
      <c r="E316" s="15">
        <f>IF(D316="","",IF(COUNTIF(lst_Jobs,D316&amp;"")&gt;0,"OK","CHECK"))</f>
        <v/>
      </c>
      <c r="F316" s="14" t="n"/>
      <c r="G316" s="14" t="n"/>
      <c r="H316" s="14" t="n"/>
      <c r="I316" s="14" t="n"/>
      <c r="J316" s="16" t="n"/>
      <c r="K316" s="14" t="n"/>
      <c r="L316" s="14" t="n"/>
      <c r="M316" s="14" t="n"/>
      <c r="N316" s="14" t="n"/>
    </row>
    <row r="317" ht="15" customHeight="1">
      <c r="A317" s="55" t="n"/>
      <c r="B317" s="51">
        <f>IF(C317="","",IFERROR(INDEX(tbl_Finance[Date],MATCH(C317&amp;"",tbl_Finance[Xero Invoice No],0)),""))</f>
        <v/>
      </c>
      <c r="C317" s="14" t="n"/>
      <c r="D317" s="14" t="n"/>
      <c r="E317" s="15">
        <f>IF(D317="","",IF(COUNTIF(lst_Jobs,D317&amp;"")&gt;0,"OK","CHECK"))</f>
        <v/>
      </c>
      <c r="F317" s="14" t="n"/>
      <c r="G317" s="14" t="n"/>
      <c r="H317" s="14" t="n"/>
      <c r="I317" s="14" t="n"/>
      <c r="J317" s="16" t="n"/>
      <c r="K317" s="14" t="n"/>
      <c r="L317" s="14" t="n"/>
      <c r="M317" s="14" t="n"/>
      <c r="N317" s="14" t="n"/>
    </row>
    <row r="318" ht="15" customHeight="1">
      <c r="A318" s="55" t="n"/>
      <c r="B318" s="51">
        <f>IF(C318="","",IFERROR(INDEX(tbl_Finance[Date],MATCH(C318&amp;"",tbl_Finance[Xero Invoice No],0)),""))</f>
        <v/>
      </c>
      <c r="C318" s="14" t="n"/>
      <c r="D318" s="14" t="n"/>
      <c r="E318" s="15">
        <f>IF(D318="","",IF(COUNTIF(lst_Jobs,D318&amp;"")&gt;0,"OK","CHECK"))</f>
        <v/>
      </c>
      <c r="F318" s="14" t="n"/>
      <c r="G318" s="14" t="n"/>
      <c r="H318" s="14" t="n"/>
      <c r="I318" s="14" t="n"/>
      <c r="J318" s="16" t="n"/>
      <c r="K318" s="14" t="n"/>
      <c r="L318" s="14" t="n"/>
      <c r="M318" s="14" t="n"/>
      <c r="N318" s="14" t="n"/>
    </row>
    <row r="319" ht="15" customHeight="1">
      <c r="A319" s="55" t="n"/>
      <c r="B319" s="51">
        <f>IF(C319="","",IFERROR(INDEX(tbl_Finance[Date],MATCH(C319&amp;"",tbl_Finance[Xero Invoice No],0)),""))</f>
        <v/>
      </c>
      <c r="C319" s="14" t="n"/>
      <c r="D319" s="14" t="n"/>
      <c r="E319" s="15">
        <f>IF(D319="","",IF(COUNTIF(lst_Jobs,D319&amp;"")&gt;0,"OK","CHECK"))</f>
        <v/>
      </c>
      <c r="F319" s="14" t="n"/>
      <c r="G319" s="14" t="n"/>
      <c r="H319" s="14" t="n"/>
      <c r="I319" s="14" t="n"/>
      <c r="J319" s="16" t="n"/>
      <c r="K319" s="14" t="n"/>
      <c r="L319" s="14" t="n"/>
      <c r="M319" s="14" t="n"/>
      <c r="N319" s="14" t="n"/>
    </row>
    <row r="320" ht="15" customHeight="1">
      <c r="A320" s="55" t="n"/>
      <c r="B320" s="51">
        <f>IF(C320="","",IFERROR(INDEX(tbl_Finance[Date],MATCH(C320&amp;"",tbl_Finance[Xero Invoice No],0)),""))</f>
        <v/>
      </c>
      <c r="C320" s="14" t="n"/>
      <c r="D320" s="14" t="n"/>
      <c r="E320" s="15">
        <f>IF(D320="","",IF(COUNTIF(lst_Jobs,D320&amp;"")&gt;0,"OK","CHECK"))</f>
        <v/>
      </c>
      <c r="F320" s="14" t="n"/>
      <c r="G320" s="14" t="n"/>
      <c r="H320" s="14" t="n"/>
      <c r="I320" s="14" t="n"/>
      <c r="J320" s="16" t="n"/>
      <c r="K320" s="14" t="n"/>
      <c r="L320" s="14" t="n"/>
      <c r="M320" s="14" t="n"/>
      <c r="N320" s="14" t="n"/>
    </row>
    <row r="321" ht="15" customHeight="1">
      <c r="A321" s="55" t="n"/>
      <c r="B321" s="51">
        <f>IF(C321="","",IFERROR(INDEX(tbl_Finance[Date],MATCH(C321&amp;"",tbl_Finance[Xero Invoice No],0)),""))</f>
        <v/>
      </c>
      <c r="C321" s="14" t="n"/>
      <c r="D321" s="14" t="n"/>
      <c r="E321" s="15">
        <f>IF(D321="","",IF(COUNTIF(lst_Jobs,D321&amp;"")&gt;0,"OK","CHECK"))</f>
        <v/>
      </c>
      <c r="F321" s="14" t="n"/>
      <c r="G321" s="14" t="n"/>
      <c r="H321" s="14" t="n"/>
      <c r="I321" s="14" t="n"/>
      <c r="J321" s="16" t="n"/>
      <c r="K321" s="14" t="n"/>
      <c r="L321" s="14" t="n"/>
      <c r="M321" s="14" t="n"/>
      <c r="N321" s="14" t="n"/>
    </row>
    <row r="322" ht="15" customHeight="1">
      <c r="A322" s="55" t="n"/>
      <c r="B322" s="51">
        <f>IF(C322="","",IFERROR(INDEX(tbl_Finance[Date],MATCH(C322&amp;"",tbl_Finance[Xero Invoice No],0)),""))</f>
        <v/>
      </c>
      <c r="C322" s="14" t="n"/>
      <c r="D322" s="14" t="n"/>
      <c r="E322" s="15">
        <f>IF(D322="","",IF(COUNTIF(lst_Jobs,D322&amp;"")&gt;0,"OK","CHECK"))</f>
        <v/>
      </c>
      <c r="F322" s="14" t="n"/>
      <c r="G322" s="14" t="n"/>
      <c r="H322" s="14" t="n"/>
      <c r="I322" s="14" t="n"/>
      <c r="J322" s="16" t="n"/>
      <c r="K322" s="14" t="n"/>
      <c r="L322" s="14" t="n"/>
      <c r="M322" s="14" t="n"/>
      <c r="N322" s="14" t="n"/>
    </row>
    <row r="323" ht="15" customHeight="1">
      <c r="A323" s="55" t="n"/>
      <c r="B323" s="51">
        <f>IF(C323="","",IFERROR(INDEX(tbl_Finance[Date],MATCH(C323&amp;"",tbl_Finance[Xero Invoice No],0)),""))</f>
        <v/>
      </c>
      <c r="C323" s="14" t="n"/>
      <c r="D323" s="14" t="n"/>
      <c r="E323" s="15">
        <f>IF(D323="","",IF(COUNTIF(lst_Jobs,D323&amp;"")&gt;0,"OK","CHECK"))</f>
        <v/>
      </c>
      <c r="F323" s="14" t="n"/>
      <c r="G323" s="14" t="n"/>
      <c r="H323" s="14" t="n"/>
      <c r="I323" s="14" t="n"/>
      <c r="J323" s="16" t="n"/>
      <c r="K323" s="14" t="n"/>
      <c r="L323" s="14" t="n"/>
      <c r="M323" s="14" t="n"/>
      <c r="N323" s="14" t="n"/>
    </row>
    <row r="324" ht="15" customHeight="1">
      <c r="A324" s="55" t="n"/>
      <c r="B324" s="51">
        <f>IF(C324="","",IFERROR(INDEX(tbl_Finance[Date],MATCH(C324&amp;"",tbl_Finance[Xero Invoice No],0)),""))</f>
        <v/>
      </c>
      <c r="C324" s="14" t="n"/>
      <c r="D324" s="14" t="n"/>
      <c r="E324" s="15">
        <f>IF(D324="","",IF(COUNTIF(lst_Jobs,D324&amp;"")&gt;0,"OK","CHECK"))</f>
        <v/>
      </c>
      <c r="F324" s="14" t="n"/>
      <c r="G324" s="14" t="n"/>
      <c r="H324" s="14" t="n"/>
      <c r="I324" s="14" t="n"/>
      <c r="J324" s="16" t="n"/>
      <c r="K324" s="14" t="n"/>
      <c r="L324" s="14" t="n"/>
      <c r="M324" s="14" t="n"/>
      <c r="N324" s="14" t="n"/>
    </row>
    <row r="325" ht="15" customHeight="1">
      <c r="A325" s="55" t="n"/>
      <c r="B325" s="51">
        <f>IF(C325="","",IFERROR(INDEX(tbl_Finance[Date],MATCH(C325&amp;"",tbl_Finance[Xero Invoice No],0)),""))</f>
        <v/>
      </c>
      <c r="C325" s="14" t="n"/>
      <c r="D325" s="14" t="n"/>
      <c r="E325" s="15">
        <f>IF(D325="","",IF(COUNTIF(lst_Jobs,D325&amp;"")&gt;0,"OK","CHECK"))</f>
        <v/>
      </c>
      <c r="F325" s="14" t="n"/>
      <c r="G325" s="14" t="n"/>
      <c r="H325" s="14" t="n"/>
      <c r="I325" s="14" t="n"/>
      <c r="J325" s="16" t="n"/>
      <c r="K325" s="14" t="n"/>
      <c r="L325" s="14" t="n"/>
      <c r="M325" s="14" t="n"/>
      <c r="N325" s="14" t="n"/>
    </row>
    <row r="326" ht="15" customHeight="1">
      <c r="A326" s="55" t="n"/>
      <c r="B326" s="51">
        <f>IF(C326="","",IFERROR(INDEX(tbl_Finance[Date],MATCH(C326&amp;"",tbl_Finance[Xero Invoice No],0)),""))</f>
        <v/>
      </c>
      <c r="C326" s="14" t="n"/>
      <c r="D326" s="14" t="n"/>
      <c r="E326" s="15">
        <f>IF(D326="","",IF(COUNTIF(lst_Jobs,D326&amp;"")&gt;0,"OK","CHECK"))</f>
        <v/>
      </c>
      <c r="F326" s="14" t="n"/>
      <c r="G326" s="14" t="n"/>
      <c r="H326" s="14" t="n"/>
      <c r="I326" s="14" t="n"/>
      <c r="J326" s="16" t="n"/>
      <c r="K326" s="14" t="n"/>
      <c r="L326" s="14" t="n"/>
      <c r="M326" s="14" t="n"/>
      <c r="N326" s="14" t="n"/>
    </row>
    <row r="327" ht="15" customHeight="1">
      <c r="A327" s="55" t="n"/>
      <c r="B327" s="51">
        <f>IF(C327="","",IFERROR(INDEX(tbl_Finance[Date],MATCH(C327&amp;"",tbl_Finance[Xero Invoice No],0)),""))</f>
        <v/>
      </c>
      <c r="C327" s="14" t="n"/>
      <c r="D327" s="14" t="n"/>
      <c r="E327" s="15">
        <f>IF(D327="","",IF(COUNTIF(lst_Jobs,D327&amp;"")&gt;0,"OK","CHECK"))</f>
        <v/>
      </c>
      <c r="F327" s="14" t="n"/>
      <c r="G327" s="14" t="n"/>
      <c r="H327" s="14" t="n"/>
      <c r="I327" s="14" t="n"/>
      <c r="J327" s="16" t="n"/>
      <c r="K327" s="14" t="n"/>
      <c r="L327" s="14" t="n"/>
      <c r="M327" s="14" t="n"/>
      <c r="N327" s="14" t="n"/>
    </row>
    <row r="328" ht="15" customHeight="1">
      <c r="A328" s="55" t="n"/>
      <c r="B328" s="51">
        <f>IF(C328="","",IFERROR(INDEX(tbl_Finance[Date],MATCH(C328&amp;"",tbl_Finance[Xero Invoice No],0)),""))</f>
        <v/>
      </c>
      <c r="C328" s="14" t="n"/>
      <c r="D328" s="14" t="n"/>
      <c r="E328" s="15">
        <f>IF(D328="","",IF(COUNTIF(lst_Jobs,D328&amp;"")&gt;0,"OK","CHECK"))</f>
        <v/>
      </c>
      <c r="F328" s="14" t="n"/>
      <c r="G328" s="14" t="n"/>
      <c r="H328" s="14" t="n"/>
      <c r="I328" s="14" t="n"/>
      <c r="J328" s="16" t="n"/>
      <c r="K328" s="14" t="n"/>
      <c r="L328" s="14" t="n"/>
      <c r="M328" s="14" t="n"/>
      <c r="N328" s="14" t="n"/>
    </row>
    <row r="329" ht="15" customHeight="1">
      <c r="A329" s="55" t="n"/>
      <c r="B329" s="51">
        <f>IF(C329="","",IFERROR(INDEX(tbl_Finance[Date],MATCH(C329&amp;"",tbl_Finance[Xero Invoice No],0)),""))</f>
        <v/>
      </c>
      <c r="C329" s="14" t="n"/>
      <c r="D329" s="14" t="n"/>
      <c r="E329" s="15">
        <f>IF(D329="","",IF(COUNTIF(lst_Jobs,D329&amp;"")&gt;0,"OK","CHECK"))</f>
        <v/>
      </c>
      <c r="F329" s="14" t="n"/>
      <c r="G329" s="14" t="n"/>
      <c r="H329" s="14" t="n"/>
      <c r="I329" s="14" t="n"/>
      <c r="J329" s="16" t="n"/>
      <c r="K329" s="14" t="n"/>
      <c r="L329" s="14" t="n"/>
      <c r="M329" s="14" t="n"/>
      <c r="N329" s="14" t="n"/>
    </row>
    <row r="330" ht="15" customHeight="1">
      <c r="A330" s="55" t="n"/>
      <c r="B330" s="51">
        <f>IF(C330="","",IFERROR(INDEX(tbl_Finance[Date],MATCH(C330&amp;"",tbl_Finance[Xero Invoice No],0)),""))</f>
        <v/>
      </c>
      <c r="C330" s="14" t="n"/>
      <c r="D330" s="14" t="n"/>
      <c r="E330" s="15">
        <f>IF(D330="","",IF(COUNTIF(lst_Jobs,D330&amp;"")&gt;0,"OK","CHECK"))</f>
        <v/>
      </c>
      <c r="F330" s="14" t="n"/>
      <c r="G330" s="14" t="n"/>
      <c r="H330" s="14" t="n"/>
      <c r="I330" s="14" t="n"/>
      <c r="J330" s="16" t="n"/>
      <c r="K330" s="14" t="n"/>
      <c r="L330" s="14" t="n"/>
      <c r="M330" s="14" t="n"/>
      <c r="N330"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M5:M5000">
    <cfRule type="expression" priority="2" dxfId="1" stopIfTrue="0">
      <formula>M5="N"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K5:K20000" showDropDown="0" showInputMessage="0" showErrorMessage="1" allowBlank="1" errorTitle="Not on the list" error="&quot;GL Code&quot; is not on the list in the Lists sheet. Add it there if it is genuinely new." type="list" errorStyle="warning">
      <formula1>lst_WIPGL</formula1>
    </dataValidation>
    <dataValidation sqref="M5:M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11" t="inlineStr">
        <is>
          <t>Cost Centre</t>
        </is>
      </c>
      <c r="B4" s="11" t="inlineStr">
        <is>
          <t>Invoice Type</t>
        </is>
      </c>
      <c r="C4" s="11" t="inlineStr">
        <is>
          <t>Tax Code</t>
        </is>
      </c>
      <c r="D4" s="11" t="inlineStr">
        <is>
          <t>Status</t>
        </is>
      </c>
      <c r="E4" s="11" t="inlineStr">
        <is>
          <t>Yes / No</t>
        </is>
      </c>
      <c r="F4" s="11" t="inlineStr">
        <is>
          <t>Ariba Status</t>
        </is>
      </c>
      <c r="G4" s="11" t="inlineStr">
        <is>
          <t>WIP Movement Type</t>
        </is>
      </c>
      <c r="H4" s="11" t="inlineStr">
        <is>
          <t>WIP GL Code</t>
        </is>
      </c>
      <c r="I4" s="11" t="inlineStr">
        <is>
          <t>Team</t>
        </is>
      </c>
      <c r="K4" s="11" t="inlineStr">
        <is>
          <t>Revenue GL</t>
        </is>
      </c>
      <c r="L4" s="11" t="inlineStr">
        <is>
          <t>GL Account Name (from Xero)</t>
        </is>
      </c>
      <c r="N4" s="11" t="inlineStr">
        <is>
          <t>Month (period end)</t>
        </is>
      </c>
      <c r="P4" s="11" t="inlineStr">
        <is>
          <t>Job Number</t>
        </is>
      </c>
      <c r="Q4" s="11" t="inlineStr">
        <is>
          <t>Job Name (from Xero)</t>
        </is>
      </c>
      <c r="R4" s="11" t="inlineStr">
        <is>
          <t>CC</t>
        </is>
      </c>
      <c r="T4" s="11" t="inlineStr">
        <is>
          <t>Settings</t>
        </is>
      </c>
    </row>
    <row r="5">
      <c r="A5" s="56" t="inlineStr">
        <is>
          <t>ONSITE</t>
        </is>
      </c>
      <c r="B5" s="56" t="inlineStr">
        <is>
          <t>Contract</t>
        </is>
      </c>
      <c r="C5" s="56" t="inlineStr">
        <is>
          <t>GST 10%</t>
        </is>
      </c>
      <c r="D5" s="56" t="inlineStr">
        <is>
          <t>To Invoice</t>
        </is>
      </c>
      <c r="E5" s="56" t="inlineStr">
        <is>
          <t>Y</t>
        </is>
      </c>
      <c r="F5" s="56" t="inlineStr">
        <is>
          <t>N/A</t>
        </is>
      </c>
      <c r="G5" s="56" t="inlineStr">
        <is>
          <t>Accrual - unbilled work</t>
        </is>
      </c>
      <c r="H5" s="56" t="inlineStr">
        <is>
          <t>11300</t>
        </is>
      </c>
      <c r="I5" s="56" t="inlineStr">
        <is>
          <t>Onsite</t>
        </is>
      </c>
      <c r="K5" s="56" t="inlineStr">
        <is>
          <t>41100</t>
        </is>
      </c>
      <c r="L5" s="56" t="inlineStr">
        <is>
          <t>Contract Support Staff</t>
        </is>
      </c>
      <c r="N5" s="57" t="n">
        <v>45138</v>
      </c>
      <c r="P5" s="56" t="inlineStr">
        <is>
          <t>1144</t>
        </is>
      </c>
      <c r="Q5" s="56" t="inlineStr">
        <is>
          <t>Bankwest PER Half Tech</t>
        </is>
      </c>
      <c r="R5" s="56" t="inlineStr">
        <is>
          <t>ONSITE</t>
        </is>
      </c>
      <c r="T5" s="31" t="inlineStr">
        <is>
          <t>Qwilr base address</t>
        </is>
      </c>
      <c r="U5" s="58" t="inlineStr">
        <is>
          <t>https://cts.qwilr.com/</t>
        </is>
      </c>
    </row>
    <row r="6">
      <c r="A6" s="56" t="inlineStr">
        <is>
          <t>PRODUCTION</t>
        </is>
      </c>
      <c r="B6" s="56" t="inlineStr">
        <is>
          <t>Chargeback</t>
        </is>
      </c>
      <c r="C6" s="56" t="inlineStr">
        <is>
          <t>GST Free</t>
        </is>
      </c>
      <c r="D6" s="56" t="inlineStr">
        <is>
          <t>Draft</t>
        </is>
      </c>
      <c r="E6" s="56" t="inlineStr">
        <is>
          <t>N</t>
        </is>
      </c>
      <c r="F6" s="56" t="inlineStr">
        <is>
          <t>Awaiting PO</t>
        </is>
      </c>
      <c r="G6" s="56" t="inlineStr">
        <is>
          <t>Reversal of prior accrual</t>
        </is>
      </c>
      <c r="H6" s="56" t="inlineStr">
        <is>
          <t>44100</t>
        </is>
      </c>
      <c r="I6" s="56" t="inlineStr">
        <is>
          <t>Production</t>
        </is>
      </c>
      <c r="K6" s="56" t="inlineStr">
        <is>
          <t>41150</t>
        </is>
      </c>
      <c r="L6" s="56" t="inlineStr">
        <is>
          <t>Mobile Phone Plans</t>
        </is>
      </c>
      <c r="N6" s="57" t="n">
        <v>45169</v>
      </c>
      <c r="P6" s="56" t="inlineStr">
        <is>
          <t>1350</t>
        </is>
      </c>
      <c r="Q6" s="56" t="inlineStr">
        <is>
          <t>CBA Brisbane ONS</t>
        </is>
      </c>
      <c r="R6" s="56" t="inlineStr">
        <is>
          <t>ONSITE</t>
        </is>
      </c>
      <c r="T6" s="31" t="inlineStr">
        <is>
          <t>Current RMS base address</t>
        </is>
      </c>
      <c r="U6" s="58" t="inlineStr"/>
    </row>
    <row r="7">
      <c r="A7" s="56" t="inlineStr">
        <is>
          <t>VIDEO</t>
        </is>
      </c>
      <c r="B7" s="56" t="inlineStr">
        <is>
          <t>Ad-hoc</t>
        </is>
      </c>
      <c r="C7" s="56" t="inlineStr">
        <is>
          <t>Export (0%)</t>
        </is>
      </c>
      <c r="D7" s="56" t="inlineStr">
        <is>
          <t>Awaiting Approval</t>
        </is>
      </c>
      <c r="E7" s="56" t="inlineStr">
        <is>
          <t>N/A</t>
        </is>
      </c>
      <c r="F7" s="56" t="inlineStr">
        <is>
          <t>To Upload</t>
        </is>
      </c>
      <c r="G7" s="56" t="inlineStr">
        <is>
          <t>Deferral - invoiced in advance</t>
        </is>
      </c>
      <c r="H7" s="56" t="inlineStr">
        <is>
          <t>44200</t>
        </is>
      </c>
      <c r="I7" s="56" t="inlineStr">
        <is>
          <t>Consulting</t>
        </is>
      </c>
      <c r="K7" s="56" t="inlineStr">
        <is>
          <t>41175</t>
        </is>
      </c>
      <c r="L7" s="56" t="inlineStr">
        <is>
          <t>Subscriptions &amp; Licences - Income</t>
        </is>
      </c>
      <c r="N7" s="57" t="n">
        <v>45199</v>
      </c>
      <c r="P7" s="56" t="inlineStr">
        <is>
          <t>1400</t>
        </is>
      </c>
      <c r="Q7" s="56" t="inlineStr">
        <is>
          <t>DTTL Mel Tech FT 2</t>
        </is>
      </c>
      <c r="R7" s="56" t="inlineStr">
        <is>
          <t>ONSITE</t>
        </is>
      </c>
      <c r="T7" s="20" t="inlineStr">
        <is>
          <t>Paste your Current RMS opportunity address above, ending with a slash, and the Production links switch on.</t>
        </is>
      </c>
    </row>
    <row r="8">
      <c r="A8" s="56" t="inlineStr">
        <is>
          <t>INTEGRATION</t>
        </is>
      </c>
      <c r="B8" s="56" t="inlineStr">
        <is>
          <t>Project</t>
        </is>
      </c>
      <c r="C8" s="56" t="inlineStr">
        <is>
          <t>BAS Excluded</t>
        </is>
      </c>
      <c r="D8" s="56" t="inlineStr">
        <is>
          <t>Invoiced</t>
        </is>
      </c>
      <c r="F8" s="56" t="inlineStr">
        <is>
          <t>Uploaded</t>
        </is>
      </c>
      <c r="G8" s="56" t="inlineStr">
        <is>
          <t>Release of deferral</t>
        </is>
      </c>
      <c r="I8" s="56" t="inlineStr">
        <is>
          <t>Other</t>
        </is>
      </c>
      <c r="K8" s="56" t="inlineStr">
        <is>
          <t>41200</t>
        </is>
      </c>
      <c r="L8" s="56" t="inlineStr">
        <is>
          <t>Contract Maintenance</t>
        </is>
      </c>
      <c r="N8" s="57" t="n">
        <v>45230</v>
      </c>
      <c r="P8" s="56" t="inlineStr">
        <is>
          <t>1401</t>
        </is>
      </c>
      <c r="Q8" s="56" t="inlineStr">
        <is>
          <t>DTTL SYD FT Tech 2</t>
        </is>
      </c>
      <c r="R8" s="56" t="inlineStr">
        <is>
          <t>ONSITE</t>
        </is>
      </c>
      <c r="T8" s="31" t="inlineStr">
        <is>
          <t>GST rate</t>
        </is>
      </c>
      <c r="U8" s="59" t="n">
        <v>0.1</v>
      </c>
    </row>
    <row r="9">
      <c r="A9" s="56" t="inlineStr">
        <is>
          <t>CONSULTING</t>
        </is>
      </c>
      <c r="B9" s="56" t="inlineStr">
        <is>
          <t>Progress Claim</t>
        </is>
      </c>
      <c r="D9" s="56" t="inlineStr">
        <is>
          <t>Sent</t>
        </is>
      </c>
      <c r="F9" s="56" t="inlineStr">
        <is>
          <t>Approved</t>
        </is>
      </c>
      <c r="G9" s="56" t="inlineStr">
        <is>
          <t>Adjustment / correction</t>
        </is>
      </c>
      <c r="K9" s="56" t="inlineStr">
        <is>
          <t>41500</t>
        </is>
      </c>
      <c r="L9" s="56" t="inlineStr">
        <is>
          <t>Contract Help Desk</t>
        </is>
      </c>
      <c r="N9" s="57" t="n">
        <v>45260</v>
      </c>
      <c r="P9" s="56" t="inlineStr">
        <is>
          <t>1530</t>
        </is>
      </c>
      <c r="Q9" s="56" t="inlineStr">
        <is>
          <t>DTTL BNE Onsite</t>
        </is>
      </c>
      <c r="R9" s="56" t="inlineStr">
        <is>
          <t>ONSITE</t>
        </is>
      </c>
    </row>
    <row r="10">
      <c r="A10" s="56" t="inlineStr">
        <is>
          <t>CTS</t>
        </is>
      </c>
      <c r="B10" s="56" t="inlineStr">
        <is>
          <t>Milestone</t>
        </is>
      </c>
      <c r="D10" s="56" t="inlineStr">
        <is>
          <t>Paid</t>
        </is>
      </c>
      <c r="F10" s="56" t="inlineStr">
        <is>
          <t>Rejected</t>
        </is>
      </c>
      <c r="G10" s="56" t="inlineStr">
        <is>
          <t>Migrated opening balance</t>
        </is>
      </c>
      <c r="K10" s="56" t="inlineStr">
        <is>
          <t>42100</t>
        </is>
      </c>
      <c r="L10" s="56" t="inlineStr">
        <is>
          <t>Production Labour</t>
        </is>
      </c>
      <c r="N10" s="57" t="n">
        <v>45291</v>
      </c>
      <c r="P10" s="56" t="inlineStr">
        <is>
          <t>1668</t>
        </is>
      </c>
      <c r="Q10" s="56" t="inlineStr">
        <is>
          <t>CBA Dedicated Tech</t>
        </is>
      </c>
      <c r="R10" s="56" t="inlineStr">
        <is>
          <t>ONSITE</t>
        </is>
      </c>
    </row>
    <row r="11">
      <c r="B11" s="56" t="inlineStr">
        <is>
          <t>Subscription</t>
        </is>
      </c>
      <c r="D11" s="56" t="inlineStr">
        <is>
          <t>On Hold</t>
        </is>
      </c>
      <c r="K11" s="56" t="inlineStr">
        <is>
          <t>42150</t>
        </is>
      </c>
      <c r="L11" s="56" t="inlineStr">
        <is>
          <t>Video Labour</t>
        </is>
      </c>
      <c r="N11" s="57" t="n">
        <v>45322</v>
      </c>
      <c r="P11" s="56" t="inlineStr">
        <is>
          <t>1750</t>
        </is>
      </c>
      <c r="Q11" s="56" t="inlineStr">
        <is>
          <t>Bankwest Spotify</t>
        </is>
      </c>
      <c r="R11" s="56" t="inlineStr"/>
    </row>
    <row r="12">
      <c r="B12" s="56" t="inlineStr">
        <is>
          <t>Equipment Sale</t>
        </is>
      </c>
      <c r="D12" s="56" t="inlineStr">
        <is>
          <t>Cancelled</t>
        </is>
      </c>
      <c r="K12" s="56" t="inlineStr">
        <is>
          <t>42200</t>
        </is>
      </c>
      <c r="L12" s="56" t="inlineStr">
        <is>
          <t>Ad Hoc Service Labour</t>
        </is>
      </c>
      <c r="N12" s="57" t="n">
        <v>45351</v>
      </c>
      <c r="P12" s="56" t="inlineStr">
        <is>
          <t>1755</t>
        </is>
      </c>
      <c r="Q12" s="56" t="inlineStr">
        <is>
          <t>CBA Spotify</t>
        </is>
      </c>
      <c r="R12" s="56" t="inlineStr">
        <is>
          <t>ONSITE</t>
        </is>
      </c>
    </row>
    <row r="13">
      <c r="B13" s="56" t="inlineStr">
        <is>
          <t>Recharge</t>
        </is>
      </c>
      <c r="D13" s="56" t="inlineStr">
        <is>
          <t>Credited</t>
        </is>
      </c>
      <c r="K13" s="56" t="inlineStr">
        <is>
          <t>42300</t>
        </is>
      </c>
      <c r="L13" s="56" t="inlineStr">
        <is>
          <t>Installation Labour</t>
        </is>
      </c>
      <c r="N13" s="57" t="n">
        <v>45382</v>
      </c>
      <c r="P13" s="56" t="inlineStr">
        <is>
          <t>1771</t>
        </is>
      </c>
      <c r="Q13" s="56" t="inlineStr">
        <is>
          <t>Integration - Training</t>
        </is>
      </c>
      <c r="R13" s="56" t="inlineStr">
        <is>
          <t>INTEGRATION</t>
        </is>
      </c>
    </row>
    <row r="14">
      <c r="B14" s="56" t="inlineStr">
        <is>
          <t>Credit Note</t>
        </is>
      </c>
      <c r="K14" s="56" t="inlineStr">
        <is>
          <t>42500</t>
        </is>
      </c>
      <c r="L14" s="56" t="inlineStr">
        <is>
          <t>Equipment Hires</t>
        </is>
      </c>
      <c r="N14" s="57" t="n">
        <v>45412</v>
      </c>
      <c r="P14" s="56" t="inlineStr">
        <is>
          <t>1862</t>
        </is>
      </c>
      <c r="Q14" s="56" t="inlineStr">
        <is>
          <t>DTTL ADL Onsite</t>
        </is>
      </c>
      <c r="R14" s="56" t="inlineStr">
        <is>
          <t>ONSITE</t>
        </is>
      </c>
    </row>
    <row r="15">
      <c r="K15" s="56" t="inlineStr">
        <is>
          <t>42600</t>
        </is>
      </c>
      <c r="L15" s="56" t="inlineStr">
        <is>
          <t>Equipment Sales</t>
        </is>
      </c>
      <c r="N15" s="57" t="n">
        <v>45443</v>
      </c>
      <c r="P15" s="56" t="inlineStr">
        <is>
          <t>20250731</t>
        </is>
      </c>
      <c r="Q15" s="56" t="inlineStr">
        <is>
          <t>PWC National Pool of Hours</t>
        </is>
      </c>
      <c r="R15" s="56" t="inlineStr">
        <is>
          <t>ONSITE</t>
        </is>
      </c>
    </row>
    <row r="16">
      <c r="K16" s="56" t="inlineStr">
        <is>
          <t>42700</t>
        </is>
      </c>
      <c r="L16" s="56" t="inlineStr">
        <is>
          <t>Conference Call Charge</t>
        </is>
      </c>
      <c r="N16" s="57" t="n">
        <v>45473</v>
      </c>
      <c r="P16" s="56" t="inlineStr">
        <is>
          <t>2026021101</t>
        </is>
      </c>
      <c r="Q16" s="56" t="inlineStr">
        <is>
          <t>AusPayNet Quarterly AV Support &amp; Maintenance 2026</t>
        </is>
      </c>
      <c r="R16" s="56" t="inlineStr">
        <is>
          <t>ONSITE</t>
        </is>
      </c>
    </row>
    <row r="17">
      <c r="K17" s="56" t="inlineStr">
        <is>
          <t>42800</t>
        </is>
      </c>
      <c r="L17" s="56" t="inlineStr">
        <is>
          <t>Tech Consulting/Project Manage</t>
        </is>
      </c>
      <c r="N17" s="57" t="n">
        <v>45504</v>
      </c>
      <c r="P17" s="56" t="inlineStr">
        <is>
          <t>20260801</t>
        </is>
      </c>
      <c r="Q17" s="56" t="inlineStr">
        <is>
          <t>CTS Day 2026</t>
        </is>
      </c>
      <c r="R17" s="56" t="inlineStr">
        <is>
          <t>CTS</t>
        </is>
      </c>
    </row>
    <row r="18">
      <c r="K18" s="56" t="inlineStr">
        <is>
          <t>42900</t>
        </is>
      </c>
      <c r="L18" s="56" t="inlineStr">
        <is>
          <t>Tech Event Management</t>
        </is>
      </c>
      <c r="N18" s="57" t="n">
        <v>45535</v>
      </c>
      <c r="P18" s="56" t="inlineStr">
        <is>
          <t>2192</t>
        </is>
      </c>
      <c r="Q18" s="56" t="inlineStr">
        <is>
          <t>Bankwest Additional Tech</t>
        </is>
      </c>
      <c r="R18" s="56" t="inlineStr">
        <is>
          <t>ONSITE</t>
        </is>
      </c>
    </row>
    <row r="19">
      <c r="K19" s="56" t="inlineStr">
        <is>
          <t>44100</t>
        </is>
      </c>
      <c r="L19" s="56" t="inlineStr">
        <is>
          <t>Opening Work in Progress</t>
        </is>
      </c>
      <c r="N19" s="57" t="n">
        <v>45565</v>
      </c>
      <c r="P19" s="56" t="inlineStr">
        <is>
          <t>2347</t>
        </is>
      </c>
      <c r="Q19" s="56" t="inlineStr">
        <is>
          <t>DTTL Dedicated Tech</t>
        </is>
      </c>
      <c r="R19" s="56" t="inlineStr">
        <is>
          <t>ONSITE</t>
        </is>
      </c>
    </row>
    <row r="20">
      <c r="K20" s="56" t="inlineStr">
        <is>
          <t>44200</t>
        </is>
      </c>
      <c r="L20" s="56" t="inlineStr">
        <is>
          <t>Closing Work in Progress</t>
        </is>
      </c>
      <c r="N20" s="57" t="n">
        <v>45596</v>
      </c>
      <c r="P20" s="56" t="inlineStr">
        <is>
          <t>2392</t>
        </is>
      </c>
      <c r="Q20" s="56" t="inlineStr">
        <is>
          <t>PWC – MEL Technician</t>
        </is>
      </c>
      <c r="R20" s="56" t="inlineStr">
        <is>
          <t>ONSITE</t>
        </is>
      </c>
    </row>
    <row r="21">
      <c r="K21" s="56" t="inlineStr">
        <is>
          <t>45005</t>
        </is>
      </c>
      <c r="L21" s="56" t="inlineStr">
        <is>
          <t>Freight &amp; Travel - ADMIN</t>
        </is>
      </c>
      <c r="N21" s="57" t="n">
        <v>45626</v>
      </c>
      <c r="P21" s="56" t="inlineStr">
        <is>
          <t>2402</t>
        </is>
      </c>
      <c r="Q21" s="56" t="inlineStr">
        <is>
          <t>DTTL SYD FT Tech 1</t>
        </is>
      </c>
      <c r="R21" s="56" t="inlineStr">
        <is>
          <t>ONSITE</t>
        </is>
      </c>
    </row>
    <row r="22">
      <c r="K22" s="56" t="inlineStr">
        <is>
          <t>45010</t>
        </is>
      </c>
      <c r="L22" s="56" t="inlineStr">
        <is>
          <t>Freight &amp; Travel - ONS</t>
        </is>
      </c>
      <c r="N22" s="57" t="n">
        <v>45657</v>
      </c>
      <c r="P22" s="56" t="inlineStr">
        <is>
          <t>2407312</t>
        </is>
      </c>
      <c r="Q22" s="56" t="inlineStr">
        <is>
          <t>Hills Performance Centre</t>
        </is>
      </c>
      <c r="R22" s="56" t="inlineStr">
        <is>
          <t>CONSULTING</t>
        </is>
      </c>
    </row>
    <row r="23">
      <c r="K23" s="56" t="inlineStr">
        <is>
          <t>45015</t>
        </is>
      </c>
      <c r="L23" s="56" t="inlineStr">
        <is>
          <t>Freight &amp; Travel - PRD</t>
        </is>
      </c>
      <c r="N23" s="57" t="n">
        <v>45688</v>
      </c>
      <c r="P23" s="56" t="inlineStr">
        <is>
          <t>24102501</t>
        </is>
      </c>
      <c r="Q23" s="56" t="inlineStr">
        <is>
          <t>PWC - MEL Tech 12Months</t>
        </is>
      </c>
      <c r="R23" s="56" t="inlineStr">
        <is>
          <t>ONSITE</t>
        </is>
      </c>
    </row>
    <row r="24">
      <c r="K24" s="56" t="inlineStr">
        <is>
          <t>45020</t>
        </is>
      </c>
      <c r="L24" s="56" t="inlineStr">
        <is>
          <t>Freight &amp; Travel - VID</t>
        </is>
      </c>
      <c r="N24" s="57" t="n">
        <v>45716</v>
      </c>
      <c r="P24" s="56" t="inlineStr">
        <is>
          <t>24121001</t>
        </is>
      </c>
      <c r="Q24" s="56" t="inlineStr">
        <is>
          <t>BW PER Studio Equipment Supply</t>
        </is>
      </c>
      <c r="R24" s="56" t="inlineStr">
        <is>
          <t>INTEGRATION</t>
        </is>
      </c>
    </row>
    <row r="25">
      <c r="K25" s="56" t="inlineStr">
        <is>
          <t>45025</t>
        </is>
      </c>
      <c r="L25" s="56" t="inlineStr">
        <is>
          <t>Freight &amp; Travel - INTEGRATION</t>
        </is>
      </c>
      <c r="N25" s="57" t="n">
        <v>45747</v>
      </c>
      <c r="P25" s="56" t="inlineStr">
        <is>
          <t>2479</t>
        </is>
      </c>
      <c r="Q25" s="56" t="inlineStr">
        <is>
          <t>CONSULTING - Quotes</t>
        </is>
      </c>
      <c r="R25" s="56" t="inlineStr">
        <is>
          <t>CONSULTING</t>
        </is>
      </c>
    </row>
    <row r="26">
      <c r="K26" s="56" t="inlineStr">
        <is>
          <t>45030</t>
        </is>
      </c>
      <c r="L26" s="56" t="inlineStr">
        <is>
          <t>Freight &amp; Travel - CONS</t>
        </is>
      </c>
      <c r="N26" s="57" t="n">
        <v>45777</v>
      </c>
      <c r="P26" s="56" t="inlineStr">
        <is>
          <t>2480</t>
        </is>
      </c>
      <c r="Q26" s="56" t="inlineStr">
        <is>
          <t>ONSITE - Quotes</t>
        </is>
      </c>
      <c r="R26" s="56" t="inlineStr">
        <is>
          <t>ONSITE</t>
        </is>
      </c>
    </row>
    <row r="27">
      <c r="K27" s="56" t="inlineStr">
        <is>
          <t>46005</t>
        </is>
      </c>
      <c r="L27" s="56" t="inlineStr">
        <is>
          <t>Credit Card Fees - ADMIN</t>
        </is>
      </c>
      <c r="N27" s="57" t="n">
        <v>45808</v>
      </c>
      <c r="P27" s="56" t="inlineStr">
        <is>
          <t>2481</t>
        </is>
      </c>
      <c r="Q27" s="56" t="inlineStr">
        <is>
          <t>Production - Quotes</t>
        </is>
      </c>
      <c r="R27" s="56" t="inlineStr">
        <is>
          <t>PRODUCTION</t>
        </is>
      </c>
    </row>
    <row r="28">
      <c r="K28" s="56" t="inlineStr">
        <is>
          <t>46010</t>
        </is>
      </c>
      <c r="L28" s="56" t="inlineStr">
        <is>
          <t>Credit Card Collected - ONS</t>
        </is>
      </c>
      <c r="N28" s="57" t="n">
        <v>45838</v>
      </c>
      <c r="P28" s="56" t="inlineStr">
        <is>
          <t>2482</t>
        </is>
      </c>
      <c r="Q28" s="56" t="inlineStr">
        <is>
          <t>VIDEO - Quotes</t>
        </is>
      </c>
      <c r="R28" s="56" t="inlineStr">
        <is>
          <t>VIDEO</t>
        </is>
      </c>
    </row>
    <row r="29">
      <c r="K29" s="56" t="inlineStr">
        <is>
          <t>46015</t>
        </is>
      </c>
      <c r="L29" s="56" t="inlineStr">
        <is>
          <t>Credit Card Collected - PRD</t>
        </is>
      </c>
      <c r="N29" s="57" t="n">
        <v>45869</v>
      </c>
      <c r="P29" s="56" t="inlineStr">
        <is>
          <t>2488</t>
        </is>
      </c>
      <c r="Q29" s="56" t="inlineStr">
        <is>
          <t>PWC IT P/T BNE</t>
        </is>
      </c>
      <c r="R29" s="56" t="inlineStr">
        <is>
          <t>ONSITE</t>
        </is>
      </c>
    </row>
    <row r="30">
      <c r="K30" s="56" t="inlineStr">
        <is>
          <t>46020</t>
        </is>
      </c>
      <c r="L30" s="56" t="inlineStr">
        <is>
          <t>Credit Card Collected - VID</t>
        </is>
      </c>
      <c r="N30" s="57" t="n">
        <v>45900</v>
      </c>
      <c r="P30" s="56" t="inlineStr">
        <is>
          <t>25011601</t>
        </is>
      </c>
      <c r="Q30" s="56" t="inlineStr">
        <is>
          <t>DTTL Hobart ITS AV Ref</t>
        </is>
      </c>
      <c r="R30" s="56" t="inlineStr">
        <is>
          <t>INTEGRATION</t>
        </is>
      </c>
    </row>
    <row r="31">
      <c r="K31" s="56" t="inlineStr">
        <is>
          <t>46025</t>
        </is>
      </c>
      <c r="L31" s="56" t="inlineStr">
        <is>
          <t>Credit Card Collected - INTEGRATION</t>
        </is>
      </c>
      <c r="N31" s="57" t="n">
        <v>45930</v>
      </c>
      <c r="P31" s="56" t="inlineStr">
        <is>
          <t>2501738</t>
        </is>
      </c>
      <c r="Q31" s="56" t="inlineStr">
        <is>
          <t>APA HYR25 &amp; FYR25</t>
        </is>
      </c>
      <c r="R31" s="56" t="inlineStr">
        <is>
          <t>PRODUCTION</t>
        </is>
      </c>
    </row>
    <row r="32">
      <c r="K32" s="56" t="inlineStr">
        <is>
          <t>46030</t>
        </is>
      </c>
      <c r="L32" s="56" t="inlineStr">
        <is>
          <t>Credit Card Collected - CONS</t>
        </is>
      </c>
      <c r="N32" s="57" t="n">
        <v>45961</v>
      </c>
      <c r="P32" s="56" t="inlineStr">
        <is>
          <t>2502</t>
        </is>
      </c>
      <c r="Q32" s="56" t="inlineStr">
        <is>
          <t>ONS CBA (non-chargeable)</t>
        </is>
      </c>
      <c r="R32" s="56" t="inlineStr"/>
    </row>
    <row r="33">
      <c r="K33" s="56" t="inlineStr">
        <is>
          <t>47005</t>
        </is>
      </c>
      <c r="L33" s="56" t="inlineStr">
        <is>
          <t>Meal &amp; Travel - ADMIN</t>
        </is>
      </c>
      <c r="N33" s="57" t="n">
        <v>45991</v>
      </c>
      <c r="P33" s="56" t="inlineStr">
        <is>
          <t>25021901</t>
        </is>
      </c>
      <c r="Q33" s="56" t="inlineStr">
        <is>
          <t>DAFF Technology Standard</t>
        </is>
      </c>
      <c r="R33" s="56" t="inlineStr">
        <is>
          <t>CONSULTING</t>
        </is>
      </c>
    </row>
    <row r="34">
      <c r="K34" s="56" t="inlineStr">
        <is>
          <t>47010</t>
        </is>
      </c>
      <c r="L34" s="56" t="inlineStr">
        <is>
          <t>Meal &amp; Travel - ONS</t>
        </is>
      </c>
      <c r="N34" s="57" t="n">
        <v>46022</v>
      </c>
      <c r="P34" s="56" t="inlineStr">
        <is>
          <t>2503</t>
        </is>
      </c>
      <c r="Q34" s="56" t="inlineStr">
        <is>
          <t>ONS DTTL (non-chargeable)</t>
        </is>
      </c>
      <c r="R34" s="56" t="inlineStr"/>
    </row>
    <row r="35">
      <c r="K35" s="56" t="inlineStr">
        <is>
          <t>47015</t>
        </is>
      </c>
      <c r="L35" s="56" t="inlineStr">
        <is>
          <t>Meal &amp; Travel - PRD</t>
        </is>
      </c>
      <c r="N35" s="57" t="n">
        <v>46053</v>
      </c>
      <c r="P35" s="56" t="inlineStr">
        <is>
          <t>25032701</t>
        </is>
      </c>
      <c r="Q35" s="56" t="inlineStr">
        <is>
          <t>St Catherines Chargeable</t>
        </is>
      </c>
      <c r="R35" s="56" t="inlineStr">
        <is>
          <t>ONSITE</t>
        </is>
      </c>
    </row>
    <row r="36">
      <c r="K36" s="56" t="inlineStr">
        <is>
          <t>47020</t>
        </is>
      </c>
      <c r="L36" s="56" t="inlineStr">
        <is>
          <t>Meal &amp; Travel - VID</t>
        </is>
      </c>
      <c r="N36" s="57" t="n">
        <v>46081</v>
      </c>
      <c r="P36" s="56" t="inlineStr">
        <is>
          <t>25032701NC</t>
        </is>
      </c>
      <c r="Q36" s="56" t="inlineStr">
        <is>
          <t>St Catherines Non-Chgble</t>
        </is>
      </c>
      <c r="R36" s="56" t="inlineStr">
        <is>
          <t>ONSITE</t>
        </is>
      </c>
    </row>
    <row r="37">
      <c r="K37" s="56" t="inlineStr">
        <is>
          <t>47025</t>
        </is>
      </c>
      <c r="L37" s="56" t="inlineStr">
        <is>
          <t>Meal &amp; Travel - INTEGRATION</t>
        </is>
      </c>
      <c r="N37" s="57" t="n">
        <v>46112</v>
      </c>
      <c r="P37" s="56" t="inlineStr">
        <is>
          <t>2504</t>
        </is>
      </c>
      <c r="Q37" s="56" t="inlineStr">
        <is>
          <t>ONS WBC (non-chargeable)</t>
        </is>
      </c>
      <c r="R37" s="56" t="inlineStr"/>
    </row>
    <row r="38">
      <c r="K38" s="56" t="inlineStr">
        <is>
          <t>47030</t>
        </is>
      </c>
      <c r="L38" s="56" t="inlineStr">
        <is>
          <t>Meal &amp; Travel - CONS</t>
        </is>
      </c>
      <c r="N38" s="57" t="n">
        <v>46142</v>
      </c>
      <c r="P38" s="56" t="inlineStr">
        <is>
          <t>25041502</t>
        </is>
      </c>
      <c r="Q38" s="56" t="inlineStr">
        <is>
          <t>PDNSW DB License Ext</t>
        </is>
      </c>
      <c r="R38" s="56" t="inlineStr">
        <is>
          <t>INTEGRATION</t>
        </is>
      </c>
    </row>
    <row r="39">
      <c r="K39" s="56" t="inlineStr">
        <is>
          <t>48000</t>
        </is>
      </c>
      <c r="L39" s="56" t="inlineStr">
        <is>
          <t>Miscellaneous Income</t>
        </is>
      </c>
      <c r="N39" s="57" t="n">
        <v>46173</v>
      </c>
      <c r="P39" s="56" t="inlineStr">
        <is>
          <t>2505</t>
        </is>
      </c>
      <c r="Q39" s="56" t="inlineStr">
        <is>
          <t>ONS PWC (non-chargeable)</t>
        </is>
      </c>
      <c r="R39" s="56" t="inlineStr"/>
    </row>
    <row r="40">
      <c r="N40" s="57" t="n">
        <v>46203</v>
      </c>
      <c r="P40" s="56" t="inlineStr">
        <is>
          <t>25051302</t>
        </is>
      </c>
      <c r="Q40" s="56" t="inlineStr">
        <is>
          <t>NSW Prop Bradfield Desk Booking + Penrith Additional</t>
        </is>
      </c>
      <c r="R40" s="56" t="inlineStr">
        <is>
          <t>INTEGRATION</t>
        </is>
      </c>
    </row>
    <row r="41">
      <c r="N41" s="57" t="n">
        <v>46234</v>
      </c>
      <c r="P41" s="56" t="inlineStr">
        <is>
          <t>25051403</t>
        </is>
      </c>
      <c r="Q41" s="56" t="inlineStr">
        <is>
          <t>DTTL SYD Tech Supp TMT AP</t>
        </is>
      </c>
      <c r="R41" s="56" t="inlineStr">
        <is>
          <t>ONSITE</t>
        </is>
      </c>
    </row>
    <row r="42">
      <c r="N42" s="57" t="n">
        <v>46265</v>
      </c>
      <c r="P42" s="56" t="inlineStr">
        <is>
          <t>25052802</t>
        </is>
      </c>
      <c r="Q42" s="56" t="inlineStr">
        <is>
          <t>Aus Retirement Trust Members Meeting 2025</t>
        </is>
      </c>
      <c r="R42" s="56" t="inlineStr">
        <is>
          <t>PRODUCTION</t>
        </is>
      </c>
    </row>
    <row r="43">
      <c r="N43" s="57" t="n">
        <v>46295</v>
      </c>
      <c r="P43" s="56" t="inlineStr">
        <is>
          <t>2505901</t>
        </is>
      </c>
      <c r="Q43" s="56" t="inlineStr">
        <is>
          <t>COS Projector Lens Supply</t>
        </is>
      </c>
      <c r="R43" s="56" t="inlineStr">
        <is>
          <t>INTEGRATION</t>
        </is>
      </c>
    </row>
    <row r="44">
      <c r="N44" s="57" t="n">
        <v>46326</v>
      </c>
      <c r="P44" s="56" t="inlineStr">
        <is>
          <t>2506</t>
        </is>
      </c>
      <c r="Q44" s="56" t="inlineStr">
        <is>
          <t>ONS BWEST (non-chargeable)</t>
        </is>
      </c>
      <c r="R44" s="56" t="inlineStr"/>
    </row>
    <row r="45">
      <c r="N45" s="57" t="n">
        <v>46356</v>
      </c>
      <c r="P45" s="56" t="inlineStr">
        <is>
          <t>25060301</t>
        </is>
      </c>
      <c r="Q45" s="56" t="inlineStr">
        <is>
          <t>6PSQ L12 Desk Booking</t>
        </is>
      </c>
      <c r="R45" s="56" t="inlineStr">
        <is>
          <t>INTEGRATION</t>
        </is>
      </c>
    </row>
    <row r="46">
      <c r="N46" s="57" t="n">
        <v>46387</v>
      </c>
      <c r="P46" s="56" t="inlineStr">
        <is>
          <t>25060307</t>
        </is>
      </c>
      <c r="Q46" s="56" t="inlineStr">
        <is>
          <t>DPIE Molesworth St D/B</t>
        </is>
      </c>
      <c r="R46" s="56" t="inlineStr">
        <is>
          <t>INTEGRATION</t>
        </is>
      </c>
    </row>
    <row r="47">
      <c r="N47" s="57" t="n">
        <v>46418</v>
      </c>
      <c r="P47" s="56" t="inlineStr">
        <is>
          <t>2506208</t>
        </is>
      </c>
      <c r="Q47" s="56" t="inlineStr">
        <is>
          <t>CBA AGM 2026</t>
        </is>
      </c>
      <c r="R47" s="56" t="inlineStr">
        <is>
          <t>PRODUCTION</t>
        </is>
      </c>
    </row>
    <row r="48">
      <c r="N48" s="57" t="n">
        <v>46446</v>
      </c>
      <c r="P48" s="56" t="inlineStr">
        <is>
          <t>2506208V</t>
        </is>
      </c>
      <c r="Q48" s="56" t="inlineStr">
        <is>
          <t>CBA AGM 2026</t>
        </is>
      </c>
      <c r="R48" s="56" t="inlineStr">
        <is>
          <t>VIDEO</t>
        </is>
      </c>
    </row>
    <row r="49">
      <c r="N49" s="57" t="n">
        <v>46477</v>
      </c>
      <c r="P49" s="56" t="inlineStr">
        <is>
          <t>25063001V</t>
        </is>
      </c>
      <c r="Q49" s="56" t="inlineStr">
        <is>
          <t>APA All Hands Staff</t>
        </is>
      </c>
      <c r="R49" s="56" t="inlineStr">
        <is>
          <t>VIDEO</t>
        </is>
      </c>
    </row>
    <row r="50">
      <c r="N50" s="57" t="n">
        <v>46507</v>
      </c>
      <c r="P50" s="56" t="inlineStr">
        <is>
          <t>25070702</t>
        </is>
      </c>
      <c r="Q50" s="56" t="inlineStr">
        <is>
          <t>APA VMS Brisbane &amp; Darwin</t>
        </is>
      </c>
      <c r="R50" s="56" t="inlineStr">
        <is>
          <t>INTEGRATION</t>
        </is>
      </c>
    </row>
    <row r="51">
      <c r="N51" s="57" t="n">
        <v>46538</v>
      </c>
      <c r="P51" s="56" t="inlineStr">
        <is>
          <t>2507203</t>
        </is>
      </c>
      <c r="Q51" s="56" t="inlineStr">
        <is>
          <t>Hills Grammar Airmedia Supply</t>
        </is>
      </c>
      <c r="R51" s="56" t="inlineStr">
        <is>
          <t>INTEGRATION</t>
        </is>
      </c>
    </row>
    <row r="52">
      <c r="N52" s="57" t="n">
        <v>46568</v>
      </c>
      <c r="P52" s="56" t="inlineStr">
        <is>
          <t>25081402</t>
        </is>
      </c>
      <c r="Q52" s="56" t="inlineStr">
        <is>
          <t>Hills Grammar Loan Airmedia Purchase</t>
        </is>
      </c>
      <c r="R52" s="56" t="inlineStr">
        <is>
          <t>INTEGRATION</t>
        </is>
      </c>
    </row>
    <row r="53">
      <c r="N53" s="57" t="n">
        <v>46599</v>
      </c>
      <c r="P53" s="56" t="inlineStr">
        <is>
          <t>25082501</t>
        </is>
      </c>
      <c r="Q53" s="56" t="inlineStr">
        <is>
          <t>APA Sydney Tablet Brackets</t>
        </is>
      </c>
      <c r="R53" s="56" t="inlineStr">
        <is>
          <t>INTEGRATION</t>
        </is>
      </c>
    </row>
    <row r="54">
      <c r="N54" s="57" t="n">
        <v>46630</v>
      </c>
      <c r="P54" s="56" t="inlineStr">
        <is>
          <t>25091703</t>
        </is>
      </c>
      <c r="Q54" s="56" t="inlineStr">
        <is>
          <t>Scentre Group Marion Superscreen (D10396) Test and Cert</t>
        </is>
      </c>
      <c r="R54" s="56" t="inlineStr">
        <is>
          <t>CONSULTING</t>
        </is>
      </c>
    </row>
    <row r="55">
      <c r="N55" s="57" t="n">
        <v>46660</v>
      </c>
      <c r="P55" s="56" t="inlineStr">
        <is>
          <t>25101301</t>
        </is>
      </c>
      <c r="Q55" s="56" t="inlineStr">
        <is>
          <t>PWC IT Support – Melbourne</t>
        </is>
      </c>
      <c r="R55" s="56" t="inlineStr">
        <is>
          <t>ONSITE</t>
        </is>
      </c>
    </row>
    <row r="56">
      <c r="N56" s="57" t="n">
        <v>46691</v>
      </c>
      <c r="P56" s="56" t="inlineStr">
        <is>
          <t>25101301B</t>
        </is>
      </c>
      <c r="Q56" s="56" t="inlineStr">
        <is>
          <t>PWC IT Support – Sydney</t>
        </is>
      </c>
      <c r="R56" s="56" t="inlineStr">
        <is>
          <t>ONSITE</t>
        </is>
      </c>
    </row>
    <row r="57">
      <c r="N57" s="57" t="n">
        <v>46721</v>
      </c>
      <c r="P57" s="56" t="inlineStr">
        <is>
          <t>2510202</t>
        </is>
      </c>
      <c r="Q57" s="56" t="inlineStr">
        <is>
          <t>HP Poly Room Assessment</t>
        </is>
      </c>
      <c r="R57" s="56" t="inlineStr">
        <is>
          <t>CONSULTING</t>
        </is>
      </c>
    </row>
    <row r="58">
      <c r="N58" s="57" t="n">
        <v>46752</v>
      </c>
      <c r="P58" s="56" t="inlineStr">
        <is>
          <t>2510205</t>
        </is>
      </c>
      <c r="Q58" s="56" t="inlineStr">
        <is>
          <t>NSW Property RGB Desk Booking</t>
        </is>
      </c>
      <c r="R58" s="56" t="inlineStr">
        <is>
          <t>INTEGRATION</t>
        </is>
      </c>
    </row>
    <row r="59">
      <c r="N59" s="57" t="n">
        <v>46783</v>
      </c>
      <c r="P59" s="56" t="inlineStr">
        <is>
          <t>2510210</t>
        </is>
      </c>
      <c r="Q59" s="56" t="inlineStr">
        <is>
          <t>Scentre Group Westfield Bondi Screen Tests</t>
        </is>
      </c>
      <c r="R59" s="56" t="inlineStr">
        <is>
          <t>CONSULTING</t>
        </is>
      </c>
    </row>
    <row r="60">
      <c r="N60" s="57" t="n">
        <v>46812</v>
      </c>
      <c r="P60" s="56" t="inlineStr">
        <is>
          <t>25102701</t>
        </is>
      </c>
      <c r="Q60" s="56" t="inlineStr">
        <is>
          <t>DEWR - Studio Upgrade - Consulting, Design</t>
        </is>
      </c>
      <c r="R60" s="56" t="inlineStr">
        <is>
          <t>CONSULTING</t>
        </is>
      </c>
    </row>
    <row r="61">
      <c r="N61" s="57" t="n">
        <v>46843</v>
      </c>
      <c r="P61" s="56" t="inlineStr">
        <is>
          <t>25102801</t>
        </is>
      </c>
      <c r="Q61" s="56" t="inlineStr">
        <is>
          <t>DTTL SYD QQT Additional Mics Install in L45 Seminar Space</t>
        </is>
      </c>
      <c r="R61" s="56" t="inlineStr">
        <is>
          <t>INTEGRATION</t>
        </is>
      </c>
    </row>
    <row r="62">
      <c r="N62" s="57" t="n">
        <v>46873</v>
      </c>
      <c r="P62" s="56" t="inlineStr">
        <is>
          <t>25102802</t>
        </is>
      </c>
      <c r="Q62" s="56" t="inlineStr">
        <is>
          <t>Novigi Meeting Space Inspection</t>
        </is>
      </c>
      <c r="R62" s="56" t="inlineStr">
        <is>
          <t>CONSULTING</t>
        </is>
      </c>
    </row>
    <row r="63">
      <c r="N63" s="57" t="n">
        <v>46904</v>
      </c>
      <c r="P63" s="56" t="inlineStr">
        <is>
          <t>2510804</t>
        </is>
      </c>
      <c r="Q63" s="56" t="inlineStr">
        <is>
          <t>CommSecurity Presynct QLD Desk Booking</t>
        </is>
      </c>
      <c r="R63" s="56" t="inlineStr">
        <is>
          <t>INTEGRATION</t>
        </is>
      </c>
    </row>
    <row r="64">
      <c r="N64" s="57" t="n">
        <v>46934</v>
      </c>
      <c r="P64" s="56" t="inlineStr">
        <is>
          <t>2510805</t>
        </is>
      </c>
      <c r="Q64" s="56" t="inlineStr">
        <is>
          <t>PNSW Reconstruction Authority Newcastle</t>
        </is>
      </c>
      <c r="R64" s="56" t="inlineStr">
        <is>
          <t>INTEGRATION</t>
        </is>
      </c>
    </row>
    <row r="65">
      <c r="N65" s="57" t="n">
        <v>46965</v>
      </c>
      <c r="P65" s="56" t="inlineStr">
        <is>
          <t>25111203</t>
        </is>
      </c>
      <c r="Q65" s="56" t="inlineStr">
        <is>
          <t>CoS | Barco E3 Sale</t>
        </is>
      </c>
      <c r="R65" s="56" t="inlineStr">
        <is>
          <t>INTEGRATION</t>
        </is>
      </c>
    </row>
    <row r="66">
      <c r="N66" s="57" t="n">
        <v>46996</v>
      </c>
      <c r="P66" s="56" t="inlineStr">
        <is>
          <t>25112801</t>
        </is>
      </c>
      <c r="Q66" s="56" t="inlineStr">
        <is>
          <t>APA MEL - iPad &amp; Bouncepad Sale</t>
        </is>
      </c>
      <c r="R66" s="56" t="inlineStr">
        <is>
          <t>INTEGRATION</t>
        </is>
      </c>
    </row>
    <row r="67">
      <c r="N67" s="57" t="n">
        <v>47026</v>
      </c>
      <c r="P67" s="56" t="inlineStr">
        <is>
          <t>25121001</t>
        </is>
      </c>
      <c r="Q67" s="56" t="inlineStr">
        <is>
          <t>HP Poly Mic System Sale and Install at Mission Australia</t>
        </is>
      </c>
      <c r="R67" s="56" t="inlineStr">
        <is>
          <t>INTEGRATION</t>
        </is>
      </c>
    </row>
    <row r="68">
      <c r="N68" s="57" t="n">
        <v>47057</v>
      </c>
      <c r="P68" s="56" t="inlineStr">
        <is>
          <t>25121007</t>
        </is>
      </c>
      <c r="Q68" s="56" t="inlineStr">
        <is>
          <t>Novigi SYD/MEL boardroom Mic upgrade + Cable Tidy</t>
        </is>
      </c>
      <c r="R68" s="56" t="inlineStr">
        <is>
          <t>INTEGRATION</t>
        </is>
      </c>
    </row>
    <row r="69">
      <c r="N69" s="57" t="n">
        <v>47087</v>
      </c>
      <c r="P69" s="56" t="inlineStr">
        <is>
          <t>25121208</t>
        </is>
      </c>
      <c r="Q69" s="56" t="inlineStr">
        <is>
          <t>APA HYR &amp; FYR Package 2026</t>
        </is>
      </c>
      <c r="R69" s="56" t="inlineStr">
        <is>
          <t>PRODUCTION</t>
        </is>
      </c>
    </row>
    <row r="70">
      <c r="N70" s="57" t="n">
        <v>47118</v>
      </c>
      <c r="P70" s="56" t="inlineStr">
        <is>
          <t>2512503</t>
        </is>
      </c>
      <c r="Q70" s="56" t="inlineStr">
        <is>
          <t>Ventia EOY Town Hall 10.12.2025</t>
        </is>
      </c>
      <c r="R70" s="56" t="inlineStr">
        <is>
          <t>PRODUCTION</t>
        </is>
      </c>
    </row>
    <row r="71">
      <c r="N71" s="57" t="n">
        <v>47149</v>
      </c>
      <c r="P71" s="56" t="inlineStr">
        <is>
          <t>2512503V</t>
        </is>
      </c>
      <c r="Q71" s="56" t="inlineStr">
        <is>
          <t>Ventia EOY Town Hall 10.12.2025</t>
        </is>
      </c>
      <c r="R71" s="56" t="inlineStr">
        <is>
          <t>VIDEO</t>
        </is>
      </c>
    </row>
    <row r="72">
      <c r="N72" s="57" t="n">
        <v>47177</v>
      </c>
      <c r="P72" s="56" t="inlineStr">
        <is>
          <t>2512804</t>
        </is>
      </c>
      <c r="Q72" s="56" t="inlineStr">
        <is>
          <t>RSNSW Ordinary General Meeting 5.8.26</t>
        </is>
      </c>
      <c r="R72" s="56" t="inlineStr">
        <is>
          <t>PRODUCTION</t>
        </is>
      </c>
    </row>
    <row r="73">
      <c r="N73" s="57" t="n">
        <v>47208</v>
      </c>
      <c r="P73" s="56" t="inlineStr">
        <is>
          <t>2512804V</t>
        </is>
      </c>
      <c r="Q73" s="56" t="inlineStr">
        <is>
          <t>RSNSW Ordinary General Meeting 5.8.26</t>
        </is>
      </c>
      <c r="R73" s="56" t="inlineStr">
        <is>
          <t>VIDEO</t>
        </is>
      </c>
    </row>
    <row r="74">
      <c r="N74" s="57" t="n">
        <v>47238</v>
      </c>
      <c r="P74" s="56" t="inlineStr">
        <is>
          <t>2512805</t>
        </is>
      </c>
      <c r="Q74" s="56" t="inlineStr">
        <is>
          <t>RSNSW Ordinary General Meeting 7.10.2026</t>
        </is>
      </c>
      <c r="R74" s="56" t="inlineStr">
        <is>
          <t>PRODUCTION</t>
        </is>
      </c>
    </row>
    <row r="75">
      <c r="N75" s="57" t="n">
        <v>47269</v>
      </c>
      <c r="P75" s="56" t="inlineStr">
        <is>
          <t>2512805V</t>
        </is>
      </c>
      <c r="Q75" s="56" t="inlineStr">
        <is>
          <t>RSNSW Ordinary General Meeting 7.10.2026</t>
        </is>
      </c>
      <c r="R75" s="56" t="inlineStr">
        <is>
          <t>VIDEO</t>
        </is>
      </c>
    </row>
    <row r="76">
      <c r="N76" s="57" t="n">
        <v>47299</v>
      </c>
      <c r="P76" s="56" t="inlineStr">
        <is>
          <t>2512806</t>
        </is>
      </c>
      <c r="Q76" s="56" t="inlineStr">
        <is>
          <t>RSNSW Ordinary General Meeting 2.12.26</t>
        </is>
      </c>
      <c r="R76" s="56" t="inlineStr">
        <is>
          <t>PRODUCTION</t>
        </is>
      </c>
    </row>
    <row r="77">
      <c r="N77" s="57" t="n">
        <v>47330</v>
      </c>
      <c r="P77" s="56" t="inlineStr">
        <is>
          <t>2512806V</t>
        </is>
      </c>
      <c r="Q77" s="56" t="inlineStr">
        <is>
          <t>RSNSW Ordinary General Meeting 2.12.26</t>
        </is>
      </c>
      <c r="R77" s="56" t="inlineStr">
        <is>
          <t>VIDEO</t>
        </is>
      </c>
    </row>
    <row r="78">
      <c r="N78" s="57" t="n">
        <v>47361</v>
      </c>
      <c r="P78" s="56" t="inlineStr">
        <is>
          <t>2519</t>
        </is>
      </c>
      <c r="Q78" s="56" t="inlineStr">
        <is>
          <t>NSW Prop-6PSQ Visitor MG</t>
        </is>
      </c>
      <c r="R78" s="56" t="inlineStr">
        <is>
          <t>INTEGRATION</t>
        </is>
      </c>
    </row>
    <row r="79">
      <c r="N79" s="57" t="n">
        <v>47391</v>
      </c>
      <c r="P79" s="56" t="inlineStr">
        <is>
          <t>2521</t>
        </is>
      </c>
      <c r="Q79" s="56" t="inlineStr">
        <is>
          <t>PWC - PER Tech</t>
        </is>
      </c>
      <c r="R79" s="56" t="inlineStr">
        <is>
          <t>ONSITE</t>
        </is>
      </c>
    </row>
    <row r="80">
      <c r="N80" s="57" t="n">
        <v>47422</v>
      </c>
      <c r="P80" s="56" t="inlineStr">
        <is>
          <t>2540</t>
        </is>
      </c>
      <c r="Q80" s="56" t="inlineStr">
        <is>
          <t>PWC - SYD Tech</t>
        </is>
      </c>
      <c r="R80" s="56" t="inlineStr">
        <is>
          <t>ONSITE</t>
        </is>
      </c>
    </row>
    <row r="81">
      <c r="N81" s="57" t="n">
        <v>47452</v>
      </c>
      <c r="P81" s="56" t="inlineStr">
        <is>
          <t>2543</t>
        </is>
      </c>
      <c r="Q81" s="56" t="inlineStr">
        <is>
          <t>DTTL MEL Tech (PT)</t>
        </is>
      </c>
      <c r="R81" s="56" t="inlineStr">
        <is>
          <t>ONSITE</t>
        </is>
      </c>
    </row>
    <row r="82">
      <c r="N82" s="57" t="n">
        <v>47483</v>
      </c>
      <c r="P82" s="56" t="inlineStr">
        <is>
          <t>2591012</t>
        </is>
      </c>
      <c r="Q82" s="56" t="inlineStr">
        <is>
          <t>St. Luke's Non-chargeable</t>
        </is>
      </c>
      <c r="R82" s="56" t="inlineStr">
        <is>
          <t>PRODUCTION</t>
        </is>
      </c>
    </row>
    <row r="83">
      <c r="N83" s="57" t="n">
        <v>47514</v>
      </c>
      <c r="P83" s="56" t="inlineStr">
        <is>
          <t>2591012C</t>
        </is>
      </c>
      <c r="Q83" s="56" t="inlineStr">
        <is>
          <t>St. Luke's Church</t>
        </is>
      </c>
      <c r="R83" s="56" t="inlineStr">
        <is>
          <t>PRODUCTION</t>
        </is>
      </c>
    </row>
    <row r="84">
      <c r="N84" s="57" t="n">
        <v>47542</v>
      </c>
      <c r="P84" s="56" t="inlineStr">
        <is>
          <t>2593</t>
        </is>
      </c>
      <c r="Q84" s="56" t="inlineStr">
        <is>
          <t>PWC CBR Technician</t>
        </is>
      </c>
      <c r="R84" s="56" t="inlineStr">
        <is>
          <t>ONSITE</t>
        </is>
      </c>
    </row>
    <row r="85">
      <c r="N85" s="57" t="n">
        <v>47573</v>
      </c>
      <c r="P85" s="56" t="inlineStr">
        <is>
          <t>2598</t>
        </is>
      </c>
      <c r="Q85" s="56" t="inlineStr">
        <is>
          <t>DTTL WA Tech</t>
        </is>
      </c>
      <c r="R85" s="56" t="inlineStr">
        <is>
          <t>ONSITE</t>
        </is>
      </c>
    </row>
    <row r="86">
      <c r="N86" s="57" t="n">
        <v>47603</v>
      </c>
      <c r="P86" s="56" t="inlineStr">
        <is>
          <t>26011404</t>
        </is>
      </c>
      <c r="Q86" s="56" t="inlineStr">
        <is>
          <t>ASX CEO Connect (Extended Results) 1.9.26</t>
        </is>
      </c>
      <c r="R86" s="56" t="inlineStr">
        <is>
          <t>PRODUCTION</t>
        </is>
      </c>
    </row>
    <row r="87">
      <c r="N87" s="57" t="n">
        <v>47634</v>
      </c>
      <c r="P87" s="56" t="inlineStr">
        <is>
          <t>26011404V</t>
        </is>
      </c>
      <c r="Q87" s="56" t="inlineStr">
        <is>
          <t>ASX CEO Connect (Extended Results) 1.9.26</t>
        </is>
      </c>
      <c r="R87" s="56" t="inlineStr">
        <is>
          <t>VIDEO</t>
        </is>
      </c>
    </row>
    <row r="88">
      <c r="N88" s="57" t="n">
        <v>47664</v>
      </c>
      <c r="P88" s="56" t="inlineStr">
        <is>
          <t>26011407</t>
        </is>
      </c>
      <c r="Q88" s="56" t="inlineStr">
        <is>
          <t>ASX CEO Connect 27.10.26</t>
        </is>
      </c>
      <c r="R88" s="56" t="inlineStr">
        <is>
          <t>PRODUCTION</t>
        </is>
      </c>
    </row>
    <row r="89">
      <c r="N89" s="57" t="n">
        <v>47695</v>
      </c>
      <c r="P89" s="56" t="inlineStr">
        <is>
          <t>26011407V</t>
        </is>
      </c>
      <c r="Q89" s="56" t="inlineStr">
        <is>
          <t>ASX CEO Connect 27.10.26</t>
        </is>
      </c>
      <c r="R89" s="56" t="inlineStr">
        <is>
          <t>VIDEO</t>
        </is>
      </c>
    </row>
    <row r="90">
      <c r="N90" s="57" t="n">
        <v>47726</v>
      </c>
      <c r="P90" s="56" t="inlineStr">
        <is>
          <t>26011408</t>
        </is>
      </c>
      <c r="Q90" s="56" t="inlineStr">
        <is>
          <t>ASX CEO Connect 1.12.26</t>
        </is>
      </c>
      <c r="R90" s="56" t="inlineStr">
        <is>
          <t>PRODUCTION</t>
        </is>
      </c>
    </row>
    <row r="91">
      <c r="N91" s="57" t="n">
        <v>47756</v>
      </c>
      <c r="P91" s="56" t="inlineStr">
        <is>
          <t>26011408V</t>
        </is>
      </c>
      <c r="Q91" s="56" t="inlineStr">
        <is>
          <t>ASX CEO Connect 1.12.26</t>
        </is>
      </c>
      <c r="R91" s="56" t="inlineStr">
        <is>
          <t>VIDEO</t>
        </is>
      </c>
    </row>
    <row r="92">
      <c r="N92" s="57" t="n">
        <v>47787</v>
      </c>
      <c r="P92" s="56" t="inlineStr">
        <is>
          <t>26011409</t>
        </is>
      </c>
      <c r="Q92" s="56" t="inlineStr">
        <is>
          <t>ASX Investor Days Sydney &amp; Melbourne 2026</t>
        </is>
      </c>
      <c r="R92" s="56" t="inlineStr">
        <is>
          <t>PRODUCTION</t>
        </is>
      </c>
    </row>
    <row r="93">
      <c r="N93" s="57" t="n">
        <v>47817</v>
      </c>
      <c r="P93" s="56" t="inlineStr">
        <is>
          <t>26011501</t>
        </is>
      </c>
      <c r="Q93" s="56" t="inlineStr">
        <is>
          <t>ASX Refinitiv Charity Golf Classic H/L Vid 2026</t>
        </is>
      </c>
      <c r="R93" s="56" t="inlineStr">
        <is>
          <t>VIDEO</t>
        </is>
      </c>
    </row>
    <row r="94">
      <c r="N94" s="57" t="n">
        <v>47848</v>
      </c>
      <c r="P94" s="56" t="inlineStr">
        <is>
          <t>26011502</t>
        </is>
      </c>
      <c r="Q94" s="56" t="inlineStr">
        <is>
          <t>ASX Charity Regatta Highlights Video 2026</t>
        </is>
      </c>
      <c r="R94" s="56" t="inlineStr">
        <is>
          <t>VIDEO</t>
        </is>
      </c>
    </row>
    <row r="95">
      <c r="N95" s="57" t="n">
        <v>47879</v>
      </c>
      <c r="P95" s="56" t="inlineStr">
        <is>
          <t>26012301</t>
        </is>
      </c>
      <c r="Q95" s="56" t="inlineStr">
        <is>
          <t>PWC IT Support - Brisbane</t>
        </is>
      </c>
      <c r="R95" s="56" t="inlineStr">
        <is>
          <t>ONSITE</t>
        </is>
      </c>
    </row>
    <row r="96">
      <c r="N96" s="57" t="n">
        <v>47907</v>
      </c>
      <c r="P96" s="56" t="inlineStr">
        <is>
          <t>2601701</t>
        </is>
      </c>
      <c r="Q96" s="56" t="inlineStr">
        <is>
          <t>CEOi - TLP Brand Video</t>
        </is>
      </c>
      <c r="R96" s="56" t="inlineStr">
        <is>
          <t>VIDEO</t>
        </is>
      </c>
    </row>
    <row r="97">
      <c r="N97" s="57" t="n">
        <v>47938</v>
      </c>
      <c r="P97" s="56" t="inlineStr">
        <is>
          <t>26021602</t>
        </is>
      </c>
      <c r="Q97" s="56" t="inlineStr">
        <is>
          <t>Gen E ABS AV Support (Canberra)</t>
        </is>
      </c>
      <c r="R97" s="56" t="inlineStr">
        <is>
          <t>ONSITE</t>
        </is>
      </c>
    </row>
    <row r="98">
      <c r="N98" s="57" t="n">
        <v>47968</v>
      </c>
      <c r="P98" s="56" t="inlineStr">
        <is>
          <t>26021602N</t>
        </is>
      </c>
      <c r="Q98" s="56" t="inlineStr">
        <is>
          <t>Gen E ABS AV Support (Canberra) [ONS non-chargeable]</t>
        </is>
      </c>
      <c r="R98" s="56" t="inlineStr"/>
    </row>
    <row r="99">
      <c r="N99" s="57" t="n">
        <v>47999</v>
      </c>
      <c r="P99" s="56" t="inlineStr">
        <is>
          <t>26021801</t>
        </is>
      </c>
      <c r="Q99" s="56" t="inlineStr">
        <is>
          <t>Aware Super Seminar Room AV Upgrade</t>
        </is>
      </c>
      <c r="R99" s="56" t="inlineStr">
        <is>
          <t>INTEGRATION</t>
        </is>
      </c>
    </row>
    <row r="100">
      <c r="N100" s="57" t="n">
        <v>48029</v>
      </c>
      <c r="P100" s="56" t="inlineStr">
        <is>
          <t>2602203</t>
        </is>
      </c>
      <c r="Q100" s="56" t="inlineStr">
        <is>
          <t>YSG Studio Orange Room Upgrade</t>
        </is>
      </c>
      <c r="R100" s="56" t="inlineStr">
        <is>
          <t>CONSULTING</t>
        </is>
      </c>
    </row>
    <row r="101">
      <c r="P101" s="56" t="inlineStr">
        <is>
          <t>26022301</t>
        </is>
      </c>
      <c r="Q101" s="56" t="inlineStr">
        <is>
          <t>Aware Super AV Maintenance</t>
        </is>
      </c>
      <c r="R101" s="56" t="inlineStr">
        <is>
          <t>ONSITE</t>
        </is>
      </c>
    </row>
    <row r="102">
      <c r="P102" s="56" t="inlineStr">
        <is>
          <t>26022301C</t>
        </is>
      </c>
      <c r="Q102" s="56" t="inlineStr">
        <is>
          <t>Aware Super AV Maintenance</t>
        </is>
      </c>
      <c r="R102" s="56" t="inlineStr">
        <is>
          <t>CONSULTING</t>
        </is>
      </c>
    </row>
    <row r="103">
      <c r="P103" s="56" t="inlineStr">
        <is>
          <t>26022301NC</t>
        </is>
      </c>
      <c r="Q103" s="56" t="inlineStr">
        <is>
          <t>Aware Super AV Maintenance Non-chargeable</t>
        </is>
      </c>
      <c r="R103" s="56" t="inlineStr">
        <is>
          <t>ONSITE</t>
        </is>
      </c>
    </row>
    <row r="104">
      <c r="P104" s="56" t="inlineStr">
        <is>
          <t>26022301P</t>
        </is>
      </c>
      <c r="Q104" s="56" t="inlineStr">
        <is>
          <t>Aware Super AV Maintenance</t>
        </is>
      </c>
      <c r="R104" s="56" t="inlineStr">
        <is>
          <t>PRODUCTION</t>
        </is>
      </c>
    </row>
    <row r="105">
      <c r="P105" s="56" t="inlineStr">
        <is>
          <t>26022302</t>
        </is>
      </c>
      <c r="Q105" s="56" t="inlineStr">
        <is>
          <t>GP - Talking Philanthropy - 18.9.26</t>
        </is>
      </c>
      <c r="R105" s="56" t="inlineStr">
        <is>
          <t>PRODUCTION</t>
        </is>
      </c>
    </row>
    <row r="106">
      <c r="P106" s="56" t="inlineStr">
        <is>
          <t>26022302V</t>
        </is>
      </c>
      <c r="Q106" s="56" t="inlineStr">
        <is>
          <t>GP - Talking Philanthropy - 18.9.26</t>
        </is>
      </c>
      <c r="R106" s="56" t="inlineStr">
        <is>
          <t>VIDEO</t>
        </is>
      </c>
    </row>
    <row r="107">
      <c r="P107" s="56" t="inlineStr">
        <is>
          <t>26022601</t>
        </is>
      </c>
      <c r="Q107" s="56" t="inlineStr">
        <is>
          <t>ART - Annual Members Meeting - 25.11.26</t>
        </is>
      </c>
      <c r="R107" s="56" t="inlineStr">
        <is>
          <t>PRODUCTION</t>
        </is>
      </c>
    </row>
    <row r="108">
      <c r="P108" s="56" t="inlineStr">
        <is>
          <t>26022601V</t>
        </is>
      </c>
      <c r="Q108" s="56" t="inlineStr">
        <is>
          <t>ART - Annual Members Meeting - 25.11.26</t>
        </is>
      </c>
      <c r="R108" s="56" t="inlineStr">
        <is>
          <t>VIDEO</t>
        </is>
      </c>
    </row>
    <row r="109">
      <c r="P109" s="56" t="inlineStr">
        <is>
          <t>2602901</t>
        </is>
      </c>
      <c r="Q109" s="56" t="inlineStr">
        <is>
          <t>HP-Telstra: Phone Modification</t>
        </is>
      </c>
      <c r="R109" s="56" t="inlineStr">
        <is>
          <t>INTEGRATION</t>
        </is>
      </c>
    </row>
    <row r="110">
      <c r="P110" s="56" t="inlineStr">
        <is>
          <t>2603104</t>
        </is>
      </c>
      <c r="Q110" s="56" t="inlineStr">
        <is>
          <t>Cochlear FY26 Results 18.8.26</t>
        </is>
      </c>
      <c r="R110" s="56" t="inlineStr">
        <is>
          <t>PRODUCTION</t>
        </is>
      </c>
    </row>
    <row r="111">
      <c r="P111" s="56" t="inlineStr">
        <is>
          <t>2603104V</t>
        </is>
      </c>
      <c r="Q111" s="56" t="inlineStr">
        <is>
          <t>Cochlear FY26 Results 18.8.26</t>
        </is>
      </c>
      <c r="R111" s="56" t="inlineStr">
        <is>
          <t>VIDEO</t>
        </is>
      </c>
    </row>
    <row r="112">
      <c r="P112" s="56" t="inlineStr">
        <is>
          <t>2603105</t>
        </is>
      </c>
      <c r="Q112" s="56" t="inlineStr">
        <is>
          <t>Cochlear - AGM - 26.10.26</t>
        </is>
      </c>
      <c r="R112" s="56" t="inlineStr">
        <is>
          <t>PRODUCTION</t>
        </is>
      </c>
    </row>
    <row r="113">
      <c r="P113" s="56" t="inlineStr">
        <is>
          <t>2603105V</t>
        </is>
      </c>
      <c r="Q113" s="56" t="inlineStr">
        <is>
          <t>Cochlear - AGM - 26.10.26</t>
        </is>
      </c>
      <c r="R113" s="56" t="inlineStr">
        <is>
          <t>VIDEO</t>
        </is>
      </c>
    </row>
    <row r="114">
      <c r="P114" s="56" t="inlineStr">
        <is>
          <t>2603202</t>
        </is>
      </c>
      <c r="Q114" s="56" t="inlineStr">
        <is>
          <t>Property NSW 5 O’Keefe Ave Nowra Workplace Hub</t>
        </is>
      </c>
      <c r="R114" s="56" t="inlineStr">
        <is>
          <t>INTEGRATION</t>
        </is>
      </c>
    </row>
    <row r="115">
      <c r="P115" s="56" t="inlineStr">
        <is>
          <t>26032301</t>
        </is>
      </c>
      <c r="Q115" s="56" t="inlineStr">
        <is>
          <t>RSNSW - OGM - 1.7.2026</t>
        </is>
      </c>
      <c r="R115" s="56" t="inlineStr">
        <is>
          <t>PRODUCTION</t>
        </is>
      </c>
    </row>
    <row r="116">
      <c r="P116" s="56" t="inlineStr">
        <is>
          <t>26032301V</t>
        </is>
      </c>
      <c r="Q116" s="56" t="inlineStr">
        <is>
          <t>RSNSW - OGM - 1.7.2026</t>
        </is>
      </c>
      <c r="R116" s="56" t="inlineStr">
        <is>
          <t>VIDEO</t>
        </is>
      </c>
    </row>
    <row r="117">
      <c r="P117" s="56" t="inlineStr">
        <is>
          <t>26032302</t>
        </is>
      </c>
      <c r="Q117" s="56" t="inlineStr">
        <is>
          <t>RSNSW - OGM - 2.9.2026</t>
        </is>
      </c>
      <c r="R117" s="56" t="inlineStr">
        <is>
          <t>PRODUCTION</t>
        </is>
      </c>
    </row>
    <row r="118">
      <c r="P118" s="56" t="inlineStr">
        <is>
          <t>26032302V</t>
        </is>
      </c>
      <c r="Q118" s="56" t="inlineStr">
        <is>
          <t>RSNSW - OGM - 2.9.2026</t>
        </is>
      </c>
      <c r="R118" s="56" t="inlineStr">
        <is>
          <t>VIDEO</t>
        </is>
      </c>
    </row>
    <row r="119">
      <c r="P119" s="56" t="inlineStr">
        <is>
          <t>26032501</t>
        </is>
      </c>
      <c r="Q119" s="56" t="inlineStr">
        <is>
          <t>ChorusCall - Regal Partners AGM - 28.5.26</t>
        </is>
      </c>
      <c r="R119" s="56" t="inlineStr">
        <is>
          <t>PRODUCTION</t>
        </is>
      </c>
    </row>
    <row r="120">
      <c r="P120" s="56" t="inlineStr">
        <is>
          <t>26032502</t>
        </is>
      </c>
      <c r="Q120" s="56" t="inlineStr">
        <is>
          <t>3YS Owls - Governance Top 100 2026 - 30.10.26</t>
        </is>
      </c>
      <c r="R120" s="56" t="inlineStr">
        <is>
          <t>PRODUCTION</t>
        </is>
      </c>
    </row>
    <row r="121">
      <c r="P121" s="56" t="inlineStr">
        <is>
          <t>26032502V</t>
        </is>
      </c>
      <c r="Q121" s="56" t="inlineStr">
        <is>
          <t>3YS Owls - Governance Top 100 2026 - 30.10.26</t>
        </is>
      </c>
      <c r="R121" s="56" t="inlineStr">
        <is>
          <t>VIDEO</t>
        </is>
      </c>
    </row>
    <row r="122">
      <c r="P122" s="56" t="inlineStr">
        <is>
          <t>26032701</t>
        </is>
      </c>
      <c r="Q122" s="56" t="inlineStr">
        <is>
          <t>MUFG - A1N AGM - 7.5.26</t>
        </is>
      </c>
      <c r="R122" s="56" t="inlineStr">
        <is>
          <t>PRODUCTION</t>
        </is>
      </c>
    </row>
    <row r="123">
      <c r="P123" s="56" t="inlineStr">
        <is>
          <t>26032701V</t>
        </is>
      </c>
      <c r="Q123" s="56" t="inlineStr">
        <is>
          <t>MUFG - A1N AGM - 7.5.26</t>
        </is>
      </c>
      <c r="R123" s="56" t="inlineStr">
        <is>
          <t>VIDEO</t>
        </is>
      </c>
    </row>
    <row r="124">
      <c r="P124" s="56" t="inlineStr">
        <is>
          <t>26032702</t>
        </is>
      </c>
      <c r="Q124" s="56" t="inlineStr">
        <is>
          <t>Ventia Transport Australia and Ventia Networking 6.5.26</t>
        </is>
      </c>
      <c r="R124" s="56" t="inlineStr">
        <is>
          <t>PRODUCTION</t>
        </is>
      </c>
    </row>
    <row r="125">
      <c r="P125" s="56" t="inlineStr">
        <is>
          <t>26032704</t>
        </is>
      </c>
      <c r="Q125" s="56" t="inlineStr">
        <is>
          <t>CBA LES - April 2026</t>
        </is>
      </c>
      <c r="R125" s="56" t="inlineStr">
        <is>
          <t>PRODUCTION</t>
        </is>
      </c>
    </row>
    <row r="126">
      <c r="P126" s="56" t="inlineStr">
        <is>
          <t>26033003</t>
        </is>
      </c>
      <c r="Q126" s="56" t="inlineStr">
        <is>
          <t>DTTL 8PSQ Dream Big Microphones</t>
        </is>
      </c>
      <c r="R126" s="56" t="inlineStr">
        <is>
          <t>INTEGRATION</t>
        </is>
      </c>
    </row>
    <row r="127">
      <c r="P127" s="56" t="inlineStr">
        <is>
          <t>26033004</t>
        </is>
      </c>
      <c r="Q127" s="56" t="inlineStr">
        <is>
          <t>DTTL Melbourne Bluetooth Audio</t>
        </is>
      </c>
      <c r="R127" s="56" t="inlineStr">
        <is>
          <t>INTEGRATION</t>
        </is>
      </c>
    </row>
    <row r="128">
      <c r="P128" s="56" t="inlineStr">
        <is>
          <t>26033005</t>
        </is>
      </c>
      <c r="Q128" s="56" t="inlineStr">
        <is>
          <t>DTTL QQT &amp; 8PSQ Crestron Connect Adaptor</t>
        </is>
      </c>
      <c r="R128" s="56" t="inlineStr">
        <is>
          <t>INTEGRATION</t>
        </is>
      </c>
    </row>
    <row r="129">
      <c r="P129" s="56" t="inlineStr">
        <is>
          <t>26033006</t>
        </is>
      </c>
      <c r="Q129" s="56" t="inlineStr">
        <is>
          <t>DTTL 8PSQ Bluetooth Audio</t>
        </is>
      </c>
      <c r="R129" s="56" t="inlineStr">
        <is>
          <t>INTEGRATION</t>
        </is>
      </c>
    </row>
    <row r="130">
      <c r="P130" s="56" t="inlineStr">
        <is>
          <t>26033007</t>
        </is>
      </c>
      <c r="Q130" s="56" t="inlineStr">
        <is>
          <t>DTTL QQT Lv45 Seminar Wheels repair</t>
        </is>
      </c>
      <c r="R130" s="56" t="inlineStr">
        <is>
          <t>INTEGRATION</t>
        </is>
      </c>
    </row>
    <row r="131">
      <c r="P131" s="56" t="inlineStr">
        <is>
          <t>26033008</t>
        </is>
      </c>
      <c r="Q131" s="56" t="inlineStr">
        <is>
          <t>DTTL MEL Repair of Lv31 LED panels</t>
        </is>
      </c>
      <c r="R131" s="56" t="inlineStr">
        <is>
          <t>INTEGRATION</t>
        </is>
      </c>
    </row>
    <row r="132">
      <c r="P132" s="56" t="inlineStr">
        <is>
          <t>26041603</t>
        </is>
      </c>
      <c r="Q132" s="56" t="inlineStr">
        <is>
          <t>Optiver - Town Hall - 23.7.26</t>
        </is>
      </c>
      <c r="R132" s="56" t="inlineStr">
        <is>
          <t>PRODUCTION</t>
        </is>
      </c>
    </row>
    <row r="133">
      <c r="P133" s="56" t="inlineStr">
        <is>
          <t>26041603V</t>
        </is>
      </c>
      <c r="Q133" s="56" t="inlineStr">
        <is>
          <t>Optiver - Town Hall - 23.7.26</t>
        </is>
      </c>
      <c r="R133" s="56" t="inlineStr">
        <is>
          <t>VIDEO</t>
        </is>
      </c>
    </row>
    <row r="134">
      <c r="P134" s="56" t="inlineStr">
        <is>
          <t>26041701</t>
        </is>
      </c>
      <c r="Q134" s="56" t="inlineStr">
        <is>
          <t>N2 Dance End of Year Concert Videos 2026</t>
        </is>
      </c>
      <c r="R134" s="56" t="inlineStr">
        <is>
          <t>VIDEO</t>
        </is>
      </c>
    </row>
    <row r="135">
      <c r="P135" s="56" t="inlineStr">
        <is>
          <t>26042001</t>
        </is>
      </c>
      <c r="Q135" s="56" t="inlineStr">
        <is>
          <t>ASX - AGM - 22.10.26</t>
        </is>
      </c>
      <c r="R135" s="56" t="inlineStr">
        <is>
          <t>PRODUCTION</t>
        </is>
      </c>
    </row>
    <row r="136">
      <c r="P136" s="56" t="inlineStr">
        <is>
          <t>26042001V</t>
        </is>
      </c>
      <c r="Q136" s="56" t="inlineStr">
        <is>
          <t>ASX - AGM - 22.10.26</t>
        </is>
      </c>
      <c r="R136" s="56" t="inlineStr">
        <is>
          <t>VIDEO</t>
        </is>
      </c>
    </row>
    <row r="137">
      <c r="P137" s="56" t="inlineStr">
        <is>
          <t>2604201</t>
        </is>
      </c>
      <c r="Q137" s="56" t="inlineStr">
        <is>
          <t>Bankwest - Stage Hire - 27.5.2026</t>
        </is>
      </c>
      <c r="R137" s="56" t="inlineStr">
        <is>
          <t>PRODUCTION</t>
        </is>
      </c>
    </row>
    <row r="138">
      <c r="P138" s="56" t="inlineStr">
        <is>
          <t>2604202</t>
        </is>
      </c>
      <c r="Q138" s="56" t="inlineStr">
        <is>
          <t>Ventia - Ventia Awards - 30.7.26</t>
        </is>
      </c>
      <c r="R138" s="56" t="inlineStr">
        <is>
          <t>PRODUCTION</t>
        </is>
      </c>
    </row>
    <row r="139">
      <c r="P139" s="56" t="inlineStr">
        <is>
          <t>2604202V</t>
        </is>
      </c>
      <c r="Q139" s="56" t="inlineStr">
        <is>
          <t>Ventia - Ventia Awards - 30.7.26</t>
        </is>
      </c>
      <c r="R139" s="56" t="inlineStr">
        <is>
          <t>VIDEO</t>
        </is>
      </c>
    </row>
    <row r="140">
      <c r="P140" s="56" t="inlineStr">
        <is>
          <t>2604203V</t>
        </is>
      </c>
      <c r="Q140" s="56" t="inlineStr">
        <is>
          <t>Ventia - Investor Day - 4.5.2026</t>
        </is>
      </c>
      <c r="R140" s="56" t="inlineStr">
        <is>
          <t>VIDEO</t>
        </is>
      </c>
    </row>
    <row r="141">
      <c r="P141" s="56" t="inlineStr">
        <is>
          <t>2604204</t>
        </is>
      </c>
      <c r="Q141" s="56" t="inlineStr">
        <is>
          <t>Ventia - AGM - 21.5.26</t>
        </is>
      </c>
      <c r="R141" s="56" t="inlineStr">
        <is>
          <t>PRODUCTION</t>
        </is>
      </c>
    </row>
    <row r="142">
      <c r="P142" s="56" t="inlineStr">
        <is>
          <t>2604204V</t>
        </is>
      </c>
      <c r="Q142" s="56" t="inlineStr">
        <is>
          <t>Ventia - AGM - 21.5.26</t>
        </is>
      </c>
      <c r="R142" s="56" t="inlineStr">
        <is>
          <t>VIDEO</t>
        </is>
      </c>
    </row>
    <row r="143">
      <c r="P143" s="56" t="inlineStr">
        <is>
          <t>26042802</t>
        </is>
      </c>
      <c r="Q143" s="56" t="inlineStr">
        <is>
          <t>DTTL DAR Meeting Room Extension Cable Install</t>
        </is>
      </c>
      <c r="R143" s="56" t="inlineStr">
        <is>
          <t>INTEGRATION</t>
        </is>
      </c>
    </row>
    <row r="144">
      <c r="P144" s="56" t="inlineStr">
        <is>
          <t>26043001</t>
        </is>
      </c>
      <c r="Q144" s="56" t="inlineStr">
        <is>
          <t>CBA FT Tech MEL - 12 months</t>
        </is>
      </c>
      <c r="R144" s="56" t="inlineStr">
        <is>
          <t>ONSITE</t>
        </is>
      </c>
    </row>
    <row r="145">
      <c r="P145" s="56" t="inlineStr">
        <is>
          <t>26043002</t>
        </is>
      </c>
      <c r="Q145" s="56" t="inlineStr">
        <is>
          <t>CTS Town Hall</t>
        </is>
      </c>
      <c r="R145" s="56" t="inlineStr">
        <is>
          <t>CTS</t>
        </is>
      </c>
    </row>
    <row r="146">
      <c r="P146" s="56" t="inlineStr">
        <is>
          <t>26043003</t>
        </is>
      </c>
      <c r="Q146" s="56" t="inlineStr">
        <is>
          <t>PwC Screen Replacements SYD+MEL</t>
        </is>
      </c>
      <c r="R146" s="56" t="inlineStr">
        <is>
          <t>INTEGRATION</t>
        </is>
      </c>
    </row>
    <row r="147">
      <c r="P147" s="56" t="inlineStr">
        <is>
          <t>2604704</t>
        </is>
      </c>
      <c r="Q147" s="56" t="inlineStr">
        <is>
          <t>Aware Super Seminar Room Audio Upgrade</t>
        </is>
      </c>
      <c r="R147" s="56" t="inlineStr">
        <is>
          <t>INTEGRATION</t>
        </is>
      </c>
    </row>
    <row r="148">
      <c r="P148" s="56" t="inlineStr">
        <is>
          <t>2604802</t>
        </is>
      </c>
      <c r="Q148" s="56" t="inlineStr">
        <is>
          <t>PwC - Audio Support - 29.4.26</t>
        </is>
      </c>
      <c r="R148" s="56" t="inlineStr">
        <is>
          <t>PRODUCTION</t>
        </is>
      </c>
    </row>
    <row r="149">
      <c r="P149" s="56" t="inlineStr">
        <is>
          <t>26051101</t>
        </is>
      </c>
      <c r="Q149" s="56" t="inlineStr">
        <is>
          <t>DTTL Mardi Gras/Vivid Event 27/05/26</t>
        </is>
      </c>
      <c r="R149" s="56" t="inlineStr">
        <is>
          <t>PRODUCTION</t>
        </is>
      </c>
    </row>
    <row r="150">
      <c r="P150" s="56" t="inlineStr">
        <is>
          <t>26051101V</t>
        </is>
      </c>
      <c r="Q150" s="56" t="inlineStr">
        <is>
          <t>DTTL Mardi Gras/Vivid Event 27/05/26</t>
        </is>
      </c>
      <c r="R150" s="56" t="inlineStr">
        <is>
          <t>VIDEO</t>
        </is>
      </c>
    </row>
    <row r="151">
      <c r="P151" s="56" t="inlineStr">
        <is>
          <t>26051102</t>
        </is>
      </c>
      <c r="Q151" s="56" t="inlineStr">
        <is>
          <t>DTTL - CEO Roadshow - 1.6.26</t>
        </is>
      </c>
      <c r="R151" s="56" t="inlineStr">
        <is>
          <t>PRODUCTION</t>
        </is>
      </c>
    </row>
    <row r="152">
      <c r="P152" s="56" t="inlineStr">
        <is>
          <t>26051102V</t>
        </is>
      </c>
      <c r="Q152" s="56" t="inlineStr">
        <is>
          <t>DTTL - CEO Roadshow - 1.6.26</t>
        </is>
      </c>
      <c r="R152" s="56" t="inlineStr">
        <is>
          <t>VIDEO</t>
        </is>
      </c>
    </row>
    <row r="153">
      <c r="P153" s="56" t="inlineStr">
        <is>
          <t>26051103</t>
        </is>
      </c>
      <c r="Q153" s="56" t="inlineStr">
        <is>
          <t>PwC PER Studio Support 25.05.26</t>
        </is>
      </c>
      <c r="R153" s="56" t="inlineStr">
        <is>
          <t>PRODUCTION</t>
        </is>
      </c>
    </row>
    <row r="154">
      <c r="P154" s="56" t="inlineStr">
        <is>
          <t>26051103V</t>
        </is>
      </c>
      <c r="Q154" s="56" t="inlineStr">
        <is>
          <t>PwC PER Studio Support 25.05.26</t>
        </is>
      </c>
      <c r="R154" s="56" t="inlineStr">
        <is>
          <t>VIDEO</t>
        </is>
      </c>
    </row>
    <row r="155">
      <c r="P155" s="56" t="inlineStr">
        <is>
          <t>26051201</t>
        </is>
      </c>
      <c r="Q155" s="56" t="inlineStr">
        <is>
          <t>ASX CEO Farewell Highlights</t>
        </is>
      </c>
      <c r="R155" s="56" t="inlineStr">
        <is>
          <t>VIDEO</t>
        </is>
      </c>
    </row>
    <row r="156">
      <c r="P156" s="56" t="inlineStr">
        <is>
          <t>26051301</t>
        </is>
      </c>
      <c r="Q156" s="56" t="inlineStr">
        <is>
          <t>HP-BAE | Phone Mod</t>
        </is>
      </c>
      <c r="R156" s="56" t="inlineStr">
        <is>
          <t>INTEGRATION</t>
        </is>
      </c>
    </row>
    <row r="157">
      <c r="P157" s="56" t="inlineStr">
        <is>
          <t>26051401</t>
        </is>
      </c>
      <c r="Q157" s="56" t="inlineStr">
        <is>
          <t>ASX - Business Meeting - 27.5.26</t>
        </is>
      </c>
      <c r="R157" s="56" t="inlineStr">
        <is>
          <t>PRODUCTION</t>
        </is>
      </c>
    </row>
    <row r="158">
      <c r="P158" s="56" t="inlineStr">
        <is>
          <t>26051401V</t>
        </is>
      </c>
      <c r="Q158" s="56" t="inlineStr">
        <is>
          <t>ASX - Business Meeting - 27.5.26</t>
        </is>
      </c>
      <c r="R158" s="56" t="inlineStr">
        <is>
          <t>VIDEO</t>
        </is>
      </c>
    </row>
    <row r="159">
      <c r="P159" s="56" t="inlineStr">
        <is>
          <t>26051402</t>
        </is>
      </c>
      <c r="Q159" s="56" t="inlineStr">
        <is>
          <t>PwC Foldback Monitor Hire</t>
        </is>
      </c>
      <c r="R159" s="56" t="inlineStr">
        <is>
          <t>PRODUCTION</t>
        </is>
      </c>
    </row>
    <row r="160">
      <c r="P160" s="56" t="inlineStr">
        <is>
          <t>26051801</t>
        </is>
      </c>
      <c r="Q160" s="56" t="inlineStr">
        <is>
          <t>PwC | Mel Studio Equipment</t>
        </is>
      </c>
      <c r="R160" s="56" t="inlineStr">
        <is>
          <t>INTEGRATION</t>
        </is>
      </c>
    </row>
    <row r="161">
      <c r="P161" s="56" t="inlineStr">
        <is>
          <t>26051803</t>
        </is>
      </c>
      <c r="Q161" s="56" t="inlineStr">
        <is>
          <t>AVIT - Taronga ZOO AV Support - May 2026</t>
        </is>
      </c>
      <c r="R161" s="56" t="inlineStr">
        <is>
          <t>PRODUCTION</t>
        </is>
      </c>
    </row>
    <row r="162">
      <c r="P162" s="56" t="inlineStr">
        <is>
          <t>26052001</t>
        </is>
      </c>
      <c r="Q162" s="56" t="inlineStr">
        <is>
          <t>MeetMagic - AI Behaviour Event - 29.5.26</t>
        </is>
      </c>
      <c r="R162" s="56" t="inlineStr">
        <is>
          <t>PRODUCTION</t>
        </is>
      </c>
    </row>
    <row r="163">
      <c r="P163" s="56" t="inlineStr">
        <is>
          <t>26052001V</t>
        </is>
      </c>
      <c r="Q163" s="56" t="inlineStr">
        <is>
          <t>MeetMagic - AI Behaviour Event - 29.5.26</t>
        </is>
      </c>
      <c r="R163" s="56" t="inlineStr">
        <is>
          <t>VIDEO</t>
        </is>
      </c>
    </row>
    <row r="164">
      <c r="P164" s="56" t="inlineStr">
        <is>
          <t>26052002</t>
        </is>
      </c>
      <c r="Q164" s="56" t="inlineStr">
        <is>
          <t>DTTL BNE L23 Training Rooms Upgrade</t>
        </is>
      </c>
      <c r="R164" s="56" t="inlineStr">
        <is>
          <t>INTEGRATION</t>
        </is>
      </c>
    </row>
    <row r="165">
      <c r="P165" s="56" t="inlineStr">
        <is>
          <t>26052003</t>
        </is>
      </c>
      <c r="Q165" s="56" t="inlineStr">
        <is>
          <t>DTTL Mobile Commbox Displays</t>
        </is>
      </c>
      <c r="R165" s="56" t="inlineStr">
        <is>
          <t>INTEGRATION</t>
        </is>
      </c>
    </row>
    <row r="166">
      <c r="P166" s="56" t="inlineStr">
        <is>
          <t>26052004</t>
        </is>
      </c>
      <c r="Q166" s="56" t="inlineStr">
        <is>
          <t>CBA - Live Event Support - June 2026</t>
        </is>
      </c>
      <c r="R166" s="56" t="inlineStr">
        <is>
          <t>PRODUCTION</t>
        </is>
      </c>
    </row>
    <row r="167">
      <c r="P167" s="56" t="inlineStr">
        <is>
          <t>26052101</t>
        </is>
      </c>
      <c r="Q167" s="56" t="inlineStr">
        <is>
          <t>MeetMagic - Human AI Event Highlights</t>
        </is>
      </c>
      <c r="R167" s="56" t="inlineStr">
        <is>
          <t>VIDEO</t>
        </is>
      </c>
    </row>
    <row r="168">
      <c r="P168" s="56" t="inlineStr">
        <is>
          <t>26052102</t>
        </is>
      </c>
      <c r="Q168" s="56" t="inlineStr">
        <is>
          <t>HP-D3 | Austrac Phone Mods</t>
        </is>
      </c>
      <c r="R168" s="56" t="inlineStr">
        <is>
          <t>INTEGRATION</t>
        </is>
      </c>
    </row>
    <row r="169">
      <c r="P169" s="56" t="inlineStr">
        <is>
          <t>26052103</t>
        </is>
      </c>
      <c r="Q169" s="56" t="inlineStr">
        <is>
          <t>Ventia - LTI FY26 Video Record</t>
        </is>
      </c>
      <c r="R169" s="56" t="inlineStr">
        <is>
          <t>VIDEO</t>
        </is>
      </c>
    </row>
    <row r="170">
      <c r="P170" s="56" t="inlineStr">
        <is>
          <t>26052501V</t>
        </is>
      </c>
      <c r="Q170" s="56" t="inlineStr">
        <is>
          <t>AVIT - Taronga AV Event Support - 26-27.5.26</t>
        </is>
      </c>
      <c r="R170" s="56" t="inlineStr">
        <is>
          <t>VIDEO</t>
        </is>
      </c>
    </row>
    <row r="171">
      <c r="P171" s="56" t="inlineStr">
        <is>
          <t>26052502</t>
        </is>
      </c>
      <c r="Q171" s="56" t="inlineStr">
        <is>
          <t>AVIT - Taronga AV Event Support 4-5.06.26</t>
        </is>
      </c>
      <c r="R171" s="56" t="inlineStr">
        <is>
          <t>PRODUCTION</t>
        </is>
      </c>
    </row>
    <row r="172">
      <c r="P172" s="56" t="inlineStr">
        <is>
          <t>26052502V</t>
        </is>
      </c>
      <c r="Q172" s="56" t="inlineStr">
        <is>
          <t>AVIT - Taronga AV Event Support 4-5.06.26</t>
        </is>
      </c>
      <c r="R172" s="56" t="inlineStr">
        <is>
          <t>VIDEO</t>
        </is>
      </c>
    </row>
    <row r="173">
      <c r="P173" s="56" t="inlineStr">
        <is>
          <t>26052602</t>
        </is>
      </c>
      <c r="Q173" s="56" t="inlineStr">
        <is>
          <t>DTTL MEL Display Supply</t>
        </is>
      </c>
      <c r="R173" s="56" t="inlineStr">
        <is>
          <t>INTEGRATION</t>
        </is>
      </c>
    </row>
    <row r="174">
      <c r="P174" s="56" t="inlineStr">
        <is>
          <t>26052701</t>
        </is>
      </c>
      <c r="Q174" s="56" t="inlineStr">
        <is>
          <t>Aware | SYD 28.06 Equipment</t>
        </is>
      </c>
      <c r="R174" s="56" t="inlineStr">
        <is>
          <t>INTEGRATION</t>
        </is>
      </c>
    </row>
    <row r="175">
      <c r="P175" s="56" t="inlineStr">
        <is>
          <t>26052702</t>
        </is>
      </c>
      <c r="Q175" s="56" t="inlineStr">
        <is>
          <t>ASX - FYR - 13.8.26</t>
        </is>
      </c>
      <c r="R175" s="56" t="inlineStr">
        <is>
          <t>PRODUCTION</t>
        </is>
      </c>
    </row>
    <row r="176">
      <c r="P176" s="56" t="inlineStr">
        <is>
          <t>26052702V</t>
        </is>
      </c>
      <c r="Q176" s="56" t="inlineStr">
        <is>
          <t>ASX - FYR - 13.8.26</t>
        </is>
      </c>
      <c r="R176" s="56" t="inlineStr">
        <is>
          <t>VIDEO</t>
        </is>
      </c>
    </row>
    <row r="177">
      <c r="P177" s="56" t="inlineStr">
        <is>
          <t>26052703</t>
        </is>
      </c>
      <c r="Q177" s="56" t="inlineStr">
        <is>
          <t>Microsoft Town Hall - 21.7.26</t>
        </is>
      </c>
      <c r="R177" s="56" t="inlineStr">
        <is>
          <t>PRODUCTION</t>
        </is>
      </c>
    </row>
    <row r="178">
      <c r="P178" s="56" t="inlineStr">
        <is>
          <t>26052703V</t>
        </is>
      </c>
      <c r="Q178" s="56" t="inlineStr">
        <is>
          <t>Microsoft Town Hall - 21.7.26</t>
        </is>
      </c>
      <c r="R178" s="56" t="inlineStr">
        <is>
          <t>VIDEO</t>
        </is>
      </c>
    </row>
    <row r="179">
      <c r="P179" s="56" t="inlineStr">
        <is>
          <t>26052704</t>
        </is>
      </c>
      <c r="Q179" s="56" t="inlineStr">
        <is>
          <t>AVIT - Pinsent Masons Technician Callout</t>
        </is>
      </c>
      <c r="R179" s="56" t="inlineStr">
        <is>
          <t>ONSITE</t>
        </is>
      </c>
    </row>
    <row r="180">
      <c r="P180" s="56" t="inlineStr">
        <is>
          <t>26052901</t>
        </is>
      </c>
      <c r="Q180" s="56" t="inlineStr">
        <is>
          <t>Causeway Productions - Stool Hire - 1.6.27</t>
        </is>
      </c>
      <c r="R180" s="56" t="inlineStr">
        <is>
          <t>PRODUCTION</t>
        </is>
      </c>
    </row>
    <row r="181">
      <c r="P181" s="56" t="inlineStr">
        <is>
          <t>26052901V</t>
        </is>
      </c>
      <c r="Q181" s="56" t="inlineStr">
        <is>
          <t>Causeway Productions - Stool Hire - 1.6.27</t>
        </is>
      </c>
      <c r="R181" s="56" t="inlineStr">
        <is>
          <t>VIDEO</t>
        </is>
      </c>
    </row>
    <row r="182">
      <c r="P182" s="56" t="inlineStr">
        <is>
          <t>2605401</t>
        </is>
      </c>
      <c r="Q182" s="56" t="inlineStr">
        <is>
          <t>AGL FYR - Investor Briefing - 12.8.26</t>
        </is>
      </c>
      <c r="R182" s="56" t="inlineStr">
        <is>
          <t>PRODUCTION</t>
        </is>
      </c>
    </row>
    <row r="183">
      <c r="P183" s="56" t="inlineStr">
        <is>
          <t>2605401V</t>
        </is>
      </c>
      <c r="Q183" s="56" t="inlineStr">
        <is>
          <t>AGL FYR - Investor Briefing - 12.8.26</t>
        </is>
      </c>
      <c r="R183" s="56" t="inlineStr">
        <is>
          <t>VIDEO</t>
        </is>
      </c>
    </row>
    <row r="184">
      <c r="P184" s="56" t="inlineStr">
        <is>
          <t>2605402</t>
        </is>
      </c>
      <c r="Q184" s="56" t="inlineStr">
        <is>
          <t>AGL FYR - Employee Town Hall - 12.8.26</t>
        </is>
      </c>
      <c r="R184" s="56" t="inlineStr">
        <is>
          <t>PRODUCTION</t>
        </is>
      </c>
    </row>
    <row r="185">
      <c r="P185" s="56" t="inlineStr">
        <is>
          <t>2605402V</t>
        </is>
      </c>
      <c r="Q185" s="56" t="inlineStr">
        <is>
          <t>AGL FYR - Employee Town Hall - 12.8.26</t>
        </is>
      </c>
      <c r="R185" s="56" t="inlineStr">
        <is>
          <t>VIDEO</t>
        </is>
      </c>
    </row>
    <row r="186">
      <c r="P186" s="56" t="inlineStr">
        <is>
          <t>2605403</t>
        </is>
      </c>
      <c r="Q186" s="56" t="inlineStr">
        <is>
          <t>ARUP - Oves Awards - 23.7.26</t>
        </is>
      </c>
      <c r="R186" s="56" t="inlineStr">
        <is>
          <t>PRODUCTION</t>
        </is>
      </c>
    </row>
    <row r="187">
      <c r="P187" s="56" t="inlineStr">
        <is>
          <t>2605403V</t>
        </is>
      </c>
      <c r="Q187" s="56" t="inlineStr">
        <is>
          <t>ARUP - Oves Awards - 23.7.26</t>
        </is>
      </c>
      <c r="R187" s="56" t="inlineStr">
        <is>
          <t>VIDEO</t>
        </is>
      </c>
    </row>
    <row r="188">
      <c r="P188" s="56" t="inlineStr">
        <is>
          <t>2605501</t>
        </is>
      </c>
      <c r="Q188" s="56" t="inlineStr">
        <is>
          <t>DTTL Tech Support AWS AP AI Symposium</t>
        </is>
      </c>
      <c r="R188" s="56" t="inlineStr">
        <is>
          <t>ONSITE</t>
        </is>
      </c>
    </row>
    <row r="189">
      <c r="P189" s="56" t="inlineStr">
        <is>
          <t>2605502</t>
        </is>
      </c>
      <c r="Q189" s="56" t="inlineStr">
        <is>
          <t>CBA BNE - Event Support - 13.5.26</t>
        </is>
      </c>
      <c r="R189" s="56" t="inlineStr">
        <is>
          <t>PRODUCTION</t>
        </is>
      </c>
    </row>
    <row r="190">
      <c r="P190" s="56" t="inlineStr">
        <is>
          <t>2605502V</t>
        </is>
      </c>
      <c r="Q190" s="56" t="inlineStr">
        <is>
          <t>CBA BNE - Event Support - 13.5.26</t>
        </is>
      </c>
      <c r="R190" s="56" t="inlineStr">
        <is>
          <t>VIDEO</t>
        </is>
      </c>
    </row>
    <row r="191">
      <c r="P191" s="56" t="inlineStr">
        <is>
          <t>2605503</t>
        </is>
      </c>
      <c r="Q191" s="56" t="inlineStr">
        <is>
          <t>DTTL L31 reception Led Wall Audio DSP Repair</t>
        </is>
      </c>
      <c r="R191" s="56" t="inlineStr">
        <is>
          <t>INTEGRATION</t>
        </is>
      </c>
    </row>
    <row r="192">
      <c r="P192" s="56" t="inlineStr">
        <is>
          <t>2605605</t>
        </is>
      </c>
      <c r="Q192" s="56" t="inlineStr">
        <is>
          <t>DTTL Hobart AV Fitout</t>
        </is>
      </c>
      <c r="R192" s="56" t="inlineStr">
        <is>
          <t>INTEGRATION</t>
        </is>
      </c>
    </row>
    <row r="193">
      <c r="P193" s="56" t="inlineStr">
        <is>
          <t>2605606</t>
        </is>
      </c>
      <c r="Q193" s="56" t="inlineStr">
        <is>
          <t>Ventia Internal Townhall 8.05.26</t>
        </is>
      </c>
      <c r="R193" s="56" t="inlineStr">
        <is>
          <t>PRODUCTION</t>
        </is>
      </c>
    </row>
    <row r="194">
      <c r="P194" s="56" t="inlineStr">
        <is>
          <t>2605606V</t>
        </is>
      </c>
      <c r="Q194" s="56" t="inlineStr">
        <is>
          <t>Ventia Internal Townhall 8.05.26</t>
        </is>
      </c>
      <c r="R194" s="56" t="inlineStr">
        <is>
          <t>VIDEO</t>
        </is>
      </c>
    </row>
    <row r="195">
      <c r="P195" s="56" t="inlineStr">
        <is>
          <t>2605609</t>
        </is>
      </c>
      <c r="Q195" s="56" t="inlineStr">
        <is>
          <t>ASX - CEO Farewell - 27.5.26</t>
        </is>
      </c>
      <c r="R195" s="56" t="inlineStr">
        <is>
          <t>PRODUCTION</t>
        </is>
      </c>
    </row>
    <row r="196">
      <c r="P196" s="56" t="inlineStr">
        <is>
          <t>2605609V</t>
        </is>
      </c>
      <c r="Q196" s="56" t="inlineStr">
        <is>
          <t>ASX - CEO Farewell - 27.5.26</t>
        </is>
      </c>
      <c r="R196" s="56" t="inlineStr">
        <is>
          <t>VIDEO</t>
        </is>
      </c>
    </row>
    <row r="197">
      <c r="P197" s="56" t="inlineStr">
        <is>
          <t>2605610</t>
        </is>
      </c>
      <c r="Q197" s="56" t="inlineStr">
        <is>
          <t>ASX CEO Farewell Additional Costs</t>
        </is>
      </c>
      <c r="R197" s="56" t="inlineStr">
        <is>
          <t>PRODUCTION</t>
        </is>
      </c>
    </row>
    <row r="198">
      <c r="P198" s="56" t="inlineStr">
        <is>
          <t>2605704</t>
        </is>
      </c>
      <c r="Q198" s="56" t="inlineStr">
        <is>
          <t>CBA CBPS Auditorium Upgrade</t>
        </is>
      </c>
      <c r="R198" s="56" t="inlineStr">
        <is>
          <t>INTEGRATION</t>
        </is>
      </c>
    </row>
    <row r="199">
      <c r="P199" s="56" t="inlineStr">
        <is>
          <t>2605801</t>
        </is>
      </c>
      <c r="Q199" s="56" t="inlineStr">
        <is>
          <t>Dimensional - AV Support - 3-4.6.26</t>
        </is>
      </c>
      <c r="R199" s="56" t="inlineStr">
        <is>
          <t>PRODUCTION</t>
        </is>
      </c>
    </row>
    <row r="200">
      <c r="P200" s="56" t="inlineStr">
        <is>
          <t>2605803</t>
        </is>
      </c>
      <c r="Q200" s="56" t="inlineStr">
        <is>
          <t>St Catherine's - Dedicated Tech - 12.6.26</t>
        </is>
      </c>
      <c r="R200" s="56" t="inlineStr">
        <is>
          <t>PRODUCTION</t>
        </is>
      </c>
    </row>
    <row r="201">
      <c r="P201" s="56" t="inlineStr">
        <is>
          <t>2605804</t>
        </is>
      </c>
      <c r="Q201" s="56" t="inlineStr">
        <is>
          <t>City of Sydney Supply of Barco Projector Shutters</t>
        </is>
      </c>
      <c r="R201" s="56" t="inlineStr">
        <is>
          <t>INTEGRATION</t>
        </is>
      </c>
    </row>
    <row r="202">
      <c r="P202" s="56" t="inlineStr">
        <is>
          <t>2605806</t>
        </is>
      </c>
      <c r="Q202" s="56" t="inlineStr">
        <is>
          <t>Aware Super AV Fitout @ 555 Collins Street MEL</t>
        </is>
      </c>
      <c r="R202" s="56" t="inlineStr">
        <is>
          <t>INTEGRATION</t>
        </is>
      </c>
    </row>
    <row r="203">
      <c r="P203" s="56" t="inlineStr">
        <is>
          <t>26061001</t>
        </is>
      </c>
      <c r="Q203" s="56" t="inlineStr">
        <is>
          <t>Garvan August All Clear Event 25.8.26</t>
        </is>
      </c>
      <c r="R203" s="56" t="inlineStr">
        <is>
          <t>PRODUCTION</t>
        </is>
      </c>
    </row>
    <row r="204">
      <c r="P204" s="56" t="inlineStr">
        <is>
          <t>26061002</t>
        </is>
      </c>
      <c r="Q204" s="56" t="inlineStr">
        <is>
          <t>Optiver - Fireside Event Support - 18.6.26</t>
        </is>
      </c>
      <c r="R204" s="56" t="inlineStr">
        <is>
          <t>PRODUCTION</t>
        </is>
      </c>
    </row>
    <row r="205">
      <c r="P205" s="56" t="inlineStr">
        <is>
          <t>26061002V</t>
        </is>
      </c>
      <c r="Q205" s="56" t="inlineStr">
        <is>
          <t>Optiver - Fireside Event Support - 18.6.26</t>
        </is>
      </c>
      <c r="R205" s="56" t="inlineStr">
        <is>
          <t>VIDEO</t>
        </is>
      </c>
    </row>
    <row r="206">
      <c r="P206" s="56" t="inlineStr">
        <is>
          <t>26061102</t>
        </is>
      </c>
      <c r="Q206" s="56" t="inlineStr">
        <is>
          <t>CSE Invest Sri Lanka | 16.8.26</t>
        </is>
      </c>
      <c r="R206" s="56" t="inlineStr">
        <is>
          <t>PRODUCTION</t>
        </is>
      </c>
    </row>
    <row r="207">
      <c r="P207" s="56" t="inlineStr">
        <is>
          <t>26061102V</t>
        </is>
      </c>
      <c r="Q207" s="56" t="inlineStr">
        <is>
          <t>CSE Invest Sri Lanka | 16.8.26</t>
        </is>
      </c>
      <c r="R207" s="56" t="inlineStr">
        <is>
          <t>VIDEO</t>
        </is>
      </c>
    </row>
    <row r="208">
      <c r="P208" s="56" t="inlineStr">
        <is>
          <t>26061103</t>
        </is>
      </c>
      <c r="Q208" s="56" t="inlineStr">
        <is>
          <t>Circadia Australia Elevate | 14.8.26</t>
        </is>
      </c>
      <c r="R208" s="56" t="inlineStr">
        <is>
          <t>PRODUCTION</t>
        </is>
      </c>
    </row>
    <row r="209">
      <c r="P209" s="56" t="inlineStr">
        <is>
          <t>26061103V</t>
        </is>
      </c>
      <c r="Q209" s="56" t="inlineStr">
        <is>
          <t>Circadia Australia Elevate | 14.8.26</t>
        </is>
      </c>
      <c r="R209" s="56" t="inlineStr">
        <is>
          <t>VIDEO</t>
        </is>
      </c>
    </row>
    <row r="210">
      <c r="P210" s="56" t="inlineStr">
        <is>
          <t>26061104</t>
        </is>
      </c>
      <c r="Q210" s="56" t="inlineStr">
        <is>
          <t>MUFG - FYR26 - 12.8.26</t>
        </is>
      </c>
      <c r="R210" s="56" t="inlineStr">
        <is>
          <t>PRODUCTION</t>
        </is>
      </c>
    </row>
    <row r="211">
      <c r="P211" s="56" t="inlineStr">
        <is>
          <t>26061104V</t>
        </is>
      </c>
      <c r="Q211" s="56" t="inlineStr">
        <is>
          <t>MUFG - FYR26 - 12.8.26</t>
        </is>
      </c>
      <c r="R211" s="56" t="inlineStr">
        <is>
          <t>VIDEO</t>
        </is>
      </c>
    </row>
    <row r="212">
      <c r="P212" s="56" t="inlineStr">
        <is>
          <t>26061105</t>
        </is>
      </c>
      <c r="Q212" s="56" t="inlineStr">
        <is>
          <t>CBA - FYR 2026 - 12.8.26</t>
        </is>
      </c>
      <c r="R212" s="56" t="inlineStr">
        <is>
          <t>PRODUCTION</t>
        </is>
      </c>
    </row>
    <row r="213">
      <c r="P213" s="56" t="inlineStr">
        <is>
          <t>26061105V</t>
        </is>
      </c>
      <c r="Q213" s="56" t="inlineStr">
        <is>
          <t>CBA - FYR 2026 - 12.8.26</t>
        </is>
      </c>
      <c r="R213" s="56" t="inlineStr">
        <is>
          <t>VIDEO</t>
        </is>
      </c>
    </row>
    <row r="214">
      <c r="P214" s="56" t="inlineStr">
        <is>
          <t>26061106</t>
        </is>
      </c>
      <c r="Q214" s="56" t="inlineStr">
        <is>
          <t>TLC Full Year Results MEL</t>
        </is>
      </c>
      <c r="R214" s="56" t="inlineStr">
        <is>
          <t>PRODUCTION</t>
        </is>
      </c>
    </row>
    <row r="215">
      <c r="P215" s="56" t="inlineStr">
        <is>
          <t>26061106V</t>
        </is>
      </c>
      <c r="Q215" s="56" t="inlineStr">
        <is>
          <t>TLC Full Year Results MEL</t>
        </is>
      </c>
      <c r="R215" s="56" t="inlineStr">
        <is>
          <t>VIDEO</t>
        </is>
      </c>
    </row>
    <row r="216">
      <c r="P216" s="56" t="inlineStr">
        <is>
          <t>26061107</t>
        </is>
      </c>
      <c r="Q216" s="56" t="inlineStr">
        <is>
          <t>Downer - FYR 2026 - 20.8.26</t>
        </is>
      </c>
      <c r="R216" s="56" t="inlineStr">
        <is>
          <t>PRODUCTION</t>
        </is>
      </c>
    </row>
    <row r="217">
      <c r="P217" s="56" t="inlineStr">
        <is>
          <t>26061107V</t>
        </is>
      </c>
      <c r="Q217" s="56" t="inlineStr">
        <is>
          <t>Downer - FYR 2026 - 20.8.26</t>
        </is>
      </c>
      <c r="R217" s="56" t="inlineStr">
        <is>
          <t>VIDEO</t>
        </is>
      </c>
    </row>
    <row r="218">
      <c r="P218" s="56" t="inlineStr">
        <is>
          <t>26061108</t>
        </is>
      </c>
      <c r="Q218" s="56" t="inlineStr">
        <is>
          <t>APA - Qtly All Hands FYR26 - 20.8.26</t>
        </is>
      </c>
      <c r="R218" s="56" t="inlineStr">
        <is>
          <t>PRODUCTION</t>
        </is>
      </c>
    </row>
    <row r="219">
      <c r="P219" s="56" t="inlineStr">
        <is>
          <t>26061108V</t>
        </is>
      </c>
      <c r="Q219" s="56" t="inlineStr">
        <is>
          <t>APA - Qtly All Hands FYR26 - 20.8.26</t>
        </is>
      </c>
      <c r="R219" s="56" t="inlineStr">
        <is>
          <t>VIDEO</t>
        </is>
      </c>
    </row>
    <row r="220">
      <c r="P220" s="56" t="inlineStr">
        <is>
          <t>26061109</t>
        </is>
      </c>
      <c r="Q220" s="56" t="inlineStr">
        <is>
          <t>Ventia - FYR26 - 24.8.26</t>
        </is>
      </c>
      <c r="R220" s="56" t="inlineStr">
        <is>
          <t>PRODUCTION</t>
        </is>
      </c>
    </row>
    <row r="221">
      <c r="P221" s="56" t="inlineStr">
        <is>
          <t>26061109V</t>
        </is>
      </c>
      <c r="Q221" s="56" t="inlineStr">
        <is>
          <t>Ventia - FYR26 - 24.8.26</t>
        </is>
      </c>
      <c r="R221" s="56" t="inlineStr">
        <is>
          <t>VIDEO</t>
        </is>
      </c>
    </row>
    <row r="222">
      <c r="P222" s="56" t="inlineStr">
        <is>
          <t>26061201</t>
        </is>
      </c>
      <c r="Q222" s="56" t="inlineStr">
        <is>
          <t>PWC - Firmwide Webcast - 30.6.26</t>
        </is>
      </c>
      <c r="R222" s="56" t="inlineStr">
        <is>
          <t>PRODUCTION</t>
        </is>
      </c>
    </row>
    <row r="223">
      <c r="P223" s="56" t="inlineStr">
        <is>
          <t>26061201V</t>
        </is>
      </c>
      <c r="Q223" s="56" t="inlineStr">
        <is>
          <t>PWC - Firmwide Webcast - 30.6.26</t>
        </is>
      </c>
      <c r="R223" s="56" t="inlineStr">
        <is>
          <t>VIDEO</t>
        </is>
      </c>
    </row>
    <row r="224">
      <c r="P224" s="56" t="inlineStr">
        <is>
          <t>26061202</t>
        </is>
      </c>
      <c r="Q224" s="56" t="inlineStr">
        <is>
          <t>CBA AGM 2027</t>
        </is>
      </c>
      <c r="R224" s="56" t="inlineStr">
        <is>
          <t>PRODUCTION</t>
        </is>
      </c>
    </row>
    <row r="225">
      <c r="P225" s="56" t="inlineStr">
        <is>
          <t>26061202V</t>
        </is>
      </c>
      <c r="Q225" s="56" t="inlineStr">
        <is>
          <t>CBA AGM 2027</t>
        </is>
      </c>
      <c r="R225" s="56" t="inlineStr">
        <is>
          <t>VIDEO</t>
        </is>
      </c>
    </row>
    <row r="226">
      <c r="P226" s="56" t="inlineStr">
        <is>
          <t>26061501</t>
        </is>
      </c>
      <c r="Q226" s="56" t="inlineStr">
        <is>
          <t>DTTL MEL Lv29 Display Supply</t>
        </is>
      </c>
      <c r="R226" s="56" t="inlineStr">
        <is>
          <t>INTEGRATION</t>
        </is>
      </c>
    </row>
    <row r="227">
      <c r="P227" s="56" t="inlineStr">
        <is>
          <t>26061602</t>
        </is>
      </c>
      <c r="Q227" s="56" t="inlineStr">
        <is>
          <t>ASX - CEO Connect (Extended) - 1.9.26</t>
        </is>
      </c>
      <c r="R227" s="56" t="inlineStr">
        <is>
          <t>PRODUCTION</t>
        </is>
      </c>
    </row>
    <row r="228">
      <c r="P228" s="56" t="inlineStr">
        <is>
          <t>26061602V</t>
        </is>
      </c>
      <c r="Q228" s="56" t="inlineStr">
        <is>
          <t>ASX - CEO Connect (Extended) - 1.9.26</t>
        </is>
      </c>
      <c r="R228" s="56" t="inlineStr">
        <is>
          <t>VIDEO</t>
        </is>
      </c>
    </row>
    <row r="229">
      <c r="P229" s="56" t="inlineStr">
        <is>
          <t>26061605</t>
        </is>
      </c>
      <c r="Q229" s="56" t="inlineStr">
        <is>
          <t>MUFG - IBM Ltd AGM - 27.10.26</t>
        </is>
      </c>
      <c r="R229" s="56" t="inlineStr">
        <is>
          <t>PRODUCTION</t>
        </is>
      </c>
    </row>
    <row r="230">
      <c r="P230" s="56" t="inlineStr">
        <is>
          <t>26061605V</t>
        </is>
      </c>
      <c r="Q230" s="56" t="inlineStr">
        <is>
          <t>MUFG - IBM Ltd AGM - 27.10.26</t>
        </is>
      </c>
      <c r="R230" s="56" t="inlineStr">
        <is>
          <t>VIDEO</t>
        </is>
      </c>
    </row>
    <row r="231">
      <c r="P231" s="56" t="inlineStr">
        <is>
          <t>26061606</t>
        </is>
      </c>
      <c r="Q231" s="56" t="inlineStr">
        <is>
          <t>MUFG - Endeavour AGM - 30.10.26</t>
        </is>
      </c>
      <c r="R231" s="56" t="inlineStr">
        <is>
          <t>PRODUCTION</t>
        </is>
      </c>
    </row>
    <row r="232">
      <c r="P232" s="56" t="inlineStr">
        <is>
          <t>26061606V</t>
        </is>
      </c>
      <c r="Q232" s="56" t="inlineStr">
        <is>
          <t>MUFG - Endeavour AGM - 30.10.26</t>
        </is>
      </c>
      <c r="R232" s="56" t="inlineStr">
        <is>
          <t>VIDEO</t>
        </is>
      </c>
    </row>
    <row r="233">
      <c r="P233" s="56" t="inlineStr">
        <is>
          <t>26061607</t>
        </is>
      </c>
      <c r="Q233" s="56" t="inlineStr">
        <is>
          <t>APA - Qtly All Hands (BNE) - 4.11.26</t>
        </is>
      </c>
      <c r="R233" s="56" t="inlineStr">
        <is>
          <t>PRODUCTION</t>
        </is>
      </c>
    </row>
    <row r="234">
      <c r="P234" s="56" t="inlineStr">
        <is>
          <t>26061607V</t>
        </is>
      </c>
      <c r="Q234" s="56" t="inlineStr">
        <is>
          <t>APA - Qtly All Hands (BNE) - 4.11.26</t>
        </is>
      </c>
      <c r="R234" s="56" t="inlineStr">
        <is>
          <t>VIDEO</t>
        </is>
      </c>
    </row>
    <row r="235">
      <c r="P235" s="56" t="inlineStr">
        <is>
          <t>26061608</t>
        </is>
      </c>
      <c r="Q235" s="56" t="inlineStr">
        <is>
          <t>APA - Qtly All Hands Sydney - Feb 27</t>
        </is>
      </c>
      <c r="R235" s="56" t="inlineStr">
        <is>
          <t>PRODUCTION</t>
        </is>
      </c>
    </row>
    <row r="236">
      <c r="P236" s="56" t="inlineStr">
        <is>
          <t>26061608V</t>
        </is>
      </c>
      <c r="Q236" s="56" t="inlineStr">
        <is>
          <t>APA - Qtly All Hands Sydney - Feb 27</t>
        </is>
      </c>
      <c r="R236" s="56" t="inlineStr">
        <is>
          <t>VIDEO</t>
        </is>
      </c>
    </row>
    <row r="237">
      <c r="P237" s="56" t="inlineStr">
        <is>
          <t>26061609</t>
        </is>
      </c>
      <c r="Q237" s="56" t="inlineStr">
        <is>
          <t>APA Qtly All Hands Perth - May 2027</t>
        </is>
      </c>
      <c r="R237" s="56" t="inlineStr">
        <is>
          <t>PRODUCTION</t>
        </is>
      </c>
    </row>
    <row r="238">
      <c r="P238" s="56" t="inlineStr">
        <is>
          <t>26061609V</t>
        </is>
      </c>
      <c r="Q238" s="56" t="inlineStr">
        <is>
          <t>APA Qtly All Hands Perth - May 2027</t>
        </is>
      </c>
      <c r="R238" s="56" t="inlineStr">
        <is>
          <t>VIDEO</t>
        </is>
      </c>
    </row>
    <row r="239">
      <c r="P239" s="56" t="inlineStr">
        <is>
          <t>26061611</t>
        </is>
      </c>
      <c r="Q239" s="56" t="inlineStr">
        <is>
          <t>QBE - Keynote Event - 27.10.26</t>
        </is>
      </c>
      <c r="R239" s="56" t="inlineStr">
        <is>
          <t>PRODUCTION</t>
        </is>
      </c>
    </row>
    <row r="240">
      <c r="P240" s="56" t="inlineStr">
        <is>
          <t>26061611V</t>
        </is>
      </c>
      <c r="Q240" s="56" t="inlineStr">
        <is>
          <t>QBE - Keynote Event - 27.10.26</t>
        </is>
      </c>
      <c r="R240" s="56" t="inlineStr">
        <is>
          <t>VIDEO</t>
        </is>
      </c>
    </row>
    <row r="241">
      <c r="P241" s="56" t="inlineStr">
        <is>
          <t>26061612</t>
        </is>
      </c>
      <c r="Q241" s="56" t="inlineStr">
        <is>
          <t>Chorus Call - Redox AGM - 7.10.26</t>
        </is>
      </c>
      <c r="R241" s="56" t="inlineStr">
        <is>
          <t>PRODUCTION</t>
        </is>
      </c>
    </row>
    <row r="242">
      <c r="P242" s="56" t="inlineStr">
        <is>
          <t>26061612V</t>
        </is>
      </c>
      <c r="Q242" s="56" t="inlineStr">
        <is>
          <t>Chorus Call - Redox AGM - 7.10.26</t>
        </is>
      </c>
      <c r="R242" s="56" t="inlineStr">
        <is>
          <t>VIDEO</t>
        </is>
      </c>
    </row>
    <row r="243">
      <c r="P243" s="56" t="inlineStr">
        <is>
          <t>26061701</t>
        </is>
      </c>
      <c r="Q243" s="56" t="inlineStr">
        <is>
          <t>CBA - LES - July 2026</t>
        </is>
      </c>
      <c r="R243" s="56" t="inlineStr">
        <is>
          <t>PRODUCTION</t>
        </is>
      </c>
    </row>
    <row r="244">
      <c r="P244" s="56" t="inlineStr">
        <is>
          <t>26061702</t>
        </is>
      </c>
      <c r="Q244" s="56" t="inlineStr">
        <is>
          <t>Garvan - Morning Tea Event - 31.7.26</t>
        </is>
      </c>
      <c r="R244" s="56" t="inlineStr">
        <is>
          <t>PRODUCTION</t>
        </is>
      </c>
    </row>
    <row r="245">
      <c r="P245" s="56" t="inlineStr">
        <is>
          <t>26061801</t>
        </is>
      </c>
      <c r="Q245" s="56" t="inlineStr">
        <is>
          <t>APA - Investor Briefing FYR26 - 20.8.26</t>
        </is>
      </c>
      <c r="R245" s="56" t="inlineStr">
        <is>
          <t>PRODUCTION</t>
        </is>
      </c>
    </row>
    <row r="246">
      <c r="P246" s="56" t="inlineStr">
        <is>
          <t>26061801V</t>
        </is>
      </c>
      <c r="Q246" s="56" t="inlineStr">
        <is>
          <t>APA - Investor Briefing FYR26 - 20.8.26</t>
        </is>
      </c>
      <c r="R246" s="56" t="inlineStr">
        <is>
          <t>VIDEO</t>
        </is>
      </c>
    </row>
    <row r="247">
      <c r="P247" s="56" t="inlineStr">
        <is>
          <t>26062201</t>
        </is>
      </c>
      <c r="Q247" s="56" t="inlineStr">
        <is>
          <t>PWC - Tax &amp; Legal Webcast 02.07.26</t>
        </is>
      </c>
      <c r="R247" s="56" t="inlineStr">
        <is>
          <t>PRODUCTION</t>
        </is>
      </c>
    </row>
    <row r="248">
      <c r="P248" s="56" t="inlineStr">
        <is>
          <t>26062201V</t>
        </is>
      </c>
      <c r="Q248" s="56" t="inlineStr">
        <is>
          <t>PWC - Tax &amp; Legal Webcast 02.07.26</t>
        </is>
      </c>
      <c r="R248" s="56" t="inlineStr">
        <is>
          <t>VIDEO</t>
        </is>
      </c>
    </row>
    <row r="249">
      <c r="P249" s="56" t="inlineStr">
        <is>
          <t>26062202</t>
        </is>
      </c>
      <c r="Q249" s="56" t="inlineStr">
        <is>
          <t>PWC - Early Careers Webcast - 29.7.26</t>
        </is>
      </c>
      <c r="R249" s="56" t="inlineStr">
        <is>
          <t>PRODUCTION</t>
        </is>
      </c>
    </row>
    <row r="250">
      <c r="P250" s="56" t="inlineStr">
        <is>
          <t>26062202V</t>
        </is>
      </c>
      <c r="Q250" s="56" t="inlineStr">
        <is>
          <t>PWC - Early Careers Webcast - 29.7.26</t>
        </is>
      </c>
      <c r="R250" s="56" t="inlineStr">
        <is>
          <t>VIDEO</t>
        </is>
      </c>
    </row>
    <row r="251">
      <c r="P251" s="56" t="inlineStr">
        <is>
          <t>26062403</t>
        </is>
      </c>
      <c r="Q251" s="56" t="inlineStr">
        <is>
          <t>CBA - CommBank Private Hosting 25.6.26</t>
        </is>
      </c>
      <c r="R251" s="56" t="inlineStr">
        <is>
          <t>PRODUCTION</t>
        </is>
      </c>
    </row>
    <row r="252">
      <c r="P252" s="56" t="inlineStr">
        <is>
          <t>26062403V</t>
        </is>
      </c>
      <c r="Q252" s="56" t="inlineStr">
        <is>
          <t>CBA - CommBank Private Hosting 25.6.26</t>
        </is>
      </c>
      <c r="R252" s="56" t="inlineStr">
        <is>
          <t>VIDEO</t>
        </is>
      </c>
    </row>
    <row r="253">
      <c r="P253" s="56" t="inlineStr">
        <is>
          <t>26062501</t>
        </is>
      </c>
      <c r="Q253" s="56" t="inlineStr">
        <is>
          <t>DTTL STL Travel (SYD-MEL Return)</t>
        </is>
      </c>
      <c r="R253" s="56" t="inlineStr">
        <is>
          <t>ONSITE</t>
        </is>
      </c>
    </row>
    <row r="254">
      <c r="P254" s="56" t="inlineStr">
        <is>
          <t>26062503</t>
        </is>
      </c>
      <c r="Q254" s="56" t="inlineStr">
        <is>
          <t>Aware Super 24.16 UC Engine Replacement</t>
        </is>
      </c>
      <c r="R254" s="56" t="inlineStr">
        <is>
          <t>INTEGRATION</t>
        </is>
      </c>
    </row>
    <row r="255">
      <c r="P255" s="56" t="inlineStr">
        <is>
          <t>26062601</t>
        </is>
      </c>
      <c r="Q255" s="56" t="inlineStr">
        <is>
          <t>Ventia - XELT Event - 29.6.26</t>
        </is>
      </c>
      <c r="R255" s="56" t="inlineStr">
        <is>
          <t>PRODUCTION</t>
        </is>
      </c>
    </row>
    <row r="256">
      <c r="P256" s="56" t="inlineStr">
        <is>
          <t>26062601V</t>
        </is>
      </c>
      <c r="Q256" s="56" t="inlineStr">
        <is>
          <t>Ventia - XELT Event - 29.6.26</t>
        </is>
      </c>
      <c r="R256" s="56" t="inlineStr">
        <is>
          <t>VIDEO</t>
        </is>
      </c>
    </row>
    <row r="257">
      <c r="P257" s="56" t="inlineStr">
        <is>
          <t>26062901</t>
        </is>
      </c>
      <c r="Q257" s="56" t="inlineStr">
        <is>
          <t>Aware | SYD 28.06 Services</t>
        </is>
      </c>
      <c r="R257" s="56" t="inlineStr">
        <is>
          <t>INTEGRATION</t>
        </is>
      </c>
    </row>
    <row r="258">
      <c r="P258" s="56" t="inlineStr">
        <is>
          <t>26062902</t>
        </is>
      </c>
      <c r="Q258" s="56" t="inlineStr">
        <is>
          <t>Aware | SYD Occupancy Sensors</t>
        </is>
      </c>
      <c r="R258" s="56" t="inlineStr">
        <is>
          <t>INTEGRATION</t>
        </is>
      </c>
    </row>
    <row r="259">
      <c r="P259" s="56" t="inlineStr">
        <is>
          <t>26063002</t>
        </is>
      </c>
      <c r="Q259" s="56" t="inlineStr">
        <is>
          <t>CEOi - CEO Connect - 11.8.26</t>
        </is>
      </c>
      <c r="R259" s="56" t="inlineStr">
        <is>
          <t>PRODUCTION</t>
        </is>
      </c>
    </row>
    <row r="260">
      <c r="P260" s="56" t="inlineStr">
        <is>
          <t>26063002V</t>
        </is>
      </c>
      <c r="Q260" s="56" t="inlineStr">
        <is>
          <t>CEOi - CEO Connect - 11.8.26</t>
        </is>
      </c>
      <c r="R260" s="56" t="inlineStr">
        <is>
          <t>VIDEO</t>
        </is>
      </c>
    </row>
    <row r="261">
      <c r="P261" s="56" t="inlineStr">
        <is>
          <t>2606401V</t>
        </is>
      </c>
      <c r="Q261" s="56" t="inlineStr">
        <is>
          <t>PWC - NRW Webcast - 11.6.26</t>
        </is>
      </c>
      <c r="R261" s="56" t="inlineStr">
        <is>
          <t>VIDEO</t>
        </is>
      </c>
    </row>
    <row r="262">
      <c r="P262" s="56" t="inlineStr">
        <is>
          <t>2606901</t>
        </is>
      </c>
      <c r="Q262" s="56" t="inlineStr">
        <is>
          <t>PwC | Syd Studio Equipment</t>
        </is>
      </c>
      <c r="R262" s="56" t="inlineStr">
        <is>
          <t>INTEGRATION</t>
        </is>
      </c>
    </row>
    <row r="263">
      <c r="P263" s="56" t="inlineStr">
        <is>
          <t>2606902</t>
        </is>
      </c>
      <c r="Q263" s="56" t="inlineStr">
        <is>
          <t>AVIT - Taronga AV Support - 9-11.6.26</t>
        </is>
      </c>
      <c r="R263" s="56" t="inlineStr">
        <is>
          <t>PRODUCTION</t>
        </is>
      </c>
    </row>
    <row r="264">
      <c r="P264" s="56" t="inlineStr">
        <is>
          <t>2606903</t>
        </is>
      </c>
      <c r="Q264" s="56" t="inlineStr">
        <is>
          <t>Virgin FY26 Results</t>
        </is>
      </c>
      <c r="R264" s="56" t="inlineStr">
        <is>
          <t>PRODUCTION</t>
        </is>
      </c>
    </row>
    <row r="265">
      <c r="P265" s="56" t="inlineStr">
        <is>
          <t>2606903V</t>
        </is>
      </c>
      <c r="Q265" s="56" t="inlineStr">
        <is>
          <t>Virgin FY26 Results</t>
        </is>
      </c>
      <c r="R265" s="56" t="inlineStr">
        <is>
          <t>VIDEO</t>
        </is>
      </c>
    </row>
    <row r="266">
      <c r="P266" s="56" t="inlineStr">
        <is>
          <t>2606904</t>
        </is>
      </c>
      <c r="Q266" s="56" t="inlineStr">
        <is>
          <t>Symal - FYR26 (Melb) - 24.8.26</t>
        </is>
      </c>
      <c r="R266" s="56" t="inlineStr">
        <is>
          <t>PRODUCTION</t>
        </is>
      </c>
    </row>
    <row r="267">
      <c r="P267" s="56" t="inlineStr">
        <is>
          <t>2606904V</t>
        </is>
      </c>
      <c r="Q267" s="56" t="inlineStr">
        <is>
          <t>Symal - FYR26 (Melb) - 24.8.26</t>
        </is>
      </c>
      <c r="R267" s="56" t="inlineStr">
        <is>
          <t>VIDEO</t>
        </is>
      </c>
    </row>
    <row r="268">
      <c r="P268" s="56" t="inlineStr">
        <is>
          <t>2606905</t>
        </is>
      </c>
      <c r="Q268" s="56" t="inlineStr">
        <is>
          <t>Dimensional - Audio Tech Support - 22.6.26</t>
        </is>
      </c>
      <c r="R268" s="56" t="inlineStr">
        <is>
          <t>PRODUCTION</t>
        </is>
      </c>
    </row>
    <row r="269">
      <c r="P269" s="56" t="inlineStr">
        <is>
          <t>2606906</t>
        </is>
      </c>
      <c r="Q269" s="56" t="inlineStr">
        <is>
          <t>St Catherines Case Study Video Non-Chrgable</t>
        </is>
      </c>
      <c r="R269" s="56" t="inlineStr">
        <is>
          <t>VIDEO</t>
        </is>
      </c>
    </row>
    <row r="270">
      <c r="P270" s="56" t="inlineStr">
        <is>
          <t>26071303</t>
        </is>
      </c>
      <c r="Q270" s="56" t="inlineStr">
        <is>
          <t>Ventia - Melbourne Office Event - 30.7.26</t>
        </is>
      </c>
      <c r="R270" s="56" t="inlineStr">
        <is>
          <t>PRODUCTION</t>
        </is>
      </c>
    </row>
    <row r="271">
      <c r="P271" s="56" t="inlineStr">
        <is>
          <t>26071304</t>
        </is>
      </c>
      <c r="Q271" s="56" t="inlineStr">
        <is>
          <t>YSG | Orange Room Upgrade</t>
        </is>
      </c>
      <c r="R271" s="56" t="inlineStr">
        <is>
          <t>INTEGRATION</t>
        </is>
      </c>
    </row>
    <row r="272">
      <c r="P272" s="56" t="inlineStr">
        <is>
          <t>26071403</t>
        </is>
      </c>
      <c r="Q272" s="56" t="inlineStr">
        <is>
          <t>Elkiem - Studio Support - 4.11.26</t>
        </is>
      </c>
      <c r="R272" s="56" t="inlineStr">
        <is>
          <t>PRODUCTION</t>
        </is>
      </c>
    </row>
    <row r="273">
      <c r="P273" s="56" t="inlineStr">
        <is>
          <t>26071404</t>
        </is>
      </c>
      <c r="Q273" s="56" t="inlineStr">
        <is>
          <t>Elkiem - Studio Support - 9.12.26</t>
        </is>
      </c>
      <c r="R273" s="56" t="inlineStr">
        <is>
          <t>PRODUCTION</t>
        </is>
      </c>
    </row>
    <row r="274">
      <c r="P274" s="56" t="inlineStr">
        <is>
          <t>26071405</t>
        </is>
      </c>
      <c r="Q274" s="56" t="inlineStr">
        <is>
          <t>PWC - Event Technician - 29.7.26</t>
        </is>
      </c>
      <c r="R274" s="56" t="inlineStr">
        <is>
          <t>PRODUCTION</t>
        </is>
      </c>
    </row>
    <row r="275">
      <c r="P275" s="56" t="inlineStr">
        <is>
          <t>26071501</t>
        </is>
      </c>
      <c r="Q275" s="56" t="inlineStr">
        <is>
          <t>Ventia - Half Year Results Briefing - 24.8.26</t>
        </is>
      </c>
      <c r="R275" s="56" t="inlineStr">
        <is>
          <t>PRODUCTION</t>
        </is>
      </c>
    </row>
    <row r="276">
      <c r="P276" s="56" t="inlineStr">
        <is>
          <t>26071501V</t>
        </is>
      </c>
      <c r="Q276" s="56" t="inlineStr">
        <is>
          <t>Ventia - Half Year Results Briefing - 24.8.26</t>
        </is>
      </c>
      <c r="R276" s="56" t="inlineStr">
        <is>
          <t>VIDEO</t>
        </is>
      </c>
    </row>
    <row r="277">
      <c r="P277" s="56" t="inlineStr">
        <is>
          <t>26071601</t>
        </is>
      </c>
      <c r="Q277" s="56" t="inlineStr">
        <is>
          <t>Aware | PER | Barry Marshall and Albany Rooms BYOD USB-C Replcmnt</t>
        </is>
      </c>
      <c r="R277" s="56" t="inlineStr">
        <is>
          <t>INTEGRATION</t>
        </is>
      </c>
    </row>
    <row r="278">
      <c r="P278" s="56" t="inlineStr">
        <is>
          <t>26071701</t>
        </is>
      </c>
      <c r="Q278" s="56" t="inlineStr">
        <is>
          <t>ASX Live - 9.9.26</t>
        </is>
      </c>
      <c r="R278" s="56" t="inlineStr">
        <is>
          <t>PRODUCTION</t>
        </is>
      </c>
    </row>
    <row r="279">
      <c r="P279" s="56" t="inlineStr">
        <is>
          <t>26071701V</t>
        </is>
      </c>
      <c r="Q279" s="56" t="inlineStr">
        <is>
          <t>ASX Live - 9.9.26</t>
        </is>
      </c>
      <c r="R279" s="56" t="inlineStr">
        <is>
          <t>VIDEO</t>
        </is>
      </c>
    </row>
    <row r="280">
      <c r="P280" s="56" t="inlineStr">
        <is>
          <t>26071901</t>
        </is>
      </c>
      <c r="Q280" s="56" t="inlineStr">
        <is>
          <t>Elkiem - Studio Support - 11.8.26</t>
        </is>
      </c>
      <c r="R280" s="56" t="inlineStr">
        <is>
          <t>PRODUCTION</t>
        </is>
      </c>
    </row>
    <row r="281">
      <c r="P281" s="56" t="inlineStr">
        <is>
          <t>26072003</t>
        </is>
      </c>
      <c r="Q281" s="56" t="inlineStr">
        <is>
          <t>CBA Live Event Support August 2026</t>
        </is>
      </c>
      <c r="R281" s="56" t="inlineStr">
        <is>
          <t>PRODUCTION</t>
        </is>
      </c>
    </row>
    <row r="282">
      <c r="P282" s="56" t="inlineStr">
        <is>
          <t>26072101</t>
        </is>
      </c>
      <c r="Q282" s="56" t="inlineStr">
        <is>
          <t>Aware MEL 17.02 Amp Replacement</t>
        </is>
      </c>
      <c r="R282" s="56" t="inlineStr">
        <is>
          <t>INTEGRATION</t>
        </is>
      </c>
    </row>
    <row r="283">
      <c r="P283" s="56" t="inlineStr">
        <is>
          <t>26072101</t>
        </is>
      </c>
      <c r="Q283" s="56" t="inlineStr">
        <is>
          <t>Aware_Mel 17.02 Amp Replacement</t>
        </is>
      </c>
      <c r="R283" s="56" t="inlineStr">
        <is>
          <t>INTEGRATION</t>
        </is>
      </c>
    </row>
    <row r="284">
      <c r="P284" s="56" t="inlineStr">
        <is>
          <t>26072102</t>
        </is>
      </c>
      <c r="Q284" s="56" t="inlineStr">
        <is>
          <t>Ventia - RUOK? Day - 10.09.2026</t>
        </is>
      </c>
      <c r="R284" s="56" t="inlineStr">
        <is>
          <t>PRODUCTION</t>
        </is>
      </c>
    </row>
    <row r="285">
      <c r="P285" s="56" t="inlineStr">
        <is>
          <t>26072102V</t>
        </is>
      </c>
      <c r="Q285" s="56" t="inlineStr">
        <is>
          <t>Ventia - RUOK? Day - 10.09.2026</t>
        </is>
      </c>
      <c r="R285" s="56" t="inlineStr">
        <is>
          <t>VIDEO</t>
        </is>
      </c>
    </row>
    <row r="286">
      <c r="P286" s="56" t="inlineStr">
        <is>
          <t>26072802</t>
        </is>
      </c>
      <c r="Q286" s="56" t="inlineStr">
        <is>
          <t>ON24 KWM Sydney Event - 18.08.2026</t>
        </is>
      </c>
      <c r="R286" s="56" t="inlineStr">
        <is>
          <t>PRODUCTION</t>
        </is>
      </c>
    </row>
    <row r="287">
      <c r="P287" s="56" t="inlineStr">
        <is>
          <t>26072802V</t>
        </is>
      </c>
      <c r="Q287" s="56" t="inlineStr">
        <is>
          <t>ON24 KWM Sydney Event - 18.08.2026</t>
        </is>
      </c>
      <c r="R287" s="56" t="inlineStr">
        <is>
          <t>VIDEO</t>
        </is>
      </c>
    </row>
    <row r="288">
      <c r="P288" s="56" t="inlineStr">
        <is>
          <t>26072902</t>
        </is>
      </c>
      <c r="Q288" s="56" t="inlineStr">
        <is>
          <t>PWC AI Townhall 6.8.26</t>
        </is>
      </c>
      <c r="R288" s="56" t="inlineStr">
        <is>
          <t>PRODUCTION</t>
        </is>
      </c>
    </row>
    <row r="289">
      <c r="P289" s="56" t="inlineStr">
        <is>
          <t>26072902V</t>
        </is>
      </c>
      <c r="Q289" s="56" t="inlineStr">
        <is>
          <t>PWC AI Townhall 6.8.26</t>
        </is>
      </c>
      <c r="R289" s="56" t="inlineStr">
        <is>
          <t>VIDEO</t>
        </is>
      </c>
    </row>
    <row r="290">
      <c r="P290" s="56" t="inlineStr">
        <is>
          <t>26072903</t>
        </is>
      </c>
      <c r="Q290" s="56" t="inlineStr">
        <is>
          <t>PWC - GB Webcast - 11.8.26</t>
        </is>
      </c>
      <c r="R290" s="56" t="inlineStr">
        <is>
          <t>PRODUCTION</t>
        </is>
      </c>
    </row>
    <row r="291">
      <c r="P291" s="56" t="inlineStr">
        <is>
          <t>26072903V</t>
        </is>
      </c>
      <c r="Q291" s="56" t="inlineStr">
        <is>
          <t>PWC - GB Webcast - 11.8.26</t>
        </is>
      </c>
      <c r="R291" s="56" t="inlineStr">
        <is>
          <t>VIDEO</t>
        </is>
      </c>
    </row>
    <row r="292">
      <c r="P292" s="56" t="inlineStr">
        <is>
          <t>26072906</t>
        </is>
      </c>
      <c r="Q292" s="56" t="inlineStr">
        <is>
          <t>ASX Advisory Group on Corporate Governance</t>
        </is>
      </c>
      <c r="R292" s="56" t="inlineStr">
        <is>
          <t>PRODUCTION</t>
        </is>
      </c>
    </row>
    <row r="293">
      <c r="P293" s="56" t="inlineStr">
        <is>
          <t>26072906V</t>
        </is>
      </c>
      <c r="Q293" s="56" t="inlineStr">
        <is>
          <t>ASX Advisory Group on Corporate Governance</t>
        </is>
      </c>
      <c r="R293" s="56" t="inlineStr">
        <is>
          <t>VIDEO</t>
        </is>
      </c>
    </row>
    <row r="294">
      <c r="P294" s="56" t="inlineStr">
        <is>
          <t>26073103</t>
        </is>
      </c>
      <c r="Q294" s="56" t="inlineStr">
        <is>
          <t>DTTL PER AV &amp; Hospitality Tech (SEP26-FEB27)</t>
        </is>
      </c>
      <c r="R294" s="56" t="inlineStr">
        <is>
          <t>ONSITE</t>
        </is>
      </c>
    </row>
    <row r="295">
      <c r="P295" s="56" t="inlineStr">
        <is>
          <t>26073103N</t>
        </is>
      </c>
      <c r="Q295" s="56" t="inlineStr">
        <is>
          <t>DTTL PER AV &amp; Hospitality Tech (SEP26-FEB27) [ONS] non-chargeable</t>
        </is>
      </c>
      <c r="R295" s="56" t="inlineStr"/>
    </row>
    <row r="296">
      <c r="P296" s="56" t="inlineStr">
        <is>
          <t>26073105</t>
        </is>
      </c>
      <c r="Q296" s="56" t="inlineStr">
        <is>
          <t>Elkiem - Studio Support - 25.8.26</t>
        </is>
      </c>
      <c r="R296" s="56" t="inlineStr">
        <is>
          <t>PRODUCTION</t>
        </is>
      </c>
    </row>
    <row r="297">
      <c r="P297" s="56" t="inlineStr">
        <is>
          <t>26073106</t>
        </is>
      </c>
      <c r="Q297" s="56" t="inlineStr">
        <is>
          <t>Elkiem - Studio Support - 18.9.26</t>
        </is>
      </c>
      <c r="R297" s="56" t="inlineStr">
        <is>
          <t>PRODUCTION</t>
        </is>
      </c>
    </row>
    <row r="298">
      <c r="P298" s="56" t="inlineStr">
        <is>
          <t>26073107</t>
        </is>
      </c>
      <c r="Q298" s="56" t="inlineStr">
        <is>
          <t>DTTL Travel for Technician &amp; Coverage ADL-HOB</t>
        </is>
      </c>
      <c r="R298" s="56" t="inlineStr">
        <is>
          <t>ONSITE</t>
        </is>
      </c>
    </row>
    <row r="299">
      <c r="P299" s="56" t="inlineStr">
        <is>
          <t>26073110</t>
        </is>
      </c>
      <c r="Q299" s="56" t="inlineStr">
        <is>
          <t>Garvan - Weizmann Dinner Event - 20.8.26</t>
        </is>
      </c>
      <c r="R299" s="56" t="inlineStr">
        <is>
          <t>PRODUCTION</t>
        </is>
      </c>
    </row>
    <row r="300">
      <c r="P300" s="56" t="inlineStr">
        <is>
          <t>26073110V</t>
        </is>
      </c>
      <c r="Q300" s="56" t="inlineStr">
        <is>
          <t>Garvan - Weizmann Dinner Event - 20.8.26</t>
        </is>
      </c>
      <c r="R300" s="56" t="inlineStr">
        <is>
          <t>VIDEO</t>
        </is>
      </c>
    </row>
    <row r="301">
      <c r="P301" s="56" t="inlineStr">
        <is>
          <t>26073111</t>
        </is>
      </c>
      <c r="Q301" s="56" t="inlineStr">
        <is>
          <t>Downer - FYR &amp; Employee Webcast - 25.8.26</t>
        </is>
      </c>
      <c r="R301" s="56" t="inlineStr">
        <is>
          <t>PRODUCTION</t>
        </is>
      </c>
    </row>
    <row r="302">
      <c r="P302" s="56" t="inlineStr">
        <is>
          <t>26073111V</t>
        </is>
      </c>
      <c r="Q302" s="56" t="inlineStr">
        <is>
          <t>Downer - FYR &amp; Employee Webcast - 25.8.26</t>
        </is>
      </c>
      <c r="R302" s="56" t="inlineStr">
        <is>
          <t>VIDEO</t>
        </is>
      </c>
    </row>
    <row r="303">
      <c r="P303" s="56" t="inlineStr">
        <is>
          <t>2607703</t>
        </is>
      </c>
      <c r="Q303" s="56" t="inlineStr">
        <is>
          <t>Garvan - YPO Event - 6.8.2026</t>
        </is>
      </c>
      <c r="R303" s="56" t="inlineStr">
        <is>
          <t>PRODUCTION</t>
        </is>
      </c>
    </row>
    <row r="304">
      <c r="P304" s="56" t="inlineStr">
        <is>
          <t>2607703V</t>
        </is>
      </c>
      <c r="Q304" s="56" t="inlineStr">
        <is>
          <t>Garvan - YPO Event - 6.8.2026</t>
        </is>
      </c>
      <c r="R304" s="56" t="inlineStr">
        <is>
          <t>VIDEO</t>
        </is>
      </c>
    </row>
    <row r="305">
      <c r="P305" s="56" t="inlineStr">
        <is>
          <t>2608101</t>
        </is>
      </c>
      <c r="Q305" s="56" t="inlineStr">
        <is>
          <t>ART - AMM Captioning - 25.11.26</t>
        </is>
      </c>
      <c r="R305" s="56" t="inlineStr">
        <is>
          <t>PRODUCTION</t>
        </is>
      </c>
    </row>
    <row r="306">
      <c r="P306" s="56" t="inlineStr">
        <is>
          <t>2608101V</t>
        </is>
      </c>
      <c r="Q306" s="56" t="inlineStr">
        <is>
          <t>ART - AMM Captioning - 25.11.26</t>
        </is>
      </c>
      <c r="R306" s="56" t="inlineStr">
        <is>
          <t>VIDEO</t>
        </is>
      </c>
    </row>
    <row r="307">
      <c r="P307" s="56" t="inlineStr">
        <is>
          <t>2608102</t>
        </is>
      </c>
      <c r="Q307" s="56" t="inlineStr">
        <is>
          <t>ART - Education Session Captioning - 25.11.26</t>
        </is>
      </c>
      <c r="R307" s="56" t="inlineStr">
        <is>
          <t>PRODUCTION</t>
        </is>
      </c>
    </row>
    <row r="308">
      <c r="P308" s="56" t="inlineStr">
        <is>
          <t>26081101</t>
        </is>
      </c>
      <c r="Q308" s="56" t="inlineStr">
        <is>
          <t>Vega Global - Payments Forum - 17.9.26</t>
        </is>
      </c>
      <c r="R308" s="56" t="inlineStr">
        <is>
          <t>PRODUCTION</t>
        </is>
      </c>
    </row>
    <row r="309">
      <c r="P309" s="56" t="inlineStr">
        <is>
          <t>26081302</t>
        </is>
      </c>
      <c r="Q309" s="56" t="inlineStr">
        <is>
          <t>Ubank - Volunteer Day - 11.11.26</t>
        </is>
      </c>
      <c r="R309" s="56" t="inlineStr">
        <is>
          <t>PRODUCTION</t>
        </is>
      </c>
    </row>
    <row r="310">
      <c r="P310" s="56" t="inlineStr">
        <is>
          <t>26081302V</t>
        </is>
      </c>
      <c r="Q310" s="56" t="inlineStr">
        <is>
          <t>Ubank - Volunteer Day - 11.11.26</t>
        </is>
      </c>
      <c r="R310" s="56" t="inlineStr">
        <is>
          <t>VIDEO</t>
        </is>
      </c>
    </row>
    <row r="311">
      <c r="P311" s="56" t="inlineStr">
        <is>
          <t>26081402</t>
        </is>
      </c>
      <c r="Q311" s="56" t="inlineStr">
        <is>
          <t>Dimensional - AV Support - 19.8.26</t>
        </is>
      </c>
      <c r="R311" s="56" t="inlineStr">
        <is>
          <t>PRODUCTION</t>
        </is>
      </c>
    </row>
    <row r="312">
      <c r="P312" s="56" t="inlineStr">
        <is>
          <t>26081801</t>
        </is>
      </c>
      <c r="Q312" s="56" t="inlineStr">
        <is>
          <t>Microsoft - SME&amp;C Town Hall 14.10.2026</t>
        </is>
      </c>
      <c r="R312" s="56" t="inlineStr">
        <is>
          <t>PRODUCTION</t>
        </is>
      </c>
    </row>
    <row r="313">
      <c r="P313" s="56" t="inlineStr">
        <is>
          <t>26081801V</t>
        </is>
      </c>
      <c r="Q313" s="56" t="inlineStr">
        <is>
          <t>Microsoft - SME&amp;C Town Hall 14.10.2026</t>
        </is>
      </c>
      <c r="R313" s="56" t="inlineStr">
        <is>
          <t>VIDEO</t>
        </is>
      </c>
    </row>
    <row r="314">
      <c r="P314" s="56" t="inlineStr">
        <is>
          <t>26081901</t>
        </is>
      </c>
      <c r="Q314" s="56" t="inlineStr">
        <is>
          <t>AusPayNet Logitech Essentials for Room License Renewal</t>
        </is>
      </c>
      <c r="R314" s="56" t="inlineStr">
        <is>
          <t>INTEGRATION</t>
        </is>
      </c>
    </row>
    <row r="315">
      <c r="P315" s="56" t="inlineStr">
        <is>
          <t>26081904</t>
        </is>
      </c>
      <c r="Q315" s="56" t="inlineStr">
        <is>
          <t>Garvan - AllClear Program Meeting - 2.9.26</t>
        </is>
      </c>
      <c r="R315" s="56" t="inlineStr">
        <is>
          <t>PRODUCTION</t>
        </is>
      </c>
    </row>
    <row r="316">
      <c r="P316" s="56" t="inlineStr">
        <is>
          <t>26082402</t>
        </is>
      </c>
      <c r="Q316" s="56" t="inlineStr">
        <is>
          <t>TLC - 2026 AGM - 14.10.26</t>
        </is>
      </c>
      <c r="R316" s="56" t="inlineStr">
        <is>
          <t>PRODUCTION</t>
        </is>
      </c>
    </row>
    <row r="317">
      <c r="P317" s="56" t="inlineStr">
        <is>
          <t>26082402V</t>
        </is>
      </c>
      <c r="Q317" s="56" t="inlineStr">
        <is>
          <t>TLC - 2026 AGM - 14.10.26</t>
        </is>
      </c>
      <c r="R317" s="56" t="inlineStr">
        <is>
          <t>VIDEO</t>
        </is>
      </c>
    </row>
    <row r="318">
      <c r="P318" s="56" t="inlineStr">
        <is>
          <t>26082501</t>
        </is>
      </c>
      <c r="Q318" s="56" t="inlineStr">
        <is>
          <t>CBA - LES - September 2026</t>
        </is>
      </c>
      <c r="R318" s="56" t="inlineStr">
        <is>
          <t>PRODUCTION</t>
        </is>
      </c>
    </row>
    <row r="319">
      <c r="P319" s="56" t="inlineStr">
        <is>
          <t>26082502</t>
        </is>
      </c>
      <c r="Q319" s="56" t="inlineStr">
        <is>
          <t>ICC - Presenter &amp; Speaker Preparation - September 2026</t>
        </is>
      </c>
      <c r="R319" s="56" t="inlineStr">
        <is>
          <t>PRODUCTION</t>
        </is>
      </c>
    </row>
    <row r="320">
      <c r="P320" s="56" t="inlineStr">
        <is>
          <t>26082502V</t>
        </is>
      </c>
      <c r="Q320" s="56" t="inlineStr">
        <is>
          <t>ICC - Presenter &amp; Speaker Preparation - September 2026</t>
        </is>
      </c>
      <c r="R320" s="56" t="inlineStr">
        <is>
          <t>VIDEO</t>
        </is>
      </c>
    </row>
    <row r="321">
      <c r="P321" s="56" t="inlineStr">
        <is>
          <t>26082702</t>
        </is>
      </c>
      <c r="Q321" s="56" t="inlineStr">
        <is>
          <t>Garvan - Breast Cancer Public Lecture - 1.10.26</t>
        </is>
      </c>
      <c r="R321" s="56" t="inlineStr">
        <is>
          <t>PRODUCTION</t>
        </is>
      </c>
    </row>
    <row r="322">
      <c r="P322" s="56" t="inlineStr">
        <is>
          <t>26082703</t>
        </is>
      </c>
      <c r="Q322" s="56" t="inlineStr">
        <is>
          <t>APA - RUOK Day - 10.9.26</t>
        </is>
      </c>
      <c r="R322" s="56" t="inlineStr">
        <is>
          <t>PRODUCTION</t>
        </is>
      </c>
    </row>
    <row r="323">
      <c r="P323" s="56" t="inlineStr">
        <is>
          <t>26082703V</t>
        </is>
      </c>
      <c r="Q323" s="56" t="inlineStr">
        <is>
          <t>APA - RUOK Day - 10.9.26</t>
        </is>
      </c>
      <c r="R323" s="56" t="inlineStr">
        <is>
          <t>VIDEO</t>
        </is>
      </c>
    </row>
    <row r="324">
      <c r="P324" s="56" t="inlineStr">
        <is>
          <t>26082704</t>
        </is>
      </c>
      <c r="Q324" s="56" t="inlineStr">
        <is>
          <t>DTTL Travel for National STL &amp; Coverage SYD-PER</t>
        </is>
      </c>
      <c r="R324" s="56" t="inlineStr">
        <is>
          <t>ONSITE</t>
        </is>
      </c>
    </row>
    <row r="325">
      <c r="P325" s="56" t="inlineStr">
        <is>
          <t>26082801</t>
        </is>
      </c>
      <c r="Q325" s="56" t="inlineStr">
        <is>
          <t>Ricoh Australia - SHELL AV Support</t>
        </is>
      </c>
      <c r="R325" s="56" t="inlineStr">
        <is>
          <t>ONSITE</t>
        </is>
      </c>
    </row>
    <row r="326">
      <c r="P326" s="56" t="inlineStr">
        <is>
          <t>2608402</t>
        </is>
      </c>
      <c r="Q326" s="56" t="inlineStr">
        <is>
          <t>Garvan - Suttons Event - 15.10.26</t>
        </is>
      </c>
      <c r="R326" s="56" t="inlineStr">
        <is>
          <t>PRODUCTION</t>
        </is>
      </c>
    </row>
    <row r="327">
      <c r="P327" s="56" t="inlineStr">
        <is>
          <t>2608404</t>
        </is>
      </c>
      <c r="Q327" s="56" t="inlineStr">
        <is>
          <t>St Vincents Public Hospital - Awards Night - 26.8.25</t>
        </is>
      </c>
      <c r="R327" s="56" t="inlineStr">
        <is>
          <t>PRODUCTION</t>
        </is>
      </c>
    </row>
    <row r="328">
      <c r="P328" s="56" t="inlineStr">
        <is>
          <t>2608404V</t>
        </is>
      </c>
      <c r="Q328" s="56" t="inlineStr">
        <is>
          <t>St Vincents Public Hospital - Awards Night - 26.8.25</t>
        </is>
      </c>
      <c r="R328" s="56" t="inlineStr">
        <is>
          <t>VIDEO</t>
        </is>
      </c>
    </row>
    <row r="329">
      <c r="P329" s="56" t="inlineStr">
        <is>
          <t>2608604</t>
        </is>
      </c>
      <c r="Q329" s="56" t="inlineStr">
        <is>
          <t>ASX - FYR Employee Town Hall - 13.8.26</t>
        </is>
      </c>
      <c r="R329" s="56" t="inlineStr">
        <is>
          <t>PRODUCTION</t>
        </is>
      </c>
    </row>
    <row r="330">
      <c r="P330" s="56" t="inlineStr">
        <is>
          <t>2608604V</t>
        </is>
      </c>
      <c r="Q330" s="56" t="inlineStr">
        <is>
          <t>ASX - FYR Employee Town Hall - 13.8.26</t>
        </is>
      </c>
      <c r="R330" s="56" t="inlineStr">
        <is>
          <t>VIDEO</t>
        </is>
      </c>
    </row>
    <row r="331">
      <c r="P331" s="56" t="inlineStr">
        <is>
          <t>2608701</t>
        </is>
      </c>
      <c r="Q331" s="56" t="inlineStr">
        <is>
          <t>Elkeim - Studio Support - 10.9.26</t>
        </is>
      </c>
      <c r="R331" s="56" t="inlineStr">
        <is>
          <t>PRODUCTION</t>
        </is>
      </c>
    </row>
    <row r="332">
      <c r="P332" s="56" t="inlineStr">
        <is>
          <t>2608702</t>
        </is>
      </c>
      <c r="Q332" s="56" t="inlineStr">
        <is>
          <t>APA - Qtly All Hands SYD Screen Hire - 20.8.26</t>
        </is>
      </c>
      <c r="R332" s="56" t="inlineStr">
        <is>
          <t>PRODUCTION</t>
        </is>
      </c>
    </row>
    <row r="333">
      <c r="P333" s="56" t="inlineStr">
        <is>
          <t>26091002</t>
        </is>
      </c>
      <c r="Q333" s="56" t="inlineStr">
        <is>
          <t>GP - Talking Philanthropy - Event Videography 18.9.26</t>
        </is>
      </c>
      <c r="R333" s="56" t="inlineStr">
        <is>
          <t>PRODUCTION</t>
        </is>
      </c>
    </row>
    <row r="334">
      <c r="P334" s="56" t="inlineStr">
        <is>
          <t>26091002V</t>
        </is>
      </c>
      <c r="Q334" s="56" t="inlineStr">
        <is>
          <t>GP - Talking Philanthropy - Event Videography 18.9.26</t>
        </is>
      </c>
      <c r="R334" s="56" t="inlineStr">
        <is>
          <t>VIDEO</t>
        </is>
      </c>
    </row>
    <row r="335">
      <c r="P335" s="56" t="inlineStr">
        <is>
          <t>26091601</t>
        </is>
      </c>
      <c r="Q335" s="56" t="inlineStr">
        <is>
          <t>Automic - September All Hands - 25.9.26</t>
        </is>
      </c>
      <c r="R335" s="56" t="inlineStr">
        <is>
          <t>PRODUCTION</t>
        </is>
      </c>
    </row>
    <row r="336">
      <c r="P336" s="56" t="inlineStr">
        <is>
          <t>26091601V</t>
        </is>
      </c>
      <c r="Q336" s="56" t="inlineStr">
        <is>
          <t>Automic - September All Hands - 25.9.26</t>
        </is>
      </c>
      <c r="R336" s="56" t="inlineStr">
        <is>
          <t>VIDEO</t>
        </is>
      </c>
    </row>
    <row r="337">
      <c r="P337" s="56" t="inlineStr">
        <is>
          <t>26091604</t>
        </is>
      </c>
      <c r="Q337" s="56" t="inlineStr">
        <is>
          <t>The George Institute - SYD CV Symposium - 29-30.10.26</t>
        </is>
      </c>
      <c r="R337" s="56" t="inlineStr">
        <is>
          <t>PRODUCTION</t>
        </is>
      </c>
    </row>
    <row r="338">
      <c r="P338" s="56" t="inlineStr">
        <is>
          <t>26091604V</t>
        </is>
      </c>
      <c r="Q338" s="56" t="inlineStr">
        <is>
          <t>The George Institute - SYD CV Symposium - 29-30.10.26</t>
        </is>
      </c>
      <c r="R338" s="56" t="inlineStr">
        <is>
          <t>VIDEO</t>
        </is>
      </c>
    </row>
    <row r="339">
      <c r="P339" s="56" t="inlineStr">
        <is>
          <t>2609402</t>
        </is>
      </c>
      <c r="Q339" s="56" t="inlineStr">
        <is>
          <t>MUFG - SUN Investor Day - 29.10.26</t>
        </is>
      </c>
      <c r="R339" s="56" t="inlineStr">
        <is>
          <t>PRODUCTION</t>
        </is>
      </c>
    </row>
    <row r="340">
      <c r="P340" s="56" t="inlineStr">
        <is>
          <t>2609402V</t>
        </is>
      </c>
      <c r="Q340" s="56" t="inlineStr">
        <is>
          <t>MUFG - SUN Investor Day - 29.10.26</t>
        </is>
      </c>
      <c r="R340" s="56" t="inlineStr">
        <is>
          <t>VIDEO</t>
        </is>
      </c>
    </row>
    <row r="341">
      <c r="P341" s="56" t="inlineStr">
        <is>
          <t>2609801</t>
        </is>
      </c>
      <c r="Q341" s="56" t="inlineStr">
        <is>
          <t>Elkiem - Studio Support - 16.9.26</t>
        </is>
      </c>
      <c r="R341" s="56" t="inlineStr">
        <is>
          <t>PRODUCTION</t>
        </is>
      </c>
    </row>
    <row r="342">
      <c r="P342" s="56" t="inlineStr">
        <is>
          <t>2645</t>
        </is>
      </c>
      <c r="Q342" s="56" t="inlineStr">
        <is>
          <t>EY SYD Tech Support</t>
        </is>
      </c>
      <c r="R342" s="56" t="inlineStr">
        <is>
          <t>ONSITE</t>
        </is>
      </c>
    </row>
    <row r="343">
      <c r="P343" s="56" t="inlineStr">
        <is>
          <t>2648</t>
        </is>
      </c>
      <c r="Q343" s="56" t="inlineStr">
        <is>
          <t>DTTL MEL Additional Tech</t>
        </is>
      </c>
      <c r="R343" s="56" t="inlineStr">
        <is>
          <t>ONSITE</t>
        </is>
      </c>
    </row>
    <row r="344">
      <c r="P344" s="56" t="inlineStr">
        <is>
          <t>2658</t>
        </is>
      </c>
      <c r="Q344" s="56" t="inlineStr">
        <is>
          <t>EY MELB Tech</t>
        </is>
      </c>
      <c r="R344" s="56" t="inlineStr">
        <is>
          <t>ONSITE</t>
        </is>
      </c>
    </row>
    <row r="345">
      <c r="P345" s="56" t="inlineStr">
        <is>
          <t>2675</t>
        </is>
      </c>
      <c r="Q345" s="56" t="inlineStr">
        <is>
          <t>ONS EY (non-chargeable)</t>
        </is>
      </c>
      <c r="R345" s="56" t="inlineStr"/>
    </row>
    <row r="346">
      <c r="P346" s="56" t="inlineStr">
        <is>
          <t>2685</t>
        </is>
      </c>
      <c r="Q346" s="56" t="inlineStr">
        <is>
          <t>APA Proxyclick BNE &amp; DRW</t>
        </is>
      </c>
      <c r="R346" s="56" t="inlineStr">
        <is>
          <t>INTEGRATION</t>
        </is>
      </c>
    </row>
    <row r="347">
      <c r="P347" s="56" t="inlineStr">
        <is>
          <t>2706</t>
        </is>
      </c>
      <c r="Q347" s="56" t="inlineStr">
        <is>
          <t>EPA 6PSQ Proxyclick VMS</t>
        </is>
      </c>
      <c r="R347" s="56" t="inlineStr">
        <is>
          <t>INTEGRATION</t>
        </is>
      </c>
    </row>
    <row r="348">
      <c r="P348" s="56" t="inlineStr">
        <is>
          <t>2719</t>
        </is>
      </c>
      <c r="Q348" s="56" t="inlineStr">
        <is>
          <t>GSP - 6PSQProxyclickOnb</t>
        </is>
      </c>
      <c r="R348" s="56" t="inlineStr">
        <is>
          <t>INTEGRATION</t>
        </is>
      </c>
    </row>
    <row r="349">
      <c r="P349" s="56" t="inlineStr">
        <is>
          <t>2722</t>
        </is>
      </c>
      <c r="Q349" s="56" t="inlineStr">
        <is>
          <t>PWC Monthly Consulting</t>
        </is>
      </c>
      <c r="R349" s="56" t="inlineStr">
        <is>
          <t>CONSULTING</t>
        </is>
      </c>
    </row>
    <row r="350">
      <c r="P350" s="56" t="inlineStr">
        <is>
          <t>2726</t>
        </is>
      </c>
      <c r="Q350" s="56" t="inlineStr">
        <is>
          <t>KPMG MEL Tech</t>
        </is>
      </c>
      <c r="R350" s="56" t="inlineStr">
        <is>
          <t>ONSITE</t>
        </is>
      </c>
    </row>
    <row r="351">
      <c r="P351" s="56" t="inlineStr">
        <is>
          <t>2756</t>
        </is>
      </c>
      <c r="Q351" s="56" t="inlineStr">
        <is>
          <t>CTS Mgmt Meetings</t>
        </is>
      </c>
      <c r="R351" s="56" t="inlineStr">
        <is>
          <t>CTS</t>
        </is>
      </c>
    </row>
    <row r="352">
      <c r="P352" s="56" t="inlineStr">
        <is>
          <t>2834</t>
        </is>
      </c>
      <c r="Q352" s="56" t="inlineStr">
        <is>
          <t>APA Young - Visitor Mgmt</t>
        </is>
      </c>
      <c r="R352" s="56" t="inlineStr">
        <is>
          <t>INTEGRATION</t>
        </is>
      </c>
    </row>
    <row r="353">
      <c r="P353" s="56" t="inlineStr">
        <is>
          <t>2838</t>
        </is>
      </c>
      <c r="Q353" s="56" t="inlineStr">
        <is>
          <t>KPMG SYD Tech</t>
        </is>
      </c>
      <c r="R353" s="56" t="inlineStr">
        <is>
          <t>ONSITE</t>
        </is>
      </c>
    </row>
    <row r="354">
      <c r="P354" s="56" t="inlineStr">
        <is>
          <t>2846</t>
        </is>
      </c>
      <c r="Q354" s="56" t="inlineStr">
        <is>
          <t>DTTL National STL</t>
        </is>
      </c>
      <c r="R354" s="56" t="inlineStr">
        <is>
          <t>ONSITE</t>
        </is>
      </c>
    </row>
    <row r="355">
      <c r="P355" s="56" t="inlineStr">
        <is>
          <t>2848</t>
        </is>
      </c>
      <c r="Q355" s="56" t="inlineStr">
        <is>
          <t>APA ADL Visitor Mgmt</t>
        </is>
      </c>
      <c r="R355" s="56" t="inlineStr">
        <is>
          <t>INTEGRATION</t>
        </is>
      </c>
    </row>
    <row r="356">
      <c r="P356" s="56" t="inlineStr">
        <is>
          <t>2849</t>
        </is>
      </c>
      <c r="Q356" s="56" t="inlineStr">
        <is>
          <t>DTTL SYD Internal</t>
        </is>
      </c>
      <c r="R356" s="56" t="inlineStr">
        <is>
          <t>ONSITE</t>
        </is>
      </c>
    </row>
    <row r="357">
      <c r="P357" s="56" t="inlineStr">
        <is>
          <t>2855</t>
        </is>
      </c>
      <c r="Q357" s="56" t="inlineStr">
        <is>
          <t>APA Melbourne VMS</t>
        </is>
      </c>
      <c r="R357" s="56" t="inlineStr">
        <is>
          <t>INTEGRATION</t>
        </is>
      </c>
    </row>
    <row r="358">
      <c r="P358" s="56" t="inlineStr">
        <is>
          <t>2857</t>
        </is>
      </c>
      <c r="Q358" s="56" t="inlineStr">
        <is>
          <t>APA Sydney Visitor Mgmt</t>
        </is>
      </c>
      <c r="R358" s="56" t="inlineStr">
        <is>
          <t>INTEGRATION</t>
        </is>
      </c>
    </row>
    <row r="359">
      <c r="P359" s="56" t="inlineStr">
        <is>
          <t>2877</t>
        </is>
      </c>
      <c r="Q359" s="56" t="inlineStr">
        <is>
          <t>DEWR Maintenance Ext</t>
        </is>
      </c>
      <c r="R359" s="56" t="inlineStr">
        <is>
          <t>INTEGRATION</t>
        </is>
      </c>
    </row>
    <row r="360">
      <c r="P360" s="56" t="inlineStr">
        <is>
          <t>2879</t>
        </is>
      </c>
      <c r="Q360" s="56" t="inlineStr">
        <is>
          <t>ONS Ricoh-QANTAS (non-chgble)</t>
        </is>
      </c>
      <c r="R360" s="56" t="inlineStr"/>
    </row>
    <row r="361">
      <c r="P361" s="56" t="inlineStr">
        <is>
          <t>2880</t>
        </is>
      </c>
      <c r="Q361" s="56" t="inlineStr">
        <is>
          <t>Ricoh - QANTAS</t>
        </is>
      </c>
      <c r="R361" s="56" t="inlineStr">
        <is>
          <t>ONSITE</t>
        </is>
      </c>
    </row>
    <row r="362">
      <c r="P362" s="56" t="inlineStr">
        <is>
          <t>2892</t>
        </is>
      </c>
      <c r="Q362" s="56" t="inlineStr">
        <is>
          <t>JP Morgan Onsite Tech</t>
        </is>
      </c>
      <c r="R362" s="56" t="inlineStr">
        <is>
          <t>ONSITE</t>
        </is>
      </c>
    </row>
    <row r="363">
      <c r="P363" s="56" t="inlineStr">
        <is>
          <t>2896</t>
        </is>
      </c>
      <c r="Q363" s="56" t="inlineStr">
        <is>
          <t>ONS KPMG (non-chargeable)</t>
        </is>
      </c>
      <c r="R363" s="56" t="inlineStr"/>
    </row>
    <row r="364">
      <c r="P364" s="56" t="inlineStr">
        <is>
          <t>2897</t>
        </is>
      </c>
      <c r="Q364" s="56" t="inlineStr">
        <is>
          <t>ONS JPM (non-chargeable)</t>
        </is>
      </c>
      <c r="R364" s="56" t="inlineStr"/>
    </row>
    <row r="365">
      <c r="P365" s="56" t="inlineStr">
        <is>
          <t>2900</t>
        </is>
      </c>
      <c r="Q365" s="56" t="inlineStr">
        <is>
          <t>ONS Ammacus-Woolworths (non-chargeable)</t>
        </is>
      </c>
      <c r="R365" s="56" t="inlineStr"/>
    </row>
    <row r="366">
      <c r="P366" s="56" t="inlineStr">
        <is>
          <t>2906</t>
        </is>
      </c>
      <c r="Q366" s="56" t="inlineStr">
        <is>
          <t>KPMG BNE Tech</t>
        </is>
      </c>
      <c r="R366" s="56" t="inlineStr">
        <is>
          <t>ONSITE</t>
        </is>
      </c>
    </row>
    <row r="367">
      <c r="P367" s="56" t="inlineStr">
        <is>
          <t>2907</t>
        </is>
      </c>
      <c r="Q367" s="56" t="inlineStr">
        <is>
          <t>Ammacus-Woolworths Tech</t>
        </is>
      </c>
      <c r="R367" s="56" t="inlineStr">
        <is>
          <t>ONSITE</t>
        </is>
      </c>
    </row>
    <row r="368">
      <c r="P368" s="56" t="inlineStr">
        <is>
          <t>2910</t>
        </is>
      </c>
      <c r="Q368" s="56" t="inlineStr">
        <is>
          <t>Office Move 2024</t>
        </is>
      </c>
      <c r="R368" s="56" t="inlineStr">
        <is>
          <t>CTS</t>
        </is>
      </c>
    </row>
    <row r="369">
      <c r="P369" s="56" t="inlineStr">
        <is>
          <t>2977</t>
        </is>
      </c>
      <c r="Q369" s="56" t="inlineStr">
        <is>
          <t>St Catherine's School (CONS)</t>
        </is>
      </c>
      <c r="R369" s="56" t="inlineStr"/>
    </row>
    <row r="370">
      <c r="P370" s="56" t="inlineStr">
        <is>
          <t>3014</t>
        </is>
      </c>
      <c r="Q370" s="56" t="inlineStr">
        <is>
          <t>ONS Ricoh/Campari (Chargeable)</t>
        </is>
      </c>
      <c r="R370" s="56" t="inlineStr"/>
    </row>
    <row r="371">
      <c r="P371" s="56" t="inlineStr">
        <is>
          <t>3015</t>
        </is>
      </c>
      <c r="Q371" s="56" t="inlineStr">
        <is>
          <t>ONS Ricoh/Campari (Non Chgble)</t>
        </is>
      </c>
      <c r="R371" s="56" t="inlineStr"/>
    </row>
    <row r="372">
      <c r="P372" s="56" t="inlineStr">
        <is>
          <t>3027</t>
        </is>
      </c>
      <c r="Q372" s="56" t="inlineStr">
        <is>
          <t>DPIE Elizabeth St Booking</t>
        </is>
      </c>
      <c r="R372" s="56" t="inlineStr">
        <is>
          <t>INTEGRATION</t>
        </is>
      </c>
    </row>
    <row r="373">
      <c r="P373" s="56" t="inlineStr">
        <is>
          <t>3028</t>
        </is>
      </c>
      <c r="Q373" s="56" t="inlineStr">
        <is>
          <t>APA Kidman Park VMS</t>
        </is>
      </c>
      <c r="R373" s="56" t="inlineStr">
        <is>
          <t>INTEGRATION</t>
        </is>
      </c>
    </row>
    <row r="374">
      <c r="P374" s="56" t="inlineStr">
        <is>
          <t>3034</t>
        </is>
      </c>
      <c r="Q374" s="56" t="inlineStr">
        <is>
          <t>ARUP ONS (non-chargeable)</t>
        </is>
      </c>
      <c r="R374" s="56" t="inlineStr"/>
    </row>
    <row r="375">
      <c r="P375" s="56" t="inlineStr">
        <is>
          <t>3035</t>
        </is>
      </c>
      <c r="Q375" s="56" t="inlineStr">
        <is>
          <t>ARUP ONS National (Chargeable)</t>
        </is>
      </c>
      <c r="R375" s="56" t="inlineStr"/>
    </row>
    <row r="376">
      <c r="P376" s="56" t="inlineStr">
        <is>
          <t>3040</t>
        </is>
      </c>
      <c r="Q376" s="56" t="inlineStr">
        <is>
          <t>Corrs MELB Office Reloc</t>
        </is>
      </c>
      <c r="R376" s="56" t="inlineStr">
        <is>
          <t>CONSULTING</t>
        </is>
      </c>
    </row>
    <row r="377">
      <c r="P377" s="56" t="inlineStr">
        <is>
          <t>3042</t>
        </is>
      </c>
      <c r="Q377" s="56" t="inlineStr">
        <is>
          <t>Corrs-PER Office Reloc</t>
        </is>
      </c>
      <c r="R377" s="56" t="inlineStr">
        <is>
          <t>CONSULTING</t>
        </is>
      </c>
    </row>
    <row r="378">
      <c r="P378" s="56" t="inlineStr">
        <is>
          <t>3046</t>
        </is>
      </c>
      <c r="Q378" s="56" t="inlineStr">
        <is>
          <t>Stone&amp;Chalk ONS [chargeable]</t>
        </is>
      </c>
      <c r="R378" s="56" t="inlineStr"/>
    </row>
    <row r="379">
      <c r="P379" s="56" t="inlineStr">
        <is>
          <t>3047</t>
        </is>
      </c>
      <c r="Q379" s="56" t="inlineStr">
        <is>
          <t>Stone&amp;Chalk ONS [non-chargable]</t>
        </is>
      </c>
      <c r="R379" s="56" t="inlineStr"/>
    </row>
    <row r="380">
      <c r="P380" s="56" t="inlineStr">
        <is>
          <t>3048</t>
        </is>
      </c>
      <c r="Q380" s="56" t="inlineStr">
        <is>
          <t>Stone &amp; Chalk Audit 2</t>
        </is>
      </c>
      <c r="R380" s="56" t="inlineStr">
        <is>
          <t>CONSULTING</t>
        </is>
      </c>
    </row>
    <row r="381">
      <c r="P381" s="56" t="inlineStr">
        <is>
          <t>3056</t>
        </is>
      </c>
      <c r="Q381" s="56" t="inlineStr">
        <is>
          <t>AusPayNet Onsite [Chargeable]</t>
        </is>
      </c>
      <c r="R381" s="56" t="inlineStr"/>
    </row>
    <row r="382">
      <c r="P382" s="56" t="inlineStr">
        <is>
          <t>3057</t>
        </is>
      </c>
      <c r="Q382" s="56" t="inlineStr">
        <is>
          <t>AusPayNet ONS[Non-Chargeable]</t>
        </is>
      </c>
      <c r="R382" s="56" t="inlineStr"/>
    </row>
    <row r="383">
      <c r="P383" s="56" t="inlineStr">
        <is>
          <t>3059</t>
        </is>
      </c>
      <c r="Q383" s="56" t="inlineStr">
        <is>
          <t>CBA AGM 2025</t>
        </is>
      </c>
      <c r="R383" s="56" t="inlineStr">
        <is>
          <t>PRODUCTION</t>
        </is>
      </c>
    </row>
    <row r="384">
      <c r="P384" s="56" t="inlineStr">
        <is>
          <t>3068</t>
        </is>
      </c>
      <c r="Q384" s="56" t="inlineStr">
        <is>
          <t>DPIE Pitt and Penrith</t>
        </is>
      </c>
      <c r="R384" s="56" t="inlineStr">
        <is>
          <t>INTEGRATION</t>
        </is>
      </c>
    </row>
    <row r="385">
      <c r="P385" s="56" t="inlineStr">
        <is>
          <t>3072</t>
        </is>
      </c>
      <c r="Q385" s="56" t="inlineStr">
        <is>
          <t>APA Thomastown</t>
        </is>
      </c>
      <c r="R385" s="56" t="inlineStr">
        <is>
          <t>INTEGRATION</t>
        </is>
      </c>
    </row>
    <row r="386">
      <c r="P386" s="56" t="inlineStr">
        <is>
          <t>585</t>
        </is>
      </c>
      <c r="Q386" s="56" t="inlineStr">
        <is>
          <t>CBA Team Leader</t>
        </is>
      </c>
      <c r="R386" s="56" t="inlineStr">
        <is>
          <t>ONSITE</t>
        </is>
      </c>
    </row>
    <row r="387">
      <c r="P387" s="56" t="inlineStr">
        <is>
          <t>586</t>
        </is>
      </c>
      <c r="Q387" s="56" t="inlineStr">
        <is>
          <t>CBA Tech NP</t>
        </is>
      </c>
      <c r="R387" s="56" t="inlineStr">
        <is>
          <t>ONSITE</t>
        </is>
      </c>
    </row>
    <row r="388">
      <c r="P388" s="56" t="inlineStr">
        <is>
          <t>587</t>
        </is>
      </c>
      <c r="Q388" s="56" t="inlineStr">
        <is>
          <t>CBA Tech TN</t>
        </is>
      </c>
      <c r="R388" s="56" t="inlineStr">
        <is>
          <t>ONSITE</t>
        </is>
      </c>
    </row>
    <row r="389">
      <c r="P389" s="56" t="inlineStr">
        <is>
          <t>724</t>
        </is>
      </c>
      <c r="Q389" s="56" t="inlineStr">
        <is>
          <t>DTTL SYD NTSL</t>
        </is>
      </c>
      <c r="R389" s="56" t="inlineStr">
        <is>
          <t>ONSITE</t>
        </is>
      </c>
    </row>
    <row r="390">
      <c r="P390" s="56" t="inlineStr">
        <is>
          <t>725</t>
        </is>
      </c>
      <c r="Q390" s="56" t="inlineStr">
        <is>
          <t>DTTL Mel Tech FT 1</t>
        </is>
      </c>
      <c r="R390" s="56" t="inlineStr">
        <is>
          <t>ONSITE</t>
        </is>
      </c>
    </row>
    <row r="391">
      <c r="P391" s="56" t="inlineStr">
        <is>
          <t>729</t>
        </is>
      </c>
      <c r="Q391" s="56" t="inlineStr">
        <is>
          <t>DTTL Consulting</t>
        </is>
      </c>
      <c r="R391" s="56" t="inlineStr">
        <is>
          <t>CONSULTING</t>
        </is>
      </c>
    </row>
    <row r="392">
      <c r="P392" s="56" t="inlineStr">
        <is>
          <t>732</t>
        </is>
      </c>
      <c r="Q392" s="56" t="inlineStr">
        <is>
          <t>Bank West Contract</t>
        </is>
      </c>
      <c r="R392" s="56" t="inlineStr">
        <is>
          <t>ONSITE</t>
        </is>
      </c>
    </row>
    <row r="393">
      <c r="P393" s="56" t="inlineStr">
        <is>
          <t>9000</t>
        </is>
      </c>
      <c r="Q393" s="56" t="inlineStr">
        <is>
          <t>OFFICE / ADMIN</t>
        </is>
      </c>
      <c r="R393" s="56" t="inlineStr">
        <is>
          <t>CTS</t>
        </is>
      </c>
    </row>
    <row r="394">
      <c r="P394" s="56" t="inlineStr">
        <is>
          <t>9001</t>
        </is>
      </c>
      <c r="Q394" s="56" t="inlineStr">
        <is>
          <t>OFFICE/ADMIN Orientation</t>
        </is>
      </c>
      <c r="R394" s="56" t="inlineStr">
        <is>
          <t>CTS</t>
        </is>
      </c>
    </row>
    <row r="395">
      <c r="P395" s="56" t="inlineStr">
        <is>
          <t>9050</t>
        </is>
      </c>
      <c r="Q395" s="56" t="inlineStr">
        <is>
          <t>OFFICE ASSETS</t>
        </is>
      </c>
      <c r="R395" s="56" t="inlineStr">
        <is>
          <t>CTS</t>
        </is>
      </c>
    </row>
    <row r="396">
      <c r="P396" s="56" t="inlineStr">
        <is>
          <t>9100</t>
        </is>
      </c>
      <c r="Q396" s="56" t="inlineStr">
        <is>
          <t>PRODUCTION</t>
        </is>
      </c>
      <c r="R396" s="56" t="inlineStr">
        <is>
          <t>PRODUCTION</t>
        </is>
      </c>
    </row>
    <row r="397">
      <c r="P397" s="56" t="inlineStr">
        <is>
          <t>9101</t>
        </is>
      </c>
      <c r="Q397" s="56" t="inlineStr">
        <is>
          <t>PRODUCTION - Orientation</t>
        </is>
      </c>
      <c r="R397" s="56" t="inlineStr">
        <is>
          <t>PRODUCTION</t>
        </is>
      </c>
    </row>
    <row r="398">
      <c r="P398" s="56" t="inlineStr">
        <is>
          <t>9102</t>
        </is>
      </c>
      <c r="Q398" s="56" t="inlineStr">
        <is>
          <t>Production - Training</t>
        </is>
      </c>
      <c r="R398" s="56" t="inlineStr">
        <is>
          <t>PRODUCTION</t>
        </is>
      </c>
    </row>
    <row r="399">
      <c r="P399" s="56" t="inlineStr">
        <is>
          <t>9105</t>
        </is>
      </c>
      <c r="Q399" s="56" t="inlineStr">
        <is>
          <t>ONSITE (including PROD backup)</t>
        </is>
      </c>
      <c r="R399" s="56" t="inlineStr"/>
    </row>
    <row r="400">
      <c r="P400" s="56" t="inlineStr">
        <is>
          <t>9106</t>
        </is>
      </c>
      <c r="Q400" s="56" t="inlineStr">
        <is>
          <t>ONSITE - Orientation</t>
        </is>
      </c>
      <c r="R400" s="56" t="inlineStr">
        <is>
          <t>ONSITE</t>
        </is>
      </c>
    </row>
    <row r="401">
      <c r="P401" s="56" t="inlineStr">
        <is>
          <t>9107</t>
        </is>
      </c>
      <c r="Q401" s="56" t="inlineStr">
        <is>
          <t>ONSITE - Assets</t>
        </is>
      </c>
      <c r="R401" s="56" t="inlineStr">
        <is>
          <t>ONSITE</t>
        </is>
      </c>
    </row>
    <row r="402">
      <c r="P402" s="56" t="inlineStr">
        <is>
          <t>9108</t>
        </is>
      </c>
      <c r="Q402" s="56" t="inlineStr">
        <is>
          <t>ONSITE - Sales</t>
        </is>
      </c>
      <c r="R402" s="56" t="inlineStr">
        <is>
          <t>ONSITE</t>
        </is>
      </c>
    </row>
    <row r="403">
      <c r="P403" s="56" t="inlineStr">
        <is>
          <t>9109</t>
        </is>
      </c>
      <c r="Q403" s="56" t="inlineStr">
        <is>
          <t>ONSITE - Marketing</t>
        </is>
      </c>
      <c r="R403" s="56" t="inlineStr">
        <is>
          <t>ONSITE</t>
        </is>
      </c>
    </row>
    <row r="404">
      <c r="P404" s="56" t="inlineStr">
        <is>
          <t>9125</t>
        </is>
      </c>
      <c r="Q404" s="56" t="inlineStr">
        <is>
          <t>VIDEO DEPT</t>
        </is>
      </c>
      <c r="R404" s="56" t="inlineStr">
        <is>
          <t>VIDEO</t>
        </is>
      </c>
    </row>
    <row r="405">
      <c r="P405" s="56" t="inlineStr">
        <is>
          <t>9126</t>
        </is>
      </c>
      <c r="Q405" s="56" t="inlineStr">
        <is>
          <t>VIDEO - Orientation</t>
        </is>
      </c>
      <c r="R405" s="56" t="inlineStr">
        <is>
          <t>VIDEO</t>
        </is>
      </c>
    </row>
    <row r="406">
      <c r="P406" s="56" t="inlineStr">
        <is>
          <t>9127</t>
        </is>
      </c>
      <c r="Q406" s="56" t="inlineStr">
        <is>
          <t>VIDEO - Assets</t>
        </is>
      </c>
      <c r="R406" s="56" t="inlineStr">
        <is>
          <t>VIDEO</t>
        </is>
      </c>
    </row>
    <row r="407">
      <c r="P407" s="56" t="inlineStr">
        <is>
          <t>9128</t>
        </is>
      </c>
      <c r="Q407" s="56" t="inlineStr">
        <is>
          <t>VIDEO - Sales</t>
        </is>
      </c>
      <c r="R407" s="56" t="inlineStr">
        <is>
          <t>VIDEO</t>
        </is>
      </c>
    </row>
    <row r="408">
      <c r="P408" s="56" t="inlineStr">
        <is>
          <t>9129</t>
        </is>
      </c>
      <c r="Q408" s="56" t="inlineStr">
        <is>
          <t>VIDEO - Marketing</t>
        </is>
      </c>
      <c r="R408" s="56" t="inlineStr">
        <is>
          <t>VIDEO</t>
        </is>
      </c>
    </row>
    <row r="409">
      <c r="P409" s="56" t="inlineStr">
        <is>
          <t>9150</t>
        </is>
      </c>
      <c r="Q409" s="56" t="inlineStr">
        <is>
          <t>PRODUCTION - Assets</t>
        </is>
      </c>
      <c r="R409" s="56" t="inlineStr">
        <is>
          <t>PRODUCTION</t>
        </is>
      </c>
    </row>
    <row r="410">
      <c r="P410" s="56" t="inlineStr">
        <is>
          <t>9175</t>
        </is>
      </c>
      <c r="Q410" s="56" t="inlineStr">
        <is>
          <t>PRODUCTION - Sales</t>
        </is>
      </c>
      <c r="R410" s="56" t="inlineStr">
        <is>
          <t>PRODUCTION</t>
        </is>
      </c>
    </row>
    <row r="411">
      <c r="P411" s="56" t="inlineStr">
        <is>
          <t>9176</t>
        </is>
      </c>
      <c r="Q411" s="56" t="inlineStr">
        <is>
          <t>Production - Marketing</t>
        </is>
      </c>
      <c r="R411" s="56" t="inlineStr">
        <is>
          <t>PRODUCTION</t>
        </is>
      </c>
    </row>
    <row r="412">
      <c r="P412" s="56" t="inlineStr">
        <is>
          <t>9178</t>
        </is>
      </c>
      <c r="Q412" s="56" t="inlineStr">
        <is>
          <t>Production – Webcasts</t>
        </is>
      </c>
      <c r="R412" s="56" t="inlineStr">
        <is>
          <t>PRODUCTION</t>
        </is>
      </c>
    </row>
    <row r="413">
      <c r="P413" s="56" t="inlineStr">
        <is>
          <t>9200</t>
        </is>
      </c>
      <c r="Q413" s="56" t="inlineStr">
        <is>
          <t>INTEGRATION</t>
        </is>
      </c>
      <c r="R413" s="56" t="inlineStr">
        <is>
          <t>INTEGRATION</t>
        </is>
      </c>
    </row>
    <row r="414">
      <c r="P414" s="56" t="inlineStr">
        <is>
          <t>9201</t>
        </is>
      </c>
      <c r="Q414" s="56" t="inlineStr">
        <is>
          <t>INTEGRATION - Orientation [INT</t>
        </is>
      </c>
      <c r="R414" s="56" t="inlineStr"/>
    </row>
    <row r="415">
      <c r="P415" s="56" t="inlineStr">
        <is>
          <t>9202</t>
        </is>
      </c>
      <c r="Q415" s="56" t="inlineStr">
        <is>
          <t>INTEGRATION - Quotes</t>
        </is>
      </c>
      <c r="R415" s="56" t="inlineStr">
        <is>
          <t>INTEGRATION</t>
        </is>
      </c>
    </row>
    <row r="416">
      <c r="P416" s="56" t="inlineStr">
        <is>
          <t>9225</t>
        </is>
      </c>
      <c r="Q416" s="56" t="inlineStr">
        <is>
          <t>Integration - SALES</t>
        </is>
      </c>
      <c r="R416" s="56" t="inlineStr">
        <is>
          <t>INTEGRATION</t>
        </is>
      </c>
    </row>
    <row r="417">
      <c r="P417" s="56" t="inlineStr">
        <is>
          <t>9226</t>
        </is>
      </c>
      <c r="Q417" s="56" t="inlineStr">
        <is>
          <t>Integration - Marketing</t>
        </is>
      </c>
      <c r="R417" s="56" t="inlineStr">
        <is>
          <t>INTEGRATION</t>
        </is>
      </c>
    </row>
    <row r="418">
      <c r="P418" s="56" t="inlineStr">
        <is>
          <t>9300</t>
        </is>
      </c>
      <c r="Q418" s="56" t="inlineStr">
        <is>
          <t>HUMAN RESOURCES</t>
        </is>
      </c>
      <c r="R418" s="56" t="inlineStr">
        <is>
          <t>CTS</t>
        </is>
      </c>
    </row>
    <row r="419">
      <c r="P419" s="56" t="inlineStr">
        <is>
          <t>9301</t>
        </is>
      </c>
      <c r="Q419" s="56" t="inlineStr">
        <is>
          <t>Recruitment</t>
        </is>
      </c>
      <c r="R419" s="56" t="inlineStr">
        <is>
          <t>CTS</t>
        </is>
      </c>
    </row>
    <row r="420">
      <c r="P420" s="56" t="inlineStr">
        <is>
          <t>9350</t>
        </is>
      </c>
      <c r="Q420" s="56" t="inlineStr">
        <is>
          <t>MARKETING (external)</t>
        </is>
      </c>
      <c r="R420" s="56" t="inlineStr">
        <is>
          <t>CTS</t>
        </is>
      </c>
    </row>
    <row r="421">
      <c r="P421" s="56" t="inlineStr">
        <is>
          <t>9375</t>
        </is>
      </c>
      <c r="Q421" s="56" t="inlineStr">
        <is>
          <t>MARKETING / COMMS</t>
        </is>
      </c>
      <c r="R421" s="56" t="inlineStr">
        <is>
          <t>CTS</t>
        </is>
      </c>
    </row>
    <row r="422">
      <c r="P422" s="56" t="inlineStr">
        <is>
          <t>9400</t>
        </is>
      </c>
      <c r="Q422" s="56" t="inlineStr">
        <is>
          <t>CONSULTING</t>
        </is>
      </c>
      <c r="R422" s="56" t="inlineStr">
        <is>
          <t>CONSULTING</t>
        </is>
      </c>
    </row>
    <row r="423">
      <c r="P423" s="56" t="inlineStr">
        <is>
          <t>9402</t>
        </is>
      </c>
      <c r="Q423" s="56" t="inlineStr">
        <is>
          <t>CONSULTING - Assets</t>
        </is>
      </c>
      <c r="R423" s="56" t="inlineStr">
        <is>
          <t>CONSULTING</t>
        </is>
      </c>
    </row>
    <row r="424">
      <c r="P424" s="56" t="inlineStr">
        <is>
          <t>9403</t>
        </is>
      </c>
      <c r="Q424" s="56" t="inlineStr">
        <is>
          <t>CONSULTING - Sales</t>
        </is>
      </c>
      <c r="R424" s="56" t="inlineStr">
        <is>
          <t>CONSULTING</t>
        </is>
      </c>
    </row>
    <row r="425">
      <c r="P425" s="56" t="inlineStr">
        <is>
          <t>9405</t>
        </is>
      </c>
      <c r="Q425" s="56" t="inlineStr">
        <is>
          <t>CONSULTING - Marketing</t>
        </is>
      </c>
      <c r="R425" s="56" t="inlineStr">
        <is>
          <t>CONSULTING</t>
        </is>
      </c>
    </row>
    <row r="426">
      <c r="P426" s="56" t="inlineStr">
        <is>
          <t>9407</t>
        </is>
      </c>
      <c r="Q426" s="56" t="inlineStr">
        <is>
          <t>CONSULTING - Training</t>
        </is>
      </c>
      <c r="R426" s="56" t="inlineStr">
        <is>
          <t>CONSULTING</t>
        </is>
      </c>
    </row>
    <row r="427">
      <c r="P427" s="56" t="inlineStr">
        <is>
          <t>974</t>
        </is>
      </c>
      <c r="Q427" s="56" t="inlineStr">
        <is>
          <t>DTTL 1300 Number</t>
        </is>
      </c>
      <c r="R427" s="56"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2026-09-22T01:56:17Z</dcterms:created>
  <dcterms:modified xsi:type="dcterms:W3CDTF">2026-09-22T01:56:21Z</dcterms:modified>
</cp:coreProperties>
</file>