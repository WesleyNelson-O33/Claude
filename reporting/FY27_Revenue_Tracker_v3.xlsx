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Finance" sheetId="2" state="visible" r:id="rId2"/>
    <sheet name="Month-End" sheetId="3" state="visible" r:id="rId3"/>
    <sheet name="WIP Summary" sheetId="4" state="visible" r:id="rId4"/>
    <sheet name="Onsite" sheetId="5" state="visible" r:id="rId5"/>
    <sheet name="Production" sheetId="6" state="visible" r:id="rId6"/>
    <sheet name="Consulting" sheetId="7" state="visible" r:id="rId7"/>
    <sheet name="Other" sheetId="8" state="visible" r:id="rId8"/>
    <sheet name="WIP Movements" sheetId="9" state="visible" r:id="rId9"/>
    <sheet name="Lists" sheetId="10" state="visible" r:id="rId10"/>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Lists!$G$5:$G$10</definedName>
    <definedName name="lst_WIPGL">Lists!$H$5:$H$7</definedName>
    <definedName name="lst_CostCentrePrd">Lists!$I$5:$I$6</definedName>
    <definedName name="lst_RevGL">Lists!$J$5:$J$39</definedName>
    <definedName name="lst_Months">Lists!$M$5:$M$100</definedName>
    <definedName name="lst_Jobs">Lists!$O$5:$O$1500</definedName>
    <definedName name="lst_JobName">Lists!$P$5:$P$1500</definedName>
    <definedName name="lst_JobCC">Lists!$Q$5:$Q$1500</definedName>
  </definedNames>
  <calcPr calcId="124519" fullCalcOnLoad="1"/>
</workbook>
</file>

<file path=xl/styles.xml><?xml version="1.0" encoding="utf-8"?>
<styleSheet xmlns="http://schemas.openxmlformats.org/spreadsheetml/2006/main">
  <numFmts count="5">
    <numFmt numFmtId="164" formatCode="yyyy-mm-dd"/>
    <numFmt numFmtId="165" formatCode="dd-mmm-yy"/>
    <numFmt numFmtId="166" formatCode="$#,##0.00;[Red]-$#,##0.00"/>
    <numFmt numFmtId="167" formatCode="0.0%"/>
    <numFmt numFmtId="168" formatCode="yyyy-mm-dd h:mm:ss"/>
  </numFmts>
  <fonts count="16">
    <font>
      <name val="Calibri"/>
      <family val="2"/>
      <color theme="1"/>
      <sz val="11"/>
      <scheme val="minor"/>
    </font>
    <font>
      <b val="1"/>
      <color rgb="003E5066"/>
      <sz val="16"/>
    </font>
    <font>
      <i val="1"/>
      <color rgb="00595959"/>
      <sz val="10"/>
    </font>
    <font>
      <b val="1"/>
      <color rgb="00FFFFFF"/>
      <sz val="10"/>
    </font>
    <font>
      <sz val="10"/>
    </font>
    <font>
      <color rgb="00595959"/>
      <sz val="10"/>
    </font>
    <font>
      <b val="1"/>
      <color rgb="00FFFFFF"/>
      <sz val="9"/>
    </font>
    <font>
      <b val="1"/>
      <sz val="11"/>
    </font>
    <font>
      <i val="1"/>
      <color rgb="00808080"/>
      <sz val="9"/>
    </font>
    <font>
      <b val="1"/>
      <color rgb="003E5066"/>
      <sz val="11"/>
    </font>
    <font>
      <b val="1"/>
      <color rgb="003E5066"/>
      <sz val="12"/>
    </font>
    <font>
      <b val="1"/>
      <color rgb="00FFFFFF"/>
      <sz val="11"/>
    </font>
    <font>
      <b val="1"/>
      <sz val="10"/>
    </font>
    <font>
      <b val="1"/>
      <color rgb="003E5066"/>
      <sz val="10"/>
    </font>
    <font>
      <b val="1"/>
      <sz val="9"/>
    </font>
    <font>
      <b val="1"/>
      <color rgb="003E5066"/>
      <sz val="20"/>
    </font>
  </fonts>
  <fills count="8">
    <fill>
      <patternFill/>
    </fill>
    <fill>
      <patternFill patternType="gray125"/>
    </fill>
    <fill>
      <patternFill patternType="solid">
        <fgColor rgb="005B708A"/>
      </patternFill>
    </fill>
    <fill>
      <patternFill patternType="solid">
        <fgColor rgb="003E5066"/>
      </patternFill>
    </fill>
    <fill>
      <patternFill patternType="solid">
        <fgColor rgb="00F2F2F2"/>
      </patternFill>
    </fill>
    <fill>
      <patternFill patternType="solid">
        <fgColor rgb="00FFF9E6"/>
      </patternFill>
    </fill>
    <fill>
      <patternFill patternType="solid">
        <fgColor rgb="00EDF1F6"/>
      </patternFill>
    </fill>
    <fill>
      <patternFill patternType="solid">
        <fgColor rgb="008B2B2B"/>
      </patternFill>
    </fill>
  </fills>
  <borders count="6">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top style="thin">
        <color rgb="00B7B7B7"/>
      </top>
      <bottom style="thin">
        <color rgb="00B7B7B7"/>
      </bottom>
      <diagonal/>
    </border>
    <border>
      <left/>
      <right style="thin">
        <color rgb="00B7B7B7"/>
      </right>
      <top style="thin">
        <color rgb="00B7B7B7"/>
      </top>
      <bottom style="thin">
        <color rgb="00B7B7B7"/>
      </bottom>
      <diagonal/>
    </border>
  </borders>
  <cellStyleXfs count="1">
    <xf numFmtId="0" fontId="0" fillId="0" borderId="0"/>
  </cellStyleXfs>
  <cellXfs count="59">
    <xf numFmtId="0" fontId="0" fillId="0" borderId="0" pivotButton="0" quotePrefix="0" xfId="0"/>
    <xf numFmtId="0" fontId="15" fillId="0" borderId="0" pivotButton="0" quotePrefix="0" xfId="0"/>
    <xf numFmtId="0" fontId="2" fillId="0" borderId="0" pivotButton="0" quotePrefix="0" xfId="0"/>
    <xf numFmtId="0" fontId="11" fillId="3" borderId="0" applyAlignment="1" pivotButton="0" quotePrefix="0" xfId="0">
      <alignment vertical="center" indent="1"/>
    </xf>
    <xf numFmtId="0" fontId="4" fillId="0" borderId="0" applyAlignment="1" pivotButton="0" quotePrefix="0" xfId="0">
      <alignment vertical="top" wrapText="1"/>
    </xf>
    <xf numFmtId="0" fontId="13" fillId="6" borderId="1" applyAlignment="1" pivotButton="0" quotePrefix="0" xfId="0">
      <alignment vertical="top"/>
    </xf>
    <xf numFmtId="0" fontId="4" fillId="0" borderId="1" applyAlignment="1" pivotButton="0" quotePrefix="0" xfId="0">
      <alignment vertical="top" wrapText="1"/>
    </xf>
    <xf numFmtId="0" fontId="11" fillId="7" borderId="0" applyAlignment="1" pivotButton="0" quotePrefix="0" xfId="0">
      <alignment vertical="center" indent="1"/>
    </xf>
    <xf numFmtId="165" fontId="4" fillId="0" borderId="0" pivotButton="0" quotePrefix="0" xfId="0"/>
    <xf numFmtId="17" fontId="4" fillId="0" borderId="0" pivotButton="0" quotePrefix="0" xfId="0"/>
    <xf numFmtId="49" fontId="4" fillId="0" borderId="0" pivotButton="0" quotePrefix="0" xfId="0"/>
    <xf numFmtId="166" fontId="4" fillId="0" borderId="0" pivotButton="0" quotePrefix="0" xfId="0"/>
    <xf numFmtId="0" fontId="1" fillId="0" borderId="0" pivotButton="0" quotePrefix="0" xfId="0"/>
    <xf numFmtId="0" fontId="6" fillId="2" borderId="1" applyAlignment="1" pivotButton="0" quotePrefix="0" xfId="0">
      <alignment horizontal="center" vertical="center"/>
    </xf>
    <xf numFmtId="0" fontId="0" fillId="0" borderId="1" pivotButton="0" quotePrefix="0" xfId="0"/>
    <xf numFmtId="49" fontId="7" fillId="5" borderId="1" applyAlignment="1" pivotButton="0" quotePrefix="0" xfId="0">
      <alignment horizontal="center" vertical="center"/>
    </xf>
    <xf numFmtId="17" fontId="7" fillId="5" borderId="1" applyAlignment="1" pivotButton="0" quotePrefix="0" xfId="0">
      <alignment horizontal="center" vertical="center"/>
    </xf>
    <xf numFmtId="0" fontId="8" fillId="0" borderId="0" pivotButton="0" quotePrefix="0" xfId="0"/>
    <xf numFmtId="0" fontId="9" fillId="6" borderId="1" applyAlignment="1" pivotButton="0" quotePrefix="0" xfId="0">
      <alignment horizontal="left" vertical="center" indent="1"/>
    </xf>
    <xf numFmtId="0" fontId="3" fillId="3" borderId="1" applyAlignment="1" pivotButton="0" quotePrefix="0" xfId="0">
      <alignment horizontal="center" vertical="center" wrapText="1"/>
    </xf>
    <xf numFmtId="0" fontId="7" fillId="0" borderId="0" pivotButton="0" quotePrefix="0" xfId="0"/>
    <xf numFmtId="17" fontId="10" fillId="5" borderId="1" applyAlignment="1" pivotButton="0" quotePrefix="0" xfId="0">
      <alignment horizontal="center"/>
    </xf>
    <xf numFmtId="0" fontId="6" fillId="2" borderId="1" applyAlignment="1" pivotButton="0" quotePrefix="0" xfId="0">
      <alignment horizontal="center" vertical="center" wrapText="1"/>
    </xf>
    <xf numFmtId="0" fontId="12" fillId="0" borderId="1" pivotButton="0" quotePrefix="0" xfId="0"/>
    <xf numFmtId="166" fontId="0" fillId="0" borderId="1" pivotButton="0" quotePrefix="0" xfId="0"/>
    <xf numFmtId="166" fontId="0" fillId="4" borderId="1" pivotButton="0" quotePrefix="0" xfId="0"/>
    <xf numFmtId="166" fontId="0" fillId="5" borderId="1" pivotButton="0" quotePrefix="0" xfId="0"/>
    <xf numFmtId="0" fontId="3" fillId="2" borderId="1" pivotButton="0" quotePrefix="0" xfId="0"/>
    <xf numFmtId="166" fontId="3" fillId="2" borderId="1" pivotButton="0" quotePrefix="0" xfId="0"/>
    <xf numFmtId="0" fontId="4" fillId="0" borderId="0" pivotButton="0" quotePrefix="0" xfId="0"/>
    <xf numFmtId="0" fontId="12" fillId="0" borderId="0" pivotButton="0" quotePrefix="0" xfId="0"/>
    <xf numFmtId="166" fontId="13" fillId="6" borderId="1" pivotButton="0" quotePrefix="0" xfId="0"/>
    <xf numFmtId="167" fontId="13" fillId="6" borderId="1" pivotButton="0" quotePrefix="0" xfId="0"/>
    <xf numFmtId="3" fontId="0" fillId="4" borderId="1" pivotButton="0" quotePrefix="0" xfId="0"/>
    <xf numFmtId="4" fontId="0" fillId="4" borderId="1" pivotButton="0" quotePrefix="0" xfId="0"/>
    <xf numFmtId="0" fontId="0" fillId="0" borderId="1" applyAlignment="1" pivotButton="0" quotePrefix="0" xfId="0">
      <alignment horizontal="center"/>
    </xf>
    <xf numFmtId="166" fontId="12" fillId="4" borderId="1" pivotButton="0" quotePrefix="0" xfId="0"/>
    <xf numFmtId="0" fontId="14" fillId="0" borderId="1" applyAlignment="1" pivotButton="0" quotePrefix="0" xfId="0">
      <alignment horizontal="center"/>
    </xf>
    <xf numFmtId="3" fontId="12" fillId="4" borderId="1" applyAlignment="1" pivotButton="0" quotePrefix="0" xfId="0">
      <alignment horizontal="center"/>
    </xf>
    <xf numFmtId="166" fontId="12" fillId="4" borderId="1" applyAlignment="1" pivotButton="0" quotePrefix="0" xfId="0">
      <alignment horizontal="center"/>
    </xf>
    <xf numFmtId="0" fontId="0" fillId="5" borderId="1" pivotButton="0" quotePrefix="0" xfId="0"/>
    <xf numFmtId="0" fontId="0" fillId="0" borderId="4" pivotButton="0" quotePrefix="0" xfId="0"/>
    <xf numFmtId="0" fontId="0" fillId="0" borderId="5" pivotButton="0" quotePrefix="0" xfId="0"/>
    <xf numFmtId="49" fontId="0" fillId="0" borderId="0" pivotButton="0" quotePrefix="0" xfId="0"/>
    <xf numFmtId="166" fontId="0" fillId="0" borderId="0" pivotButton="0" quotePrefix="0" xfId="0"/>
    <xf numFmtId="17" fontId="10" fillId="4" borderId="1" applyAlignment="1" pivotButton="0" quotePrefix="0" xfId="0">
      <alignment horizontal="center"/>
    </xf>
    <xf numFmtId="166" fontId="13" fillId="4" borderId="1" pivotButton="0" quotePrefix="0" xfId="0"/>
    <xf numFmtId="0" fontId="3" fillId="2" borderId="1" applyAlignment="1" pivotButton="0" quotePrefix="0" xfId="0">
      <alignment horizontal="center" vertical="center" wrapText="1"/>
    </xf>
    <xf numFmtId="165" fontId="4" fillId="0" borderId="1" pivotButton="0" quotePrefix="0" xfId="0"/>
    <xf numFmtId="17" fontId="5" fillId="4" borderId="1" pivotButton="0" quotePrefix="0" xfId="0"/>
    <xf numFmtId="49" fontId="5" fillId="4" borderId="1" pivotButton="0" quotePrefix="0" xfId="0"/>
    <xf numFmtId="49" fontId="4" fillId="0" borderId="1" pivotButton="0" quotePrefix="0" xfId="0"/>
    <xf numFmtId="166" fontId="4" fillId="0" borderId="1" pivotButton="0" quotePrefix="0" xfId="0"/>
    <xf numFmtId="166" fontId="5" fillId="4" borderId="1" pivotButton="0" quotePrefix="0" xfId="0"/>
    <xf numFmtId="4" fontId="4" fillId="0" borderId="1" pivotButton="0" quotePrefix="0" xfId="0"/>
    <xf numFmtId="167" fontId="5" fillId="4" borderId="1" pivotButton="0" quotePrefix="0" xfId="0"/>
    <xf numFmtId="17" fontId="4" fillId="0" borderId="1" pivotButton="0" quotePrefix="0" xfId="0"/>
    <xf numFmtId="49" fontId="0" fillId="0" borderId="1" pivotButton="0" quotePrefix="0" xfId="0"/>
    <xf numFmtId="17" fontId="0" fillId="0" borderId="1" pivotButton="0" quotePrefix="0" xfId="0"/>
  </cellXfs>
  <cellStyles count="1">
    <cellStyle name="Normal" xfId="0" builtinId="0" hidden="0"/>
  </cellStyles>
  <dxfs count="3">
    <dxf>
      <fill>
        <patternFill patternType="solid">
          <fgColor rgb="00FCE4E4"/>
        </patternFill>
      </fill>
    </dxf>
    <dxf>
      <fill>
        <patternFill patternType="solid">
          <fgColor rgb="00E2EFDA"/>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tbl_Onsite" displayName="tbl_Onsite" ref="A4:W58" headerRowCount="1">
  <autoFilter ref="A4:W58"/>
  <tableColumns count="23">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 id="20" name="PO / Reference"/>
    <tableColumn id="21" name="Ariba Status"/>
    <tableColumn id="22" name="Billable Hours"/>
    <tableColumn id="23" name="Approved By"/>
  </tableColumns>
  <tableStyleInfo name="TableStyleLight1" showFirstColumn="0" showLastColumn="0" showRowStripes="1" showColumnStripes="0"/>
</table>
</file>

<file path=xl/tables/table2.xml><?xml version="1.0" encoding="utf-8"?>
<table xmlns="http://schemas.openxmlformats.org/spreadsheetml/2006/main" id="2" name="tbl_Production" displayName="tbl_Production" ref="A4:AN65" headerRowCount="1">
  <autoFilter ref="A4:AN65"/>
  <tableColumns count="40">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 id="20" name="Video Revenue"/>
    <tableColumn id="21" name="Production Revenue"/>
    <tableColumn id="22" name="Video Split"/>
    <tableColumn id="23" name="Video GST"/>
    <tableColumn id="24" name="Client Email"/>
    <tableColumn id="25" name="Event Date"/>
    <tableColumn id="26" name="Current RMS No"/>
    <tableColumn id="27" name="Zoho Number"/>
    <tableColumn id="28" name="Job Closed"/>
    <tableColumn id="29" name="Discounts Included"/>
    <tableColumn id="30" name="Discount %"/>
    <tableColumn id="31" name="Cross Hire Expense"/>
    <tableColumn id="32" name="Labour Expense (Internal)"/>
    <tableColumn id="33" name="Net Total"/>
    <tableColumn id="34" name="Margin"/>
    <tableColumn id="35" name="Margin %"/>
    <tableColumn id="36" name="Video Filming Hrs"/>
    <tableColumn id="37" name="Video Editing Hrs"/>
    <tableColumn id="38" name="Project Mgmt Hrs"/>
    <tableColumn id="39" name="Video Project Mgmt Hrs"/>
    <tableColumn id="40" name="Production Labour Hrs"/>
  </tableColumns>
  <tableStyleInfo name="TableStyleLight1" showFirstColumn="0" showLastColumn="0" showRowStripes="1" showColumnStripes="0"/>
</table>
</file>

<file path=xl/tables/table3.xml><?xml version="1.0" encoding="utf-8"?>
<table xmlns="http://schemas.openxmlformats.org/spreadsheetml/2006/main" id="3" name="tbl_Consulting" displayName="tbl_Consulting" ref="A4:AE38" headerRowCount="1">
  <autoFilter ref="A4:AE38"/>
  <tableColumns count="31">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 id="20" name="Qwilr Link"/>
    <tableColumn id="21" name="Opportunity No"/>
    <tableColumn id="22" name="Labour Revenue"/>
    <tableColumn id="23" name="Equipment Revenue"/>
    <tableColumn id="24" name="Subscription Revenue"/>
    <tableColumn id="25" name="Labour Expense (External)"/>
    <tableColumn id="26" name="Equipment Expense (Internal)"/>
    <tableColumn id="27" name="Subscription &amp; Licences Expense"/>
    <tableColumn id="28" name="Total Expense"/>
    <tableColumn id="29" name="Margin"/>
    <tableColumn id="30" name="Margin %"/>
    <tableColumn id="31" name="Revenue Split Check"/>
  </tableColumns>
  <tableStyleInfo name="TableStyleLight1" showFirstColumn="0" showLastColumn="0" showRowStripes="1" showColumnStripes="0"/>
</table>
</file>

<file path=xl/tables/table4.xml><?xml version="1.0" encoding="utf-8"?>
<table xmlns="http://schemas.openxmlformats.org/spreadsheetml/2006/main" id="4" name="tbl_Other" displayName="tbl_Other" ref="A4:S5" headerRowCount="1">
  <autoFilter ref="A4:S5"/>
  <tableColumns count="19">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s>
  <tableStyleInfo name="TableStyleLight1" showFirstColumn="0" showLastColumn="0" showRowStripes="1" showColumnStripes="0"/>
</table>
</file>

<file path=xl/tables/table5.xml><?xml version="1.0" encoding="utf-8"?>
<table xmlns="http://schemas.openxmlformats.org/spreadsheetml/2006/main" id="5" name="tbl_WIP" displayName="tbl_WIP" ref="A4:M130" headerRowCount="1">
  <autoFilter ref="A4:M130"/>
  <tableColumns count="13">
    <tableColumn id="1" name="Month"/>
    <tableColumn id="2" name="Job Number"/>
    <tableColumn id="3" name="Job in Xero?"/>
    <tableColumn id="4" name="Client"/>
    <tableColumn id="5" name="Cost Centre"/>
    <tableColumn id="6" name="Description"/>
    <tableColumn id="7" name="Type"/>
    <tableColumn id="8" name="Xero Invoice No"/>
    <tableColumn id="9" name="Amount"/>
    <tableColumn id="10" name="GL Code"/>
    <tableColumn id="11" name="Journal Ref"/>
    <tableColumn id="12" name="Posted to Xero"/>
    <tableColumn id="13"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7F7F7F"/>
    <outlinePr summaryBelow="1" summaryRight="1"/>
    <pageSetUpPr/>
  </sheetPr>
  <dimension ref="B2:C65"/>
  <sheetViews>
    <sheetView showGridLines="0" tabSelected="1" zoomScale="90" workbookViewId="0">
      <selection activeCell="A1" sqref="A1"/>
    </sheetView>
  </sheetViews>
  <sheetFormatPr baseColWidth="8" defaultRowHeight="15"/>
  <cols>
    <col width="3" customWidth="1" min="1" max="1"/>
    <col width="30" customWidth="1" min="2" max="2"/>
    <col width="108" customWidth="1" min="3" max="3"/>
  </cols>
  <sheetData>
    <row r="2" ht="28" customHeight="1">
      <c r="B2" s="1" t="inlineStr">
        <is>
          <t>FY27 Revenue Tracker</t>
        </is>
      </c>
    </row>
    <row r="3" ht="16" customHeight="1">
      <c r="B3" s="2" t="inlineStr">
        <is>
          <t>Corporate Technology Services Pty Ltd  -  built to replace FY27_Revenue_Tracker_v2.xlsm</t>
        </is>
      </c>
    </row>
    <row r="4" ht="10" customHeight="1"/>
    <row r="5" ht="22" customHeight="1">
      <c r="B5" s="3" t="inlineStr">
        <is>
          <t>WHY THIS VERSION IS NOT SLOW</t>
        </is>
      </c>
    </row>
    <row r="6" ht="42" customHeight="1">
      <c r="C6" s="4" t="inlineStr">
        <is>
          <t>The old file was slow because of the macro, not the data. Every time you typed in a cell, the macro copied 26 columns x 200 rows back into hidden storage columns, and every time you changed the department dropdown it rewrote the column widths, number formats and dropdowns for the whole sheet.</t>
        </is>
      </c>
    </row>
    <row r="7" ht="28" customHeight="1">
      <c r="C7" s="4" t="inlineStr">
        <is>
          <t>It also had a hard ceiling: 200 rows per department, 800 rows in total. It could never have held years of data.</t>
        </is>
      </c>
    </row>
    <row r="8" ht="42" customHeight="1">
      <c r="C8" s="4" t="inlineStr">
        <is>
          <t>This workbook has no macros at all. Each department is a real sheet with a real Excel Table. Finance pulls them together with one formula. Nothing is copied, nothing is rewritten, nothing runs when you type. It is saved as .xlsx, so there is no macro warning and no blocked-file problem on SharePoint.</t>
        </is>
      </c>
    </row>
    <row r="9" ht="28" customHeight="1">
      <c r="C9" s="4" t="inlineStr">
        <is>
          <t>Row limit: about a million rows per sheet. Realistically this holds a decade of invoicing without slowing down.</t>
        </is>
      </c>
    </row>
    <row r="10" ht="10" customHeight="1"/>
    <row r="11" ht="22" customHeight="1">
      <c r="B11" s="3" t="inlineStr">
        <is>
          <t>HOW IT FITS TOGETHER</t>
        </is>
      </c>
    </row>
    <row r="12" ht="30" customHeight="1">
      <c r="B12" s="5" t="inlineStr">
        <is>
          <t>Onsite / Production / Consulting / Other</t>
        </is>
      </c>
      <c r="C12" s="6" t="inlineStr">
        <is>
          <t>Where the departments work. One row per Xero invoice. Type left to right. Grey columns are formulas - leave them alone.</t>
        </is>
      </c>
    </row>
    <row r="13" ht="30" customHeight="1">
      <c r="B13" s="5" t="inlineStr">
        <is>
          <t>WIP Movements</t>
        </is>
      </c>
      <c r="C13" s="6" t="inlineStr">
        <is>
          <t>Every journal that moves revenue between the P&amp;L and GL 11300 Work in Progress. One row per job per month.</t>
        </is>
      </c>
    </row>
    <row r="14" ht="30" customHeight="1">
      <c r="B14" s="5" t="inlineStr">
        <is>
          <t>Finance</t>
        </is>
      </c>
      <c r="C14" s="6" t="inlineStr">
        <is>
          <t>Read-only. Stacks all four department sheets into one list of 19 columns. Filter by team, cost centre, month, status or free text. Rebuilds instantly - there is nothing to refresh.</t>
        </is>
      </c>
    </row>
    <row r="15" ht="30" customHeight="1">
      <c r="B15" s="5" t="inlineStr">
        <is>
          <t>Month-End</t>
        </is>
      </c>
      <c r="C15" s="6" t="inlineStr">
        <is>
          <t>The close. Revenue by cost centre against Xero, the video/production split, the WIP reconciliation, sixteen data checks, and a sign-off box.</t>
        </is>
      </c>
    </row>
    <row r="16" ht="30" customHeight="1">
      <c r="B16" s="5" t="inlineStr">
        <is>
          <t>WIP Summary</t>
        </is>
      </c>
      <c r="C16" s="6" t="inlineStr">
        <is>
          <t>WIP opening / movement / closing for every job, for the selected month, so you can tie job by job back to the WIP Schedule file.</t>
        </is>
      </c>
    </row>
    <row r="17" ht="45" customHeight="1">
      <c r="B17" s="5" t="inlineStr">
        <is>
          <t>Lists</t>
        </is>
      </c>
      <c r="C17" s="6" t="inlineStr">
        <is>
          <t>Every dropdown reads from here. The cost centres, job numbers and revenue GL codes were pulled straight out of your Xero organisation, so they already match. Add a new value at the bottom of a list and it appears in the dropdowns straight away.</t>
        </is>
      </c>
    </row>
    <row r="18" ht="10" customHeight="1"/>
    <row r="19" ht="22" customHeight="1">
      <c r="B19" s="3" t="inlineStr">
        <is>
          <t>THE COLUMNS EVERY DEPARTMENT SHARES</t>
        </is>
      </c>
    </row>
    <row r="20" ht="42" customHeight="1">
      <c r="C20" s="4" t="inlineStr">
        <is>
          <t>Columns A to S are identical on all four department sheets - that is what lets Finance stack them. Department-specific columns start at column T and Finance ignores them. If you add a fifth department, copy any department sheet, keep columns A to S as they are, name the table, and add it to the Finance formula.</t>
        </is>
      </c>
    </row>
    <row r="21" ht="10" customHeight="1"/>
    <row r="22" ht="22" customHeight="1">
      <c r="B22" s="3" t="inlineStr">
        <is>
          <t>VIDEO REVENUE  -  how the Production sheet splits it</t>
        </is>
      </c>
    </row>
    <row r="23" ht="28" customHeight="1">
      <c r="C23" s="4" t="inlineStr">
        <is>
          <t>An invoice can carry both production and video work, and in Xero those are two different Cost Centres on the same invoice. So the Production sheet splits the money rather than the row.</t>
        </is>
      </c>
    </row>
    <row r="24" ht="28" customHeight="1">
      <c r="C24" s="4" t="inlineStr">
        <is>
          <t xml:space="preserve">   Video Revenue (column T) is the only figure you type. It is the ex-GST portion of the invoice coded to VIDEO in Xero. Leave it blank for a job with no video.</t>
        </is>
      </c>
    </row>
    <row r="25" ht="14" customHeight="1">
      <c r="C25" s="4" t="inlineStr">
        <is>
          <t xml:space="preserve">   Production Revenue (column U) is the remainder, worked out for you.</t>
        </is>
      </c>
    </row>
    <row r="26" ht="28" customHeight="1">
      <c r="C26" s="4" t="inlineStr">
        <is>
          <t xml:space="preserve">   Video Split (column V) tells you what the row is: All production, Split, All video, or CHECK if the numbers do not add up. Amber means split, red means something is wrong.</t>
        </is>
      </c>
    </row>
    <row r="27" ht="28" customHeight="1">
      <c r="C27" s="4" t="inlineStr">
        <is>
          <t xml:space="preserve">   Video GST (column W) apportions the GST the same way, so Inc GST still adds up on every line of the Month-End breakdown.</t>
        </is>
      </c>
    </row>
    <row r="28" ht="42" customHeight="1">
      <c r="C28" s="4" t="inlineStr">
        <is>
          <t>For a pure video job set Cost Centre to VIDEO and put the full invoice in Video Revenue. The check flags it if you set VIDEO but do not split the whole amount. The Cost Centre dropdown on this sheet is limited to PRODUCTION and VIDEO - anything else belongs on another sheet.</t>
        </is>
      </c>
    </row>
    <row r="29" ht="42" customHeight="1">
      <c r="C29" s="4" t="inlineStr">
        <is>
          <t>Month-End section 1 reads these two columns for the PRODUCTION and VIDEO lines, so video revenue reconciles against the VIDEO cost centre in Xero. The two lines always add back to the Production sheet total, so nothing can leak between them. Section 2 shows the split for the month on its own.</t>
        </is>
      </c>
    </row>
    <row r="30" ht="10" customHeight="1"/>
    <row r="31" ht="22" customHeight="1">
      <c r="B31" s="3" t="inlineStr">
        <is>
          <t>THE WIP SIGN RULE  -  read this once and it will always make sense</t>
        </is>
      </c>
    </row>
    <row r="32" ht="14" customHeight="1">
      <c r="C32" s="4" t="inlineStr">
        <is>
          <t>One signed Amount column does both jobs, because GL 11300 nets accrued and deferred revenue.</t>
        </is>
      </c>
    </row>
    <row r="33" ht="28" customHeight="1">
      <c r="C33" s="4" t="inlineStr">
        <is>
          <t xml:space="preserve">   Positive  =  revenue recognised this month.  Work done but not yet invoiced (Dr 11300, Cr Revenue), or a deferral being released.</t>
        </is>
      </c>
    </row>
    <row r="34" ht="14" customHeight="1">
      <c r="C34" s="4" t="inlineStr">
        <is>
          <t xml:space="preserve">   Negative  =  revenue pushed out of this month.  Invoiced in advance (Dr Revenue, Cr 11300).</t>
        </is>
      </c>
    </row>
    <row r="35" ht="42" customHeight="1">
      <c r="C35" s="4" t="inlineStr">
        <is>
          <t>So: Revenue recognised  =  Invoiced Ex GST  +  WIP movement.  And the running total of the Amount column is the GL 11300 balance. A negative closing balance means you are net deferred, which is what your current WIP Schedule shows (-128,544.93 at Aug-26).</t>
        </is>
      </c>
    </row>
    <row r="36" ht="10" customHeight="1"/>
    <row r="37" ht="22" customHeight="1">
      <c r="B37" s="3" t="inlineStr">
        <is>
          <t>MONTH-END, IN ORDER</t>
        </is>
      </c>
    </row>
    <row r="38" ht="14" customHeight="1">
      <c r="C38" s="4" t="inlineStr">
        <is>
          <t>1.  Chase the departments until every invoice for the month is on their sheet and Posted to Xero is Y.</t>
        </is>
      </c>
    </row>
    <row r="39" ht="14" customHeight="1">
      <c r="C39" s="4" t="inlineStr">
        <is>
          <t>2.  Open Month-End and set the month.</t>
        </is>
      </c>
    </row>
    <row r="40" ht="14" customHeight="1">
      <c r="C40" s="4" t="inlineStr">
        <is>
          <t>3.  Work section 3 (Data checks) first. Every count must be zero. Fix on the department sheet, not here.</t>
        </is>
      </c>
    </row>
    <row r="41" ht="28" customHeight="1">
      <c r="C41" s="4" t="inlineStr">
        <is>
          <t>4.  Section 1: run the Xero P&amp;L for the month by Cost Centre tracking category and type the revenue into the yellow column. Each line should read Reconciled.</t>
        </is>
      </c>
    </row>
    <row r="42" ht="28" customHeight="1">
      <c r="C42" s="4" t="inlineStr">
        <is>
          <t>5.  Section 2: type the WIP Schedule closing balance and the Xero GL 11300 balance. Both should read Reconciled.</t>
        </is>
      </c>
    </row>
    <row r="43" ht="28" customHeight="1">
      <c r="C43" s="4" t="inlineStr">
        <is>
          <t>6.  Breaks in section 2 - open WIP Summary, paste the WIP Schedule balances into column G and the variance column shows you which job is out.</t>
        </is>
      </c>
    </row>
    <row r="44" ht="14" customHeight="1">
      <c r="C44" s="4" t="inlineStr">
        <is>
          <t>7.  Sign off in section 4.</t>
        </is>
      </c>
    </row>
    <row r="45" ht="10" customHeight="1"/>
    <row r="46" ht="22" customHeight="1">
      <c r="B46" s="3" t="inlineStr">
        <is>
          <t>RULES THAT KEEP IT FAST</t>
        </is>
      </c>
    </row>
    <row r="47" ht="14" customHeight="1">
      <c r="C47" s="4" t="inlineStr">
        <is>
          <t xml:space="preserve">   Never insert or delete rows above the header row on a department sheet.</t>
        </is>
      </c>
    </row>
    <row r="48" ht="28" customHeight="1">
      <c r="C48" s="4" t="inlineStr">
        <is>
          <t xml:space="preserve">   Add new rows by clicking the last cell of the table and pressing Tab - the table grows and the formulas follow.</t>
        </is>
      </c>
    </row>
    <row r="49" ht="14" customHeight="1">
      <c r="C49" s="4" t="inlineStr">
        <is>
          <t xml:space="preserve">   Do not paste whole columns in. Paste values only, into the table.</t>
        </is>
      </c>
    </row>
    <row r="50" ht="28" customHeight="1">
      <c r="C50" s="4" t="inlineStr">
        <is>
          <t xml:space="preserve">   Do not add conditional formatting over whole columns (A:A). That is the other classic way to make Excel crawl.</t>
        </is>
      </c>
    </row>
    <row r="51" ht="28" customHeight="1">
      <c r="C51" s="4" t="inlineStr">
        <is>
          <t xml:space="preserve">   Leave calculation on Automatic. There is nothing volatile in here - no OFFSET, no INDIRECT, no TODAY in bulk.</t>
        </is>
      </c>
    </row>
    <row r="52" ht="14" customHeight="1">
      <c r="C52" s="4" t="inlineStr">
        <is>
          <t xml:space="preserve">   Keep it as .xlsx. The moment someone saves it as .xlsm and adds a macro, you are back where you started.</t>
        </is>
      </c>
    </row>
    <row r="53" ht="10" customHeight="1"/>
    <row r="54" ht="22" customHeight="1">
      <c r="B54" s="3" t="inlineStr">
        <is>
          <t>WHAT WAS BROUGHT ACROSS FROM THE OLD FILE</t>
        </is>
      </c>
    </row>
    <row r="55" ht="28" customHeight="1">
      <c r="C55" s="4" t="inlineStr">
        <is>
          <t xml:space="preserve">   Onsite (was "Support"): 54 rows.   Production: 61 rows.   Consulting: 34 rows.   WIP Movements: 126 rows.</t>
        </is>
      </c>
    </row>
    <row r="56" ht="14" customHeight="1">
      <c r="C56" s="4" t="inlineStr">
        <is>
          <t xml:space="preserve">   "Support" was renamed ONSITE to match the Cost Centre tracking category in Xero.</t>
        </is>
      </c>
    </row>
    <row r="57" ht="28" customHeight="1">
      <c r="C57" s="4" t="inlineStr">
        <is>
          <t xml:space="preserve">   Department totals tie to the cent: Onsite 512,023.81, Production 460,883.46, Consulting 857,950.27, WIP 17,537.91.</t>
        </is>
      </c>
    </row>
    <row r="58" ht="28" customHeight="1">
      <c r="C58" s="4" t="inlineStr">
        <is>
          <t xml:space="preserve">   Margins, GST, net totals and discount percentages were all recalculated by formula rather than copied, so the numbers are derived, not stale.</t>
        </is>
      </c>
    </row>
    <row r="59" ht="28" customHeight="1">
      <c r="C59" s="4" t="inlineStr">
        <is>
          <t xml:space="preserve">   Revenue GL codes were assigned by rule on migration (Onsite 41100, Production 42100, Video 42150, Consulting 42800, Integration 42300). Spot-check these - they are a starting point, not gospel.</t>
        </is>
      </c>
    </row>
    <row r="60" ht="28" customHeight="1">
      <c r="C60" s="4" t="inlineStr">
        <is>
          <t xml:space="preserve">   The 126 migrated WIP rows were given a Type based on the sign of the amount. Confirm those before you rely on them.</t>
        </is>
      </c>
    </row>
    <row r="61" ht="10" customHeight="1"/>
    <row r="62" ht="22" customHeight="1">
      <c r="B62" s="7" t="inlineStr">
        <is>
          <t>TWO THINGS TO CONFIRM BEFORE YOU RELY ON THIS</t>
        </is>
      </c>
    </row>
    <row r="63" ht="70" customHeight="1">
      <c r="C63" s="4" t="inlineStr">
        <is>
          <t>Production revenue basis. The old Dashboard reported Production on "Net Total", which is Invoice Value minus Discounts Included - $415,476.74 against an invoice value of $460,883.46, a gap of $45,406.72. Xero holds the invoice value, so this workbook reconciles on Ex GST (invoice value) and keeps Net Total as a separate management column. If the discount is applied inside the Xero invoice, Ex GST is the right basis and the old Dashboard was under-reporting Production by the discount. Confirm this.</t>
        </is>
      </c>
    </row>
    <row r="64" ht="42" customHeight="1">
      <c r="C64" s="4" t="inlineStr">
        <is>
          <t>Undated rows. $93,346.99 across 21 migrated rows has an amount but no date, so it cannot belong to a month. They show on the department sheets and on Finance when the month filter is All, and Month-End reports the dollar value. Date them and the figure goes to zero.</t>
        </is>
      </c>
    </row>
    <row r="65" ht="42" customHeight="1">
      <c r="C65" s="4" t="inlineStr">
        <is>
          <t>Separately: the old Dashboard only bucketed Jul-26 to Jun-27, so Consulting rows dated May-25 to Jun-26 were counted as "undated" - that is why its reconciliation showed $495,403.50 unallocated against Consulting. This workbook covers FY24 to FY31, so those rows land in their real month.</t>
        </is>
      </c>
    </row>
  </sheetData>
  <mergeCells count="9">
    <mergeCell ref="B54:C54"/>
    <mergeCell ref="B62:C62"/>
    <mergeCell ref="B11:C11"/>
    <mergeCell ref="B19:C19"/>
    <mergeCell ref="B5:C5"/>
    <mergeCell ref="B37:C37"/>
    <mergeCell ref="B46:C46"/>
    <mergeCell ref="B22:C22"/>
    <mergeCell ref="B31:C31"/>
  </mergeCells>
  <pageMargins left="0.75" right="0.75" top="1" bottom="1" header="0.5" footer="0.5"/>
</worksheet>
</file>

<file path=xl/worksheets/sheet2.xml><?xml version="1.0" encoding="utf-8"?>
<worksheet xmlns="http://schemas.openxmlformats.org/spreadsheetml/2006/main">
  <sheetPr>
    <tabColor rgb="003E5066"/>
    <outlinePr summaryBelow="1" summaryRight="1"/>
    <pageSetUpPr/>
  </sheetPr>
  <dimension ref="A1:S8"/>
  <sheetViews>
    <sheetView showGridLines="0" tabSelected="0" zoomScale="90" workbookViewId="0">
      <pane ySplit="7" topLeftCell="A8" activePane="bottomLeft" state="frozen"/>
      <selection pane="bottomLeft" activeCell="A1" sqref="A1"/>
    </sheetView>
  </sheetViews>
  <sheetFormatPr baseColWidth="8" defaultRowHeight="15"/>
  <cols>
    <col width="11" customWidth="1" style="8" min="1" max="1"/>
    <col width="10" customWidth="1" style="9" min="2" max="2"/>
    <col width="13" customWidth="1" style="10" min="3" max="3"/>
    <col width="14" customWidth="1" style="10" min="4" max="4"/>
    <col width="26" customWidth="1" style="10" min="5" max="5"/>
    <col width="15" customWidth="1" style="10" min="6" max="6"/>
    <col width="12" customWidth="1" style="10" min="7" max="7"/>
    <col width="46" customWidth="1" style="10" min="8" max="8"/>
    <col width="16" customWidth="1" style="10" min="9" max="9"/>
    <col width="16" customWidth="1" style="10" min="10" max="10"/>
    <col width="12" customWidth="1" style="10" min="11" max="11"/>
    <col width="14" customWidth="1" style="11" min="12" max="12"/>
    <col width="12" customWidth="1" style="11" min="13" max="13"/>
    <col width="14" customWidth="1" style="11" min="14" max="14"/>
    <col width="13" customWidth="1" style="10" min="15" max="15"/>
    <col width="14" customWidth="1" style="10" min="16" max="16"/>
    <col width="9" customWidth="1" style="10" min="17" max="17"/>
    <col width="14" customWidth="1" style="10" min="18" max="18"/>
    <col width="42" customWidth="1" style="10" min="19" max="19"/>
  </cols>
  <sheetData>
    <row r="1" ht="24" customHeight="1">
      <c r="A1" s="12" t="inlineStr">
        <is>
          <t>Finance - All Departments</t>
        </is>
      </c>
    </row>
    <row r="2" ht="16" customHeight="1">
      <c r="A2" s="2" t="inlineStr">
        <is>
          <t>Live view of every department sheet. Change a filter and the list rebuilds instantly. Row 8 down is one single formula - do not type in it. Fix data on the department sheet it came from.</t>
        </is>
      </c>
    </row>
    <row r="3" ht="6" customHeight="1"/>
    <row r="4" ht="20" customHeight="1">
      <c r="A4" s="13" t="inlineStr">
        <is>
          <t>Team</t>
        </is>
      </c>
      <c r="B4" s="14" t="n"/>
      <c r="C4" s="13" t="inlineStr">
        <is>
          <t>Cost Centre</t>
        </is>
      </c>
      <c r="D4" s="14" t="n"/>
      <c r="E4" s="13" t="inlineStr">
        <is>
          <t>Month</t>
        </is>
      </c>
      <c r="F4" s="14" t="n"/>
      <c r="G4" s="13" t="inlineStr">
        <is>
          <t>Status</t>
        </is>
      </c>
      <c r="H4" s="14" t="n"/>
      <c r="I4" s="13" t="inlineStr">
        <is>
          <t>Search text</t>
        </is>
      </c>
      <c r="K4" s="14" t="n"/>
    </row>
    <row r="5" ht="20" customHeight="1">
      <c r="A5" s="15" t="inlineStr">
        <is>
          <t>All</t>
        </is>
      </c>
      <c r="B5" s="14" t="n"/>
      <c r="C5" s="15" t="inlineStr">
        <is>
          <t>All</t>
        </is>
      </c>
      <c r="D5" s="14" t="n"/>
      <c r="E5" s="16" t="inlineStr">
        <is>
          <t>All</t>
        </is>
      </c>
      <c r="F5" s="14" t="n"/>
      <c r="G5" s="15" t="inlineStr">
        <is>
          <t>All</t>
        </is>
      </c>
      <c r="H5" s="14" t="n"/>
      <c r="I5" s="15" t="inlineStr"/>
      <c r="K5" s="14" t="n"/>
      <c r="L5" s="17" t="inlineStr">
        <is>
          <t>&lt;- type All to clear a filter</t>
        </is>
      </c>
    </row>
    <row r="6" ht="22" customHeight="1">
      <c r="A6" s="18">
        <f>_xlfn.LET(_xlpm.dat,_xlfn.VSTACK(_xlfn.CHOOSECOLS(tbl_Onsite[#Data],1,2,3,4,5,6,7,8,9,10,11,12,13,14,15,16,17,18,19),_xlfn.CHOOSECOLS(tbl_Production[#Data],1,2,3,4,5,6,7,8,9,10,11,12,13,14,15,16,17,18,19),_xlfn.CHOOSECOLS(tbl_Consulting[#Data],1,2,3,4,5,6,7,8,9,10,11,12,13,14,15,16,17,18,19),_xlfn.CHOOSECOLS(tbl_Other[#Data],1,2,3,4,5,6,7,8,9,10,11,12,13,14,15,16,17,18,19)),_xlpm.keep,--((_xlfn.CHOOSECOLS(_xlpm.dat,1)&amp;_xlfn.CHOOSECOLS(_xlpm.dat,5)&amp;_xlfn.CHOOSECOLS(_xlpm.dat,10)&amp;_xlfn.CHOOSECOLS(_xlpm.dat,12))&lt;&gt;""),_xlpm.fTeam,IF($A$5="All",1,--(_xlfn.CHOOSECOLS(_xlpm.dat,3)=$A$5)),_xlpm.fCC,IF($C$5="All",1,--(_xlfn.CHOOSECOLS(_xlpm.dat,4)=$C$5)),_xlpm.fMonth,IF($E$5="All",1,--(_xlfn.CHOOSECOLS(_xlpm.dat,2)=$E$5)),_xlpm.fStat,IF($G$5="All",1,--(_xlfn.CHOOSECOLS(_xlpm.dat,18)=$G$5)),_xlpm.fFind,IF($I$5="",1,--ISNUMBER(SEARCH($I$5,_xlfn.CHOOSECOLS(_xlpm.dat,5)&amp;"|"&amp;_xlfn.CHOOSECOLS(_xlpm.dat,6)&amp;"|"&amp;_xlfn.CHOOSECOLS(_xlpm.dat,8)&amp;"|"&amp;_xlfn.CHOOSECOLS(_xlpm.dat,10)))),_xlpm.flag,_xlpm.keep*_xlpm.fTeam*_xlpm.fCC*_xlpm.fMonth*_xlpm.fStat*_xlpm.fFind,_xlpm.cnt,SUM(_xlpm.flag),_xlpm.tot,SUM(_xlpm.keep),_xlpm.exg,SUMPRODUCT(_xlpm.flag,IFERROR(_xlfn.CHOOSECOLS(_xlpm.dat,12)*1,0)),_xlpm.gst,SUMPRODUCT(_xlpm.flag,IFERROR(_xlfn.CHOOSECOLS(_xlpm.dat,13)*1,0)),_xlpm.inc,SUMPRODUCT(_xlpm.flag,IFERROR(_xlfn.CHOOSECOLS(_xlpm.dat,14)*1,0)),"Showing "&amp;TEXT(_xlpm.cnt,"#,##0")&amp;" of "&amp;TEXT(_xlpm.tot,"#,##0")&amp;" records"&amp;"      Ex GST "&amp;TEXT(_xlpm.exg,"$#,##0.00")&amp;"      GST "&amp;TEXT(_xlpm.gst,"$#,##0.00")&amp;"      Inc GST "&amp;TEXT(_xlpm.inc,"$#,##0.00"))</f>
        <v/>
      </c>
    </row>
    <row r="7" ht="34" customHeight="1">
      <c r="A7" s="19" t="inlineStr">
        <is>
          <t>Date</t>
        </is>
      </c>
      <c r="B7" s="19" t="inlineStr">
        <is>
          <t>Month</t>
        </is>
      </c>
      <c r="C7" s="19" t="inlineStr">
        <is>
          <t>Team</t>
        </is>
      </c>
      <c r="D7" s="19" t="inlineStr">
        <is>
          <t>Cost Centre</t>
        </is>
      </c>
      <c r="E7" s="19" t="inlineStr">
        <is>
          <t>Client</t>
        </is>
      </c>
      <c r="F7" s="19" t="inlineStr">
        <is>
          <t>Job Number</t>
        </is>
      </c>
      <c r="G7" s="19" t="inlineStr">
        <is>
          <t>Job in Xero?</t>
        </is>
      </c>
      <c r="H7" s="19" t="inlineStr">
        <is>
          <t>Description</t>
        </is>
      </c>
      <c r="I7" s="19" t="inlineStr">
        <is>
          <t>Invoice Type</t>
        </is>
      </c>
      <c r="J7" s="19" t="inlineStr">
        <is>
          <t>Xero Invoice No</t>
        </is>
      </c>
      <c r="K7" s="19" t="inlineStr">
        <is>
          <t>Tax Code</t>
        </is>
      </c>
      <c r="L7" s="19" t="inlineStr">
        <is>
          <t>Ex GST</t>
        </is>
      </c>
      <c r="M7" s="19" t="inlineStr">
        <is>
          <t>GST</t>
        </is>
      </c>
      <c r="N7" s="19" t="inlineStr">
        <is>
          <t>Inc GST</t>
        </is>
      </c>
      <c r="O7" s="19" t="inlineStr">
        <is>
          <t>Revenue GL</t>
        </is>
      </c>
      <c r="P7" s="19" t="inlineStr">
        <is>
          <t>Posted to Xero</t>
        </is>
      </c>
      <c r="Q7" s="19" t="inlineStr">
        <is>
          <t>To WIP</t>
        </is>
      </c>
      <c r="R7" s="19" t="inlineStr">
        <is>
          <t>Status</t>
        </is>
      </c>
      <c r="S7" s="19" t="inlineStr">
        <is>
          <t>Notes</t>
        </is>
      </c>
    </row>
    <row r="8">
      <c r="A8">
        <f>_xlfn.LET(_xlpm.dat,_xlfn.VSTACK(_xlfn.CHOOSECOLS(tbl_Onsite[#Data],1,2,3,4,5,6,7,8,9,10,11,12,13,14,15,16,17,18,19),_xlfn.CHOOSECOLS(tbl_Production[#Data],1,2,3,4,5,6,7,8,9,10,11,12,13,14,15,16,17,18,19),_xlfn.CHOOSECOLS(tbl_Consulting[#Data],1,2,3,4,5,6,7,8,9,10,11,12,13,14,15,16,17,18,19),_xlfn.CHOOSECOLS(tbl_Other[#Data],1,2,3,4,5,6,7,8,9,10,11,12,13,14,15,16,17,18,19)),_xlpm.keep,--((_xlfn.CHOOSECOLS(_xlpm.dat,1)&amp;_xlfn.CHOOSECOLS(_xlpm.dat,5)&amp;_xlfn.CHOOSECOLS(_xlpm.dat,10)&amp;_xlfn.CHOOSECOLS(_xlpm.dat,12))&lt;&gt;""),_xlpm.fTeam,IF($A$5="All",1,--(_xlfn.CHOOSECOLS(_xlpm.dat,3)=$A$5)),_xlpm.fCC,IF($C$5="All",1,--(_xlfn.CHOOSECOLS(_xlpm.dat,4)=$C$5)),_xlpm.fMonth,IF($E$5="All",1,--(_xlfn.CHOOSECOLS(_xlpm.dat,2)=$E$5)),_xlpm.fStat,IF($G$5="All",1,--(_xlfn.CHOOSECOLS(_xlpm.dat,18)=$G$5)),_xlpm.fFind,IF($I$5="",1,--ISNUMBER(SEARCH($I$5,_xlfn.CHOOSECOLS(_xlpm.dat,5)&amp;"|"&amp;_xlfn.CHOOSECOLS(_xlpm.dat,6)&amp;"|"&amp;_xlfn.CHOOSECOLS(_xlpm.dat,8)&amp;"|"&amp;_xlfn.CHOOSECOLS(_xlpm.dat,10)))),_xlpm.flag,_xlpm.keep*_xlpm.fTeam*_xlpm.fCC*_xlpm.fMonth*_xlpm.fStat*_xlpm.fFind,_xlfn._xlws.SORT(_xlfn._xlws.FILTER(_xlpm.dat,_xlpm.flag=1,"No records match these filters - widen them or check the department sheets"),1,-1))</f>
        <v/>
      </c>
    </row>
  </sheetData>
  <mergeCells count="11">
    <mergeCell ref="A4:B4"/>
    <mergeCell ref="G4:H4"/>
    <mergeCell ref="E4:F4"/>
    <mergeCell ref="I5:K5"/>
    <mergeCell ref="A6:S6"/>
    <mergeCell ref="C5:D5"/>
    <mergeCell ref="A5:B5"/>
    <mergeCell ref="G5:H5"/>
    <mergeCell ref="E5:F5"/>
    <mergeCell ref="I4:K4"/>
    <mergeCell ref="C4:D4"/>
  </mergeCells>
  <dataValidations count="4">
    <dataValidation sqref="A5" showDropDown="0" showInputMessage="0" showErrorMessage="0" allowBlank="1" type="list" errorStyle="warning">
      <formula1>"All,Onsite,Production,Consulting,Other"</formula1>
    </dataValidation>
    <dataValidation sqref="C5" showDropDown="0" showInputMessage="0" showErrorMessage="0" allowBlank="1" type="list" errorStyle="warning">
      <formula1>lst_CostCentre</formula1>
    </dataValidation>
    <dataValidation sqref="E5" showDropDown="0" showInputMessage="0" showErrorMessage="0" allowBlank="1" type="list" errorStyle="warning">
      <formula1>lst_Months</formula1>
    </dataValidation>
    <dataValidation sqref="G5" showDropDown="0" showInputMessage="0" showErrorMessage="0" allowBlank="1" type="list" errorStyle="warning">
      <formula1>lst_Status</formula1>
    </dataValidation>
  </dataValidations>
  <pageMargins left="0.75" right="0.75" top="1" bottom="1" header="0.5" footer="0.5"/>
</worksheet>
</file>

<file path=xl/worksheets/sheet3.xml><?xml version="1.0" encoding="utf-8"?>
<worksheet xmlns="http://schemas.openxmlformats.org/spreadsheetml/2006/main">
  <sheetPr>
    <tabColor rgb="002E6B4F"/>
    <outlinePr summaryBelow="1" summaryRight="1"/>
    <pageSetUpPr/>
  </sheetPr>
  <dimension ref="A1:I60"/>
  <sheetViews>
    <sheetView showGridLines="0" tabSelected="0" zoomScale="90" workbookViewId="0">
      <pane ySplit="4" topLeftCell="A5" activePane="bottomLeft" state="frozen"/>
      <selection pane="bottomLeft" activeCell="A1" sqref="A1"/>
    </sheetView>
  </sheetViews>
  <sheetFormatPr baseColWidth="8" defaultRowHeight="15"/>
  <cols>
    <col width="22" customWidth="1" min="1" max="1"/>
    <col width="16" customWidth="1" min="2" max="2"/>
    <col width="14" customWidth="1" min="3" max="3"/>
    <col width="15" customWidth="1" min="4" max="4"/>
    <col width="16" customWidth="1" min="5" max="5"/>
    <col width="18" customWidth="1" min="6" max="6"/>
    <col width="17" customWidth="1" min="7" max="7"/>
    <col width="15" customWidth="1" min="8" max="8"/>
    <col width="20" customWidth="1" min="9" max="9"/>
  </cols>
  <sheetData>
    <row r="1" ht="24" customHeight="1">
      <c r="A1" s="12" t="inlineStr">
        <is>
          <t>Month-End Revenue Close</t>
        </is>
      </c>
    </row>
    <row r="2" ht="16" customHeight="1">
      <c r="A2" s="2" t="inlineStr">
        <is>
          <t>Pick the month, type the Xero figures into the yellow cells, and work down. Everything white or grey calculates itself.</t>
        </is>
      </c>
    </row>
    <row r="3" ht="6" customHeight="1"/>
    <row r="4">
      <c r="A4" s="20" t="inlineStr">
        <is>
          <t>Month being closed</t>
        </is>
      </c>
      <c r="C4" s="21" t="n">
        <v>46265</v>
      </c>
      <c r="D4" s="17" t="inlineStr">
        <is>
          <t>&lt;- month end date</t>
        </is>
      </c>
    </row>
    <row r="6" ht="20" customHeight="1">
      <c r="A6" s="3" t="inlineStr">
        <is>
          <t>1.  REVENUE BY COST CENTRE  -  tracker vs Xero</t>
        </is>
      </c>
    </row>
    <row r="7" ht="30" customHeight="1">
      <c r="A7" s="22" t="inlineStr">
        <is>
          <t>Cost Centre</t>
        </is>
      </c>
      <c r="B7" s="22" t="inlineStr">
        <is>
          <t>Invoiced Ex GST</t>
        </is>
      </c>
      <c r="C7" s="22" t="inlineStr">
        <is>
          <t>GST</t>
        </is>
      </c>
      <c r="D7" s="22" t="inlineStr">
        <is>
          <t>Inc GST</t>
        </is>
      </c>
      <c r="E7" s="22" t="inlineStr">
        <is>
          <t>WIP Movement</t>
        </is>
      </c>
      <c r="F7" s="22" t="inlineStr">
        <is>
          <t>Revenue Recognised</t>
        </is>
      </c>
      <c r="G7" s="22" t="inlineStr">
        <is>
          <t>Xero Revenue (type in)</t>
        </is>
      </c>
      <c r="H7" s="22" t="inlineStr">
        <is>
          <t>Variance</t>
        </is>
      </c>
      <c r="I7" s="22" t="inlineStr">
        <is>
          <t>Check</t>
        </is>
      </c>
    </row>
    <row r="8">
      <c r="A8" s="23" t="inlineStr">
        <is>
          <t>ONSITE</t>
        </is>
      </c>
      <c r="B8" s="24">
        <f>SUMIFS(tbl_Onsite[Ex GST],tbl_Onsite[Month],$C$4,tbl_Onsite[Cost Centre],$A8)+SUMIFS(tbl_Production[Ex GST],tbl_Production[Month],$C$4,tbl_Production[Cost Centre],$A8)+SUMIFS(tbl_Consulting[Ex GST],tbl_Consulting[Month],$C$4,tbl_Consulting[Cost Centre],$A8)+SUMIFS(tbl_Other[Ex GST],tbl_Other[Month],$C$4,tbl_Other[Cost Centre],$A8)</f>
        <v/>
      </c>
      <c r="C8" s="24">
        <f>SUMIFS(tbl_Onsite[GST],tbl_Onsite[Month],$C$4,tbl_Onsite[Cost Centre],$A8)+SUMIFS(tbl_Production[GST],tbl_Production[Month],$C$4,tbl_Production[Cost Centre],$A8)+SUMIFS(tbl_Consulting[GST],tbl_Consulting[Month],$C$4,tbl_Consulting[Cost Centre],$A8)+SUMIFS(tbl_Other[GST],tbl_Other[Month],$C$4,tbl_Other[Cost Centre],$A8)</f>
        <v/>
      </c>
      <c r="D8" s="25">
        <f>B8+C8</f>
        <v/>
      </c>
      <c r="E8" s="24">
        <f>SUMIFS(tbl_WIP[Amount],tbl_WIP[Month],$C$4,tbl_WIP[Cost Centre],$A8)</f>
        <v/>
      </c>
      <c r="F8" s="25">
        <f>B8+E8</f>
        <v/>
      </c>
      <c r="G8" s="26" t="n"/>
      <c r="H8" s="25">
        <f>IF($G8="","",$F8-$G8)</f>
        <v/>
      </c>
      <c r="I8" s="14">
        <f>IF($G8="","Enter Xero figure",IF(ROUND($H8,2)=0,"Reconciled","CHECK - "&amp;TEXT($H8,"$#,##0.00")))</f>
        <v/>
      </c>
    </row>
    <row r="9">
      <c r="A9" s="23" t="inlineStr">
        <is>
          <t>PRODUCTION</t>
        </is>
      </c>
      <c r="B9" s="24">
        <f>(SUMIFS(tbl_Production[Ex GST],tbl_Production[Month],$C$4,tbl_Production[Cost Centre],"PRODUCTION")+SUMIFS(tbl_Production[Ex GST],tbl_Production[Month],$C$4,tbl_Production[Cost Centre],"VIDEO"))-(SUMIFS(tbl_Production[Video Revenue],tbl_Production[Month],$C$4,tbl_Production[Cost Centre],"PRODUCTION")+SUMIFS(tbl_Production[Video Revenue],tbl_Production[Month],$C$4,tbl_Production[Cost Centre],"VIDEO"))+SUMIFS(tbl_Onsite[Ex GST],tbl_Onsite[Month],$C$4,tbl_Onsite[Cost Centre],$A9)+SUMIFS(tbl_Consulting[Ex GST],tbl_Consulting[Month],$C$4,tbl_Consulting[Cost Centre],$A9)+SUMIFS(tbl_Other[Ex GST],tbl_Other[Month],$C$4,tbl_Other[Cost Centre],$A9)</f>
        <v/>
      </c>
      <c r="C9" s="24">
        <f>(SUMIFS(tbl_Production[GST],tbl_Production[Month],$C$4,tbl_Production[Cost Centre],"PRODUCTION")+SUMIFS(tbl_Production[GST],tbl_Production[Month],$C$4,tbl_Production[Cost Centre],"VIDEO"))-(SUMIFS(tbl_Production[Video GST],tbl_Production[Month],$C$4,tbl_Production[Cost Centre],"PRODUCTION")+SUMIFS(tbl_Production[Video GST],tbl_Production[Month],$C$4,tbl_Production[Cost Centre],"VIDEO"))+SUMIFS(tbl_Onsite[GST],tbl_Onsite[Month],$C$4,tbl_Onsite[Cost Centre],$A9)+SUMIFS(tbl_Consulting[GST],tbl_Consulting[Month],$C$4,tbl_Consulting[Cost Centre],$A9)+SUMIFS(tbl_Other[GST],tbl_Other[Month],$C$4,tbl_Other[Cost Centre],$A9)</f>
        <v/>
      </c>
      <c r="D9" s="25">
        <f>B9+C9</f>
        <v/>
      </c>
      <c r="E9" s="24">
        <f>SUMIFS(tbl_WIP[Amount],tbl_WIP[Month],$C$4,tbl_WIP[Cost Centre],$A9)</f>
        <v/>
      </c>
      <c r="F9" s="25">
        <f>B9+E9</f>
        <v/>
      </c>
      <c r="G9" s="26" t="n"/>
      <c r="H9" s="25">
        <f>IF($G9="","",$F9-$G9)</f>
        <v/>
      </c>
      <c r="I9" s="14">
        <f>IF($G9="","Enter Xero figure",IF(ROUND($H9,2)=0,"Reconciled","CHECK - "&amp;TEXT($H9,"$#,##0.00")))</f>
        <v/>
      </c>
    </row>
    <row r="10">
      <c r="A10" s="23" t="inlineStr">
        <is>
          <t>VIDEO</t>
        </is>
      </c>
      <c r="B10" s="24">
        <f>SUMIFS(tbl_Production[Video Revenue],tbl_Production[Month],$C$4,tbl_Production[Cost Centre],"PRODUCTION")+SUMIFS(tbl_Production[Video Revenue],tbl_Production[Month],$C$4,tbl_Production[Cost Centre],"VIDEO")+SUMIFS(tbl_Onsite[Ex GST],tbl_Onsite[Month],$C$4,tbl_Onsite[Cost Centre],$A10)+SUMIFS(tbl_Consulting[Ex GST],tbl_Consulting[Month],$C$4,tbl_Consulting[Cost Centre],$A10)+SUMIFS(tbl_Other[Ex GST],tbl_Other[Month],$C$4,tbl_Other[Cost Centre],$A10)</f>
        <v/>
      </c>
      <c r="C10" s="24">
        <f>SUMIFS(tbl_Production[Video GST],tbl_Production[Month],$C$4,tbl_Production[Cost Centre],"PRODUCTION")+SUMIFS(tbl_Production[Video GST],tbl_Production[Month],$C$4,tbl_Production[Cost Centre],"VIDEO")+SUMIFS(tbl_Onsite[GST],tbl_Onsite[Month],$C$4,tbl_Onsite[Cost Centre],$A10)+SUMIFS(tbl_Consulting[GST],tbl_Consulting[Month],$C$4,tbl_Consulting[Cost Centre],$A10)+SUMIFS(tbl_Other[GST],tbl_Other[Month],$C$4,tbl_Other[Cost Centre],$A10)</f>
        <v/>
      </c>
      <c r="D10" s="25">
        <f>B10+C10</f>
        <v/>
      </c>
      <c r="E10" s="24">
        <f>SUMIFS(tbl_WIP[Amount],tbl_WIP[Month],$C$4,tbl_WIP[Cost Centre],$A10)</f>
        <v/>
      </c>
      <c r="F10" s="25">
        <f>B10+E10</f>
        <v/>
      </c>
      <c r="G10" s="26" t="n"/>
      <c r="H10" s="25">
        <f>IF($G10="","",$F10-$G10)</f>
        <v/>
      </c>
      <c r="I10" s="14">
        <f>IF($G10="","Enter Xero figure",IF(ROUND($H10,2)=0,"Reconciled","CHECK - "&amp;TEXT($H10,"$#,##0.00")))</f>
        <v/>
      </c>
    </row>
    <row r="11">
      <c r="A11" s="23" t="inlineStr">
        <is>
          <t>INTEGRATION</t>
        </is>
      </c>
      <c r="B11" s="24">
        <f>SUMIFS(tbl_Onsite[Ex GST],tbl_Onsite[Month],$C$4,tbl_Onsite[Cost Centre],$A11)+SUMIFS(tbl_Production[Ex GST],tbl_Production[Month],$C$4,tbl_Production[Cost Centre],$A11)+SUMIFS(tbl_Consulting[Ex GST],tbl_Consulting[Month],$C$4,tbl_Consulting[Cost Centre],$A11)+SUMIFS(tbl_Other[Ex GST],tbl_Other[Month],$C$4,tbl_Other[Cost Centre],$A11)</f>
        <v/>
      </c>
      <c r="C11" s="24">
        <f>SUMIFS(tbl_Onsite[GST],tbl_Onsite[Month],$C$4,tbl_Onsite[Cost Centre],$A11)+SUMIFS(tbl_Production[GST],tbl_Production[Month],$C$4,tbl_Production[Cost Centre],$A11)+SUMIFS(tbl_Consulting[GST],tbl_Consulting[Month],$C$4,tbl_Consulting[Cost Centre],$A11)+SUMIFS(tbl_Other[GST],tbl_Other[Month],$C$4,tbl_Other[Cost Centre],$A11)</f>
        <v/>
      </c>
      <c r="D11" s="25">
        <f>B11+C11</f>
        <v/>
      </c>
      <c r="E11" s="24">
        <f>SUMIFS(tbl_WIP[Amount],tbl_WIP[Month],$C$4,tbl_WIP[Cost Centre],$A11)</f>
        <v/>
      </c>
      <c r="F11" s="25">
        <f>B11+E11</f>
        <v/>
      </c>
      <c r="G11" s="26" t="n"/>
      <c r="H11" s="25">
        <f>IF($G11="","",$F11-$G11)</f>
        <v/>
      </c>
      <c r="I11" s="14">
        <f>IF($G11="","Enter Xero figure",IF(ROUND($H11,2)=0,"Reconciled","CHECK - "&amp;TEXT($H11,"$#,##0.00")))</f>
        <v/>
      </c>
    </row>
    <row r="12">
      <c r="A12" s="23" t="inlineStr">
        <is>
          <t>CONSULTING</t>
        </is>
      </c>
      <c r="B12" s="24">
        <f>SUMIFS(tbl_Onsite[Ex GST],tbl_Onsite[Month],$C$4,tbl_Onsite[Cost Centre],$A12)+SUMIFS(tbl_Production[Ex GST],tbl_Production[Month],$C$4,tbl_Production[Cost Centre],$A12)+SUMIFS(tbl_Consulting[Ex GST],tbl_Consulting[Month],$C$4,tbl_Consulting[Cost Centre],$A12)+SUMIFS(tbl_Other[Ex GST],tbl_Other[Month],$C$4,tbl_Other[Cost Centre],$A12)</f>
        <v/>
      </c>
      <c r="C12" s="24">
        <f>SUMIFS(tbl_Onsite[GST],tbl_Onsite[Month],$C$4,tbl_Onsite[Cost Centre],$A12)+SUMIFS(tbl_Production[GST],tbl_Production[Month],$C$4,tbl_Production[Cost Centre],$A12)+SUMIFS(tbl_Consulting[GST],tbl_Consulting[Month],$C$4,tbl_Consulting[Cost Centre],$A12)+SUMIFS(tbl_Other[GST],tbl_Other[Month],$C$4,tbl_Other[Cost Centre],$A12)</f>
        <v/>
      </c>
      <c r="D12" s="25">
        <f>B12+C12</f>
        <v/>
      </c>
      <c r="E12" s="24">
        <f>SUMIFS(tbl_WIP[Amount],tbl_WIP[Month],$C$4,tbl_WIP[Cost Centre],$A12)</f>
        <v/>
      </c>
      <c r="F12" s="25">
        <f>B12+E12</f>
        <v/>
      </c>
      <c r="G12" s="26" t="n"/>
      <c r="H12" s="25">
        <f>IF($G12="","",$F12-$G12)</f>
        <v/>
      </c>
      <c r="I12" s="14">
        <f>IF($G12="","Enter Xero figure",IF(ROUND($H12,2)=0,"Reconciled","CHECK - "&amp;TEXT($H12,"$#,##0.00")))</f>
        <v/>
      </c>
    </row>
    <row r="13">
      <c r="A13" s="23" t="inlineStr">
        <is>
          <t>CTS</t>
        </is>
      </c>
      <c r="B13" s="24">
        <f>SUMIFS(tbl_Onsite[Ex GST],tbl_Onsite[Month],$C$4,tbl_Onsite[Cost Centre],$A13)+SUMIFS(tbl_Production[Ex GST],tbl_Production[Month],$C$4,tbl_Production[Cost Centre],$A13)+SUMIFS(tbl_Consulting[Ex GST],tbl_Consulting[Month],$C$4,tbl_Consulting[Cost Centre],$A13)+SUMIFS(tbl_Other[Ex GST],tbl_Other[Month],$C$4,tbl_Other[Cost Centre],$A13)</f>
        <v/>
      </c>
      <c r="C13" s="24">
        <f>SUMIFS(tbl_Onsite[GST],tbl_Onsite[Month],$C$4,tbl_Onsite[Cost Centre],$A13)+SUMIFS(tbl_Production[GST],tbl_Production[Month],$C$4,tbl_Production[Cost Centre],$A13)+SUMIFS(tbl_Consulting[GST],tbl_Consulting[Month],$C$4,tbl_Consulting[Cost Centre],$A13)+SUMIFS(tbl_Other[GST],tbl_Other[Month],$C$4,tbl_Other[Cost Centre],$A13)</f>
        <v/>
      </c>
      <c r="D13" s="25">
        <f>B13+C13</f>
        <v/>
      </c>
      <c r="E13" s="24">
        <f>SUMIFS(tbl_WIP[Amount],tbl_WIP[Month],$C$4,tbl_WIP[Cost Centre],$A13)</f>
        <v/>
      </c>
      <c r="F13" s="25">
        <f>B13+E13</f>
        <v/>
      </c>
      <c r="G13" s="26" t="n"/>
      <c r="H13" s="25">
        <f>IF($G13="","",$F13-$G13)</f>
        <v/>
      </c>
      <c r="I13" s="14">
        <f>IF($G13="","Enter Xero figure",IF(ROUND($H13,2)=0,"Reconciled","CHECK - "&amp;TEXT($H13,"$#,##0.00")))</f>
        <v/>
      </c>
    </row>
    <row r="14">
      <c r="A14" s="27" t="inlineStr">
        <is>
          <t>TOTAL</t>
        </is>
      </c>
      <c r="B14" s="28">
        <f>SUM(B8:B13)</f>
        <v/>
      </c>
      <c r="C14" s="28">
        <f>SUM(C8:C13)</f>
        <v/>
      </c>
      <c r="D14" s="28">
        <f>SUM(D8:D13)</f>
        <v/>
      </c>
      <c r="E14" s="28">
        <f>SUM(E8:E13)</f>
        <v/>
      </c>
      <c r="F14" s="28">
        <f>SUM(F8:F13)</f>
        <v/>
      </c>
      <c r="G14" s="28">
        <f>SUM(G8:G13)</f>
        <v/>
      </c>
      <c r="H14" s="28">
        <f>SUM(H8:H13)</f>
        <v/>
      </c>
      <c r="I14" s="27">
        <f>IF(COUNT($G8:$G13)=0,"Enter Xero figures",IF(ROUND($H14,2)=0,"Reconciled","CHECK - "&amp;TEXT($H14,"$#,##0.00")))</f>
        <v/>
      </c>
    </row>
    <row r="16" ht="20" customHeight="1">
      <c r="A16" s="3" t="inlineStr">
        <is>
          <t>2.  VIDEO / PRODUCTION SPLIT  -  from the Production sheet</t>
        </is>
      </c>
    </row>
    <row r="17" ht="30" customHeight="1">
      <c r="A17" s="22" t="inlineStr"/>
      <c r="B17" s="22" t="inlineStr">
        <is>
          <t>Amount</t>
        </is>
      </c>
      <c r="C17" s="22" t="inlineStr"/>
      <c r="D17" s="22" t="inlineStr"/>
      <c r="E17" s="22" t="inlineStr"/>
      <c r="F17" s="22" t="inlineStr"/>
      <c r="G17" s="22" t="inlineStr"/>
      <c r="H17" s="22" t="inlineStr"/>
      <c r="I17" s="22" t="inlineStr"/>
    </row>
    <row r="18">
      <c r="A18" s="29" t="inlineStr">
        <is>
          <t>Video revenue (ex GST)</t>
        </is>
      </c>
      <c r="B18" s="25">
        <f>SUMIFS(tbl_Production[Video Revenue],tbl_Production[Month],$C$4)</f>
        <v/>
      </c>
    </row>
    <row r="19">
      <c r="A19" s="29" t="inlineStr">
        <is>
          <t>Production revenue (ex GST)</t>
        </is>
      </c>
      <c r="B19" s="25">
        <f>SUMIFS(tbl_Production[Production Revenue],tbl_Production[Month],$C$4)</f>
        <v/>
      </c>
    </row>
    <row r="20">
      <c r="A20" s="30" t="inlineStr">
        <is>
          <t>Total Production sheet revenue (ex GST)</t>
        </is>
      </c>
      <c r="B20" s="31">
        <f>B18+B19</f>
        <v/>
      </c>
    </row>
    <row r="21">
      <c r="A21" s="30" t="inlineStr">
        <is>
          <t>Video as a share of the Production sheet</t>
        </is>
      </c>
      <c r="B21" s="32">
        <f>IFERROR(B18/B20,"")</f>
        <v/>
      </c>
    </row>
    <row r="22">
      <c r="A22" s="29" t="inlineStr">
        <is>
          <t>Jobs with a video component</t>
        </is>
      </c>
      <c r="B22" s="33">
        <f>SUMPRODUCT(--(tbl_Production[Month]=$C$4),--(IFERROR(tbl_Production[Video Revenue]*1,0)&lt;&gt;0))</f>
        <v/>
      </c>
    </row>
    <row r="23">
      <c r="A23" s="29" t="inlineStr">
        <is>
          <t>Video hours (filming + editing + project management)</t>
        </is>
      </c>
      <c r="B23" s="34">
        <f>SUMPRODUCT(--(tbl_Production[Month]=$C$4),IFERROR(tbl_Production[Video Filming Hrs]*1,0)+IFERROR(tbl_Production[Video Editing Hrs]*1,0)+IFERROR(tbl_Production[Video Project Mgmt Hrs]*1,0))</f>
        <v/>
      </c>
    </row>
    <row r="24">
      <c r="A24" s="17" t="inlineStr">
        <is>
          <t>Video revenue is typed on the Production sheet (column T). Production Revenue next to it is the remainder, so one figure does the whole split.</t>
        </is>
      </c>
    </row>
    <row r="26" ht="20" customHeight="1">
      <c r="A26" s="3" t="inlineStr">
        <is>
          <t>3.  WORK IN PROGRESS  -  GL 11300</t>
        </is>
      </c>
    </row>
    <row r="27" ht="30" customHeight="1">
      <c r="A27" s="22" t="inlineStr"/>
      <c r="B27" s="22" t="inlineStr">
        <is>
          <t>Amount</t>
        </is>
      </c>
      <c r="C27" s="22" t="inlineStr"/>
      <c r="D27" s="22" t="inlineStr"/>
      <c r="E27" s="22" t="inlineStr"/>
      <c r="F27" s="22" t="inlineStr"/>
      <c r="G27" s="22" t="inlineStr"/>
      <c r="H27" s="22" t="inlineStr"/>
      <c r="I27" s="22" t="inlineStr">
        <is>
          <t>Check</t>
        </is>
      </c>
    </row>
    <row r="28">
      <c r="A28" s="29" t="inlineStr">
        <is>
          <t>Opening WIP balance (all months before this one)</t>
        </is>
      </c>
      <c r="B28" s="25">
        <f>SUMIFS(tbl_WIP[Amount],tbl_WIP[Month],"&lt;&gt;",tbl_WIP[Month],"&lt;"&amp;$C$4)</f>
        <v/>
      </c>
      <c r="I28" s="35" t="n"/>
    </row>
    <row r="29">
      <c r="A29" s="29" t="inlineStr">
        <is>
          <t>Movement this month</t>
        </is>
      </c>
      <c r="B29" s="25">
        <f>SUMIFS(tbl_WIP[Amount],tbl_WIP[Month],$C$4)</f>
        <v/>
      </c>
      <c r="I29" s="35" t="n"/>
    </row>
    <row r="30">
      <c r="A30" s="30" t="inlineStr">
        <is>
          <t>Closing WIP balance per this tracker</t>
        </is>
      </c>
      <c r="B30" s="31">
        <f>B28+B29</f>
        <v/>
      </c>
      <c r="I30" s="35" t="n"/>
    </row>
    <row r="31">
      <c r="A31" s="29" t="inlineStr">
        <is>
          <t>Closing balance per the WIP Schedule file</t>
        </is>
      </c>
      <c r="B31" s="26" t="n"/>
      <c r="I31" s="35" t="n"/>
    </row>
    <row r="32">
      <c r="A32" s="30" t="inlineStr">
        <is>
          <t>Variance - tracker vs WIP Schedule</t>
        </is>
      </c>
      <c r="B32" s="36">
        <f>IF(B31="","",B30-B31)</f>
        <v/>
      </c>
      <c r="I32" s="37">
        <f>IF(B31="","Enter WIP Schedule figure",IF(ROUND(B32,2)=0,"Reconciled","CHECK"))</f>
        <v/>
      </c>
    </row>
    <row r="33">
      <c r="A33" s="29" t="inlineStr">
        <is>
          <t>Closing balance per Xero GL 11300</t>
        </is>
      </c>
      <c r="B33" s="26" t="n"/>
      <c r="I33" s="35" t="n"/>
    </row>
    <row r="34">
      <c r="A34" s="30" t="inlineStr">
        <is>
          <t>Variance - tracker vs Xero</t>
        </is>
      </c>
      <c r="B34" s="36">
        <f>IF(B33="","",B30-B33)</f>
        <v/>
      </c>
      <c r="I34" s="37">
        <f>IF(B33="","Enter Xero 11300 balance",IF(ROUND(B34,2)=0,"Reconciled","CHECK"))</f>
        <v/>
      </c>
    </row>
    <row r="35">
      <c r="A35" s="17" t="inlineStr">
        <is>
          <t>Sign rule: + = revenue recognised this month and WIP balance goes up.  - = revenue deferred out of this month and WIP balance goes down.</t>
        </is>
      </c>
    </row>
    <row r="37" ht="20" customHeight="1">
      <c r="A37" s="3" t="inlineStr">
        <is>
          <t>4.  DATA CHECKS  -  every count should be zero before you close</t>
        </is>
      </c>
    </row>
    <row r="38" ht="30" customHeight="1">
      <c r="A38" s="22" t="inlineStr">
        <is>
          <t>Check</t>
        </is>
      </c>
      <c r="B38" s="22" t="inlineStr">
        <is>
          <t>Count</t>
        </is>
      </c>
      <c r="C38" s="22" t="inlineStr"/>
      <c r="D38" s="22" t="inlineStr"/>
      <c r="E38" s="22" t="inlineStr"/>
      <c r="F38" s="22" t="inlineStr"/>
      <c r="G38" s="22" t="inlineStr"/>
      <c r="H38" s="22" t="inlineStr"/>
      <c r="I38" s="22" t="inlineStr">
        <is>
          <t>Status</t>
        </is>
      </c>
    </row>
    <row r="39">
      <c r="A39" s="29" t="inlineStr">
        <is>
          <t>Invoice rows with an amount but no date</t>
        </is>
      </c>
      <c r="B39" s="38">
        <f>SUMPRODUCT(--(tbl_Onsite[Date]=""),--(tbl_Onsite[Ex GST]&lt;&gt;""))+SUMPRODUCT(--(tbl_Production[Date]=""),--(tbl_Production[Ex GST]&lt;&gt;""))+SUMPRODUCT(--(tbl_Consulting[Date]=""),--(tbl_Consulting[Ex GST]&lt;&gt;""))+SUMPRODUCT(--(tbl_Other[Date]=""),--(tbl_Other[Ex GST]&lt;&gt;""))</f>
        <v/>
      </c>
      <c r="I39" s="37">
        <f>IF(B39=0,"Clear","REVIEW")</f>
        <v/>
      </c>
    </row>
    <row r="40">
      <c r="A40" s="29" t="inlineStr">
        <is>
          <t>Invoice rows with an amount but no job number</t>
        </is>
      </c>
      <c r="B40" s="38">
        <f>COUNTIFS(tbl_Onsite[Ex GST],"&lt;&gt;",tbl_Onsite[Job Number],"")+COUNTIFS(tbl_Production[Ex GST],"&lt;&gt;",tbl_Production[Job Number],"")+COUNTIFS(tbl_Consulting[Ex GST],"&lt;&gt;",tbl_Consulting[Job Number],"")+COUNTIFS(tbl_Other[Ex GST],"&lt;&gt;",tbl_Other[Job Number],"")</f>
        <v/>
      </c>
      <c r="I40" s="37">
        <f>IF(B40=0,"Clear","REVIEW")</f>
        <v/>
      </c>
    </row>
    <row r="41">
      <c r="A41" s="29" t="inlineStr">
        <is>
          <t>Job numbers not found in the Xero job list</t>
        </is>
      </c>
      <c r="B41" s="38">
        <f>COUNTIF(tbl_Onsite[Job in Xero?],"CHECK")+COUNTIF(tbl_Production[Job in Xero?],"CHECK")+COUNTIF(tbl_Consulting[Job in Xero?],"CHECK")+COUNTIF(tbl_Other[Job in Xero?],"CHECK")</f>
        <v/>
      </c>
      <c r="I41" s="37">
        <f>IF(B41=0,"Clear","REVIEW")</f>
        <v/>
      </c>
    </row>
    <row r="42">
      <c r="A42" s="29" t="inlineStr">
        <is>
          <t>Marked posted to Xero but no Xero invoice number</t>
        </is>
      </c>
      <c r="B42" s="38">
        <f>COUNTIFS(tbl_Onsite[Posted to Xero],"Y",tbl_Onsite[Xero Invoice No],"")+COUNTIFS(tbl_Production[Posted to Xero],"Y",tbl_Production[Xero Invoice No],"")+COUNTIFS(tbl_Consulting[Posted to Xero],"Y",tbl_Consulting[Xero Invoice No],"")+COUNTIFS(tbl_Other[Posted to Xero],"Y",tbl_Other[Xero Invoice No],"")</f>
        <v/>
      </c>
      <c r="I42" s="37">
        <f>IF(B42=0,"Clear","REVIEW")</f>
        <v/>
      </c>
    </row>
    <row r="43">
      <c r="A43" s="29" t="inlineStr">
        <is>
          <t>Duplicate Xero invoice numbers across all departments</t>
        </is>
      </c>
      <c r="B43" s="38">
        <f>IFERROR(_xlfn.LET(_xlpm.arr,_xlfn.VSTACK(tbl_Onsite[Xero Invoice No],tbl_Production[Xero Invoice No],tbl_Consulting[Xero Invoice No],tbl_Other[Xero Invoice No]),_xlpm.uni,_xlfn._xlws.FILTER(_xlpm.arr,_xlpm.arr&lt;&gt;""),ROWS(_xlpm.uni)-ROWS(_xlfn.UNIQUE(_xlpm.uni))),0)</f>
        <v/>
      </c>
      <c r="I43" s="37">
        <f>IF(B43=0,"Clear","REVIEW")</f>
        <v/>
      </c>
    </row>
    <row r="44">
      <c r="A44" s="29" t="inlineStr">
        <is>
          <t>Invoice rows with an amount but no tax code</t>
        </is>
      </c>
      <c r="B44" s="38">
        <f>COUNTIFS(tbl_Onsite[Ex GST],"&lt;&gt;",tbl_Onsite[Tax Code],"")+COUNTIFS(tbl_Production[Ex GST],"&lt;&gt;",tbl_Production[Tax Code],"")+COUNTIFS(tbl_Consulting[Ex GST],"&lt;&gt;",tbl_Consulting[Tax Code],"")+COUNTIFS(tbl_Other[Ex GST],"&lt;&gt;",tbl_Other[Tax Code],"")</f>
        <v/>
      </c>
      <c r="I44" s="37">
        <f>IF(B44=0,"Clear","REVIEW")</f>
        <v/>
      </c>
    </row>
    <row r="45">
      <c r="A45" s="29" t="inlineStr">
        <is>
          <t>Invoice rows with an amount but no revenue GL code</t>
        </is>
      </c>
      <c r="B45" s="38">
        <f>COUNTIFS(tbl_Onsite[Ex GST],"&lt;&gt;",tbl_Onsite[Revenue GL],"")+COUNTIFS(tbl_Production[Ex GST],"&lt;&gt;",tbl_Production[Revenue GL],"")+COUNTIFS(tbl_Consulting[Ex GST],"&lt;&gt;",tbl_Consulting[Revenue GL],"")+COUNTIFS(tbl_Other[Ex GST],"&lt;&gt;",tbl_Other[Revenue GL],"")</f>
        <v/>
      </c>
      <c r="I45" s="37">
        <f>IF(B45=0,"Clear","REVIEW")</f>
        <v/>
      </c>
    </row>
    <row r="46">
      <c r="A46" s="29" t="inlineStr">
        <is>
          <t>Flagged "To WIP = Y" but no matching WIP movement</t>
        </is>
      </c>
      <c r="B46" s="38">
        <f>SUMPRODUCT(--(tbl_Onsite[To WIP]="Y"),--(tbl_Onsite[Xero Invoice No]&lt;&gt;""),--(COUNTIF(tbl_WIP[Xero Invoice No],tbl_Onsite[Xero Invoice No]&amp;"")=0))+SUMPRODUCT(--(tbl_Production[To WIP]="Y"),--(tbl_Production[Xero Invoice No]&lt;&gt;""),--(COUNTIF(tbl_WIP[Xero Invoice No],tbl_Production[Xero Invoice No]&amp;"")=0))+SUMPRODUCT(--(tbl_Consulting[To WIP]="Y"),--(tbl_Consulting[Xero Invoice No]&lt;&gt;""),--(COUNTIF(tbl_WIP[Xero Invoice No],tbl_Consulting[Xero Invoice No]&amp;"")=0))+SUMPRODUCT(--(tbl_Other[To WIP]="Y"),--(tbl_Other[Xero Invoice No]&lt;&gt;""),--(COUNTIF(tbl_WIP[Xero Invoice No],tbl_Other[Xero Invoice No]&amp;"")=0))</f>
        <v/>
      </c>
      <c r="I46" s="37">
        <f>IF(B46=0,"Clear","REVIEW")</f>
        <v/>
      </c>
    </row>
    <row r="47">
      <c r="A47" s="29" t="inlineStr">
        <is>
          <t>WIP movements with an amount but no month or no job</t>
        </is>
      </c>
      <c r="B47" s="38">
        <f>COUNTIFS(tbl_WIP[Month],"",tbl_WIP[Amount],"&lt;&gt;")+COUNTIFS(tbl_WIP[Job Number],"",tbl_WIP[Amount],"&lt;&gt;")</f>
        <v/>
      </c>
      <c r="I47" s="37">
        <f>IF(B47=0,"Clear","REVIEW")</f>
        <v/>
      </c>
    </row>
    <row r="48">
      <c r="A48" s="29" t="inlineStr">
        <is>
          <t>WIP job numbers not found in the Xero job list</t>
        </is>
      </c>
      <c r="B48" s="38">
        <f>COUNTIF(tbl_WIP[Job in Xero?],"CHECK")</f>
        <v/>
      </c>
      <c r="I48" s="37">
        <f>IF(B48=0,"Clear","REVIEW")</f>
        <v/>
      </c>
    </row>
    <row r="49">
      <c r="A49" s="29" t="inlineStr">
        <is>
          <t>Consulting revenue split does not equal the invoice</t>
        </is>
      </c>
      <c r="B49" s="38">
        <f>COUNTIF(tbl_Consulting[Revenue Split Check],"MISMATCH")</f>
        <v/>
      </c>
      <c r="I49" s="37">
        <f>IF(B49=0,"Clear","REVIEW")</f>
        <v/>
      </c>
    </row>
    <row r="50">
      <c r="A50" s="29" t="inlineStr">
        <is>
          <t>Production rows where the video split does not add up</t>
        </is>
      </c>
      <c r="B50" s="38">
        <f>COUNTIF(tbl_Production[Video Split],"CHECK*")</f>
        <v/>
      </c>
      <c r="I50" s="37">
        <f>IF(B50=0,"Clear","REVIEW")</f>
        <v/>
      </c>
    </row>
    <row r="51">
      <c r="A51" s="29" t="inlineStr">
        <is>
          <t>Production rows coded to neither PRODUCTION nor VIDEO</t>
        </is>
      </c>
      <c r="B51" s="38">
        <f>SUMPRODUCT(--(tbl_Production[Cost Centre]&lt;&gt;"PRODUCTION"),--(tbl_Production[Cost Centre]&lt;&gt;"VIDEO"),--(tbl_Production[Cost Centre]&lt;&gt;""))</f>
        <v/>
      </c>
      <c r="I51" s="37">
        <f>IF(B51=0,"Clear","REVIEW")</f>
        <v/>
      </c>
    </row>
    <row r="52">
      <c r="A52" s="29" t="inlineStr">
        <is>
          <t>Production rows with video hours but no video revenue</t>
        </is>
      </c>
      <c r="B52" s="38">
        <f>SUMPRODUCT(--(IFERROR(tbl_Production[Video Filming Hrs]*1,0)+IFERROR(tbl_Production[Video Editing Hrs]*1,0)+IFERROR(tbl_Production[Video Project Mgmt Hrs]*1,0)&gt;0),--(IFERROR(tbl_Production[Video Revenue]*1,0)=0))</f>
        <v/>
      </c>
      <c r="I52" s="37">
        <f>IF(B52=0,"Clear","REVIEW")</f>
        <v/>
      </c>
    </row>
    <row r="53">
      <c r="A53" s="29" t="inlineStr">
        <is>
          <t>Still sitting at "To Invoice" for the selected month</t>
        </is>
      </c>
      <c r="B53" s="38">
        <f>COUNTIFS(tbl_Onsite[Month],$C$4,tbl_Onsite[Status],"To Invoice")+COUNTIFS(tbl_Production[Month],$C$4,tbl_Production[Status],"To Invoice")+COUNTIFS(tbl_Consulting[Month],$C$4,tbl_Consulting[Status],"To Invoice")+COUNTIFS(tbl_Other[Month],$C$4,tbl_Other[Status],"To Invoice")</f>
        <v/>
      </c>
      <c r="I53" s="37">
        <f>IF(B53=0,"Clear","REVIEW")</f>
        <v/>
      </c>
    </row>
    <row r="54">
      <c r="A54" s="30" t="inlineStr">
        <is>
          <t>Value of invoice rows with no date (excluded from every month)</t>
        </is>
      </c>
      <c r="B54" s="39">
        <f>SUMPRODUCT(--(tbl_Onsite[Date]=""),IFERROR(tbl_Onsite[Ex GST]*1,0))+SUMPRODUCT(--(tbl_Production[Date]=""),IFERROR(tbl_Production[Ex GST]*1,0))+SUMPRODUCT(--(tbl_Consulting[Date]=""),IFERROR(tbl_Consulting[Ex GST]*1,0))+SUMPRODUCT(--(tbl_Other[Date]=""),IFERROR(tbl_Other[Ex GST]*1,0))</f>
        <v/>
      </c>
      <c r="I54" s="37">
        <f>IF(ROUND(B54,2)=0,"Clear","REVIEW")</f>
        <v/>
      </c>
    </row>
    <row r="56" ht="20" customHeight="1">
      <c r="A56" s="3" t="inlineStr">
        <is>
          <t>5.  SIGN-OFF</t>
        </is>
      </c>
    </row>
    <row r="57">
      <c r="A57" s="30" t="inlineStr">
        <is>
          <t>Prepared by</t>
        </is>
      </c>
      <c r="B57" s="40" t="n"/>
      <c r="C57" s="41" t="n"/>
      <c r="D57" s="42" t="n"/>
      <c r="E57" s="17" t="inlineStr">
        <is>
          <t>Accounts Assistant</t>
        </is>
      </c>
    </row>
    <row r="58">
      <c r="A58" s="30" t="inlineStr">
        <is>
          <t>Reviewed by</t>
        </is>
      </c>
      <c r="B58" s="40" t="n"/>
      <c r="C58" s="41" t="n"/>
      <c r="D58" s="42" t="n"/>
      <c r="E58" s="17" t="inlineStr">
        <is>
          <t>Finance Operations Manager</t>
        </is>
      </c>
    </row>
    <row r="59">
      <c r="A59" s="30" t="inlineStr">
        <is>
          <t>Date closed</t>
        </is>
      </c>
      <c r="B59" s="40" t="n"/>
      <c r="C59" s="41" t="n"/>
      <c r="D59" s="42" t="n"/>
    </row>
    <row r="60">
      <c r="A60" s="30" t="inlineStr">
        <is>
          <t>Notes / carried forward items</t>
        </is>
      </c>
      <c r="B60" s="40" t="n"/>
      <c r="C60" s="41" t="n"/>
      <c r="D60" s="42" t="n"/>
    </row>
  </sheetData>
  <mergeCells count="9">
    <mergeCell ref="B59:D59"/>
    <mergeCell ref="B60:D60"/>
    <mergeCell ref="A37:I37"/>
    <mergeCell ref="B57:D57"/>
    <mergeCell ref="B58:D58"/>
    <mergeCell ref="A56:I56"/>
    <mergeCell ref="A6:I6"/>
    <mergeCell ref="A26:I26"/>
    <mergeCell ref="A16:I16"/>
  </mergeCells>
  <conditionalFormatting sqref="I8:I14">
    <cfRule type="expression" priority="1" dxfId="0">
      <formula>LEFT(I8,5)="CHECK"</formula>
    </cfRule>
    <cfRule type="expression" priority="2" dxfId="1">
      <formula>I8="Reconciled"</formula>
    </cfRule>
  </conditionalFormatting>
  <conditionalFormatting sqref="I28:I34">
    <cfRule type="expression" priority="3" dxfId="0">
      <formula>I28="CHECK"</formula>
    </cfRule>
    <cfRule type="expression" priority="4" dxfId="1">
      <formula>I28="Reconciled"</formula>
    </cfRule>
  </conditionalFormatting>
  <conditionalFormatting sqref="I39:I54">
    <cfRule type="expression" priority="5" dxfId="0">
      <formula>I39="REVIEW"</formula>
    </cfRule>
    <cfRule type="expression" priority="6" dxfId="1">
      <formula>I39="Clear"</formula>
    </cfRule>
  </conditionalFormatting>
  <conditionalFormatting sqref="B39:B53">
    <cfRule type="cellIs" priority="7" operator="greaterThan" dxfId="2">
      <formula>0</formula>
    </cfRule>
  </conditionalFormatting>
  <dataValidations count="1">
    <dataValidation sqref="C4" showDropDown="0" showInputMessage="0" showErrorMessage="0" allowBlank="0" type="list" errorStyle="warning">
      <formula1>lst_Months</formula1>
    </dataValidation>
  </dataValidations>
  <pageMargins left="0.75" right="0.75" top="1" bottom="1" header="0.5" footer="0.5"/>
</worksheet>
</file>

<file path=xl/worksheets/sheet4.xml><?xml version="1.0" encoding="utf-8"?>
<worksheet xmlns="http://schemas.openxmlformats.org/spreadsheetml/2006/main">
  <sheetPr>
    <tabColor rgb="002E6B4F"/>
    <outlinePr summaryBelow="1" summaryRight="1"/>
    <pageSetUpPr/>
  </sheetPr>
  <dimension ref="A1:H1210"/>
  <sheetViews>
    <sheetView showGridLines="0" tabSelected="0" zoomScale="90" workbookViewId="0">
      <pane ySplit="10" topLeftCell="A11" activePane="bottomLeft" state="frozen"/>
      <selection pane="bottomLeft" activeCell="A1" sqref="A1"/>
    </sheetView>
  </sheetViews>
  <sheetFormatPr baseColWidth="8" defaultRowHeight="15"/>
  <cols>
    <col width="16" customWidth="1" style="43" min="1" max="1"/>
    <col width="26" customWidth="1" style="43" min="2" max="2"/>
    <col width="14" customWidth="1" style="43" min="3" max="3"/>
    <col width="15" customWidth="1" style="44" min="4" max="4"/>
    <col width="15" customWidth="1" style="44" min="5" max="5"/>
    <col width="15" customWidth="1" style="44" min="6" max="6"/>
    <col width="20" customWidth="1" style="44" min="7" max="7"/>
    <col width="14" customWidth="1" style="44" min="8" max="8"/>
  </cols>
  <sheetData>
    <row r="1" ht="24" customHeight="1">
      <c r="A1" s="12" t="inlineStr">
        <is>
          <t>WIP Balance by Job</t>
        </is>
      </c>
    </row>
    <row r="2" ht="16" customHeight="1">
      <c r="A2" s="2" t="inlineStr">
        <is>
          <t>Job-level WIP for the month selected on the Month-End sheet. Paste the matching balance from the WIP Schedule file into column G and the variance column finds the breaks.</t>
        </is>
      </c>
    </row>
    <row r="3" ht="6" customHeight="1"/>
    <row r="4">
      <c r="A4" s="20" t="inlineStr">
        <is>
          <t>Month</t>
        </is>
      </c>
      <c r="C4" s="45">
        <f>'Month-End'!C4</f>
        <v/>
      </c>
      <c r="D4" s="17" t="inlineStr">
        <is>
          <t>&lt;- set this on the Month-End sheet</t>
        </is>
      </c>
    </row>
    <row r="6">
      <c r="A6" s="30" t="inlineStr">
        <is>
          <t>Opening total</t>
        </is>
      </c>
      <c r="B6" s="46">
        <f>SUMIFS(tbl_WIP[Amount],tbl_WIP[Month],"&lt;&gt;",tbl_WIP[Month],"&lt;"&amp;$C$4)</f>
        <v/>
      </c>
    </row>
    <row r="7">
      <c r="A7" s="30" t="inlineStr">
        <is>
          <t>Movement this month</t>
        </is>
      </c>
      <c r="B7" s="46">
        <f>SUMIFS(tbl_WIP[Amount],tbl_WIP[Month],$C$4)</f>
        <v/>
      </c>
    </row>
    <row r="8">
      <c r="A8" s="30" t="inlineStr">
        <is>
          <t>Closing total</t>
        </is>
      </c>
      <c r="B8" s="31">
        <f>B6+B7</f>
        <v/>
      </c>
    </row>
    <row r="10" ht="30" customHeight="1">
      <c r="A10" s="22" t="inlineStr">
        <is>
          <t>Job Number</t>
        </is>
      </c>
      <c r="B10" s="22" t="inlineStr">
        <is>
          <t>Client</t>
        </is>
      </c>
      <c r="C10" s="22" t="inlineStr">
        <is>
          <t>Cost Centre</t>
        </is>
      </c>
      <c r="D10" s="22" t="inlineStr">
        <is>
          <t>Opening</t>
        </is>
      </c>
      <c r="E10" s="22" t="inlineStr">
        <is>
          <t>Movement</t>
        </is>
      </c>
      <c r="F10" s="22" t="inlineStr">
        <is>
          <t>Closing</t>
        </is>
      </c>
      <c r="G10" s="22" t="inlineStr">
        <is>
          <t>Per WIP Schedule (paste in)</t>
        </is>
      </c>
      <c r="H10" s="22" t="inlineStr">
        <is>
          <t>Variance</t>
        </is>
      </c>
    </row>
    <row r="11">
      <c r="A11">
        <f>_xlfn.LET(_xlpm.mth,$C$4,_xlpm.job,_xlfn._xlws.SORT(_xlfn.UNIQUE(_xlfn._xlws.FILTER(tbl_WIP[Job Number],tbl_WIP[Job Number]&lt;&gt;"","No WIP rows"))),_xlpm.opn,SUMIFS(tbl_WIP[Amount],tbl_WIP[Job Number],_xlpm.job,tbl_WIP[Month],"&lt;&gt;",tbl_WIP[Month],"&lt;"&amp;_xlpm.mth),_xlpm.mvt,SUMIFS(tbl_WIP[Amount],tbl_WIP[Job Number],_xlpm.job,tbl_WIP[Month],_xlpm.mth),_xlfn.HSTACK(_xlpm.job,_xlfn.XLOOKUP(_xlpm.job,tbl_WIP[Job Number],tbl_WIP[Client],""),_xlfn.XLOOKUP(_xlpm.job,tbl_WIP[Job Number],tbl_WIP[Cost Centre],""),_xlpm.opn,_xlpm.mvt,_xlpm.opn+_xlpm.mvt))</f>
        <v/>
      </c>
      <c r="G11" s="26" t="n"/>
      <c r="H11" s="25">
        <f>IF($A11="","",IF($G11="","",$F11-$G11))</f>
        <v/>
      </c>
    </row>
    <row r="12">
      <c r="G12" s="26" t="n"/>
      <c r="H12" s="25">
        <f>IF($A12="","",IF($G12="","",$F12-$G12))</f>
        <v/>
      </c>
    </row>
    <row r="13">
      <c r="G13" s="26" t="n"/>
      <c r="H13" s="25">
        <f>IF($A13="","",IF($G13="","",$F13-$G13))</f>
        <v/>
      </c>
    </row>
    <row r="14">
      <c r="G14" s="26" t="n"/>
      <c r="H14" s="25">
        <f>IF($A14="","",IF($G14="","",$F14-$G14))</f>
        <v/>
      </c>
    </row>
    <row r="15">
      <c r="G15" s="26" t="n"/>
      <c r="H15" s="25">
        <f>IF($A15="","",IF($G15="","",$F15-$G15))</f>
        <v/>
      </c>
    </row>
    <row r="16">
      <c r="G16" s="26" t="n"/>
      <c r="H16" s="25">
        <f>IF($A16="","",IF($G16="","",$F16-$G16))</f>
        <v/>
      </c>
    </row>
    <row r="17">
      <c r="G17" s="26" t="n"/>
      <c r="H17" s="25">
        <f>IF($A17="","",IF($G17="","",$F17-$G17))</f>
        <v/>
      </c>
    </row>
    <row r="18">
      <c r="G18" s="26" t="n"/>
      <c r="H18" s="25">
        <f>IF($A18="","",IF($G18="","",$F18-$G18))</f>
        <v/>
      </c>
    </row>
    <row r="19">
      <c r="G19" s="26" t="n"/>
      <c r="H19" s="25">
        <f>IF($A19="","",IF($G19="","",$F19-$G19))</f>
        <v/>
      </c>
    </row>
    <row r="20">
      <c r="G20" s="26" t="n"/>
      <c r="H20" s="25">
        <f>IF($A20="","",IF($G20="","",$F20-$G20))</f>
        <v/>
      </c>
    </row>
    <row r="21">
      <c r="G21" s="26" t="n"/>
      <c r="H21" s="25">
        <f>IF($A21="","",IF($G21="","",$F21-$G21))</f>
        <v/>
      </c>
    </row>
    <row r="22">
      <c r="G22" s="26" t="n"/>
      <c r="H22" s="25">
        <f>IF($A22="","",IF($G22="","",$F22-$G22))</f>
        <v/>
      </c>
    </row>
    <row r="23">
      <c r="G23" s="26" t="n"/>
      <c r="H23" s="25">
        <f>IF($A23="","",IF($G23="","",$F23-$G23))</f>
        <v/>
      </c>
    </row>
    <row r="24">
      <c r="G24" s="26" t="n"/>
      <c r="H24" s="25">
        <f>IF($A24="","",IF($G24="","",$F24-$G24))</f>
        <v/>
      </c>
    </row>
    <row r="25">
      <c r="G25" s="26" t="n"/>
      <c r="H25" s="25">
        <f>IF($A25="","",IF($G25="","",$F25-$G25))</f>
        <v/>
      </c>
    </row>
    <row r="26">
      <c r="G26" s="26" t="n"/>
      <c r="H26" s="25">
        <f>IF($A26="","",IF($G26="","",$F26-$G26))</f>
        <v/>
      </c>
    </row>
    <row r="27">
      <c r="G27" s="26" t="n"/>
      <c r="H27" s="25">
        <f>IF($A27="","",IF($G27="","",$F27-$G27))</f>
        <v/>
      </c>
    </row>
    <row r="28">
      <c r="G28" s="26" t="n"/>
      <c r="H28" s="25">
        <f>IF($A28="","",IF($G28="","",$F28-$G28))</f>
        <v/>
      </c>
    </row>
    <row r="29">
      <c r="G29" s="26" t="n"/>
      <c r="H29" s="25">
        <f>IF($A29="","",IF($G29="","",$F29-$G29))</f>
        <v/>
      </c>
    </row>
    <row r="30">
      <c r="G30" s="26" t="n"/>
      <c r="H30" s="25">
        <f>IF($A30="","",IF($G30="","",$F30-$G30))</f>
        <v/>
      </c>
    </row>
    <row r="31">
      <c r="G31" s="26" t="n"/>
      <c r="H31" s="25">
        <f>IF($A31="","",IF($G31="","",$F31-$G31))</f>
        <v/>
      </c>
    </row>
    <row r="32">
      <c r="G32" s="26" t="n"/>
      <c r="H32" s="25">
        <f>IF($A32="","",IF($G32="","",$F32-$G32))</f>
        <v/>
      </c>
    </row>
    <row r="33">
      <c r="G33" s="26" t="n"/>
      <c r="H33" s="25">
        <f>IF($A33="","",IF($G33="","",$F33-$G33))</f>
        <v/>
      </c>
    </row>
    <row r="34">
      <c r="G34" s="26" t="n"/>
      <c r="H34" s="25">
        <f>IF($A34="","",IF($G34="","",$F34-$G34))</f>
        <v/>
      </c>
    </row>
    <row r="35">
      <c r="G35" s="26" t="n"/>
      <c r="H35" s="25">
        <f>IF($A35="","",IF($G35="","",$F35-$G35))</f>
        <v/>
      </c>
    </row>
    <row r="36">
      <c r="G36" s="26" t="n"/>
      <c r="H36" s="25">
        <f>IF($A36="","",IF($G36="","",$F36-$G36))</f>
        <v/>
      </c>
    </row>
    <row r="37">
      <c r="G37" s="26" t="n"/>
      <c r="H37" s="25">
        <f>IF($A37="","",IF($G37="","",$F37-$G37))</f>
        <v/>
      </c>
    </row>
    <row r="38">
      <c r="G38" s="26" t="n"/>
      <c r="H38" s="25">
        <f>IF($A38="","",IF($G38="","",$F38-$G38))</f>
        <v/>
      </c>
    </row>
    <row r="39">
      <c r="G39" s="26" t="n"/>
      <c r="H39" s="25">
        <f>IF($A39="","",IF($G39="","",$F39-$G39))</f>
        <v/>
      </c>
    </row>
    <row r="40">
      <c r="G40" s="26" t="n"/>
      <c r="H40" s="25">
        <f>IF($A40="","",IF($G40="","",$F40-$G40))</f>
        <v/>
      </c>
    </row>
    <row r="41">
      <c r="G41" s="26" t="n"/>
      <c r="H41" s="25">
        <f>IF($A41="","",IF($G41="","",$F41-$G41))</f>
        <v/>
      </c>
    </row>
    <row r="42">
      <c r="G42" s="26" t="n"/>
      <c r="H42" s="25">
        <f>IF($A42="","",IF($G42="","",$F42-$G42))</f>
        <v/>
      </c>
    </row>
    <row r="43">
      <c r="G43" s="26" t="n"/>
      <c r="H43" s="25">
        <f>IF($A43="","",IF($G43="","",$F43-$G43))</f>
        <v/>
      </c>
    </row>
    <row r="44">
      <c r="G44" s="26" t="n"/>
      <c r="H44" s="25">
        <f>IF($A44="","",IF($G44="","",$F44-$G44))</f>
        <v/>
      </c>
    </row>
    <row r="45">
      <c r="G45" s="26" t="n"/>
      <c r="H45" s="25">
        <f>IF($A45="","",IF($G45="","",$F45-$G45))</f>
        <v/>
      </c>
    </row>
    <row r="46">
      <c r="G46" s="26" t="n"/>
      <c r="H46" s="25">
        <f>IF($A46="","",IF($G46="","",$F46-$G46))</f>
        <v/>
      </c>
    </row>
    <row r="47">
      <c r="G47" s="26" t="n"/>
      <c r="H47" s="25">
        <f>IF($A47="","",IF($G47="","",$F47-$G47))</f>
        <v/>
      </c>
    </row>
    <row r="48">
      <c r="G48" s="26" t="n"/>
      <c r="H48" s="25">
        <f>IF($A48="","",IF($G48="","",$F48-$G48))</f>
        <v/>
      </c>
    </row>
    <row r="49">
      <c r="G49" s="26" t="n"/>
      <c r="H49" s="25">
        <f>IF($A49="","",IF($G49="","",$F49-$G49))</f>
        <v/>
      </c>
    </row>
    <row r="50">
      <c r="G50" s="26" t="n"/>
      <c r="H50" s="25">
        <f>IF($A50="","",IF($G50="","",$F50-$G50))</f>
        <v/>
      </c>
    </row>
    <row r="51">
      <c r="G51" s="26" t="n"/>
      <c r="H51" s="25">
        <f>IF($A51="","",IF($G51="","",$F51-$G51))</f>
        <v/>
      </c>
    </row>
    <row r="52">
      <c r="G52" s="26" t="n"/>
      <c r="H52" s="25">
        <f>IF($A52="","",IF($G52="","",$F52-$G52))</f>
        <v/>
      </c>
    </row>
    <row r="53">
      <c r="G53" s="26" t="n"/>
      <c r="H53" s="25">
        <f>IF($A53="","",IF($G53="","",$F53-$G53))</f>
        <v/>
      </c>
    </row>
    <row r="54">
      <c r="G54" s="26" t="n"/>
      <c r="H54" s="25">
        <f>IF($A54="","",IF($G54="","",$F54-$G54))</f>
        <v/>
      </c>
    </row>
    <row r="55">
      <c r="G55" s="26" t="n"/>
      <c r="H55" s="25">
        <f>IF($A55="","",IF($G55="","",$F55-$G55))</f>
        <v/>
      </c>
    </row>
    <row r="56">
      <c r="G56" s="26" t="n"/>
      <c r="H56" s="25">
        <f>IF($A56="","",IF($G56="","",$F56-$G56))</f>
        <v/>
      </c>
    </row>
    <row r="57">
      <c r="G57" s="26" t="n"/>
      <c r="H57" s="25">
        <f>IF($A57="","",IF($G57="","",$F57-$G57))</f>
        <v/>
      </c>
    </row>
    <row r="58">
      <c r="G58" s="26" t="n"/>
      <c r="H58" s="25">
        <f>IF($A58="","",IF($G58="","",$F58-$G58))</f>
        <v/>
      </c>
    </row>
    <row r="59">
      <c r="G59" s="26" t="n"/>
      <c r="H59" s="25">
        <f>IF($A59="","",IF($G59="","",$F59-$G59))</f>
        <v/>
      </c>
    </row>
    <row r="60">
      <c r="G60" s="26" t="n"/>
      <c r="H60" s="25">
        <f>IF($A60="","",IF($G60="","",$F60-$G60))</f>
        <v/>
      </c>
    </row>
    <row r="61">
      <c r="G61" s="26" t="n"/>
      <c r="H61" s="25">
        <f>IF($A61="","",IF($G61="","",$F61-$G61))</f>
        <v/>
      </c>
    </row>
    <row r="62">
      <c r="G62" s="26" t="n"/>
      <c r="H62" s="25">
        <f>IF($A62="","",IF($G62="","",$F62-$G62))</f>
        <v/>
      </c>
    </row>
    <row r="63">
      <c r="G63" s="26" t="n"/>
      <c r="H63" s="25">
        <f>IF($A63="","",IF($G63="","",$F63-$G63))</f>
        <v/>
      </c>
    </row>
    <row r="64">
      <c r="G64" s="26" t="n"/>
      <c r="H64" s="25">
        <f>IF($A64="","",IF($G64="","",$F64-$G64))</f>
        <v/>
      </c>
    </row>
    <row r="65">
      <c r="G65" s="26" t="n"/>
      <c r="H65" s="25">
        <f>IF($A65="","",IF($G65="","",$F65-$G65))</f>
        <v/>
      </c>
    </row>
    <row r="66">
      <c r="G66" s="26" t="n"/>
      <c r="H66" s="25">
        <f>IF($A66="","",IF($G66="","",$F66-$G66))</f>
        <v/>
      </c>
    </row>
    <row r="67">
      <c r="G67" s="26" t="n"/>
      <c r="H67" s="25">
        <f>IF($A67="","",IF($G67="","",$F67-$G67))</f>
        <v/>
      </c>
    </row>
    <row r="68">
      <c r="G68" s="26" t="n"/>
      <c r="H68" s="25">
        <f>IF($A68="","",IF($G68="","",$F68-$G68))</f>
        <v/>
      </c>
    </row>
    <row r="69">
      <c r="G69" s="26" t="n"/>
      <c r="H69" s="25">
        <f>IF($A69="","",IF($G69="","",$F69-$G69))</f>
        <v/>
      </c>
    </row>
    <row r="70">
      <c r="G70" s="26" t="n"/>
      <c r="H70" s="25">
        <f>IF($A70="","",IF($G70="","",$F70-$G70))</f>
        <v/>
      </c>
    </row>
    <row r="71">
      <c r="G71" s="26" t="n"/>
      <c r="H71" s="25">
        <f>IF($A71="","",IF($G71="","",$F71-$G71))</f>
        <v/>
      </c>
    </row>
    <row r="72">
      <c r="G72" s="26" t="n"/>
      <c r="H72" s="25">
        <f>IF($A72="","",IF($G72="","",$F72-$G72))</f>
        <v/>
      </c>
    </row>
    <row r="73">
      <c r="G73" s="26" t="n"/>
      <c r="H73" s="25">
        <f>IF($A73="","",IF($G73="","",$F73-$G73))</f>
        <v/>
      </c>
    </row>
    <row r="74">
      <c r="G74" s="26" t="n"/>
      <c r="H74" s="25">
        <f>IF($A74="","",IF($G74="","",$F74-$G74))</f>
        <v/>
      </c>
    </row>
    <row r="75">
      <c r="G75" s="26" t="n"/>
      <c r="H75" s="25">
        <f>IF($A75="","",IF($G75="","",$F75-$G75))</f>
        <v/>
      </c>
    </row>
    <row r="76">
      <c r="G76" s="26" t="n"/>
      <c r="H76" s="25">
        <f>IF($A76="","",IF($G76="","",$F76-$G76))</f>
        <v/>
      </c>
    </row>
    <row r="77">
      <c r="G77" s="26" t="n"/>
      <c r="H77" s="25">
        <f>IF($A77="","",IF($G77="","",$F77-$G77))</f>
        <v/>
      </c>
    </row>
    <row r="78">
      <c r="G78" s="26" t="n"/>
      <c r="H78" s="25">
        <f>IF($A78="","",IF($G78="","",$F78-$G78))</f>
        <v/>
      </c>
    </row>
    <row r="79">
      <c r="G79" s="26" t="n"/>
      <c r="H79" s="25">
        <f>IF($A79="","",IF($G79="","",$F79-$G79))</f>
        <v/>
      </c>
    </row>
    <row r="80">
      <c r="G80" s="26" t="n"/>
      <c r="H80" s="25">
        <f>IF($A80="","",IF($G80="","",$F80-$G80))</f>
        <v/>
      </c>
    </row>
    <row r="81">
      <c r="G81" s="26" t="n"/>
      <c r="H81" s="25">
        <f>IF($A81="","",IF($G81="","",$F81-$G81))</f>
        <v/>
      </c>
    </row>
    <row r="82">
      <c r="G82" s="26" t="n"/>
      <c r="H82" s="25">
        <f>IF($A82="","",IF($G82="","",$F82-$G82))</f>
        <v/>
      </c>
    </row>
    <row r="83">
      <c r="G83" s="26" t="n"/>
      <c r="H83" s="25">
        <f>IF($A83="","",IF($G83="","",$F83-$G83))</f>
        <v/>
      </c>
    </row>
    <row r="84">
      <c r="G84" s="26" t="n"/>
      <c r="H84" s="25">
        <f>IF($A84="","",IF($G84="","",$F84-$G84))</f>
        <v/>
      </c>
    </row>
    <row r="85">
      <c r="G85" s="26" t="n"/>
      <c r="H85" s="25">
        <f>IF($A85="","",IF($G85="","",$F85-$G85))</f>
        <v/>
      </c>
    </row>
    <row r="86">
      <c r="G86" s="26" t="n"/>
      <c r="H86" s="25">
        <f>IF($A86="","",IF($G86="","",$F86-$G86))</f>
        <v/>
      </c>
    </row>
    <row r="87">
      <c r="G87" s="26" t="n"/>
      <c r="H87" s="25">
        <f>IF($A87="","",IF($G87="","",$F87-$G87))</f>
        <v/>
      </c>
    </row>
    <row r="88">
      <c r="G88" s="26" t="n"/>
      <c r="H88" s="25">
        <f>IF($A88="","",IF($G88="","",$F88-$G88))</f>
        <v/>
      </c>
    </row>
    <row r="89">
      <c r="G89" s="26" t="n"/>
      <c r="H89" s="25">
        <f>IF($A89="","",IF($G89="","",$F89-$G89))</f>
        <v/>
      </c>
    </row>
    <row r="90">
      <c r="G90" s="26" t="n"/>
      <c r="H90" s="25">
        <f>IF($A90="","",IF($G90="","",$F90-$G90))</f>
        <v/>
      </c>
    </row>
    <row r="91">
      <c r="G91" s="26" t="n"/>
      <c r="H91" s="25">
        <f>IF($A91="","",IF($G91="","",$F91-$G91))</f>
        <v/>
      </c>
    </row>
    <row r="92">
      <c r="G92" s="26" t="n"/>
      <c r="H92" s="25">
        <f>IF($A92="","",IF($G92="","",$F92-$G92))</f>
        <v/>
      </c>
    </row>
    <row r="93">
      <c r="G93" s="26" t="n"/>
      <c r="H93" s="25">
        <f>IF($A93="","",IF($G93="","",$F93-$G93))</f>
        <v/>
      </c>
    </row>
    <row r="94">
      <c r="G94" s="26" t="n"/>
      <c r="H94" s="25">
        <f>IF($A94="","",IF($G94="","",$F94-$G94))</f>
        <v/>
      </c>
    </row>
    <row r="95">
      <c r="G95" s="26" t="n"/>
      <c r="H95" s="25">
        <f>IF($A95="","",IF($G95="","",$F95-$G95))</f>
        <v/>
      </c>
    </row>
    <row r="96">
      <c r="G96" s="26" t="n"/>
      <c r="H96" s="25">
        <f>IF($A96="","",IF($G96="","",$F96-$G96))</f>
        <v/>
      </c>
    </row>
    <row r="97">
      <c r="G97" s="26" t="n"/>
      <c r="H97" s="25">
        <f>IF($A97="","",IF($G97="","",$F97-$G97))</f>
        <v/>
      </c>
    </row>
    <row r="98">
      <c r="G98" s="26" t="n"/>
      <c r="H98" s="25">
        <f>IF($A98="","",IF($G98="","",$F98-$G98))</f>
        <v/>
      </c>
    </row>
    <row r="99">
      <c r="G99" s="26" t="n"/>
      <c r="H99" s="25">
        <f>IF($A99="","",IF($G99="","",$F99-$G99))</f>
        <v/>
      </c>
    </row>
    <row r="100">
      <c r="G100" s="26" t="n"/>
      <c r="H100" s="25">
        <f>IF($A100="","",IF($G100="","",$F100-$G100))</f>
        <v/>
      </c>
    </row>
    <row r="101">
      <c r="G101" s="26" t="n"/>
      <c r="H101" s="25">
        <f>IF($A101="","",IF($G101="","",$F101-$G101))</f>
        <v/>
      </c>
    </row>
    <row r="102">
      <c r="G102" s="26" t="n"/>
      <c r="H102" s="25">
        <f>IF($A102="","",IF($G102="","",$F102-$G102))</f>
        <v/>
      </c>
    </row>
    <row r="103">
      <c r="G103" s="26" t="n"/>
      <c r="H103" s="25">
        <f>IF($A103="","",IF($G103="","",$F103-$G103))</f>
        <v/>
      </c>
    </row>
    <row r="104">
      <c r="G104" s="26" t="n"/>
      <c r="H104" s="25">
        <f>IF($A104="","",IF($G104="","",$F104-$G104))</f>
        <v/>
      </c>
    </row>
    <row r="105">
      <c r="G105" s="26" t="n"/>
      <c r="H105" s="25">
        <f>IF($A105="","",IF($G105="","",$F105-$G105))</f>
        <v/>
      </c>
    </row>
    <row r="106">
      <c r="G106" s="26" t="n"/>
      <c r="H106" s="25">
        <f>IF($A106="","",IF($G106="","",$F106-$G106))</f>
        <v/>
      </c>
    </row>
    <row r="107">
      <c r="G107" s="26" t="n"/>
      <c r="H107" s="25">
        <f>IF($A107="","",IF($G107="","",$F107-$G107))</f>
        <v/>
      </c>
    </row>
    <row r="108">
      <c r="G108" s="26" t="n"/>
      <c r="H108" s="25">
        <f>IF($A108="","",IF($G108="","",$F108-$G108))</f>
        <v/>
      </c>
    </row>
    <row r="109">
      <c r="G109" s="26" t="n"/>
      <c r="H109" s="25">
        <f>IF($A109="","",IF($G109="","",$F109-$G109))</f>
        <v/>
      </c>
    </row>
    <row r="110">
      <c r="G110" s="26" t="n"/>
      <c r="H110" s="25">
        <f>IF($A110="","",IF($G110="","",$F110-$G110))</f>
        <v/>
      </c>
    </row>
    <row r="111">
      <c r="G111" s="26" t="n"/>
      <c r="H111" s="25">
        <f>IF($A111="","",IF($G111="","",$F111-$G111))</f>
        <v/>
      </c>
    </row>
    <row r="112">
      <c r="G112" s="26" t="n"/>
      <c r="H112" s="25">
        <f>IF($A112="","",IF($G112="","",$F112-$G112))</f>
        <v/>
      </c>
    </row>
    <row r="113">
      <c r="G113" s="26" t="n"/>
      <c r="H113" s="25">
        <f>IF($A113="","",IF($G113="","",$F113-$G113))</f>
        <v/>
      </c>
    </row>
    <row r="114">
      <c r="G114" s="26" t="n"/>
      <c r="H114" s="25">
        <f>IF($A114="","",IF($G114="","",$F114-$G114))</f>
        <v/>
      </c>
    </row>
    <row r="115">
      <c r="G115" s="26" t="n"/>
      <c r="H115" s="25">
        <f>IF($A115="","",IF($G115="","",$F115-$G115))</f>
        <v/>
      </c>
    </row>
    <row r="116">
      <c r="G116" s="26" t="n"/>
      <c r="H116" s="25">
        <f>IF($A116="","",IF($G116="","",$F116-$G116))</f>
        <v/>
      </c>
    </row>
    <row r="117">
      <c r="G117" s="26" t="n"/>
      <c r="H117" s="25">
        <f>IF($A117="","",IF($G117="","",$F117-$G117))</f>
        <v/>
      </c>
    </row>
    <row r="118">
      <c r="G118" s="26" t="n"/>
      <c r="H118" s="25">
        <f>IF($A118="","",IF($G118="","",$F118-$G118))</f>
        <v/>
      </c>
    </row>
    <row r="119">
      <c r="G119" s="26" t="n"/>
      <c r="H119" s="25">
        <f>IF($A119="","",IF($G119="","",$F119-$G119))</f>
        <v/>
      </c>
    </row>
    <row r="120">
      <c r="G120" s="26" t="n"/>
      <c r="H120" s="25">
        <f>IF($A120="","",IF($G120="","",$F120-$G120))</f>
        <v/>
      </c>
    </row>
    <row r="121">
      <c r="G121" s="26" t="n"/>
      <c r="H121" s="25">
        <f>IF($A121="","",IF($G121="","",$F121-$G121))</f>
        <v/>
      </c>
    </row>
    <row r="122">
      <c r="G122" s="26" t="n"/>
      <c r="H122" s="25">
        <f>IF($A122="","",IF($G122="","",$F122-$G122))</f>
        <v/>
      </c>
    </row>
    <row r="123">
      <c r="G123" s="26" t="n"/>
      <c r="H123" s="25">
        <f>IF($A123="","",IF($G123="","",$F123-$G123))</f>
        <v/>
      </c>
    </row>
    <row r="124">
      <c r="G124" s="26" t="n"/>
      <c r="H124" s="25">
        <f>IF($A124="","",IF($G124="","",$F124-$G124))</f>
        <v/>
      </c>
    </row>
    <row r="125">
      <c r="G125" s="26" t="n"/>
      <c r="H125" s="25">
        <f>IF($A125="","",IF($G125="","",$F125-$G125))</f>
        <v/>
      </c>
    </row>
    <row r="126">
      <c r="G126" s="26" t="n"/>
      <c r="H126" s="25">
        <f>IF($A126="","",IF($G126="","",$F126-$G126))</f>
        <v/>
      </c>
    </row>
    <row r="127">
      <c r="G127" s="26" t="n"/>
      <c r="H127" s="25">
        <f>IF($A127="","",IF($G127="","",$F127-$G127))</f>
        <v/>
      </c>
    </row>
    <row r="128">
      <c r="G128" s="26" t="n"/>
      <c r="H128" s="25">
        <f>IF($A128="","",IF($G128="","",$F128-$G128))</f>
        <v/>
      </c>
    </row>
    <row r="129">
      <c r="G129" s="26" t="n"/>
      <c r="H129" s="25">
        <f>IF($A129="","",IF($G129="","",$F129-$G129))</f>
        <v/>
      </c>
    </row>
    <row r="130">
      <c r="G130" s="26" t="n"/>
      <c r="H130" s="25">
        <f>IF($A130="","",IF($G130="","",$F130-$G130))</f>
        <v/>
      </c>
    </row>
    <row r="131">
      <c r="G131" s="26" t="n"/>
      <c r="H131" s="25">
        <f>IF($A131="","",IF($G131="","",$F131-$G131))</f>
        <v/>
      </c>
    </row>
    <row r="132">
      <c r="G132" s="26" t="n"/>
      <c r="H132" s="25">
        <f>IF($A132="","",IF($G132="","",$F132-$G132))</f>
        <v/>
      </c>
    </row>
    <row r="133">
      <c r="G133" s="26" t="n"/>
      <c r="H133" s="25">
        <f>IF($A133="","",IF($G133="","",$F133-$G133))</f>
        <v/>
      </c>
    </row>
    <row r="134">
      <c r="G134" s="26" t="n"/>
      <c r="H134" s="25">
        <f>IF($A134="","",IF($G134="","",$F134-$G134))</f>
        <v/>
      </c>
    </row>
    <row r="135">
      <c r="G135" s="26" t="n"/>
      <c r="H135" s="25">
        <f>IF($A135="","",IF($G135="","",$F135-$G135))</f>
        <v/>
      </c>
    </row>
    <row r="136">
      <c r="G136" s="26" t="n"/>
      <c r="H136" s="25">
        <f>IF($A136="","",IF($G136="","",$F136-$G136))</f>
        <v/>
      </c>
    </row>
    <row r="137">
      <c r="G137" s="26" t="n"/>
      <c r="H137" s="25">
        <f>IF($A137="","",IF($G137="","",$F137-$G137))</f>
        <v/>
      </c>
    </row>
    <row r="138">
      <c r="G138" s="26" t="n"/>
      <c r="H138" s="25">
        <f>IF($A138="","",IF($G138="","",$F138-$G138))</f>
        <v/>
      </c>
    </row>
    <row r="139">
      <c r="G139" s="26" t="n"/>
      <c r="H139" s="25">
        <f>IF($A139="","",IF($G139="","",$F139-$G139))</f>
        <v/>
      </c>
    </row>
    <row r="140">
      <c r="G140" s="26" t="n"/>
      <c r="H140" s="25">
        <f>IF($A140="","",IF($G140="","",$F140-$G140))</f>
        <v/>
      </c>
    </row>
    <row r="141">
      <c r="G141" s="26" t="n"/>
      <c r="H141" s="25">
        <f>IF($A141="","",IF($G141="","",$F141-$G141))</f>
        <v/>
      </c>
    </row>
    <row r="142">
      <c r="G142" s="26" t="n"/>
      <c r="H142" s="25">
        <f>IF($A142="","",IF($G142="","",$F142-$G142))</f>
        <v/>
      </c>
    </row>
    <row r="143">
      <c r="G143" s="26" t="n"/>
      <c r="H143" s="25">
        <f>IF($A143="","",IF($G143="","",$F143-$G143))</f>
        <v/>
      </c>
    </row>
    <row r="144">
      <c r="G144" s="26" t="n"/>
      <c r="H144" s="25">
        <f>IF($A144="","",IF($G144="","",$F144-$G144))</f>
        <v/>
      </c>
    </row>
    <row r="145">
      <c r="G145" s="26" t="n"/>
      <c r="H145" s="25">
        <f>IF($A145="","",IF($G145="","",$F145-$G145))</f>
        <v/>
      </c>
    </row>
    <row r="146">
      <c r="G146" s="26" t="n"/>
      <c r="H146" s="25">
        <f>IF($A146="","",IF($G146="","",$F146-$G146))</f>
        <v/>
      </c>
    </row>
    <row r="147">
      <c r="G147" s="26" t="n"/>
      <c r="H147" s="25">
        <f>IF($A147="","",IF($G147="","",$F147-$G147))</f>
        <v/>
      </c>
    </row>
    <row r="148">
      <c r="G148" s="26" t="n"/>
      <c r="H148" s="25">
        <f>IF($A148="","",IF($G148="","",$F148-$G148))</f>
        <v/>
      </c>
    </row>
    <row r="149">
      <c r="G149" s="26" t="n"/>
      <c r="H149" s="25">
        <f>IF($A149="","",IF($G149="","",$F149-$G149))</f>
        <v/>
      </c>
    </row>
    <row r="150">
      <c r="G150" s="26" t="n"/>
      <c r="H150" s="25">
        <f>IF($A150="","",IF($G150="","",$F150-$G150))</f>
        <v/>
      </c>
    </row>
    <row r="151">
      <c r="G151" s="26" t="n"/>
      <c r="H151" s="25">
        <f>IF($A151="","",IF($G151="","",$F151-$G151))</f>
        <v/>
      </c>
    </row>
    <row r="152">
      <c r="G152" s="26" t="n"/>
      <c r="H152" s="25">
        <f>IF($A152="","",IF($G152="","",$F152-$G152))</f>
        <v/>
      </c>
    </row>
    <row r="153">
      <c r="G153" s="26" t="n"/>
      <c r="H153" s="25">
        <f>IF($A153="","",IF($G153="","",$F153-$G153))</f>
        <v/>
      </c>
    </row>
    <row r="154">
      <c r="G154" s="26" t="n"/>
      <c r="H154" s="25">
        <f>IF($A154="","",IF($G154="","",$F154-$G154))</f>
        <v/>
      </c>
    </row>
    <row r="155">
      <c r="G155" s="26" t="n"/>
      <c r="H155" s="25">
        <f>IF($A155="","",IF($G155="","",$F155-$G155))</f>
        <v/>
      </c>
    </row>
    <row r="156">
      <c r="G156" s="26" t="n"/>
      <c r="H156" s="25">
        <f>IF($A156="","",IF($G156="","",$F156-$G156))</f>
        <v/>
      </c>
    </row>
    <row r="157">
      <c r="G157" s="26" t="n"/>
      <c r="H157" s="25">
        <f>IF($A157="","",IF($G157="","",$F157-$G157))</f>
        <v/>
      </c>
    </row>
    <row r="158">
      <c r="G158" s="26" t="n"/>
      <c r="H158" s="25">
        <f>IF($A158="","",IF($G158="","",$F158-$G158))</f>
        <v/>
      </c>
    </row>
    <row r="159">
      <c r="G159" s="26" t="n"/>
      <c r="H159" s="25">
        <f>IF($A159="","",IF($G159="","",$F159-$G159))</f>
        <v/>
      </c>
    </row>
    <row r="160">
      <c r="G160" s="26" t="n"/>
      <c r="H160" s="25">
        <f>IF($A160="","",IF($G160="","",$F160-$G160))</f>
        <v/>
      </c>
    </row>
    <row r="161">
      <c r="G161" s="26" t="n"/>
      <c r="H161" s="25">
        <f>IF($A161="","",IF($G161="","",$F161-$G161))</f>
        <v/>
      </c>
    </row>
    <row r="162">
      <c r="G162" s="26" t="n"/>
      <c r="H162" s="25">
        <f>IF($A162="","",IF($G162="","",$F162-$G162))</f>
        <v/>
      </c>
    </row>
    <row r="163">
      <c r="G163" s="26" t="n"/>
      <c r="H163" s="25">
        <f>IF($A163="","",IF($G163="","",$F163-$G163))</f>
        <v/>
      </c>
    </row>
    <row r="164">
      <c r="G164" s="26" t="n"/>
      <c r="H164" s="25">
        <f>IF($A164="","",IF($G164="","",$F164-$G164))</f>
        <v/>
      </c>
    </row>
    <row r="165">
      <c r="G165" s="26" t="n"/>
      <c r="H165" s="25">
        <f>IF($A165="","",IF($G165="","",$F165-$G165))</f>
        <v/>
      </c>
    </row>
    <row r="166">
      <c r="G166" s="26" t="n"/>
      <c r="H166" s="25">
        <f>IF($A166="","",IF($G166="","",$F166-$G166))</f>
        <v/>
      </c>
    </row>
    <row r="167">
      <c r="G167" s="26" t="n"/>
      <c r="H167" s="25">
        <f>IF($A167="","",IF($G167="","",$F167-$G167))</f>
        <v/>
      </c>
    </row>
    <row r="168">
      <c r="G168" s="26" t="n"/>
      <c r="H168" s="25">
        <f>IF($A168="","",IF($G168="","",$F168-$G168))</f>
        <v/>
      </c>
    </row>
    <row r="169">
      <c r="G169" s="26" t="n"/>
      <c r="H169" s="25">
        <f>IF($A169="","",IF($G169="","",$F169-$G169))</f>
        <v/>
      </c>
    </row>
    <row r="170">
      <c r="G170" s="26" t="n"/>
      <c r="H170" s="25">
        <f>IF($A170="","",IF($G170="","",$F170-$G170))</f>
        <v/>
      </c>
    </row>
    <row r="171">
      <c r="G171" s="26" t="n"/>
      <c r="H171" s="25">
        <f>IF($A171="","",IF($G171="","",$F171-$G171))</f>
        <v/>
      </c>
    </row>
    <row r="172">
      <c r="G172" s="26" t="n"/>
      <c r="H172" s="25">
        <f>IF($A172="","",IF($G172="","",$F172-$G172))</f>
        <v/>
      </c>
    </row>
    <row r="173">
      <c r="G173" s="26" t="n"/>
      <c r="H173" s="25">
        <f>IF($A173="","",IF($G173="","",$F173-$G173))</f>
        <v/>
      </c>
    </row>
    <row r="174">
      <c r="G174" s="26" t="n"/>
      <c r="H174" s="25">
        <f>IF($A174="","",IF($G174="","",$F174-$G174))</f>
        <v/>
      </c>
    </row>
    <row r="175">
      <c r="G175" s="26" t="n"/>
      <c r="H175" s="25">
        <f>IF($A175="","",IF($G175="","",$F175-$G175))</f>
        <v/>
      </c>
    </row>
    <row r="176">
      <c r="G176" s="26" t="n"/>
      <c r="H176" s="25">
        <f>IF($A176="","",IF($G176="","",$F176-$G176))</f>
        <v/>
      </c>
    </row>
    <row r="177">
      <c r="G177" s="26" t="n"/>
      <c r="H177" s="25">
        <f>IF($A177="","",IF($G177="","",$F177-$G177))</f>
        <v/>
      </c>
    </row>
    <row r="178">
      <c r="G178" s="26" t="n"/>
      <c r="H178" s="25">
        <f>IF($A178="","",IF($G178="","",$F178-$G178))</f>
        <v/>
      </c>
    </row>
    <row r="179">
      <c r="G179" s="26" t="n"/>
      <c r="H179" s="25">
        <f>IF($A179="","",IF($G179="","",$F179-$G179))</f>
        <v/>
      </c>
    </row>
    <row r="180">
      <c r="G180" s="26" t="n"/>
      <c r="H180" s="25">
        <f>IF($A180="","",IF($G180="","",$F180-$G180))</f>
        <v/>
      </c>
    </row>
    <row r="181">
      <c r="G181" s="26" t="n"/>
      <c r="H181" s="25">
        <f>IF($A181="","",IF($G181="","",$F181-$G181))</f>
        <v/>
      </c>
    </row>
    <row r="182">
      <c r="G182" s="26" t="n"/>
      <c r="H182" s="25">
        <f>IF($A182="","",IF($G182="","",$F182-$G182))</f>
        <v/>
      </c>
    </row>
    <row r="183">
      <c r="G183" s="26" t="n"/>
      <c r="H183" s="25">
        <f>IF($A183="","",IF($G183="","",$F183-$G183))</f>
        <v/>
      </c>
    </row>
    <row r="184">
      <c r="G184" s="26" t="n"/>
      <c r="H184" s="25">
        <f>IF($A184="","",IF($G184="","",$F184-$G184))</f>
        <v/>
      </c>
    </row>
    <row r="185">
      <c r="G185" s="26" t="n"/>
      <c r="H185" s="25">
        <f>IF($A185="","",IF($G185="","",$F185-$G185))</f>
        <v/>
      </c>
    </row>
    <row r="186">
      <c r="G186" s="26" t="n"/>
      <c r="H186" s="25">
        <f>IF($A186="","",IF($G186="","",$F186-$G186))</f>
        <v/>
      </c>
    </row>
    <row r="187">
      <c r="G187" s="26" t="n"/>
      <c r="H187" s="25">
        <f>IF($A187="","",IF($G187="","",$F187-$G187))</f>
        <v/>
      </c>
    </row>
    <row r="188">
      <c r="G188" s="26" t="n"/>
      <c r="H188" s="25">
        <f>IF($A188="","",IF($G188="","",$F188-$G188))</f>
        <v/>
      </c>
    </row>
    <row r="189">
      <c r="G189" s="26" t="n"/>
      <c r="H189" s="25">
        <f>IF($A189="","",IF($G189="","",$F189-$G189))</f>
        <v/>
      </c>
    </row>
    <row r="190">
      <c r="G190" s="26" t="n"/>
      <c r="H190" s="25">
        <f>IF($A190="","",IF($G190="","",$F190-$G190))</f>
        <v/>
      </c>
    </row>
    <row r="191">
      <c r="G191" s="26" t="n"/>
      <c r="H191" s="25">
        <f>IF($A191="","",IF($G191="","",$F191-$G191))</f>
        <v/>
      </c>
    </row>
    <row r="192">
      <c r="G192" s="26" t="n"/>
      <c r="H192" s="25">
        <f>IF($A192="","",IF($G192="","",$F192-$G192))</f>
        <v/>
      </c>
    </row>
    <row r="193">
      <c r="G193" s="26" t="n"/>
      <c r="H193" s="25">
        <f>IF($A193="","",IF($G193="","",$F193-$G193))</f>
        <v/>
      </c>
    </row>
    <row r="194">
      <c r="G194" s="26" t="n"/>
      <c r="H194" s="25">
        <f>IF($A194="","",IF($G194="","",$F194-$G194))</f>
        <v/>
      </c>
    </row>
    <row r="195">
      <c r="G195" s="26" t="n"/>
      <c r="H195" s="25">
        <f>IF($A195="","",IF($G195="","",$F195-$G195))</f>
        <v/>
      </c>
    </row>
    <row r="196">
      <c r="G196" s="26" t="n"/>
      <c r="H196" s="25">
        <f>IF($A196="","",IF($G196="","",$F196-$G196))</f>
        <v/>
      </c>
    </row>
    <row r="197">
      <c r="G197" s="26" t="n"/>
      <c r="H197" s="25">
        <f>IF($A197="","",IF($G197="","",$F197-$G197))</f>
        <v/>
      </c>
    </row>
    <row r="198">
      <c r="G198" s="26" t="n"/>
      <c r="H198" s="25">
        <f>IF($A198="","",IF($G198="","",$F198-$G198))</f>
        <v/>
      </c>
    </row>
    <row r="199">
      <c r="G199" s="26" t="n"/>
      <c r="H199" s="25">
        <f>IF($A199="","",IF($G199="","",$F199-$G199))</f>
        <v/>
      </c>
    </row>
    <row r="200">
      <c r="G200" s="26" t="n"/>
      <c r="H200" s="25">
        <f>IF($A200="","",IF($G200="","",$F200-$G200))</f>
        <v/>
      </c>
    </row>
    <row r="201">
      <c r="G201" s="26" t="n"/>
      <c r="H201" s="25">
        <f>IF($A201="","",IF($G201="","",$F201-$G201))</f>
        <v/>
      </c>
    </row>
    <row r="202">
      <c r="G202" s="26" t="n"/>
      <c r="H202" s="25">
        <f>IF($A202="","",IF($G202="","",$F202-$G202))</f>
        <v/>
      </c>
    </row>
    <row r="203">
      <c r="G203" s="26" t="n"/>
      <c r="H203" s="25">
        <f>IF($A203="","",IF($G203="","",$F203-$G203))</f>
        <v/>
      </c>
    </row>
    <row r="204">
      <c r="G204" s="26" t="n"/>
      <c r="H204" s="25">
        <f>IF($A204="","",IF($G204="","",$F204-$G204))</f>
        <v/>
      </c>
    </row>
    <row r="205">
      <c r="G205" s="26" t="n"/>
      <c r="H205" s="25">
        <f>IF($A205="","",IF($G205="","",$F205-$G205))</f>
        <v/>
      </c>
    </row>
    <row r="206">
      <c r="G206" s="26" t="n"/>
      <c r="H206" s="25">
        <f>IF($A206="","",IF($G206="","",$F206-$G206))</f>
        <v/>
      </c>
    </row>
    <row r="207">
      <c r="G207" s="26" t="n"/>
      <c r="H207" s="25">
        <f>IF($A207="","",IF($G207="","",$F207-$G207))</f>
        <v/>
      </c>
    </row>
    <row r="208">
      <c r="G208" s="26" t="n"/>
      <c r="H208" s="25">
        <f>IF($A208="","",IF($G208="","",$F208-$G208))</f>
        <v/>
      </c>
    </row>
    <row r="209">
      <c r="G209" s="26" t="n"/>
      <c r="H209" s="25">
        <f>IF($A209="","",IF($G209="","",$F209-$G209))</f>
        <v/>
      </c>
    </row>
    <row r="210">
      <c r="G210" s="26" t="n"/>
      <c r="H210" s="25">
        <f>IF($A210="","",IF($G210="","",$F210-$G210))</f>
        <v/>
      </c>
    </row>
    <row r="211">
      <c r="G211" s="26" t="n"/>
      <c r="H211" s="25">
        <f>IF($A211="","",IF($G211="","",$F211-$G211))</f>
        <v/>
      </c>
    </row>
    <row r="212">
      <c r="G212" s="26" t="n"/>
      <c r="H212" s="25">
        <f>IF($A212="","",IF($G212="","",$F212-$G212))</f>
        <v/>
      </c>
    </row>
    <row r="213">
      <c r="G213" s="26" t="n"/>
      <c r="H213" s="25">
        <f>IF($A213="","",IF($G213="","",$F213-$G213))</f>
        <v/>
      </c>
    </row>
    <row r="214">
      <c r="G214" s="26" t="n"/>
      <c r="H214" s="25">
        <f>IF($A214="","",IF($G214="","",$F214-$G214))</f>
        <v/>
      </c>
    </row>
    <row r="215">
      <c r="G215" s="26" t="n"/>
      <c r="H215" s="25">
        <f>IF($A215="","",IF($G215="","",$F215-$G215))</f>
        <v/>
      </c>
    </row>
    <row r="216">
      <c r="G216" s="26" t="n"/>
      <c r="H216" s="25">
        <f>IF($A216="","",IF($G216="","",$F216-$G216))</f>
        <v/>
      </c>
    </row>
    <row r="217">
      <c r="G217" s="26" t="n"/>
      <c r="H217" s="25">
        <f>IF($A217="","",IF($G217="","",$F217-$G217))</f>
        <v/>
      </c>
    </row>
    <row r="218">
      <c r="G218" s="26" t="n"/>
      <c r="H218" s="25">
        <f>IF($A218="","",IF($G218="","",$F218-$G218))</f>
        <v/>
      </c>
    </row>
    <row r="219">
      <c r="G219" s="26" t="n"/>
      <c r="H219" s="25">
        <f>IF($A219="","",IF($G219="","",$F219-$G219))</f>
        <v/>
      </c>
    </row>
    <row r="220">
      <c r="G220" s="26" t="n"/>
      <c r="H220" s="25">
        <f>IF($A220="","",IF($G220="","",$F220-$G220))</f>
        <v/>
      </c>
    </row>
    <row r="221">
      <c r="G221" s="26" t="n"/>
      <c r="H221" s="25">
        <f>IF($A221="","",IF($G221="","",$F221-$G221))</f>
        <v/>
      </c>
    </row>
    <row r="222">
      <c r="G222" s="26" t="n"/>
      <c r="H222" s="25">
        <f>IF($A222="","",IF($G222="","",$F222-$G222))</f>
        <v/>
      </c>
    </row>
    <row r="223">
      <c r="G223" s="26" t="n"/>
      <c r="H223" s="25">
        <f>IF($A223="","",IF($G223="","",$F223-$G223))</f>
        <v/>
      </c>
    </row>
    <row r="224">
      <c r="G224" s="26" t="n"/>
      <c r="H224" s="25">
        <f>IF($A224="","",IF($G224="","",$F224-$G224))</f>
        <v/>
      </c>
    </row>
    <row r="225">
      <c r="G225" s="26" t="n"/>
      <c r="H225" s="25">
        <f>IF($A225="","",IF($G225="","",$F225-$G225))</f>
        <v/>
      </c>
    </row>
    <row r="226">
      <c r="G226" s="26" t="n"/>
      <c r="H226" s="25">
        <f>IF($A226="","",IF($G226="","",$F226-$G226))</f>
        <v/>
      </c>
    </row>
    <row r="227">
      <c r="G227" s="26" t="n"/>
      <c r="H227" s="25">
        <f>IF($A227="","",IF($G227="","",$F227-$G227))</f>
        <v/>
      </c>
    </row>
    <row r="228">
      <c r="G228" s="26" t="n"/>
      <c r="H228" s="25">
        <f>IF($A228="","",IF($G228="","",$F228-$G228))</f>
        <v/>
      </c>
    </row>
    <row r="229">
      <c r="G229" s="26" t="n"/>
      <c r="H229" s="25">
        <f>IF($A229="","",IF($G229="","",$F229-$G229))</f>
        <v/>
      </c>
    </row>
    <row r="230">
      <c r="G230" s="26" t="n"/>
      <c r="H230" s="25">
        <f>IF($A230="","",IF($G230="","",$F230-$G230))</f>
        <v/>
      </c>
    </row>
    <row r="231">
      <c r="G231" s="26" t="n"/>
      <c r="H231" s="25">
        <f>IF($A231="","",IF($G231="","",$F231-$G231))</f>
        <v/>
      </c>
    </row>
    <row r="232">
      <c r="G232" s="26" t="n"/>
      <c r="H232" s="25">
        <f>IF($A232="","",IF($G232="","",$F232-$G232))</f>
        <v/>
      </c>
    </row>
    <row r="233">
      <c r="G233" s="26" t="n"/>
      <c r="H233" s="25">
        <f>IF($A233="","",IF($G233="","",$F233-$G233))</f>
        <v/>
      </c>
    </row>
    <row r="234">
      <c r="G234" s="26" t="n"/>
      <c r="H234" s="25">
        <f>IF($A234="","",IF($G234="","",$F234-$G234))</f>
        <v/>
      </c>
    </row>
    <row r="235">
      <c r="G235" s="26" t="n"/>
      <c r="H235" s="25">
        <f>IF($A235="","",IF($G235="","",$F235-$G235))</f>
        <v/>
      </c>
    </row>
    <row r="236">
      <c r="G236" s="26" t="n"/>
      <c r="H236" s="25">
        <f>IF($A236="","",IF($G236="","",$F236-$G236))</f>
        <v/>
      </c>
    </row>
    <row r="237">
      <c r="G237" s="26" t="n"/>
      <c r="H237" s="25">
        <f>IF($A237="","",IF($G237="","",$F237-$G237))</f>
        <v/>
      </c>
    </row>
    <row r="238">
      <c r="G238" s="26" t="n"/>
      <c r="H238" s="25">
        <f>IF($A238="","",IF($G238="","",$F238-$G238))</f>
        <v/>
      </c>
    </row>
    <row r="239">
      <c r="G239" s="26" t="n"/>
      <c r="H239" s="25">
        <f>IF($A239="","",IF($G239="","",$F239-$G239))</f>
        <v/>
      </c>
    </row>
    <row r="240">
      <c r="G240" s="26" t="n"/>
      <c r="H240" s="25">
        <f>IF($A240="","",IF($G240="","",$F240-$G240))</f>
        <v/>
      </c>
    </row>
    <row r="241">
      <c r="G241" s="26" t="n"/>
      <c r="H241" s="25">
        <f>IF($A241="","",IF($G241="","",$F241-$G241))</f>
        <v/>
      </c>
    </row>
    <row r="242">
      <c r="G242" s="26" t="n"/>
      <c r="H242" s="25">
        <f>IF($A242="","",IF($G242="","",$F242-$G242))</f>
        <v/>
      </c>
    </row>
    <row r="243">
      <c r="G243" s="26" t="n"/>
      <c r="H243" s="25">
        <f>IF($A243="","",IF($G243="","",$F243-$G243))</f>
        <v/>
      </c>
    </row>
    <row r="244">
      <c r="G244" s="26" t="n"/>
      <c r="H244" s="25">
        <f>IF($A244="","",IF($G244="","",$F244-$G244))</f>
        <v/>
      </c>
    </row>
    <row r="245">
      <c r="G245" s="26" t="n"/>
      <c r="H245" s="25">
        <f>IF($A245="","",IF($G245="","",$F245-$G245))</f>
        <v/>
      </c>
    </row>
    <row r="246">
      <c r="G246" s="26" t="n"/>
      <c r="H246" s="25">
        <f>IF($A246="","",IF($G246="","",$F246-$G246))</f>
        <v/>
      </c>
    </row>
    <row r="247">
      <c r="G247" s="26" t="n"/>
      <c r="H247" s="25">
        <f>IF($A247="","",IF($G247="","",$F247-$G247))</f>
        <v/>
      </c>
    </row>
    <row r="248">
      <c r="G248" s="26" t="n"/>
      <c r="H248" s="25">
        <f>IF($A248="","",IF($G248="","",$F248-$G248))</f>
        <v/>
      </c>
    </row>
    <row r="249">
      <c r="G249" s="26" t="n"/>
      <c r="H249" s="25">
        <f>IF($A249="","",IF($G249="","",$F249-$G249))</f>
        <v/>
      </c>
    </row>
    <row r="250">
      <c r="G250" s="26" t="n"/>
      <c r="H250" s="25">
        <f>IF($A250="","",IF($G250="","",$F250-$G250))</f>
        <v/>
      </c>
    </row>
    <row r="251">
      <c r="G251" s="26" t="n"/>
      <c r="H251" s="25">
        <f>IF($A251="","",IF($G251="","",$F251-$G251))</f>
        <v/>
      </c>
    </row>
    <row r="252">
      <c r="G252" s="26" t="n"/>
      <c r="H252" s="25">
        <f>IF($A252="","",IF($G252="","",$F252-$G252))</f>
        <v/>
      </c>
    </row>
    <row r="253">
      <c r="G253" s="26" t="n"/>
      <c r="H253" s="25">
        <f>IF($A253="","",IF($G253="","",$F253-$G253))</f>
        <v/>
      </c>
    </row>
    <row r="254">
      <c r="G254" s="26" t="n"/>
      <c r="H254" s="25">
        <f>IF($A254="","",IF($G254="","",$F254-$G254))</f>
        <v/>
      </c>
    </row>
    <row r="255">
      <c r="G255" s="26" t="n"/>
      <c r="H255" s="25">
        <f>IF($A255="","",IF($G255="","",$F255-$G255))</f>
        <v/>
      </c>
    </row>
    <row r="256">
      <c r="G256" s="26" t="n"/>
      <c r="H256" s="25">
        <f>IF($A256="","",IF($G256="","",$F256-$G256))</f>
        <v/>
      </c>
    </row>
    <row r="257">
      <c r="G257" s="26" t="n"/>
      <c r="H257" s="25">
        <f>IF($A257="","",IF($G257="","",$F257-$G257))</f>
        <v/>
      </c>
    </row>
    <row r="258">
      <c r="G258" s="26" t="n"/>
      <c r="H258" s="25">
        <f>IF($A258="","",IF($G258="","",$F258-$G258))</f>
        <v/>
      </c>
    </row>
    <row r="259">
      <c r="G259" s="26" t="n"/>
      <c r="H259" s="25">
        <f>IF($A259="","",IF($G259="","",$F259-$G259))</f>
        <v/>
      </c>
    </row>
    <row r="260">
      <c r="G260" s="26" t="n"/>
      <c r="H260" s="25">
        <f>IF($A260="","",IF($G260="","",$F260-$G260))</f>
        <v/>
      </c>
    </row>
    <row r="261">
      <c r="G261" s="26" t="n"/>
      <c r="H261" s="25">
        <f>IF($A261="","",IF($G261="","",$F261-$G261))</f>
        <v/>
      </c>
    </row>
    <row r="262">
      <c r="G262" s="26" t="n"/>
      <c r="H262" s="25">
        <f>IF($A262="","",IF($G262="","",$F262-$G262))</f>
        <v/>
      </c>
    </row>
    <row r="263">
      <c r="G263" s="26" t="n"/>
      <c r="H263" s="25">
        <f>IF($A263="","",IF($G263="","",$F263-$G263))</f>
        <v/>
      </c>
    </row>
    <row r="264">
      <c r="G264" s="26" t="n"/>
      <c r="H264" s="25">
        <f>IF($A264="","",IF($G264="","",$F264-$G264))</f>
        <v/>
      </c>
    </row>
    <row r="265">
      <c r="G265" s="26" t="n"/>
      <c r="H265" s="25">
        <f>IF($A265="","",IF($G265="","",$F265-$G265))</f>
        <v/>
      </c>
    </row>
    <row r="266">
      <c r="G266" s="26" t="n"/>
      <c r="H266" s="25">
        <f>IF($A266="","",IF($G266="","",$F266-$G266))</f>
        <v/>
      </c>
    </row>
    <row r="267">
      <c r="G267" s="26" t="n"/>
      <c r="H267" s="25">
        <f>IF($A267="","",IF($G267="","",$F267-$G267))</f>
        <v/>
      </c>
    </row>
    <row r="268">
      <c r="G268" s="26" t="n"/>
      <c r="H268" s="25">
        <f>IF($A268="","",IF($G268="","",$F268-$G268))</f>
        <v/>
      </c>
    </row>
    <row r="269">
      <c r="G269" s="26" t="n"/>
      <c r="H269" s="25">
        <f>IF($A269="","",IF($G269="","",$F269-$G269))</f>
        <v/>
      </c>
    </row>
    <row r="270">
      <c r="G270" s="26" t="n"/>
      <c r="H270" s="25">
        <f>IF($A270="","",IF($G270="","",$F270-$G270))</f>
        <v/>
      </c>
    </row>
    <row r="271">
      <c r="G271" s="26" t="n"/>
      <c r="H271" s="25">
        <f>IF($A271="","",IF($G271="","",$F271-$G271))</f>
        <v/>
      </c>
    </row>
    <row r="272">
      <c r="G272" s="26" t="n"/>
      <c r="H272" s="25">
        <f>IF($A272="","",IF($G272="","",$F272-$G272))</f>
        <v/>
      </c>
    </row>
    <row r="273">
      <c r="G273" s="26" t="n"/>
      <c r="H273" s="25">
        <f>IF($A273="","",IF($G273="","",$F273-$G273))</f>
        <v/>
      </c>
    </row>
    <row r="274">
      <c r="G274" s="26" t="n"/>
      <c r="H274" s="25">
        <f>IF($A274="","",IF($G274="","",$F274-$G274))</f>
        <v/>
      </c>
    </row>
    <row r="275">
      <c r="G275" s="26" t="n"/>
      <c r="H275" s="25">
        <f>IF($A275="","",IF($G275="","",$F275-$G275))</f>
        <v/>
      </c>
    </row>
    <row r="276">
      <c r="G276" s="26" t="n"/>
      <c r="H276" s="25">
        <f>IF($A276="","",IF($G276="","",$F276-$G276))</f>
        <v/>
      </c>
    </row>
    <row r="277">
      <c r="G277" s="26" t="n"/>
      <c r="H277" s="25">
        <f>IF($A277="","",IF($G277="","",$F277-$G277))</f>
        <v/>
      </c>
    </row>
    <row r="278">
      <c r="G278" s="26" t="n"/>
      <c r="H278" s="25">
        <f>IF($A278="","",IF($G278="","",$F278-$G278))</f>
        <v/>
      </c>
    </row>
    <row r="279">
      <c r="G279" s="26" t="n"/>
      <c r="H279" s="25">
        <f>IF($A279="","",IF($G279="","",$F279-$G279))</f>
        <v/>
      </c>
    </row>
    <row r="280">
      <c r="G280" s="26" t="n"/>
      <c r="H280" s="25">
        <f>IF($A280="","",IF($G280="","",$F280-$G280))</f>
        <v/>
      </c>
    </row>
    <row r="281">
      <c r="G281" s="26" t="n"/>
      <c r="H281" s="25">
        <f>IF($A281="","",IF($G281="","",$F281-$G281))</f>
        <v/>
      </c>
    </row>
    <row r="282">
      <c r="G282" s="26" t="n"/>
      <c r="H282" s="25">
        <f>IF($A282="","",IF($G282="","",$F282-$G282))</f>
        <v/>
      </c>
    </row>
    <row r="283">
      <c r="G283" s="26" t="n"/>
      <c r="H283" s="25">
        <f>IF($A283="","",IF($G283="","",$F283-$G283))</f>
        <v/>
      </c>
    </row>
    <row r="284">
      <c r="G284" s="26" t="n"/>
      <c r="H284" s="25">
        <f>IF($A284="","",IF($G284="","",$F284-$G284))</f>
        <v/>
      </c>
    </row>
    <row r="285">
      <c r="G285" s="26" t="n"/>
      <c r="H285" s="25">
        <f>IF($A285="","",IF($G285="","",$F285-$G285))</f>
        <v/>
      </c>
    </row>
    <row r="286">
      <c r="G286" s="26" t="n"/>
      <c r="H286" s="25">
        <f>IF($A286="","",IF($G286="","",$F286-$G286))</f>
        <v/>
      </c>
    </row>
    <row r="287">
      <c r="G287" s="26" t="n"/>
      <c r="H287" s="25">
        <f>IF($A287="","",IF($G287="","",$F287-$G287))</f>
        <v/>
      </c>
    </row>
    <row r="288">
      <c r="G288" s="26" t="n"/>
      <c r="H288" s="25">
        <f>IF($A288="","",IF($G288="","",$F288-$G288))</f>
        <v/>
      </c>
    </row>
    <row r="289">
      <c r="G289" s="26" t="n"/>
      <c r="H289" s="25">
        <f>IF($A289="","",IF($G289="","",$F289-$G289))</f>
        <v/>
      </c>
    </row>
    <row r="290">
      <c r="G290" s="26" t="n"/>
      <c r="H290" s="25">
        <f>IF($A290="","",IF($G290="","",$F290-$G290))</f>
        <v/>
      </c>
    </row>
    <row r="291">
      <c r="G291" s="26" t="n"/>
      <c r="H291" s="25">
        <f>IF($A291="","",IF($G291="","",$F291-$G291))</f>
        <v/>
      </c>
    </row>
    <row r="292">
      <c r="G292" s="26" t="n"/>
      <c r="H292" s="25">
        <f>IF($A292="","",IF($G292="","",$F292-$G292))</f>
        <v/>
      </c>
    </row>
    <row r="293">
      <c r="G293" s="26" t="n"/>
      <c r="H293" s="25">
        <f>IF($A293="","",IF($G293="","",$F293-$G293))</f>
        <v/>
      </c>
    </row>
    <row r="294">
      <c r="G294" s="26" t="n"/>
      <c r="H294" s="25">
        <f>IF($A294="","",IF($G294="","",$F294-$G294))</f>
        <v/>
      </c>
    </row>
    <row r="295">
      <c r="G295" s="26" t="n"/>
      <c r="H295" s="25">
        <f>IF($A295="","",IF($G295="","",$F295-$G295))</f>
        <v/>
      </c>
    </row>
    <row r="296">
      <c r="G296" s="26" t="n"/>
      <c r="H296" s="25">
        <f>IF($A296="","",IF($G296="","",$F296-$G296))</f>
        <v/>
      </c>
    </row>
    <row r="297">
      <c r="G297" s="26" t="n"/>
      <c r="H297" s="25">
        <f>IF($A297="","",IF($G297="","",$F297-$G297))</f>
        <v/>
      </c>
    </row>
    <row r="298">
      <c r="G298" s="26" t="n"/>
      <c r="H298" s="25">
        <f>IF($A298="","",IF($G298="","",$F298-$G298))</f>
        <v/>
      </c>
    </row>
    <row r="299">
      <c r="G299" s="26" t="n"/>
      <c r="H299" s="25">
        <f>IF($A299="","",IF($G299="","",$F299-$G299))</f>
        <v/>
      </c>
    </row>
    <row r="300">
      <c r="G300" s="26" t="n"/>
      <c r="H300" s="25">
        <f>IF($A300="","",IF($G300="","",$F300-$G300))</f>
        <v/>
      </c>
    </row>
    <row r="301">
      <c r="G301" s="26" t="n"/>
      <c r="H301" s="25">
        <f>IF($A301="","",IF($G301="","",$F301-$G301))</f>
        <v/>
      </c>
    </row>
    <row r="302">
      <c r="G302" s="26" t="n"/>
      <c r="H302" s="25">
        <f>IF($A302="","",IF($G302="","",$F302-$G302))</f>
        <v/>
      </c>
    </row>
    <row r="303">
      <c r="G303" s="26" t="n"/>
      <c r="H303" s="25">
        <f>IF($A303="","",IF($G303="","",$F303-$G303))</f>
        <v/>
      </c>
    </row>
    <row r="304">
      <c r="G304" s="26" t="n"/>
      <c r="H304" s="25">
        <f>IF($A304="","",IF($G304="","",$F304-$G304))</f>
        <v/>
      </c>
    </row>
    <row r="305">
      <c r="G305" s="26" t="n"/>
      <c r="H305" s="25">
        <f>IF($A305="","",IF($G305="","",$F305-$G305))</f>
        <v/>
      </c>
    </row>
    <row r="306">
      <c r="G306" s="26" t="n"/>
      <c r="H306" s="25">
        <f>IF($A306="","",IF($G306="","",$F306-$G306))</f>
        <v/>
      </c>
    </row>
    <row r="307">
      <c r="G307" s="26" t="n"/>
      <c r="H307" s="25">
        <f>IF($A307="","",IF($G307="","",$F307-$G307))</f>
        <v/>
      </c>
    </row>
    <row r="308">
      <c r="G308" s="26" t="n"/>
      <c r="H308" s="25">
        <f>IF($A308="","",IF($G308="","",$F308-$G308))</f>
        <v/>
      </c>
    </row>
    <row r="309">
      <c r="G309" s="26" t="n"/>
      <c r="H309" s="25">
        <f>IF($A309="","",IF($G309="","",$F309-$G309))</f>
        <v/>
      </c>
    </row>
    <row r="310">
      <c r="G310" s="26" t="n"/>
      <c r="H310" s="25">
        <f>IF($A310="","",IF($G310="","",$F310-$G310))</f>
        <v/>
      </c>
    </row>
    <row r="311">
      <c r="G311" s="26" t="n"/>
      <c r="H311" s="25">
        <f>IF($A311="","",IF($G311="","",$F311-$G311))</f>
        <v/>
      </c>
    </row>
    <row r="312">
      <c r="G312" s="26" t="n"/>
      <c r="H312" s="25">
        <f>IF($A312="","",IF($G312="","",$F312-$G312))</f>
        <v/>
      </c>
    </row>
    <row r="313">
      <c r="G313" s="26" t="n"/>
      <c r="H313" s="25">
        <f>IF($A313="","",IF($G313="","",$F313-$G313))</f>
        <v/>
      </c>
    </row>
    <row r="314">
      <c r="G314" s="26" t="n"/>
      <c r="H314" s="25">
        <f>IF($A314="","",IF($G314="","",$F314-$G314))</f>
        <v/>
      </c>
    </row>
    <row r="315">
      <c r="G315" s="26" t="n"/>
      <c r="H315" s="25">
        <f>IF($A315="","",IF($G315="","",$F315-$G315))</f>
        <v/>
      </c>
    </row>
    <row r="316">
      <c r="G316" s="26" t="n"/>
      <c r="H316" s="25">
        <f>IF($A316="","",IF($G316="","",$F316-$G316))</f>
        <v/>
      </c>
    </row>
    <row r="317">
      <c r="G317" s="26" t="n"/>
      <c r="H317" s="25">
        <f>IF($A317="","",IF($G317="","",$F317-$G317))</f>
        <v/>
      </c>
    </row>
    <row r="318">
      <c r="G318" s="26" t="n"/>
      <c r="H318" s="25">
        <f>IF($A318="","",IF($G318="","",$F318-$G318))</f>
        <v/>
      </c>
    </row>
    <row r="319">
      <c r="G319" s="26" t="n"/>
      <c r="H319" s="25">
        <f>IF($A319="","",IF($G319="","",$F319-$G319))</f>
        <v/>
      </c>
    </row>
    <row r="320">
      <c r="G320" s="26" t="n"/>
      <c r="H320" s="25">
        <f>IF($A320="","",IF($G320="","",$F320-$G320))</f>
        <v/>
      </c>
    </row>
    <row r="321">
      <c r="G321" s="26" t="n"/>
      <c r="H321" s="25">
        <f>IF($A321="","",IF($G321="","",$F321-$G321))</f>
        <v/>
      </c>
    </row>
    <row r="322">
      <c r="G322" s="26" t="n"/>
      <c r="H322" s="25">
        <f>IF($A322="","",IF($G322="","",$F322-$G322))</f>
        <v/>
      </c>
    </row>
    <row r="323">
      <c r="G323" s="26" t="n"/>
      <c r="H323" s="25">
        <f>IF($A323="","",IF($G323="","",$F323-$G323))</f>
        <v/>
      </c>
    </row>
    <row r="324">
      <c r="G324" s="26" t="n"/>
      <c r="H324" s="25">
        <f>IF($A324="","",IF($G324="","",$F324-$G324))</f>
        <v/>
      </c>
    </row>
    <row r="325">
      <c r="G325" s="26" t="n"/>
      <c r="H325" s="25">
        <f>IF($A325="","",IF($G325="","",$F325-$G325))</f>
        <v/>
      </c>
    </row>
    <row r="326">
      <c r="G326" s="26" t="n"/>
      <c r="H326" s="25">
        <f>IF($A326="","",IF($G326="","",$F326-$G326))</f>
        <v/>
      </c>
    </row>
    <row r="327">
      <c r="G327" s="26" t="n"/>
      <c r="H327" s="25">
        <f>IF($A327="","",IF($G327="","",$F327-$G327))</f>
        <v/>
      </c>
    </row>
    <row r="328">
      <c r="G328" s="26" t="n"/>
      <c r="H328" s="25">
        <f>IF($A328="","",IF($G328="","",$F328-$G328))</f>
        <v/>
      </c>
    </row>
    <row r="329">
      <c r="G329" s="26" t="n"/>
      <c r="H329" s="25">
        <f>IF($A329="","",IF($G329="","",$F329-$G329))</f>
        <v/>
      </c>
    </row>
    <row r="330">
      <c r="G330" s="26" t="n"/>
      <c r="H330" s="25">
        <f>IF($A330="","",IF($G330="","",$F330-$G330))</f>
        <v/>
      </c>
    </row>
    <row r="331">
      <c r="G331" s="26" t="n"/>
      <c r="H331" s="25">
        <f>IF($A331="","",IF($G331="","",$F331-$G331))</f>
        <v/>
      </c>
    </row>
    <row r="332">
      <c r="G332" s="26" t="n"/>
      <c r="H332" s="25">
        <f>IF($A332="","",IF($G332="","",$F332-$G332))</f>
        <v/>
      </c>
    </row>
    <row r="333">
      <c r="G333" s="26" t="n"/>
      <c r="H333" s="25">
        <f>IF($A333="","",IF($G333="","",$F333-$G333))</f>
        <v/>
      </c>
    </row>
    <row r="334">
      <c r="G334" s="26" t="n"/>
      <c r="H334" s="25">
        <f>IF($A334="","",IF($G334="","",$F334-$G334))</f>
        <v/>
      </c>
    </row>
    <row r="335">
      <c r="G335" s="26" t="n"/>
      <c r="H335" s="25">
        <f>IF($A335="","",IF($G335="","",$F335-$G335))</f>
        <v/>
      </c>
    </row>
    <row r="336">
      <c r="G336" s="26" t="n"/>
      <c r="H336" s="25">
        <f>IF($A336="","",IF($G336="","",$F336-$G336))</f>
        <v/>
      </c>
    </row>
    <row r="337">
      <c r="G337" s="26" t="n"/>
      <c r="H337" s="25">
        <f>IF($A337="","",IF($G337="","",$F337-$G337))</f>
        <v/>
      </c>
    </row>
    <row r="338">
      <c r="G338" s="26" t="n"/>
      <c r="H338" s="25">
        <f>IF($A338="","",IF($G338="","",$F338-$G338))</f>
        <v/>
      </c>
    </row>
    <row r="339">
      <c r="G339" s="26" t="n"/>
      <c r="H339" s="25">
        <f>IF($A339="","",IF($G339="","",$F339-$G339))</f>
        <v/>
      </c>
    </row>
    <row r="340">
      <c r="G340" s="26" t="n"/>
      <c r="H340" s="25">
        <f>IF($A340="","",IF($G340="","",$F340-$G340))</f>
        <v/>
      </c>
    </row>
    <row r="341">
      <c r="G341" s="26" t="n"/>
      <c r="H341" s="25">
        <f>IF($A341="","",IF($G341="","",$F341-$G341))</f>
        <v/>
      </c>
    </row>
    <row r="342">
      <c r="G342" s="26" t="n"/>
      <c r="H342" s="25">
        <f>IF($A342="","",IF($G342="","",$F342-$G342))</f>
        <v/>
      </c>
    </row>
    <row r="343">
      <c r="G343" s="26" t="n"/>
      <c r="H343" s="25">
        <f>IF($A343="","",IF($G343="","",$F343-$G343))</f>
        <v/>
      </c>
    </row>
    <row r="344">
      <c r="G344" s="26" t="n"/>
      <c r="H344" s="25">
        <f>IF($A344="","",IF($G344="","",$F344-$G344))</f>
        <v/>
      </c>
    </row>
    <row r="345">
      <c r="G345" s="26" t="n"/>
      <c r="H345" s="25">
        <f>IF($A345="","",IF($G345="","",$F345-$G345))</f>
        <v/>
      </c>
    </row>
    <row r="346">
      <c r="G346" s="26" t="n"/>
      <c r="H346" s="25">
        <f>IF($A346="","",IF($G346="","",$F346-$G346))</f>
        <v/>
      </c>
    </row>
    <row r="347">
      <c r="G347" s="26" t="n"/>
      <c r="H347" s="25">
        <f>IF($A347="","",IF($G347="","",$F347-$G347))</f>
        <v/>
      </c>
    </row>
    <row r="348">
      <c r="G348" s="26" t="n"/>
      <c r="H348" s="25">
        <f>IF($A348="","",IF($G348="","",$F348-$G348))</f>
        <v/>
      </c>
    </row>
    <row r="349">
      <c r="G349" s="26" t="n"/>
      <c r="H349" s="25">
        <f>IF($A349="","",IF($G349="","",$F349-$G349))</f>
        <v/>
      </c>
    </row>
    <row r="350">
      <c r="G350" s="26" t="n"/>
      <c r="H350" s="25">
        <f>IF($A350="","",IF($G350="","",$F350-$G350))</f>
        <v/>
      </c>
    </row>
    <row r="351">
      <c r="G351" s="26" t="n"/>
      <c r="H351" s="25">
        <f>IF($A351="","",IF($G351="","",$F351-$G351))</f>
        <v/>
      </c>
    </row>
    <row r="352">
      <c r="G352" s="26" t="n"/>
      <c r="H352" s="25">
        <f>IF($A352="","",IF($G352="","",$F352-$G352))</f>
        <v/>
      </c>
    </row>
    <row r="353">
      <c r="G353" s="26" t="n"/>
      <c r="H353" s="25">
        <f>IF($A353="","",IF($G353="","",$F353-$G353))</f>
        <v/>
      </c>
    </row>
    <row r="354">
      <c r="G354" s="26" t="n"/>
      <c r="H354" s="25">
        <f>IF($A354="","",IF($G354="","",$F354-$G354))</f>
        <v/>
      </c>
    </row>
    <row r="355">
      <c r="G355" s="26" t="n"/>
      <c r="H355" s="25">
        <f>IF($A355="","",IF($G355="","",$F355-$G355))</f>
        <v/>
      </c>
    </row>
    <row r="356">
      <c r="G356" s="26" t="n"/>
      <c r="H356" s="25">
        <f>IF($A356="","",IF($G356="","",$F356-$G356))</f>
        <v/>
      </c>
    </row>
    <row r="357">
      <c r="G357" s="26" t="n"/>
      <c r="H357" s="25">
        <f>IF($A357="","",IF($G357="","",$F357-$G357))</f>
        <v/>
      </c>
    </row>
    <row r="358">
      <c r="G358" s="26" t="n"/>
      <c r="H358" s="25">
        <f>IF($A358="","",IF($G358="","",$F358-$G358))</f>
        <v/>
      </c>
    </row>
    <row r="359">
      <c r="G359" s="26" t="n"/>
      <c r="H359" s="25">
        <f>IF($A359="","",IF($G359="","",$F359-$G359))</f>
        <v/>
      </c>
    </row>
    <row r="360">
      <c r="G360" s="26" t="n"/>
      <c r="H360" s="25">
        <f>IF($A360="","",IF($G360="","",$F360-$G360))</f>
        <v/>
      </c>
    </row>
    <row r="361">
      <c r="G361" s="26" t="n"/>
      <c r="H361" s="25">
        <f>IF($A361="","",IF($G361="","",$F361-$G361))</f>
        <v/>
      </c>
    </row>
    <row r="362">
      <c r="G362" s="26" t="n"/>
      <c r="H362" s="25">
        <f>IF($A362="","",IF($G362="","",$F362-$G362))</f>
        <v/>
      </c>
    </row>
    <row r="363">
      <c r="G363" s="26" t="n"/>
      <c r="H363" s="25">
        <f>IF($A363="","",IF($G363="","",$F363-$G363))</f>
        <v/>
      </c>
    </row>
    <row r="364">
      <c r="G364" s="26" t="n"/>
      <c r="H364" s="25">
        <f>IF($A364="","",IF($G364="","",$F364-$G364))</f>
        <v/>
      </c>
    </row>
    <row r="365">
      <c r="G365" s="26" t="n"/>
      <c r="H365" s="25">
        <f>IF($A365="","",IF($G365="","",$F365-$G365))</f>
        <v/>
      </c>
    </row>
    <row r="366">
      <c r="G366" s="26" t="n"/>
      <c r="H366" s="25">
        <f>IF($A366="","",IF($G366="","",$F366-$G366))</f>
        <v/>
      </c>
    </row>
    <row r="367">
      <c r="G367" s="26" t="n"/>
      <c r="H367" s="25">
        <f>IF($A367="","",IF($G367="","",$F367-$G367))</f>
        <v/>
      </c>
    </row>
    <row r="368">
      <c r="G368" s="26" t="n"/>
      <c r="H368" s="25">
        <f>IF($A368="","",IF($G368="","",$F368-$G368))</f>
        <v/>
      </c>
    </row>
    <row r="369">
      <c r="G369" s="26" t="n"/>
      <c r="H369" s="25">
        <f>IF($A369="","",IF($G369="","",$F369-$G369))</f>
        <v/>
      </c>
    </row>
    <row r="370">
      <c r="G370" s="26" t="n"/>
      <c r="H370" s="25">
        <f>IF($A370="","",IF($G370="","",$F370-$G370))</f>
        <v/>
      </c>
    </row>
    <row r="371">
      <c r="G371" s="26" t="n"/>
      <c r="H371" s="25">
        <f>IF($A371="","",IF($G371="","",$F371-$G371))</f>
        <v/>
      </c>
    </row>
    <row r="372">
      <c r="G372" s="26" t="n"/>
      <c r="H372" s="25">
        <f>IF($A372="","",IF($G372="","",$F372-$G372))</f>
        <v/>
      </c>
    </row>
    <row r="373">
      <c r="G373" s="26" t="n"/>
      <c r="H373" s="25">
        <f>IF($A373="","",IF($G373="","",$F373-$G373))</f>
        <v/>
      </c>
    </row>
    <row r="374">
      <c r="G374" s="26" t="n"/>
      <c r="H374" s="25">
        <f>IF($A374="","",IF($G374="","",$F374-$G374))</f>
        <v/>
      </c>
    </row>
    <row r="375">
      <c r="G375" s="26" t="n"/>
      <c r="H375" s="25">
        <f>IF($A375="","",IF($G375="","",$F375-$G375))</f>
        <v/>
      </c>
    </row>
    <row r="376">
      <c r="G376" s="26" t="n"/>
      <c r="H376" s="25">
        <f>IF($A376="","",IF($G376="","",$F376-$G376))</f>
        <v/>
      </c>
    </row>
    <row r="377">
      <c r="G377" s="26" t="n"/>
      <c r="H377" s="25">
        <f>IF($A377="","",IF($G377="","",$F377-$G377))</f>
        <v/>
      </c>
    </row>
    <row r="378">
      <c r="G378" s="26" t="n"/>
      <c r="H378" s="25">
        <f>IF($A378="","",IF($G378="","",$F378-$G378))</f>
        <v/>
      </c>
    </row>
    <row r="379">
      <c r="G379" s="26" t="n"/>
      <c r="H379" s="25">
        <f>IF($A379="","",IF($G379="","",$F379-$G379))</f>
        <v/>
      </c>
    </row>
    <row r="380">
      <c r="G380" s="26" t="n"/>
      <c r="H380" s="25">
        <f>IF($A380="","",IF($G380="","",$F380-$G380))</f>
        <v/>
      </c>
    </row>
    <row r="381">
      <c r="G381" s="26" t="n"/>
      <c r="H381" s="25">
        <f>IF($A381="","",IF($G381="","",$F381-$G381))</f>
        <v/>
      </c>
    </row>
    <row r="382">
      <c r="G382" s="26" t="n"/>
      <c r="H382" s="25">
        <f>IF($A382="","",IF($G382="","",$F382-$G382))</f>
        <v/>
      </c>
    </row>
    <row r="383">
      <c r="G383" s="26" t="n"/>
      <c r="H383" s="25">
        <f>IF($A383="","",IF($G383="","",$F383-$G383))</f>
        <v/>
      </c>
    </row>
    <row r="384">
      <c r="G384" s="26" t="n"/>
      <c r="H384" s="25">
        <f>IF($A384="","",IF($G384="","",$F384-$G384))</f>
        <v/>
      </c>
    </row>
    <row r="385">
      <c r="G385" s="26" t="n"/>
      <c r="H385" s="25">
        <f>IF($A385="","",IF($G385="","",$F385-$G385))</f>
        <v/>
      </c>
    </row>
    <row r="386">
      <c r="G386" s="26" t="n"/>
      <c r="H386" s="25">
        <f>IF($A386="","",IF($G386="","",$F386-$G386))</f>
        <v/>
      </c>
    </row>
    <row r="387">
      <c r="G387" s="26" t="n"/>
      <c r="H387" s="25">
        <f>IF($A387="","",IF($G387="","",$F387-$G387))</f>
        <v/>
      </c>
    </row>
    <row r="388">
      <c r="G388" s="26" t="n"/>
      <c r="H388" s="25">
        <f>IF($A388="","",IF($G388="","",$F388-$G388))</f>
        <v/>
      </c>
    </row>
    <row r="389">
      <c r="G389" s="26" t="n"/>
      <c r="H389" s="25">
        <f>IF($A389="","",IF($G389="","",$F389-$G389))</f>
        <v/>
      </c>
    </row>
    <row r="390">
      <c r="G390" s="26" t="n"/>
      <c r="H390" s="25">
        <f>IF($A390="","",IF($G390="","",$F390-$G390))</f>
        <v/>
      </c>
    </row>
    <row r="391">
      <c r="G391" s="26" t="n"/>
      <c r="H391" s="25">
        <f>IF($A391="","",IF($G391="","",$F391-$G391))</f>
        <v/>
      </c>
    </row>
    <row r="392">
      <c r="G392" s="26" t="n"/>
      <c r="H392" s="25">
        <f>IF($A392="","",IF($G392="","",$F392-$G392))</f>
        <v/>
      </c>
    </row>
    <row r="393">
      <c r="G393" s="26" t="n"/>
      <c r="H393" s="25">
        <f>IF($A393="","",IF($G393="","",$F393-$G393))</f>
        <v/>
      </c>
    </row>
    <row r="394">
      <c r="G394" s="26" t="n"/>
      <c r="H394" s="25">
        <f>IF($A394="","",IF($G394="","",$F394-$G394))</f>
        <v/>
      </c>
    </row>
    <row r="395">
      <c r="G395" s="26" t="n"/>
      <c r="H395" s="25">
        <f>IF($A395="","",IF($G395="","",$F395-$G395))</f>
        <v/>
      </c>
    </row>
    <row r="396">
      <c r="G396" s="26" t="n"/>
      <c r="H396" s="25">
        <f>IF($A396="","",IF($G396="","",$F396-$G396))</f>
        <v/>
      </c>
    </row>
    <row r="397">
      <c r="G397" s="26" t="n"/>
      <c r="H397" s="25">
        <f>IF($A397="","",IF($G397="","",$F397-$G397))</f>
        <v/>
      </c>
    </row>
    <row r="398">
      <c r="G398" s="26" t="n"/>
      <c r="H398" s="25">
        <f>IF($A398="","",IF($G398="","",$F398-$G398))</f>
        <v/>
      </c>
    </row>
    <row r="399">
      <c r="G399" s="26" t="n"/>
      <c r="H399" s="25">
        <f>IF($A399="","",IF($G399="","",$F399-$G399))</f>
        <v/>
      </c>
    </row>
    <row r="400">
      <c r="G400" s="26" t="n"/>
      <c r="H400" s="25">
        <f>IF($A400="","",IF($G400="","",$F400-$G400))</f>
        <v/>
      </c>
    </row>
    <row r="401">
      <c r="G401" s="26" t="n"/>
      <c r="H401" s="25">
        <f>IF($A401="","",IF($G401="","",$F401-$G401))</f>
        <v/>
      </c>
    </row>
    <row r="402">
      <c r="G402" s="26" t="n"/>
      <c r="H402" s="25">
        <f>IF($A402="","",IF($G402="","",$F402-$G402))</f>
        <v/>
      </c>
    </row>
    <row r="403">
      <c r="G403" s="26" t="n"/>
      <c r="H403" s="25">
        <f>IF($A403="","",IF($G403="","",$F403-$G403))</f>
        <v/>
      </c>
    </row>
    <row r="404">
      <c r="G404" s="26" t="n"/>
      <c r="H404" s="25">
        <f>IF($A404="","",IF($G404="","",$F404-$G404))</f>
        <v/>
      </c>
    </row>
    <row r="405">
      <c r="G405" s="26" t="n"/>
      <c r="H405" s="25">
        <f>IF($A405="","",IF($G405="","",$F405-$G405))</f>
        <v/>
      </c>
    </row>
    <row r="406">
      <c r="G406" s="26" t="n"/>
      <c r="H406" s="25">
        <f>IF($A406="","",IF($G406="","",$F406-$G406))</f>
        <v/>
      </c>
    </row>
    <row r="407">
      <c r="G407" s="26" t="n"/>
      <c r="H407" s="25">
        <f>IF($A407="","",IF($G407="","",$F407-$G407))</f>
        <v/>
      </c>
    </row>
    <row r="408">
      <c r="G408" s="26" t="n"/>
      <c r="H408" s="25">
        <f>IF($A408="","",IF($G408="","",$F408-$G408))</f>
        <v/>
      </c>
    </row>
    <row r="409">
      <c r="G409" s="26" t="n"/>
      <c r="H409" s="25">
        <f>IF($A409="","",IF($G409="","",$F409-$G409))</f>
        <v/>
      </c>
    </row>
    <row r="410">
      <c r="G410" s="26" t="n"/>
      <c r="H410" s="25">
        <f>IF($A410="","",IF($G410="","",$F410-$G410))</f>
        <v/>
      </c>
    </row>
    <row r="411">
      <c r="G411" s="26" t="n"/>
      <c r="H411" s="25">
        <f>IF($A411="","",IF($G411="","",$F411-$G411))</f>
        <v/>
      </c>
    </row>
    <row r="412">
      <c r="G412" s="26" t="n"/>
      <c r="H412" s="25">
        <f>IF($A412="","",IF($G412="","",$F412-$G412))</f>
        <v/>
      </c>
    </row>
    <row r="413">
      <c r="G413" s="26" t="n"/>
      <c r="H413" s="25">
        <f>IF($A413="","",IF($G413="","",$F413-$G413))</f>
        <v/>
      </c>
    </row>
    <row r="414">
      <c r="G414" s="26" t="n"/>
      <c r="H414" s="25">
        <f>IF($A414="","",IF($G414="","",$F414-$G414))</f>
        <v/>
      </c>
    </row>
    <row r="415">
      <c r="G415" s="26" t="n"/>
      <c r="H415" s="25">
        <f>IF($A415="","",IF($G415="","",$F415-$G415))</f>
        <v/>
      </c>
    </row>
    <row r="416">
      <c r="G416" s="26" t="n"/>
      <c r="H416" s="25">
        <f>IF($A416="","",IF($G416="","",$F416-$G416))</f>
        <v/>
      </c>
    </row>
    <row r="417">
      <c r="G417" s="26" t="n"/>
      <c r="H417" s="25">
        <f>IF($A417="","",IF($G417="","",$F417-$G417))</f>
        <v/>
      </c>
    </row>
    <row r="418">
      <c r="G418" s="26" t="n"/>
      <c r="H418" s="25">
        <f>IF($A418="","",IF($G418="","",$F418-$G418))</f>
        <v/>
      </c>
    </row>
    <row r="419">
      <c r="G419" s="26" t="n"/>
      <c r="H419" s="25">
        <f>IF($A419="","",IF($G419="","",$F419-$G419))</f>
        <v/>
      </c>
    </row>
    <row r="420">
      <c r="G420" s="26" t="n"/>
      <c r="H420" s="25">
        <f>IF($A420="","",IF($G420="","",$F420-$G420))</f>
        <v/>
      </c>
    </row>
    <row r="421">
      <c r="G421" s="26" t="n"/>
      <c r="H421" s="25">
        <f>IF($A421="","",IF($G421="","",$F421-$G421))</f>
        <v/>
      </c>
    </row>
    <row r="422">
      <c r="G422" s="26" t="n"/>
      <c r="H422" s="25">
        <f>IF($A422="","",IF($G422="","",$F422-$G422))</f>
        <v/>
      </c>
    </row>
    <row r="423">
      <c r="G423" s="26" t="n"/>
      <c r="H423" s="25">
        <f>IF($A423="","",IF($G423="","",$F423-$G423))</f>
        <v/>
      </c>
    </row>
    <row r="424">
      <c r="G424" s="26" t="n"/>
      <c r="H424" s="25">
        <f>IF($A424="","",IF($G424="","",$F424-$G424))</f>
        <v/>
      </c>
    </row>
    <row r="425">
      <c r="G425" s="26" t="n"/>
      <c r="H425" s="25">
        <f>IF($A425="","",IF($G425="","",$F425-$G425))</f>
        <v/>
      </c>
    </row>
    <row r="426">
      <c r="G426" s="26" t="n"/>
      <c r="H426" s="25">
        <f>IF($A426="","",IF($G426="","",$F426-$G426))</f>
        <v/>
      </c>
    </row>
    <row r="427">
      <c r="G427" s="26" t="n"/>
      <c r="H427" s="25">
        <f>IF($A427="","",IF($G427="","",$F427-$G427))</f>
        <v/>
      </c>
    </row>
    <row r="428">
      <c r="G428" s="26" t="n"/>
      <c r="H428" s="25">
        <f>IF($A428="","",IF($G428="","",$F428-$G428))</f>
        <v/>
      </c>
    </row>
    <row r="429">
      <c r="G429" s="26" t="n"/>
      <c r="H429" s="25">
        <f>IF($A429="","",IF($G429="","",$F429-$G429))</f>
        <v/>
      </c>
    </row>
    <row r="430">
      <c r="G430" s="26" t="n"/>
      <c r="H430" s="25">
        <f>IF($A430="","",IF($G430="","",$F430-$G430))</f>
        <v/>
      </c>
    </row>
    <row r="431">
      <c r="G431" s="26" t="n"/>
      <c r="H431" s="25">
        <f>IF($A431="","",IF($G431="","",$F431-$G431))</f>
        <v/>
      </c>
    </row>
    <row r="432">
      <c r="G432" s="26" t="n"/>
      <c r="H432" s="25">
        <f>IF($A432="","",IF($G432="","",$F432-$G432))</f>
        <v/>
      </c>
    </row>
    <row r="433">
      <c r="G433" s="26" t="n"/>
      <c r="H433" s="25">
        <f>IF($A433="","",IF($G433="","",$F433-$G433))</f>
        <v/>
      </c>
    </row>
    <row r="434">
      <c r="G434" s="26" t="n"/>
      <c r="H434" s="25">
        <f>IF($A434="","",IF($G434="","",$F434-$G434))</f>
        <v/>
      </c>
    </row>
    <row r="435">
      <c r="G435" s="26" t="n"/>
      <c r="H435" s="25">
        <f>IF($A435="","",IF($G435="","",$F435-$G435))</f>
        <v/>
      </c>
    </row>
    <row r="436">
      <c r="G436" s="26" t="n"/>
      <c r="H436" s="25">
        <f>IF($A436="","",IF($G436="","",$F436-$G436))</f>
        <v/>
      </c>
    </row>
    <row r="437">
      <c r="G437" s="26" t="n"/>
      <c r="H437" s="25">
        <f>IF($A437="","",IF($G437="","",$F437-$G437))</f>
        <v/>
      </c>
    </row>
    <row r="438">
      <c r="G438" s="26" t="n"/>
      <c r="H438" s="25">
        <f>IF($A438="","",IF($G438="","",$F438-$G438))</f>
        <v/>
      </c>
    </row>
    <row r="439">
      <c r="G439" s="26" t="n"/>
      <c r="H439" s="25">
        <f>IF($A439="","",IF($G439="","",$F439-$G439))</f>
        <v/>
      </c>
    </row>
    <row r="440">
      <c r="G440" s="26" t="n"/>
      <c r="H440" s="25">
        <f>IF($A440="","",IF($G440="","",$F440-$G440))</f>
        <v/>
      </c>
    </row>
    <row r="441">
      <c r="G441" s="26" t="n"/>
      <c r="H441" s="25">
        <f>IF($A441="","",IF($G441="","",$F441-$G441))</f>
        <v/>
      </c>
    </row>
    <row r="442">
      <c r="G442" s="26" t="n"/>
      <c r="H442" s="25">
        <f>IF($A442="","",IF($G442="","",$F442-$G442))</f>
        <v/>
      </c>
    </row>
    <row r="443">
      <c r="G443" s="26" t="n"/>
      <c r="H443" s="25">
        <f>IF($A443="","",IF($G443="","",$F443-$G443))</f>
        <v/>
      </c>
    </row>
    <row r="444">
      <c r="G444" s="26" t="n"/>
      <c r="H444" s="25">
        <f>IF($A444="","",IF($G444="","",$F444-$G444))</f>
        <v/>
      </c>
    </row>
    <row r="445">
      <c r="G445" s="26" t="n"/>
      <c r="H445" s="25">
        <f>IF($A445="","",IF($G445="","",$F445-$G445))</f>
        <v/>
      </c>
    </row>
    <row r="446">
      <c r="G446" s="26" t="n"/>
      <c r="H446" s="25">
        <f>IF($A446="","",IF($G446="","",$F446-$G446))</f>
        <v/>
      </c>
    </row>
    <row r="447">
      <c r="G447" s="26" t="n"/>
      <c r="H447" s="25">
        <f>IF($A447="","",IF($G447="","",$F447-$G447))</f>
        <v/>
      </c>
    </row>
    <row r="448">
      <c r="G448" s="26" t="n"/>
      <c r="H448" s="25">
        <f>IF($A448="","",IF($G448="","",$F448-$G448))</f>
        <v/>
      </c>
    </row>
    <row r="449">
      <c r="G449" s="26" t="n"/>
      <c r="H449" s="25">
        <f>IF($A449="","",IF($G449="","",$F449-$G449))</f>
        <v/>
      </c>
    </row>
    <row r="450">
      <c r="G450" s="26" t="n"/>
      <c r="H450" s="25">
        <f>IF($A450="","",IF($G450="","",$F450-$G450))</f>
        <v/>
      </c>
    </row>
    <row r="451">
      <c r="G451" s="26" t="n"/>
      <c r="H451" s="25">
        <f>IF($A451="","",IF($G451="","",$F451-$G451))</f>
        <v/>
      </c>
    </row>
    <row r="452">
      <c r="G452" s="26" t="n"/>
      <c r="H452" s="25">
        <f>IF($A452="","",IF($G452="","",$F452-$G452))</f>
        <v/>
      </c>
    </row>
    <row r="453">
      <c r="G453" s="26" t="n"/>
      <c r="H453" s="25">
        <f>IF($A453="","",IF($G453="","",$F453-$G453))</f>
        <v/>
      </c>
    </row>
    <row r="454">
      <c r="G454" s="26" t="n"/>
      <c r="H454" s="25">
        <f>IF($A454="","",IF($G454="","",$F454-$G454))</f>
        <v/>
      </c>
    </row>
    <row r="455">
      <c r="G455" s="26" t="n"/>
      <c r="H455" s="25">
        <f>IF($A455="","",IF($G455="","",$F455-$G455))</f>
        <v/>
      </c>
    </row>
    <row r="456">
      <c r="G456" s="26" t="n"/>
      <c r="H456" s="25">
        <f>IF($A456="","",IF($G456="","",$F456-$G456))</f>
        <v/>
      </c>
    </row>
    <row r="457">
      <c r="G457" s="26" t="n"/>
      <c r="H457" s="25">
        <f>IF($A457="","",IF($G457="","",$F457-$G457))</f>
        <v/>
      </c>
    </row>
    <row r="458">
      <c r="G458" s="26" t="n"/>
      <c r="H458" s="25">
        <f>IF($A458="","",IF($G458="","",$F458-$G458))</f>
        <v/>
      </c>
    </row>
    <row r="459">
      <c r="G459" s="26" t="n"/>
      <c r="H459" s="25">
        <f>IF($A459="","",IF($G459="","",$F459-$G459))</f>
        <v/>
      </c>
    </row>
    <row r="460">
      <c r="G460" s="26" t="n"/>
      <c r="H460" s="25">
        <f>IF($A460="","",IF($G460="","",$F460-$G460))</f>
        <v/>
      </c>
    </row>
    <row r="461">
      <c r="G461" s="26" t="n"/>
      <c r="H461" s="25">
        <f>IF($A461="","",IF($G461="","",$F461-$G461))</f>
        <v/>
      </c>
    </row>
    <row r="462">
      <c r="G462" s="26" t="n"/>
      <c r="H462" s="25">
        <f>IF($A462="","",IF($G462="","",$F462-$G462))</f>
        <v/>
      </c>
    </row>
    <row r="463">
      <c r="G463" s="26" t="n"/>
      <c r="H463" s="25">
        <f>IF($A463="","",IF($G463="","",$F463-$G463))</f>
        <v/>
      </c>
    </row>
    <row r="464">
      <c r="G464" s="26" t="n"/>
      <c r="H464" s="25">
        <f>IF($A464="","",IF($G464="","",$F464-$G464))</f>
        <v/>
      </c>
    </row>
    <row r="465">
      <c r="G465" s="26" t="n"/>
      <c r="H465" s="25">
        <f>IF($A465="","",IF($G465="","",$F465-$G465))</f>
        <v/>
      </c>
    </row>
    <row r="466">
      <c r="G466" s="26" t="n"/>
      <c r="H466" s="25">
        <f>IF($A466="","",IF($G466="","",$F466-$G466))</f>
        <v/>
      </c>
    </row>
    <row r="467">
      <c r="G467" s="26" t="n"/>
      <c r="H467" s="25">
        <f>IF($A467="","",IF($G467="","",$F467-$G467))</f>
        <v/>
      </c>
    </row>
    <row r="468">
      <c r="G468" s="26" t="n"/>
      <c r="H468" s="25">
        <f>IF($A468="","",IF($G468="","",$F468-$G468))</f>
        <v/>
      </c>
    </row>
    <row r="469">
      <c r="G469" s="26" t="n"/>
      <c r="H469" s="25">
        <f>IF($A469="","",IF($G469="","",$F469-$G469))</f>
        <v/>
      </c>
    </row>
    <row r="470">
      <c r="G470" s="26" t="n"/>
      <c r="H470" s="25">
        <f>IF($A470="","",IF($G470="","",$F470-$G470))</f>
        <v/>
      </c>
    </row>
    <row r="471">
      <c r="G471" s="26" t="n"/>
      <c r="H471" s="25">
        <f>IF($A471="","",IF($G471="","",$F471-$G471))</f>
        <v/>
      </c>
    </row>
    <row r="472">
      <c r="G472" s="26" t="n"/>
      <c r="H472" s="25">
        <f>IF($A472="","",IF($G472="","",$F472-$G472))</f>
        <v/>
      </c>
    </row>
    <row r="473">
      <c r="G473" s="26" t="n"/>
      <c r="H473" s="25">
        <f>IF($A473="","",IF($G473="","",$F473-$G473))</f>
        <v/>
      </c>
    </row>
    <row r="474">
      <c r="G474" s="26" t="n"/>
      <c r="H474" s="25">
        <f>IF($A474="","",IF($G474="","",$F474-$G474))</f>
        <v/>
      </c>
    </row>
    <row r="475">
      <c r="G475" s="26" t="n"/>
      <c r="H475" s="25">
        <f>IF($A475="","",IF($G475="","",$F475-$G475))</f>
        <v/>
      </c>
    </row>
    <row r="476">
      <c r="G476" s="26" t="n"/>
      <c r="H476" s="25">
        <f>IF($A476="","",IF($G476="","",$F476-$G476))</f>
        <v/>
      </c>
    </row>
    <row r="477">
      <c r="G477" s="26" t="n"/>
      <c r="H477" s="25">
        <f>IF($A477="","",IF($G477="","",$F477-$G477))</f>
        <v/>
      </c>
    </row>
    <row r="478">
      <c r="G478" s="26" t="n"/>
      <c r="H478" s="25">
        <f>IF($A478="","",IF($G478="","",$F478-$G478))</f>
        <v/>
      </c>
    </row>
    <row r="479">
      <c r="G479" s="26" t="n"/>
      <c r="H479" s="25">
        <f>IF($A479="","",IF($G479="","",$F479-$G479))</f>
        <v/>
      </c>
    </row>
    <row r="480">
      <c r="G480" s="26" t="n"/>
      <c r="H480" s="25">
        <f>IF($A480="","",IF($G480="","",$F480-$G480))</f>
        <v/>
      </c>
    </row>
    <row r="481">
      <c r="G481" s="26" t="n"/>
      <c r="H481" s="25">
        <f>IF($A481="","",IF($G481="","",$F481-$G481))</f>
        <v/>
      </c>
    </row>
    <row r="482">
      <c r="G482" s="26" t="n"/>
      <c r="H482" s="25">
        <f>IF($A482="","",IF($G482="","",$F482-$G482))</f>
        <v/>
      </c>
    </row>
    <row r="483">
      <c r="G483" s="26" t="n"/>
      <c r="H483" s="25">
        <f>IF($A483="","",IF($G483="","",$F483-$G483))</f>
        <v/>
      </c>
    </row>
    <row r="484">
      <c r="G484" s="26" t="n"/>
      <c r="H484" s="25">
        <f>IF($A484="","",IF($G484="","",$F484-$G484))</f>
        <v/>
      </c>
    </row>
    <row r="485">
      <c r="G485" s="26" t="n"/>
      <c r="H485" s="25">
        <f>IF($A485="","",IF($G485="","",$F485-$G485))</f>
        <v/>
      </c>
    </row>
    <row r="486">
      <c r="G486" s="26" t="n"/>
      <c r="H486" s="25">
        <f>IF($A486="","",IF($G486="","",$F486-$G486))</f>
        <v/>
      </c>
    </row>
    <row r="487">
      <c r="G487" s="26" t="n"/>
      <c r="H487" s="25">
        <f>IF($A487="","",IF($G487="","",$F487-$G487))</f>
        <v/>
      </c>
    </row>
    <row r="488">
      <c r="G488" s="26" t="n"/>
      <c r="H488" s="25">
        <f>IF($A488="","",IF($G488="","",$F488-$G488))</f>
        <v/>
      </c>
    </row>
    <row r="489">
      <c r="G489" s="26" t="n"/>
      <c r="H489" s="25">
        <f>IF($A489="","",IF($G489="","",$F489-$G489))</f>
        <v/>
      </c>
    </row>
    <row r="490">
      <c r="G490" s="26" t="n"/>
      <c r="H490" s="25">
        <f>IF($A490="","",IF($G490="","",$F490-$G490))</f>
        <v/>
      </c>
    </row>
    <row r="491">
      <c r="G491" s="26" t="n"/>
      <c r="H491" s="25">
        <f>IF($A491="","",IF($G491="","",$F491-$G491))</f>
        <v/>
      </c>
    </row>
    <row r="492">
      <c r="G492" s="26" t="n"/>
      <c r="H492" s="25">
        <f>IF($A492="","",IF($G492="","",$F492-$G492))</f>
        <v/>
      </c>
    </row>
    <row r="493">
      <c r="G493" s="26" t="n"/>
      <c r="H493" s="25">
        <f>IF($A493="","",IF($G493="","",$F493-$G493))</f>
        <v/>
      </c>
    </row>
    <row r="494">
      <c r="G494" s="26" t="n"/>
      <c r="H494" s="25">
        <f>IF($A494="","",IF($G494="","",$F494-$G494))</f>
        <v/>
      </c>
    </row>
    <row r="495">
      <c r="G495" s="26" t="n"/>
      <c r="H495" s="25">
        <f>IF($A495="","",IF($G495="","",$F495-$G495))</f>
        <v/>
      </c>
    </row>
    <row r="496">
      <c r="G496" s="26" t="n"/>
      <c r="H496" s="25">
        <f>IF($A496="","",IF($G496="","",$F496-$G496))</f>
        <v/>
      </c>
    </row>
    <row r="497">
      <c r="G497" s="26" t="n"/>
      <c r="H497" s="25">
        <f>IF($A497="","",IF($G497="","",$F497-$G497))</f>
        <v/>
      </c>
    </row>
    <row r="498">
      <c r="G498" s="26" t="n"/>
      <c r="H498" s="25">
        <f>IF($A498="","",IF($G498="","",$F498-$G498))</f>
        <v/>
      </c>
    </row>
    <row r="499">
      <c r="G499" s="26" t="n"/>
      <c r="H499" s="25">
        <f>IF($A499="","",IF($G499="","",$F499-$G499))</f>
        <v/>
      </c>
    </row>
    <row r="500">
      <c r="G500" s="26" t="n"/>
      <c r="H500" s="25">
        <f>IF($A500="","",IF($G500="","",$F500-$G500))</f>
        <v/>
      </c>
    </row>
    <row r="501">
      <c r="G501" s="26" t="n"/>
      <c r="H501" s="25">
        <f>IF($A501="","",IF($G501="","",$F501-$G501))</f>
        <v/>
      </c>
    </row>
    <row r="502">
      <c r="G502" s="26" t="n"/>
      <c r="H502" s="25">
        <f>IF($A502="","",IF($G502="","",$F502-$G502))</f>
        <v/>
      </c>
    </row>
    <row r="503">
      <c r="G503" s="26" t="n"/>
      <c r="H503" s="25">
        <f>IF($A503="","",IF($G503="","",$F503-$G503))</f>
        <v/>
      </c>
    </row>
    <row r="504">
      <c r="G504" s="26" t="n"/>
      <c r="H504" s="25">
        <f>IF($A504="","",IF($G504="","",$F504-$G504))</f>
        <v/>
      </c>
    </row>
    <row r="505">
      <c r="G505" s="26" t="n"/>
      <c r="H505" s="25">
        <f>IF($A505="","",IF($G505="","",$F505-$G505))</f>
        <v/>
      </c>
    </row>
    <row r="506">
      <c r="G506" s="26" t="n"/>
      <c r="H506" s="25">
        <f>IF($A506="","",IF($G506="","",$F506-$G506))</f>
        <v/>
      </c>
    </row>
    <row r="507">
      <c r="G507" s="26" t="n"/>
      <c r="H507" s="25">
        <f>IF($A507="","",IF($G507="","",$F507-$G507))</f>
        <v/>
      </c>
    </row>
    <row r="508">
      <c r="G508" s="26" t="n"/>
      <c r="H508" s="25">
        <f>IF($A508="","",IF($G508="","",$F508-$G508))</f>
        <v/>
      </c>
    </row>
    <row r="509">
      <c r="G509" s="26" t="n"/>
      <c r="H509" s="25">
        <f>IF($A509="","",IF($G509="","",$F509-$G509))</f>
        <v/>
      </c>
    </row>
    <row r="510">
      <c r="G510" s="26" t="n"/>
      <c r="H510" s="25">
        <f>IF($A510="","",IF($G510="","",$F510-$G510))</f>
        <v/>
      </c>
    </row>
    <row r="511">
      <c r="G511" s="26" t="n"/>
      <c r="H511" s="25">
        <f>IF($A511="","",IF($G511="","",$F511-$G511))</f>
        <v/>
      </c>
    </row>
    <row r="512">
      <c r="G512" s="26" t="n"/>
      <c r="H512" s="25">
        <f>IF($A512="","",IF($G512="","",$F512-$G512))</f>
        <v/>
      </c>
    </row>
    <row r="513">
      <c r="G513" s="26" t="n"/>
      <c r="H513" s="25">
        <f>IF($A513="","",IF($G513="","",$F513-$G513))</f>
        <v/>
      </c>
    </row>
    <row r="514">
      <c r="G514" s="26" t="n"/>
      <c r="H514" s="25">
        <f>IF($A514="","",IF($G514="","",$F514-$G514))</f>
        <v/>
      </c>
    </row>
    <row r="515">
      <c r="G515" s="26" t="n"/>
      <c r="H515" s="25">
        <f>IF($A515="","",IF($G515="","",$F515-$G515))</f>
        <v/>
      </c>
    </row>
    <row r="516">
      <c r="G516" s="26" t="n"/>
      <c r="H516" s="25">
        <f>IF($A516="","",IF($G516="","",$F516-$G516))</f>
        <v/>
      </c>
    </row>
    <row r="517">
      <c r="G517" s="26" t="n"/>
      <c r="H517" s="25">
        <f>IF($A517="","",IF($G517="","",$F517-$G517))</f>
        <v/>
      </c>
    </row>
    <row r="518">
      <c r="G518" s="26" t="n"/>
      <c r="H518" s="25">
        <f>IF($A518="","",IF($G518="","",$F518-$G518))</f>
        <v/>
      </c>
    </row>
    <row r="519">
      <c r="G519" s="26" t="n"/>
      <c r="H519" s="25">
        <f>IF($A519="","",IF($G519="","",$F519-$G519))</f>
        <v/>
      </c>
    </row>
    <row r="520">
      <c r="G520" s="26" t="n"/>
      <c r="H520" s="25">
        <f>IF($A520="","",IF($G520="","",$F520-$G520))</f>
        <v/>
      </c>
    </row>
    <row r="521">
      <c r="G521" s="26" t="n"/>
      <c r="H521" s="25">
        <f>IF($A521="","",IF($G521="","",$F521-$G521))</f>
        <v/>
      </c>
    </row>
    <row r="522">
      <c r="G522" s="26" t="n"/>
      <c r="H522" s="25">
        <f>IF($A522="","",IF($G522="","",$F522-$G522))</f>
        <v/>
      </c>
    </row>
    <row r="523">
      <c r="G523" s="26" t="n"/>
      <c r="H523" s="25">
        <f>IF($A523="","",IF($G523="","",$F523-$G523))</f>
        <v/>
      </c>
    </row>
    <row r="524">
      <c r="G524" s="26" t="n"/>
      <c r="H524" s="25">
        <f>IF($A524="","",IF($G524="","",$F524-$G524))</f>
        <v/>
      </c>
    </row>
    <row r="525">
      <c r="G525" s="26" t="n"/>
      <c r="H525" s="25">
        <f>IF($A525="","",IF($G525="","",$F525-$G525))</f>
        <v/>
      </c>
    </row>
    <row r="526">
      <c r="G526" s="26" t="n"/>
      <c r="H526" s="25">
        <f>IF($A526="","",IF($G526="","",$F526-$G526))</f>
        <v/>
      </c>
    </row>
    <row r="527">
      <c r="G527" s="26" t="n"/>
      <c r="H527" s="25">
        <f>IF($A527="","",IF($G527="","",$F527-$G527))</f>
        <v/>
      </c>
    </row>
    <row r="528">
      <c r="G528" s="26" t="n"/>
      <c r="H528" s="25">
        <f>IF($A528="","",IF($G528="","",$F528-$G528))</f>
        <v/>
      </c>
    </row>
    <row r="529">
      <c r="G529" s="26" t="n"/>
      <c r="H529" s="25">
        <f>IF($A529="","",IF($G529="","",$F529-$G529))</f>
        <v/>
      </c>
    </row>
    <row r="530">
      <c r="G530" s="26" t="n"/>
      <c r="H530" s="25">
        <f>IF($A530="","",IF($G530="","",$F530-$G530))</f>
        <v/>
      </c>
    </row>
    <row r="531">
      <c r="G531" s="26" t="n"/>
      <c r="H531" s="25">
        <f>IF($A531="","",IF($G531="","",$F531-$G531))</f>
        <v/>
      </c>
    </row>
    <row r="532">
      <c r="G532" s="26" t="n"/>
      <c r="H532" s="25">
        <f>IF($A532="","",IF($G532="","",$F532-$G532))</f>
        <v/>
      </c>
    </row>
    <row r="533">
      <c r="G533" s="26" t="n"/>
      <c r="H533" s="25">
        <f>IF($A533="","",IF($G533="","",$F533-$G533))</f>
        <v/>
      </c>
    </row>
    <row r="534">
      <c r="G534" s="26" t="n"/>
      <c r="H534" s="25">
        <f>IF($A534="","",IF($G534="","",$F534-$G534))</f>
        <v/>
      </c>
    </row>
    <row r="535">
      <c r="G535" s="26" t="n"/>
      <c r="H535" s="25">
        <f>IF($A535="","",IF($G535="","",$F535-$G535))</f>
        <v/>
      </c>
    </row>
    <row r="536">
      <c r="G536" s="26" t="n"/>
      <c r="H536" s="25">
        <f>IF($A536="","",IF($G536="","",$F536-$G536))</f>
        <v/>
      </c>
    </row>
    <row r="537">
      <c r="G537" s="26" t="n"/>
      <c r="H537" s="25">
        <f>IF($A537="","",IF($G537="","",$F537-$G537))</f>
        <v/>
      </c>
    </row>
    <row r="538">
      <c r="G538" s="26" t="n"/>
      <c r="H538" s="25">
        <f>IF($A538="","",IF($G538="","",$F538-$G538))</f>
        <v/>
      </c>
    </row>
    <row r="539">
      <c r="G539" s="26" t="n"/>
      <c r="H539" s="25">
        <f>IF($A539="","",IF($G539="","",$F539-$G539))</f>
        <v/>
      </c>
    </row>
    <row r="540">
      <c r="G540" s="26" t="n"/>
      <c r="H540" s="25">
        <f>IF($A540="","",IF($G540="","",$F540-$G540))</f>
        <v/>
      </c>
    </row>
    <row r="541">
      <c r="G541" s="26" t="n"/>
      <c r="H541" s="25">
        <f>IF($A541="","",IF($G541="","",$F541-$G541))</f>
        <v/>
      </c>
    </row>
    <row r="542">
      <c r="G542" s="26" t="n"/>
      <c r="H542" s="25">
        <f>IF($A542="","",IF($G542="","",$F542-$G542))</f>
        <v/>
      </c>
    </row>
    <row r="543">
      <c r="G543" s="26" t="n"/>
      <c r="H543" s="25">
        <f>IF($A543="","",IF($G543="","",$F543-$G543))</f>
        <v/>
      </c>
    </row>
    <row r="544">
      <c r="G544" s="26" t="n"/>
      <c r="H544" s="25">
        <f>IF($A544="","",IF($G544="","",$F544-$G544))</f>
        <v/>
      </c>
    </row>
    <row r="545">
      <c r="G545" s="26" t="n"/>
      <c r="H545" s="25">
        <f>IF($A545="","",IF($G545="","",$F545-$G545))</f>
        <v/>
      </c>
    </row>
    <row r="546">
      <c r="G546" s="26" t="n"/>
      <c r="H546" s="25">
        <f>IF($A546="","",IF($G546="","",$F546-$G546))</f>
        <v/>
      </c>
    </row>
    <row r="547">
      <c r="G547" s="26" t="n"/>
      <c r="H547" s="25">
        <f>IF($A547="","",IF($G547="","",$F547-$G547))</f>
        <v/>
      </c>
    </row>
    <row r="548">
      <c r="G548" s="26" t="n"/>
      <c r="H548" s="25">
        <f>IF($A548="","",IF($G548="","",$F548-$G548))</f>
        <v/>
      </c>
    </row>
    <row r="549">
      <c r="G549" s="26" t="n"/>
      <c r="H549" s="25">
        <f>IF($A549="","",IF($G549="","",$F549-$G549))</f>
        <v/>
      </c>
    </row>
    <row r="550">
      <c r="G550" s="26" t="n"/>
      <c r="H550" s="25">
        <f>IF($A550="","",IF($G550="","",$F550-$G550))</f>
        <v/>
      </c>
    </row>
    <row r="551">
      <c r="G551" s="26" t="n"/>
      <c r="H551" s="25">
        <f>IF($A551="","",IF($G551="","",$F551-$G551))</f>
        <v/>
      </c>
    </row>
    <row r="552">
      <c r="G552" s="26" t="n"/>
      <c r="H552" s="25">
        <f>IF($A552="","",IF($G552="","",$F552-$G552))</f>
        <v/>
      </c>
    </row>
    <row r="553">
      <c r="G553" s="26" t="n"/>
      <c r="H553" s="25">
        <f>IF($A553="","",IF($G553="","",$F553-$G553))</f>
        <v/>
      </c>
    </row>
    <row r="554">
      <c r="G554" s="26" t="n"/>
      <c r="H554" s="25">
        <f>IF($A554="","",IF($G554="","",$F554-$G554))</f>
        <v/>
      </c>
    </row>
    <row r="555">
      <c r="G555" s="26" t="n"/>
      <c r="H555" s="25">
        <f>IF($A555="","",IF($G555="","",$F555-$G555))</f>
        <v/>
      </c>
    </row>
    <row r="556">
      <c r="G556" s="26" t="n"/>
      <c r="H556" s="25">
        <f>IF($A556="","",IF($G556="","",$F556-$G556))</f>
        <v/>
      </c>
    </row>
    <row r="557">
      <c r="G557" s="26" t="n"/>
      <c r="H557" s="25">
        <f>IF($A557="","",IF($G557="","",$F557-$G557))</f>
        <v/>
      </c>
    </row>
    <row r="558">
      <c r="G558" s="26" t="n"/>
      <c r="H558" s="25">
        <f>IF($A558="","",IF($G558="","",$F558-$G558))</f>
        <v/>
      </c>
    </row>
    <row r="559">
      <c r="G559" s="26" t="n"/>
      <c r="H559" s="25">
        <f>IF($A559="","",IF($G559="","",$F559-$G559))</f>
        <v/>
      </c>
    </row>
    <row r="560">
      <c r="G560" s="26" t="n"/>
      <c r="H560" s="25">
        <f>IF($A560="","",IF($G560="","",$F560-$G560))</f>
        <v/>
      </c>
    </row>
    <row r="561">
      <c r="G561" s="26" t="n"/>
      <c r="H561" s="25">
        <f>IF($A561="","",IF($G561="","",$F561-$G561))</f>
        <v/>
      </c>
    </row>
    <row r="562">
      <c r="G562" s="26" t="n"/>
      <c r="H562" s="25">
        <f>IF($A562="","",IF($G562="","",$F562-$G562))</f>
        <v/>
      </c>
    </row>
    <row r="563">
      <c r="G563" s="26" t="n"/>
      <c r="H563" s="25">
        <f>IF($A563="","",IF($G563="","",$F563-$G563))</f>
        <v/>
      </c>
    </row>
    <row r="564">
      <c r="G564" s="26" t="n"/>
      <c r="H564" s="25">
        <f>IF($A564="","",IF($G564="","",$F564-$G564))</f>
        <v/>
      </c>
    </row>
    <row r="565">
      <c r="G565" s="26" t="n"/>
      <c r="H565" s="25">
        <f>IF($A565="","",IF($G565="","",$F565-$G565))</f>
        <v/>
      </c>
    </row>
    <row r="566">
      <c r="G566" s="26" t="n"/>
      <c r="H566" s="25">
        <f>IF($A566="","",IF($G566="","",$F566-$G566))</f>
        <v/>
      </c>
    </row>
    <row r="567">
      <c r="G567" s="26" t="n"/>
      <c r="H567" s="25">
        <f>IF($A567="","",IF($G567="","",$F567-$G567))</f>
        <v/>
      </c>
    </row>
    <row r="568">
      <c r="G568" s="26" t="n"/>
      <c r="H568" s="25">
        <f>IF($A568="","",IF($G568="","",$F568-$G568))</f>
        <v/>
      </c>
    </row>
    <row r="569">
      <c r="G569" s="26" t="n"/>
      <c r="H569" s="25">
        <f>IF($A569="","",IF($G569="","",$F569-$G569))</f>
        <v/>
      </c>
    </row>
    <row r="570">
      <c r="G570" s="26" t="n"/>
      <c r="H570" s="25">
        <f>IF($A570="","",IF($G570="","",$F570-$G570))</f>
        <v/>
      </c>
    </row>
    <row r="571">
      <c r="G571" s="26" t="n"/>
      <c r="H571" s="25">
        <f>IF($A571="","",IF($G571="","",$F571-$G571))</f>
        <v/>
      </c>
    </row>
    <row r="572">
      <c r="G572" s="26" t="n"/>
      <c r="H572" s="25">
        <f>IF($A572="","",IF($G572="","",$F572-$G572))</f>
        <v/>
      </c>
    </row>
    <row r="573">
      <c r="G573" s="26" t="n"/>
      <c r="H573" s="25">
        <f>IF($A573="","",IF($G573="","",$F573-$G573))</f>
        <v/>
      </c>
    </row>
    <row r="574">
      <c r="G574" s="26" t="n"/>
      <c r="H574" s="25">
        <f>IF($A574="","",IF($G574="","",$F574-$G574))</f>
        <v/>
      </c>
    </row>
    <row r="575">
      <c r="G575" s="26" t="n"/>
      <c r="H575" s="25">
        <f>IF($A575="","",IF($G575="","",$F575-$G575))</f>
        <v/>
      </c>
    </row>
    <row r="576">
      <c r="G576" s="26" t="n"/>
      <c r="H576" s="25">
        <f>IF($A576="","",IF($G576="","",$F576-$G576))</f>
        <v/>
      </c>
    </row>
    <row r="577">
      <c r="G577" s="26" t="n"/>
      <c r="H577" s="25">
        <f>IF($A577="","",IF($G577="","",$F577-$G577))</f>
        <v/>
      </c>
    </row>
    <row r="578">
      <c r="G578" s="26" t="n"/>
      <c r="H578" s="25">
        <f>IF($A578="","",IF($G578="","",$F578-$G578))</f>
        <v/>
      </c>
    </row>
    <row r="579">
      <c r="G579" s="26" t="n"/>
      <c r="H579" s="25">
        <f>IF($A579="","",IF($G579="","",$F579-$G579))</f>
        <v/>
      </c>
    </row>
    <row r="580">
      <c r="G580" s="26" t="n"/>
      <c r="H580" s="25">
        <f>IF($A580="","",IF($G580="","",$F580-$G580))</f>
        <v/>
      </c>
    </row>
    <row r="581">
      <c r="G581" s="26" t="n"/>
      <c r="H581" s="25">
        <f>IF($A581="","",IF($G581="","",$F581-$G581))</f>
        <v/>
      </c>
    </row>
    <row r="582">
      <c r="G582" s="26" t="n"/>
      <c r="H582" s="25">
        <f>IF($A582="","",IF($G582="","",$F582-$G582))</f>
        <v/>
      </c>
    </row>
    <row r="583">
      <c r="G583" s="26" t="n"/>
      <c r="H583" s="25">
        <f>IF($A583="","",IF($G583="","",$F583-$G583))</f>
        <v/>
      </c>
    </row>
    <row r="584">
      <c r="G584" s="26" t="n"/>
      <c r="H584" s="25">
        <f>IF($A584="","",IF($G584="","",$F584-$G584))</f>
        <v/>
      </c>
    </row>
    <row r="585">
      <c r="G585" s="26" t="n"/>
      <c r="H585" s="25">
        <f>IF($A585="","",IF($G585="","",$F585-$G585))</f>
        <v/>
      </c>
    </row>
    <row r="586">
      <c r="G586" s="26" t="n"/>
      <c r="H586" s="25">
        <f>IF($A586="","",IF($G586="","",$F586-$G586))</f>
        <v/>
      </c>
    </row>
    <row r="587">
      <c r="G587" s="26" t="n"/>
      <c r="H587" s="25">
        <f>IF($A587="","",IF($G587="","",$F587-$G587))</f>
        <v/>
      </c>
    </row>
    <row r="588">
      <c r="G588" s="26" t="n"/>
      <c r="H588" s="25">
        <f>IF($A588="","",IF($G588="","",$F588-$G588))</f>
        <v/>
      </c>
    </row>
    <row r="589">
      <c r="G589" s="26" t="n"/>
      <c r="H589" s="25">
        <f>IF($A589="","",IF($G589="","",$F589-$G589))</f>
        <v/>
      </c>
    </row>
    <row r="590">
      <c r="G590" s="26" t="n"/>
      <c r="H590" s="25">
        <f>IF($A590="","",IF($G590="","",$F590-$G590))</f>
        <v/>
      </c>
    </row>
    <row r="591">
      <c r="G591" s="26" t="n"/>
      <c r="H591" s="25">
        <f>IF($A591="","",IF($G591="","",$F591-$G591))</f>
        <v/>
      </c>
    </row>
    <row r="592">
      <c r="G592" s="26" t="n"/>
      <c r="H592" s="25">
        <f>IF($A592="","",IF($G592="","",$F592-$G592))</f>
        <v/>
      </c>
    </row>
    <row r="593">
      <c r="G593" s="26" t="n"/>
      <c r="H593" s="25">
        <f>IF($A593="","",IF($G593="","",$F593-$G593))</f>
        <v/>
      </c>
    </row>
    <row r="594">
      <c r="G594" s="26" t="n"/>
      <c r="H594" s="25">
        <f>IF($A594="","",IF($G594="","",$F594-$G594))</f>
        <v/>
      </c>
    </row>
    <row r="595">
      <c r="G595" s="26" t="n"/>
      <c r="H595" s="25">
        <f>IF($A595="","",IF($G595="","",$F595-$G595))</f>
        <v/>
      </c>
    </row>
    <row r="596">
      <c r="G596" s="26" t="n"/>
      <c r="H596" s="25">
        <f>IF($A596="","",IF($G596="","",$F596-$G596))</f>
        <v/>
      </c>
    </row>
    <row r="597">
      <c r="G597" s="26" t="n"/>
      <c r="H597" s="25">
        <f>IF($A597="","",IF($G597="","",$F597-$G597))</f>
        <v/>
      </c>
    </row>
    <row r="598">
      <c r="G598" s="26" t="n"/>
      <c r="H598" s="25">
        <f>IF($A598="","",IF($G598="","",$F598-$G598))</f>
        <v/>
      </c>
    </row>
    <row r="599">
      <c r="G599" s="26" t="n"/>
      <c r="H599" s="25">
        <f>IF($A599="","",IF($G599="","",$F599-$G599))</f>
        <v/>
      </c>
    </row>
    <row r="600">
      <c r="G600" s="26" t="n"/>
      <c r="H600" s="25">
        <f>IF($A600="","",IF($G600="","",$F600-$G600))</f>
        <v/>
      </c>
    </row>
    <row r="601">
      <c r="G601" s="26" t="n"/>
      <c r="H601" s="25">
        <f>IF($A601="","",IF($G601="","",$F601-$G601))</f>
        <v/>
      </c>
    </row>
    <row r="602">
      <c r="G602" s="26" t="n"/>
      <c r="H602" s="25">
        <f>IF($A602="","",IF($G602="","",$F602-$G602))</f>
        <v/>
      </c>
    </row>
    <row r="603">
      <c r="G603" s="26" t="n"/>
      <c r="H603" s="25">
        <f>IF($A603="","",IF($G603="","",$F603-$G603))</f>
        <v/>
      </c>
    </row>
    <row r="604">
      <c r="G604" s="26" t="n"/>
      <c r="H604" s="25">
        <f>IF($A604="","",IF($G604="","",$F604-$G604))</f>
        <v/>
      </c>
    </row>
    <row r="605">
      <c r="G605" s="26" t="n"/>
      <c r="H605" s="25">
        <f>IF($A605="","",IF($G605="","",$F605-$G605))</f>
        <v/>
      </c>
    </row>
    <row r="606">
      <c r="G606" s="26" t="n"/>
      <c r="H606" s="25">
        <f>IF($A606="","",IF($G606="","",$F606-$G606))</f>
        <v/>
      </c>
    </row>
    <row r="607">
      <c r="G607" s="26" t="n"/>
      <c r="H607" s="25">
        <f>IF($A607="","",IF($G607="","",$F607-$G607))</f>
        <v/>
      </c>
    </row>
    <row r="608">
      <c r="G608" s="26" t="n"/>
      <c r="H608" s="25">
        <f>IF($A608="","",IF($G608="","",$F608-$G608))</f>
        <v/>
      </c>
    </row>
    <row r="609">
      <c r="G609" s="26" t="n"/>
      <c r="H609" s="25">
        <f>IF($A609="","",IF($G609="","",$F609-$G609))</f>
        <v/>
      </c>
    </row>
    <row r="610">
      <c r="G610" s="26" t="n"/>
      <c r="H610" s="25">
        <f>IF($A610="","",IF($G610="","",$F610-$G610))</f>
        <v/>
      </c>
    </row>
    <row r="611">
      <c r="G611" s="26" t="n"/>
      <c r="H611" s="25">
        <f>IF($A611="","",IF($G611="","",$F611-$G611))</f>
        <v/>
      </c>
    </row>
    <row r="612">
      <c r="G612" s="26" t="n"/>
      <c r="H612" s="25">
        <f>IF($A612="","",IF($G612="","",$F612-$G612))</f>
        <v/>
      </c>
    </row>
    <row r="613">
      <c r="G613" s="26" t="n"/>
      <c r="H613" s="25">
        <f>IF($A613="","",IF($G613="","",$F613-$G613))</f>
        <v/>
      </c>
    </row>
    <row r="614">
      <c r="G614" s="26" t="n"/>
      <c r="H614" s="25">
        <f>IF($A614="","",IF($G614="","",$F614-$G614))</f>
        <v/>
      </c>
    </row>
    <row r="615">
      <c r="G615" s="26" t="n"/>
      <c r="H615" s="25">
        <f>IF($A615="","",IF($G615="","",$F615-$G615))</f>
        <v/>
      </c>
    </row>
    <row r="616">
      <c r="G616" s="26" t="n"/>
      <c r="H616" s="25">
        <f>IF($A616="","",IF($G616="","",$F616-$G616))</f>
        <v/>
      </c>
    </row>
    <row r="617">
      <c r="G617" s="26" t="n"/>
      <c r="H617" s="25">
        <f>IF($A617="","",IF($G617="","",$F617-$G617))</f>
        <v/>
      </c>
    </row>
    <row r="618">
      <c r="G618" s="26" t="n"/>
      <c r="H618" s="25">
        <f>IF($A618="","",IF($G618="","",$F618-$G618))</f>
        <v/>
      </c>
    </row>
    <row r="619">
      <c r="G619" s="26" t="n"/>
      <c r="H619" s="25">
        <f>IF($A619="","",IF($G619="","",$F619-$G619))</f>
        <v/>
      </c>
    </row>
    <row r="620">
      <c r="G620" s="26" t="n"/>
      <c r="H620" s="25">
        <f>IF($A620="","",IF($G620="","",$F620-$G620))</f>
        <v/>
      </c>
    </row>
    <row r="621">
      <c r="G621" s="26" t="n"/>
      <c r="H621" s="25">
        <f>IF($A621="","",IF($G621="","",$F621-$G621))</f>
        <v/>
      </c>
    </row>
    <row r="622">
      <c r="G622" s="26" t="n"/>
      <c r="H622" s="25">
        <f>IF($A622="","",IF($G622="","",$F622-$G622))</f>
        <v/>
      </c>
    </row>
    <row r="623">
      <c r="G623" s="26" t="n"/>
      <c r="H623" s="25">
        <f>IF($A623="","",IF($G623="","",$F623-$G623))</f>
        <v/>
      </c>
    </row>
    <row r="624">
      <c r="G624" s="26" t="n"/>
      <c r="H624" s="25">
        <f>IF($A624="","",IF($G624="","",$F624-$G624))</f>
        <v/>
      </c>
    </row>
    <row r="625">
      <c r="G625" s="26" t="n"/>
      <c r="H625" s="25">
        <f>IF($A625="","",IF($G625="","",$F625-$G625))</f>
        <v/>
      </c>
    </row>
    <row r="626">
      <c r="G626" s="26" t="n"/>
      <c r="H626" s="25">
        <f>IF($A626="","",IF($G626="","",$F626-$G626))</f>
        <v/>
      </c>
    </row>
    <row r="627">
      <c r="G627" s="26" t="n"/>
      <c r="H627" s="25">
        <f>IF($A627="","",IF($G627="","",$F627-$G627))</f>
        <v/>
      </c>
    </row>
    <row r="628">
      <c r="G628" s="26" t="n"/>
      <c r="H628" s="25">
        <f>IF($A628="","",IF($G628="","",$F628-$G628))</f>
        <v/>
      </c>
    </row>
    <row r="629">
      <c r="G629" s="26" t="n"/>
      <c r="H629" s="25">
        <f>IF($A629="","",IF($G629="","",$F629-$G629))</f>
        <v/>
      </c>
    </row>
    <row r="630">
      <c r="G630" s="26" t="n"/>
      <c r="H630" s="25">
        <f>IF($A630="","",IF($G630="","",$F630-$G630))</f>
        <v/>
      </c>
    </row>
    <row r="631">
      <c r="G631" s="26" t="n"/>
      <c r="H631" s="25">
        <f>IF($A631="","",IF($G631="","",$F631-$G631))</f>
        <v/>
      </c>
    </row>
    <row r="632">
      <c r="G632" s="26" t="n"/>
      <c r="H632" s="25">
        <f>IF($A632="","",IF($G632="","",$F632-$G632))</f>
        <v/>
      </c>
    </row>
    <row r="633">
      <c r="G633" s="26" t="n"/>
      <c r="H633" s="25">
        <f>IF($A633="","",IF($G633="","",$F633-$G633))</f>
        <v/>
      </c>
    </row>
    <row r="634">
      <c r="G634" s="26" t="n"/>
      <c r="H634" s="25">
        <f>IF($A634="","",IF($G634="","",$F634-$G634))</f>
        <v/>
      </c>
    </row>
    <row r="635">
      <c r="G635" s="26" t="n"/>
      <c r="H635" s="25">
        <f>IF($A635="","",IF($G635="","",$F635-$G635))</f>
        <v/>
      </c>
    </row>
    <row r="636">
      <c r="G636" s="26" t="n"/>
      <c r="H636" s="25">
        <f>IF($A636="","",IF($G636="","",$F636-$G636))</f>
        <v/>
      </c>
    </row>
    <row r="637">
      <c r="G637" s="26" t="n"/>
      <c r="H637" s="25">
        <f>IF($A637="","",IF($G637="","",$F637-$G637))</f>
        <v/>
      </c>
    </row>
    <row r="638">
      <c r="G638" s="26" t="n"/>
      <c r="H638" s="25">
        <f>IF($A638="","",IF($G638="","",$F638-$G638))</f>
        <v/>
      </c>
    </row>
    <row r="639">
      <c r="G639" s="26" t="n"/>
      <c r="H639" s="25">
        <f>IF($A639="","",IF($G639="","",$F639-$G639))</f>
        <v/>
      </c>
    </row>
    <row r="640">
      <c r="G640" s="26" t="n"/>
      <c r="H640" s="25">
        <f>IF($A640="","",IF($G640="","",$F640-$G640))</f>
        <v/>
      </c>
    </row>
    <row r="641">
      <c r="G641" s="26" t="n"/>
      <c r="H641" s="25">
        <f>IF($A641="","",IF($G641="","",$F641-$G641))</f>
        <v/>
      </c>
    </row>
    <row r="642">
      <c r="G642" s="26" t="n"/>
      <c r="H642" s="25">
        <f>IF($A642="","",IF($G642="","",$F642-$G642))</f>
        <v/>
      </c>
    </row>
    <row r="643">
      <c r="G643" s="26" t="n"/>
      <c r="H643" s="25">
        <f>IF($A643="","",IF($G643="","",$F643-$G643))</f>
        <v/>
      </c>
    </row>
    <row r="644">
      <c r="G644" s="26" t="n"/>
      <c r="H644" s="25">
        <f>IF($A644="","",IF($G644="","",$F644-$G644))</f>
        <v/>
      </c>
    </row>
    <row r="645">
      <c r="G645" s="26" t="n"/>
      <c r="H645" s="25">
        <f>IF($A645="","",IF($G645="","",$F645-$G645))</f>
        <v/>
      </c>
    </row>
    <row r="646">
      <c r="G646" s="26" t="n"/>
      <c r="H646" s="25">
        <f>IF($A646="","",IF($G646="","",$F646-$G646))</f>
        <v/>
      </c>
    </row>
    <row r="647">
      <c r="G647" s="26" t="n"/>
      <c r="H647" s="25">
        <f>IF($A647="","",IF($G647="","",$F647-$G647))</f>
        <v/>
      </c>
    </row>
    <row r="648">
      <c r="G648" s="26" t="n"/>
      <c r="H648" s="25">
        <f>IF($A648="","",IF($G648="","",$F648-$G648))</f>
        <v/>
      </c>
    </row>
    <row r="649">
      <c r="G649" s="26" t="n"/>
      <c r="H649" s="25">
        <f>IF($A649="","",IF($G649="","",$F649-$G649))</f>
        <v/>
      </c>
    </row>
    <row r="650">
      <c r="G650" s="26" t="n"/>
      <c r="H650" s="25">
        <f>IF($A650="","",IF($G650="","",$F650-$G650))</f>
        <v/>
      </c>
    </row>
    <row r="651">
      <c r="G651" s="26" t="n"/>
      <c r="H651" s="25">
        <f>IF($A651="","",IF($G651="","",$F651-$G651))</f>
        <v/>
      </c>
    </row>
    <row r="652">
      <c r="G652" s="26" t="n"/>
      <c r="H652" s="25">
        <f>IF($A652="","",IF($G652="","",$F652-$G652))</f>
        <v/>
      </c>
    </row>
    <row r="653">
      <c r="G653" s="26" t="n"/>
      <c r="H653" s="25">
        <f>IF($A653="","",IF($G653="","",$F653-$G653))</f>
        <v/>
      </c>
    </row>
    <row r="654">
      <c r="G654" s="26" t="n"/>
      <c r="H654" s="25">
        <f>IF($A654="","",IF($G654="","",$F654-$G654))</f>
        <v/>
      </c>
    </row>
    <row r="655">
      <c r="G655" s="26" t="n"/>
      <c r="H655" s="25">
        <f>IF($A655="","",IF($G655="","",$F655-$G655))</f>
        <v/>
      </c>
    </row>
    <row r="656">
      <c r="G656" s="26" t="n"/>
      <c r="H656" s="25">
        <f>IF($A656="","",IF($G656="","",$F656-$G656))</f>
        <v/>
      </c>
    </row>
    <row r="657">
      <c r="G657" s="26" t="n"/>
      <c r="H657" s="25">
        <f>IF($A657="","",IF($G657="","",$F657-$G657))</f>
        <v/>
      </c>
    </row>
    <row r="658">
      <c r="G658" s="26" t="n"/>
      <c r="H658" s="25">
        <f>IF($A658="","",IF($G658="","",$F658-$G658))</f>
        <v/>
      </c>
    </row>
    <row r="659">
      <c r="G659" s="26" t="n"/>
      <c r="H659" s="25">
        <f>IF($A659="","",IF($G659="","",$F659-$G659))</f>
        <v/>
      </c>
    </row>
    <row r="660">
      <c r="G660" s="26" t="n"/>
      <c r="H660" s="25">
        <f>IF($A660="","",IF($G660="","",$F660-$G660))</f>
        <v/>
      </c>
    </row>
    <row r="661">
      <c r="G661" s="26" t="n"/>
      <c r="H661" s="25">
        <f>IF($A661="","",IF($G661="","",$F661-$G661))</f>
        <v/>
      </c>
    </row>
    <row r="662">
      <c r="G662" s="26" t="n"/>
      <c r="H662" s="25">
        <f>IF($A662="","",IF($G662="","",$F662-$G662))</f>
        <v/>
      </c>
    </row>
    <row r="663">
      <c r="G663" s="26" t="n"/>
      <c r="H663" s="25">
        <f>IF($A663="","",IF($G663="","",$F663-$G663))</f>
        <v/>
      </c>
    </row>
    <row r="664">
      <c r="G664" s="26" t="n"/>
      <c r="H664" s="25">
        <f>IF($A664="","",IF($G664="","",$F664-$G664))</f>
        <v/>
      </c>
    </row>
    <row r="665">
      <c r="G665" s="26" t="n"/>
      <c r="H665" s="25">
        <f>IF($A665="","",IF($G665="","",$F665-$G665))</f>
        <v/>
      </c>
    </row>
    <row r="666">
      <c r="G666" s="26" t="n"/>
      <c r="H666" s="25">
        <f>IF($A666="","",IF($G666="","",$F666-$G666))</f>
        <v/>
      </c>
    </row>
    <row r="667">
      <c r="G667" s="26" t="n"/>
      <c r="H667" s="25">
        <f>IF($A667="","",IF($G667="","",$F667-$G667))</f>
        <v/>
      </c>
    </row>
    <row r="668">
      <c r="G668" s="26" t="n"/>
      <c r="H668" s="25">
        <f>IF($A668="","",IF($G668="","",$F668-$G668))</f>
        <v/>
      </c>
    </row>
    <row r="669">
      <c r="G669" s="26" t="n"/>
      <c r="H669" s="25">
        <f>IF($A669="","",IF($G669="","",$F669-$G669))</f>
        <v/>
      </c>
    </row>
    <row r="670">
      <c r="G670" s="26" t="n"/>
      <c r="H670" s="25">
        <f>IF($A670="","",IF($G670="","",$F670-$G670))</f>
        <v/>
      </c>
    </row>
    <row r="671">
      <c r="G671" s="26" t="n"/>
      <c r="H671" s="25">
        <f>IF($A671="","",IF($G671="","",$F671-$G671))</f>
        <v/>
      </c>
    </row>
    <row r="672">
      <c r="G672" s="26" t="n"/>
      <c r="H672" s="25">
        <f>IF($A672="","",IF($G672="","",$F672-$G672))</f>
        <v/>
      </c>
    </row>
    <row r="673">
      <c r="G673" s="26" t="n"/>
      <c r="H673" s="25">
        <f>IF($A673="","",IF($G673="","",$F673-$G673))</f>
        <v/>
      </c>
    </row>
    <row r="674">
      <c r="G674" s="26" t="n"/>
      <c r="H674" s="25">
        <f>IF($A674="","",IF($G674="","",$F674-$G674))</f>
        <v/>
      </c>
    </row>
    <row r="675">
      <c r="G675" s="26" t="n"/>
      <c r="H675" s="25">
        <f>IF($A675="","",IF($G675="","",$F675-$G675))</f>
        <v/>
      </c>
    </row>
    <row r="676">
      <c r="G676" s="26" t="n"/>
      <c r="H676" s="25">
        <f>IF($A676="","",IF($G676="","",$F676-$G676))</f>
        <v/>
      </c>
    </row>
    <row r="677">
      <c r="G677" s="26" t="n"/>
      <c r="H677" s="25">
        <f>IF($A677="","",IF($G677="","",$F677-$G677))</f>
        <v/>
      </c>
    </row>
    <row r="678">
      <c r="G678" s="26" t="n"/>
      <c r="H678" s="25">
        <f>IF($A678="","",IF($G678="","",$F678-$G678))</f>
        <v/>
      </c>
    </row>
    <row r="679">
      <c r="G679" s="26" t="n"/>
      <c r="H679" s="25">
        <f>IF($A679="","",IF($G679="","",$F679-$G679))</f>
        <v/>
      </c>
    </row>
    <row r="680">
      <c r="G680" s="26" t="n"/>
      <c r="H680" s="25">
        <f>IF($A680="","",IF($G680="","",$F680-$G680))</f>
        <v/>
      </c>
    </row>
    <row r="681">
      <c r="G681" s="26" t="n"/>
      <c r="H681" s="25">
        <f>IF($A681="","",IF($G681="","",$F681-$G681))</f>
        <v/>
      </c>
    </row>
    <row r="682">
      <c r="G682" s="26" t="n"/>
      <c r="H682" s="25">
        <f>IF($A682="","",IF($G682="","",$F682-$G682))</f>
        <v/>
      </c>
    </row>
    <row r="683">
      <c r="G683" s="26" t="n"/>
      <c r="H683" s="25">
        <f>IF($A683="","",IF($G683="","",$F683-$G683))</f>
        <v/>
      </c>
    </row>
    <row r="684">
      <c r="G684" s="26" t="n"/>
      <c r="H684" s="25">
        <f>IF($A684="","",IF($G684="","",$F684-$G684))</f>
        <v/>
      </c>
    </row>
    <row r="685">
      <c r="G685" s="26" t="n"/>
      <c r="H685" s="25">
        <f>IF($A685="","",IF($G685="","",$F685-$G685))</f>
        <v/>
      </c>
    </row>
    <row r="686">
      <c r="G686" s="26" t="n"/>
      <c r="H686" s="25">
        <f>IF($A686="","",IF($G686="","",$F686-$G686))</f>
        <v/>
      </c>
    </row>
    <row r="687">
      <c r="G687" s="26" t="n"/>
      <c r="H687" s="25">
        <f>IF($A687="","",IF($G687="","",$F687-$G687))</f>
        <v/>
      </c>
    </row>
    <row r="688">
      <c r="G688" s="26" t="n"/>
      <c r="H688" s="25">
        <f>IF($A688="","",IF($G688="","",$F688-$G688))</f>
        <v/>
      </c>
    </row>
    <row r="689">
      <c r="G689" s="26" t="n"/>
      <c r="H689" s="25">
        <f>IF($A689="","",IF($G689="","",$F689-$G689))</f>
        <v/>
      </c>
    </row>
    <row r="690">
      <c r="G690" s="26" t="n"/>
      <c r="H690" s="25">
        <f>IF($A690="","",IF($G690="","",$F690-$G690))</f>
        <v/>
      </c>
    </row>
    <row r="691">
      <c r="G691" s="26" t="n"/>
      <c r="H691" s="25">
        <f>IF($A691="","",IF($G691="","",$F691-$G691))</f>
        <v/>
      </c>
    </row>
    <row r="692">
      <c r="G692" s="26" t="n"/>
      <c r="H692" s="25">
        <f>IF($A692="","",IF($G692="","",$F692-$G692))</f>
        <v/>
      </c>
    </row>
    <row r="693">
      <c r="G693" s="26" t="n"/>
      <c r="H693" s="25">
        <f>IF($A693="","",IF($G693="","",$F693-$G693))</f>
        <v/>
      </c>
    </row>
    <row r="694">
      <c r="G694" s="26" t="n"/>
      <c r="H694" s="25">
        <f>IF($A694="","",IF($G694="","",$F694-$G694))</f>
        <v/>
      </c>
    </row>
    <row r="695">
      <c r="G695" s="26" t="n"/>
      <c r="H695" s="25">
        <f>IF($A695="","",IF($G695="","",$F695-$G695))</f>
        <v/>
      </c>
    </row>
    <row r="696">
      <c r="G696" s="26" t="n"/>
      <c r="H696" s="25">
        <f>IF($A696="","",IF($G696="","",$F696-$G696))</f>
        <v/>
      </c>
    </row>
    <row r="697">
      <c r="G697" s="26" t="n"/>
      <c r="H697" s="25">
        <f>IF($A697="","",IF($G697="","",$F697-$G697))</f>
        <v/>
      </c>
    </row>
    <row r="698">
      <c r="G698" s="26" t="n"/>
      <c r="H698" s="25">
        <f>IF($A698="","",IF($G698="","",$F698-$G698))</f>
        <v/>
      </c>
    </row>
    <row r="699">
      <c r="G699" s="26" t="n"/>
      <c r="H699" s="25">
        <f>IF($A699="","",IF($G699="","",$F699-$G699))</f>
        <v/>
      </c>
    </row>
    <row r="700">
      <c r="G700" s="26" t="n"/>
      <c r="H700" s="25">
        <f>IF($A700="","",IF($G700="","",$F700-$G700))</f>
        <v/>
      </c>
    </row>
    <row r="701">
      <c r="G701" s="26" t="n"/>
      <c r="H701" s="25">
        <f>IF($A701="","",IF($G701="","",$F701-$G701))</f>
        <v/>
      </c>
    </row>
    <row r="702">
      <c r="G702" s="26" t="n"/>
      <c r="H702" s="25">
        <f>IF($A702="","",IF($G702="","",$F702-$G702))</f>
        <v/>
      </c>
    </row>
    <row r="703">
      <c r="G703" s="26" t="n"/>
      <c r="H703" s="25">
        <f>IF($A703="","",IF($G703="","",$F703-$G703))</f>
        <v/>
      </c>
    </row>
    <row r="704">
      <c r="G704" s="26" t="n"/>
      <c r="H704" s="25">
        <f>IF($A704="","",IF($G704="","",$F704-$G704))</f>
        <v/>
      </c>
    </row>
    <row r="705">
      <c r="G705" s="26" t="n"/>
      <c r="H705" s="25">
        <f>IF($A705="","",IF($G705="","",$F705-$G705))</f>
        <v/>
      </c>
    </row>
    <row r="706">
      <c r="G706" s="26" t="n"/>
      <c r="H706" s="25">
        <f>IF($A706="","",IF($G706="","",$F706-$G706))</f>
        <v/>
      </c>
    </row>
    <row r="707">
      <c r="G707" s="26" t="n"/>
      <c r="H707" s="25">
        <f>IF($A707="","",IF($G707="","",$F707-$G707))</f>
        <v/>
      </c>
    </row>
    <row r="708">
      <c r="G708" s="26" t="n"/>
      <c r="H708" s="25">
        <f>IF($A708="","",IF($G708="","",$F708-$G708))</f>
        <v/>
      </c>
    </row>
    <row r="709">
      <c r="G709" s="26" t="n"/>
      <c r="H709" s="25">
        <f>IF($A709="","",IF($G709="","",$F709-$G709))</f>
        <v/>
      </c>
    </row>
    <row r="710">
      <c r="G710" s="26" t="n"/>
      <c r="H710" s="25">
        <f>IF($A710="","",IF($G710="","",$F710-$G710))</f>
        <v/>
      </c>
    </row>
    <row r="711">
      <c r="G711" s="26" t="n"/>
      <c r="H711" s="25">
        <f>IF($A711="","",IF($G711="","",$F711-$G711))</f>
        <v/>
      </c>
    </row>
    <row r="712">
      <c r="G712" s="26" t="n"/>
      <c r="H712" s="25">
        <f>IF($A712="","",IF($G712="","",$F712-$G712))</f>
        <v/>
      </c>
    </row>
    <row r="713">
      <c r="G713" s="26" t="n"/>
      <c r="H713" s="25">
        <f>IF($A713="","",IF($G713="","",$F713-$G713))</f>
        <v/>
      </c>
    </row>
    <row r="714">
      <c r="G714" s="26" t="n"/>
      <c r="H714" s="25">
        <f>IF($A714="","",IF($G714="","",$F714-$G714))</f>
        <v/>
      </c>
    </row>
    <row r="715">
      <c r="G715" s="26" t="n"/>
      <c r="H715" s="25">
        <f>IF($A715="","",IF($G715="","",$F715-$G715))</f>
        <v/>
      </c>
    </row>
    <row r="716">
      <c r="G716" s="26" t="n"/>
      <c r="H716" s="25">
        <f>IF($A716="","",IF($G716="","",$F716-$G716))</f>
        <v/>
      </c>
    </row>
    <row r="717">
      <c r="G717" s="26" t="n"/>
      <c r="H717" s="25">
        <f>IF($A717="","",IF($G717="","",$F717-$G717))</f>
        <v/>
      </c>
    </row>
    <row r="718">
      <c r="G718" s="26" t="n"/>
      <c r="H718" s="25">
        <f>IF($A718="","",IF($G718="","",$F718-$G718))</f>
        <v/>
      </c>
    </row>
    <row r="719">
      <c r="G719" s="26" t="n"/>
      <c r="H719" s="25">
        <f>IF($A719="","",IF($G719="","",$F719-$G719))</f>
        <v/>
      </c>
    </row>
    <row r="720">
      <c r="G720" s="26" t="n"/>
      <c r="H720" s="25">
        <f>IF($A720="","",IF($G720="","",$F720-$G720))</f>
        <v/>
      </c>
    </row>
    <row r="721">
      <c r="G721" s="26" t="n"/>
      <c r="H721" s="25">
        <f>IF($A721="","",IF($G721="","",$F721-$G721))</f>
        <v/>
      </c>
    </row>
    <row r="722">
      <c r="G722" s="26" t="n"/>
      <c r="H722" s="25">
        <f>IF($A722="","",IF($G722="","",$F722-$G722))</f>
        <v/>
      </c>
    </row>
    <row r="723">
      <c r="G723" s="26" t="n"/>
      <c r="H723" s="25">
        <f>IF($A723="","",IF($G723="","",$F723-$G723))</f>
        <v/>
      </c>
    </row>
    <row r="724">
      <c r="G724" s="26" t="n"/>
      <c r="H724" s="25">
        <f>IF($A724="","",IF($G724="","",$F724-$G724))</f>
        <v/>
      </c>
    </row>
    <row r="725">
      <c r="G725" s="26" t="n"/>
      <c r="H725" s="25">
        <f>IF($A725="","",IF($G725="","",$F725-$G725))</f>
        <v/>
      </c>
    </row>
    <row r="726">
      <c r="G726" s="26" t="n"/>
      <c r="H726" s="25">
        <f>IF($A726="","",IF($G726="","",$F726-$G726))</f>
        <v/>
      </c>
    </row>
    <row r="727">
      <c r="G727" s="26" t="n"/>
      <c r="H727" s="25">
        <f>IF($A727="","",IF($G727="","",$F727-$G727))</f>
        <v/>
      </c>
    </row>
    <row r="728">
      <c r="G728" s="26" t="n"/>
      <c r="H728" s="25">
        <f>IF($A728="","",IF($G728="","",$F728-$G728))</f>
        <v/>
      </c>
    </row>
    <row r="729">
      <c r="G729" s="26" t="n"/>
      <c r="H729" s="25">
        <f>IF($A729="","",IF($G729="","",$F729-$G729))</f>
        <v/>
      </c>
    </row>
    <row r="730">
      <c r="G730" s="26" t="n"/>
      <c r="H730" s="25">
        <f>IF($A730="","",IF($G730="","",$F730-$G730))</f>
        <v/>
      </c>
    </row>
    <row r="731">
      <c r="G731" s="26" t="n"/>
      <c r="H731" s="25">
        <f>IF($A731="","",IF($G731="","",$F731-$G731))</f>
        <v/>
      </c>
    </row>
    <row r="732">
      <c r="G732" s="26" t="n"/>
      <c r="H732" s="25">
        <f>IF($A732="","",IF($G732="","",$F732-$G732))</f>
        <v/>
      </c>
    </row>
    <row r="733">
      <c r="G733" s="26" t="n"/>
      <c r="H733" s="25">
        <f>IF($A733="","",IF($G733="","",$F733-$G733))</f>
        <v/>
      </c>
    </row>
    <row r="734">
      <c r="G734" s="26" t="n"/>
      <c r="H734" s="25">
        <f>IF($A734="","",IF($G734="","",$F734-$G734))</f>
        <v/>
      </c>
    </row>
    <row r="735">
      <c r="G735" s="26" t="n"/>
      <c r="H735" s="25">
        <f>IF($A735="","",IF($G735="","",$F735-$G735))</f>
        <v/>
      </c>
    </row>
    <row r="736">
      <c r="G736" s="26" t="n"/>
      <c r="H736" s="25">
        <f>IF($A736="","",IF($G736="","",$F736-$G736))</f>
        <v/>
      </c>
    </row>
    <row r="737">
      <c r="G737" s="26" t="n"/>
      <c r="H737" s="25">
        <f>IF($A737="","",IF($G737="","",$F737-$G737))</f>
        <v/>
      </c>
    </row>
    <row r="738">
      <c r="G738" s="26" t="n"/>
      <c r="H738" s="25">
        <f>IF($A738="","",IF($G738="","",$F738-$G738))</f>
        <v/>
      </c>
    </row>
    <row r="739">
      <c r="G739" s="26" t="n"/>
      <c r="H739" s="25">
        <f>IF($A739="","",IF($G739="","",$F739-$G739))</f>
        <v/>
      </c>
    </row>
    <row r="740">
      <c r="G740" s="26" t="n"/>
      <c r="H740" s="25">
        <f>IF($A740="","",IF($G740="","",$F740-$G740))</f>
        <v/>
      </c>
    </row>
    <row r="741">
      <c r="G741" s="26" t="n"/>
      <c r="H741" s="25">
        <f>IF($A741="","",IF($G741="","",$F741-$G741))</f>
        <v/>
      </c>
    </row>
    <row r="742">
      <c r="G742" s="26" t="n"/>
      <c r="H742" s="25">
        <f>IF($A742="","",IF($G742="","",$F742-$G742))</f>
        <v/>
      </c>
    </row>
    <row r="743">
      <c r="G743" s="26" t="n"/>
      <c r="H743" s="25">
        <f>IF($A743="","",IF($G743="","",$F743-$G743))</f>
        <v/>
      </c>
    </row>
    <row r="744">
      <c r="G744" s="26" t="n"/>
      <c r="H744" s="25">
        <f>IF($A744="","",IF($G744="","",$F744-$G744))</f>
        <v/>
      </c>
    </row>
    <row r="745">
      <c r="G745" s="26" t="n"/>
      <c r="H745" s="25">
        <f>IF($A745="","",IF($G745="","",$F745-$G745))</f>
        <v/>
      </c>
    </row>
    <row r="746">
      <c r="G746" s="26" t="n"/>
      <c r="H746" s="25">
        <f>IF($A746="","",IF($G746="","",$F746-$G746))</f>
        <v/>
      </c>
    </row>
    <row r="747">
      <c r="G747" s="26" t="n"/>
      <c r="H747" s="25">
        <f>IF($A747="","",IF($G747="","",$F747-$G747))</f>
        <v/>
      </c>
    </row>
    <row r="748">
      <c r="G748" s="26" t="n"/>
      <c r="H748" s="25">
        <f>IF($A748="","",IF($G748="","",$F748-$G748))</f>
        <v/>
      </c>
    </row>
    <row r="749">
      <c r="G749" s="26" t="n"/>
      <c r="H749" s="25">
        <f>IF($A749="","",IF($G749="","",$F749-$G749))</f>
        <v/>
      </c>
    </row>
    <row r="750">
      <c r="G750" s="26" t="n"/>
      <c r="H750" s="25">
        <f>IF($A750="","",IF($G750="","",$F750-$G750))</f>
        <v/>
      </c>
    </row>
    <row r="751">
      <c r="G751" s="26" t="n"/>
      <c r="H751" s="25">
        <f>IF($A751="","",IF($G751="","",$F751-$G751))</f>
        <v/>
      </c>
    </row>
    <row r="752">
      <c r="G752" s="26" t="n"/>
      <c r="H752" s="25">
        <f>IF($A752="","",IF($G752="","",$F752-$G752))</f>
        <v/>
      </c>
    </row>
    <row r="753">
      <c r="G753" s="26" t="n"/>
      <c r="H753" s="25">
        <f>IF($A753="","",IF($G753="","",$F753-$G753))</f>
        <v/>
      </c>
    </row>
    <row r="754">
      <c r="G754" s="26" t="n"/>
      <c r="H754" s="25">
        <f>IF($A754="","",IF($G754="","",$F754-$G754))</f>
        <v/>
      </c>
    </row>
    <row r="755">
      <c r="G755" s="26" t="n"/>
      <c r="H755" s="25">
        <f>IF($A755="","",IF($G755="","",$F755-$G755))</f>
        <v/>
      </c>
    </row>
    <row r="756">
      <c r="G756" s="26" t="n"/>
      <c r="H756" s="25">
        <f>IF($A756="","",IF($G756="","",$F756-$G756))</f>
        <v/>
      </c>
    </row>
    <row r="757">
      <c r="G757" s="26" t="n"/>
      <c r="H757" s="25">
        <f>IF($A757="","",IF($G757="","",$F757-$G757))</f>
        <v/>
      </c>
    </row>
    <row r="758">
      <c r="G758" s="26" t="n"/>
      <c r="H758" s="25">
        <f>IF($A758="","",IF($G758="","",$F758-$G758))</f>
        <v/>
      </c>
    </row>
    <row r="759">
      <c r="G759" s="26" t="n"/>
      <c r="H759" s="25">
        <f>IF($A759="","",IF($G759="","",$F759-$G759))</f>
        <v/>
      </c>
    </row>
    <row r="760">
      <c r="G760" s="26" t="n"/>
      <c r="H760" s="25">
        <f>IF($A760="","",IF($G760="","",$F760-$G760))</f>
        <v/>
      </c>
    </row>
    <row r="761">
      <c r="G761" s="26" t="n"/>
      <c r="H761" s="25">
        <f>IF($A761="","",IF($G761="","",$F761-$G761))</f>
        <v/>
      </c>
    </row>
    <row r="762">
      <c r="G762" s="26" t="n"/>
      <c r="H762" s="25">
        <f>IF($A762="","",IF($G762="","",$F762-$G762))</f>
        <v/>
      </c>
    </row>
    <row r="763">
      <c r="G763" s="26" t="n"/>
      <c r="H763" s="25">
        <f>IF($A763="","",IF($G763="","",$F763-$G763))</f>
        <v/>
      </c>
    </row>
    <row r="764">
      <c r="G764" s="26" t="n"/>
      <c r="H764" s="25">
        <f>IF($A764="","",IF($G764="","",$F764-$G764))</f>
        <v/>
      </c>
    </row>
    <row r="765">
      <c r="G765" s="26" t="n"/>
      <c r="H765" s="25">
        <f>IF($A765="","",IF($G765="","",$F765-$G765))</f>
        <v/>
      </c>
    </row>
    <row r="766">
      <c r="G766" s="26" t="n"/>
      <c r="H766" s="25">
        <f>IF($A766="","",IF($G766="","",$F766-$G766))</f>
        <v/>
      </c>
    </row>
    <row r="767">
      <c r="G767" s="26" t="n"/>
      <c r="H767" s="25">
        <f>IF($A767="","",IF($G767="","",$F767-$G767))</f>
        <v/>
      </c>
    </row>
    <row r="768">
      <c r="G768" s="26" t="n"/>
      <c r="H768" s="25">
        <f>IF($A768="","",IF($G768="","",$F768-$G768))</f>
        <v/>
      </c>
    </row>
    <row r="769">
      <c r="G769" s="26" t="n"/>
      <c r="H769" s="25">
        <f>IF($A769="","",IF($G769="","",$F769-$G769))</f>
        <v/>
      </c>
    </row>
    <row r="770">
      <c r="G770" s="26" t="n"/>
      <c r="H770" s="25">
        <f>IF($A770="","",IF($G770="","",$F770-$G770))</f>
        <v/>
      </c>
    </row>
    <row r="771">
      <c r="G771" s="26" t="n"/>
      <c r="H771" s="25">
        <f>IF($A771="","",IF($G771="","",$F771-$G771))</f>
        <v/>
      </c>
    </row>
    <row r="772">
      <c r="G772" s="26" t="n"/>
      <c r="H772" s="25">
        <f>IF($A772="","",IF($G772="","",$F772-$G772))</f>
        <v/>
      </c>
    </row>
    <row r="773">
      <c r="G773" s="26" t="n"/>
      <c r="H773" s="25">
        <f>IF($A773="","",IF($G773="","",$F773-$G773))</f>
        <v/>
      </c>
    </row>
    <row r="774">
      <c r="G774" s="26" t="n"/>
      <c r="H774" s="25">
        <f>IF($A774="","",IF($G774="","",$F774-$G774))</f>
        <v/>
      </c>
    </row>
    <row r="775">
      <c r="G775" s="26" t="n"/>
      <c r="H775" s="25">
        <f>IF($A775="","",IF($G775="","",$F775-$G775))</f>
        <v/>
      </c>
    </row>
    <row r="776">
      <c r="G776" s="26" t="n"/>
      <c r="H776" s="25">
        <f>IF($A776="","",IF($G776="","",$F776-$G776))</f>
        <v/>
      </c>
    </row>
    <row r="777">
      <c r="G777" s="26" t="n"/>
      <c r="H777" s="25">
        <f>IF($A777="","",IF($G777="","",$F777-$G777))</f>
        <v/>
      </c>
    </row>
    <row r="778">
      <c r="G778" s="26" t="n"/>
      <c r="H778" s="25">
        <f>IF($A778="","",IF($G778="","",$F778-$G778))</f>
        <v/>
      </c>
    </row>
    <row r="779">
      <c r="G779" s="26" t="n"/>
      <c r="H779" s="25">
        <f>IF($A779="","",IF($G779="","",$F779-$G779))</f>
        <v/>
      </c>
    </row>
    <row r="780">
      <c r="G780" s="26" t="n"/>
      <c r="H780" s="25">
        <f>IF($A780="","",IF($G780="","",$F780-$G780))</f>
        <v/>
      </c>
    </row>
    <row r="781">
      <c r="G781" s="26" t="n"/>
      <c r="H781" s="25">
        <f>IF($A781="","",IF($G781="","",$F781-$G781))</f>
        <v/>
      </c>
    </row>
    <row r="782">
      <c r="G782" s="26" t="n"/>
      <c r="H782" s="25">
        <f>IF($A782="","",IF($G782="","",$F782-$G782))</f>
        <v/>
      </c>
    </row>
    <row r="783">
      <c r="G783" s="26" t="n"/>
      <c r="H783" s="25">
        <f>IF($A783="","",IF($G783="","",$F783-$G783))</f>
        <v/>
      </c>
    </row>
    <row r="784">
      <c r="G784" s="26" t="n"/>
      <c r="H784" s="25">
        <f>IF($A784="","",IF($G784="","",$F784-$G784))</f>
        <v/>
      </c>
    </row>
    <row r="785">
      <c r="G785" s="26" t="n"/>
      <c r="H785" s="25">
        <f>IF($A785="","",IF($G785="","",$F785-$G785))</f>
        <v/>
      </c>
    </row>
    <row r="786">
      <c r="G786" s="26" t="n"/>
      <c r="H786" s="25">
        <f>IF($A786="","",IF($G786="","",$F786-$G786))</f>
        <v/>
      </c>
    </row>
    <row r="787">
      <c r="G787" s="26" t="n"/>
      <c r="H787" s="25">
        <f>IF($A787="","",IF($G787="","",$F787-$G787))</f>
        <v/>
      </c>
    </row>
    <row r="788">
      <c r="G788" s="26" t="n"/>
      <c r="H788" s="25">
        <f>IF($A788="","",IF($G788="","",$F788-$G788))</f>
        <v/>
      </c>
    </row>
    <row r="789">
      <c r="G789" s="26" t="n"/>
      <c r="H789" s="25">
        <f>IF($A789="","",IF($G789="","",$F789-$G789))</f>
        <v/>
      </c>
    </row>
    <row r="790">
      <c r="G790" s="26" t="n"/>
      <c r="H790" s="25">
        <f>IF($A790="","",IF($G790="","",$F790-$G790))</f>
        <v/>
      </c>
    </row>
    <row r="791">
      <c r="G791" s="26" t="n"/>
      <c r="H791" s="25">
        <f>IF($A791="","",IF($G791="","",$F791-$G791))</f>
        <v/>
      </c>
    </row>
    <row r="792">
      <c r="G792" s="26" t="n"/>
      <c r="H792" s="25">
        <f>IF($A792="","",IF($G792="","",$F792-$G792))</f>
        <v/>
      </c>
    </row>
    <row r="793">
      <c r="G793" s="26" t="n"/>
      <c r="H793" s="25">
        <f>IF($A793="","",IF($G793="","",$F793-$G793))</f>
        <v/>
      </c>
    </row>
    <row r="794">
      <c r="G794" s="26" t="n"/>
      <c r="H794" s="25">
        <f>IF($A794="","",IF($G794="","",$F794-$G794))</f>
        <v/>
      </c>
    </row>
    <row r="795">
      <c r="G795" s="26" t="n"/>
      <c r="H795" s="25">
        <f>IF($A795="","",IF($G795="","",$F795-$G795))</f>
        <v/>
      </c>
    </row>
    <row r="796">
      <c r="G796" s="26" t="n"/>
      <c r="H796" s="25">
        <f>IF($A796="","",IF($G796="","",$F796-$G796))</f>
        <v/>
      </c>
    </row>
    <row r="797">
      <c r="G797" s="26" t="n"/>
      <c r="H797" s="25">
        <f>IF($A797="","",IF($G797="","",$F797-$G797))</f>
        <v/>
      </c>
    </row>
    <row r="798">
      <c r="G798" s="26" t="n"/>
      <c r="H798" s="25">
        <f>IF($A798="","",IF($G798="","",$F798-$G798))</f>
        <v/>
      </c>
    </row>
    <row r="799">
      <c r="G799" s="26" t="n"/>
      <c r="H799" s="25">
        <f>IF($A799="","",IF($G799="","",$F799-$G799))</f>
        <v/>
      </c>
    </row>
    <row r="800">
      <c r="G800" s="26" t="n"/>
      <c r="H800" s="25">
        <f>IF($A800="","",IF($G800="","",$F800-$G800))</f>
        <v/>
      </c>
    </row>
    <row r="801">
      <c r="G801" s="26" t="n"/>
      <c r="H801" s="25">
        <f>IF($A801="","",IF($G801="","",$F801-$G801))</f>
        <v/>
      </c>
    </row>
    <row r="802">
      <c r="G802" s="26" t="n"/>
      <c r="H802" s="25">
        <f>IF($A802="","",IF($G802="","",$F802-$G802))</f>
        <v/>
      </c>
    </row>
    <row r="803">
      <c r="G803" s="26" t="n"/>
      <c r="H803" s="25">
        <f>IF($A803="","",IF($G803="","",$F803-$G803))</f>
        <v/>
      </c>
    </row>
    <row r="804">
      <c r="G804" s="26" t="n"/>
      <c r="H804" s="25">
        <f>IF($A804="","",IF($G804="","",$F804-$G804))</f>
        <v/>
      </c>
    </row>
    <row r="805">
      <c r="G805" s="26" t="n"/>
      <c r="H805" s="25">
        <f>IF($A805="","",IF($G805="","",$F805-$G805))</f>
        <v/>
      </c>
    </row>
    <row r="806">
      <c r="G806" s="26" t="n"/>
      <c r="H806" s="25">
        <f>IF($A806="","",IF($G806="","",$F806-$G806))</f>
        <v/>
      </c>
    </row>
    <row r="807">
      <c r="G807" s="26" t="n"/>
      <c r="H807" s="25">
        <f>IF($A807="","",IF($G807="","",$F807-$G807))</f>
        <v/>
      </c>
    </row>
    <row r="808">
      <c r="G808" s="26" t="n"/>
      <c r="H808" s="25">
        <f>IF($A808="","",IF($G808="","",$F808-$G808))</f>
        <v/>
      </c>
    </row>
    <row r="809">
      <c r="G809" s="26" t="n"/>
      <c r="H809" s="25">
        <f>IF($A809="","",IF($G809="","",$F809-$G809))</f>
        <v/>
      </c>
    </row>
    <row r="810">
      <c r="G810" s="26" t="n"/>
      <c r="H810" s="25">
        <f>IF($A810="","",IF($G810="","",$F810-$G810))</f>
        <v/>
      </c>
    </row>
    <row r="811">
      <c r="G811" s="26" t="n"/>
      <c r="H811" s="25">
        <f>IF($A811="","",IF($G811="","",$F811-$G811))</f>
        <v/>
      </c>
    </row>
    <row r="812">
      <c r="G812" s="26" t="n"/>
      <c r="H812" s="25">
        <f>IF($A812="","",IF($G812="","",$F812-$G812))</f>
        <v/>
      </c>
    </row>
    <row r="813">
      <c r="G813" s="26" t="n"/>
      <c r="H813" s="25">
        <f>IF($A813="","",IF($G813="","",$F813-$G813))</f>
        <v/>
      </c>
    </row>
    <row r="814">
      <c r="G814" s="26" t="n"/>
      <c r="H814" s="25">
        <f>IF($A814="","",IF($G814="","",$F814-$G814))</f>
        <v/>
      </c>
    </row>
    <row r="815">
      <c r="G815" s="26" t="n"/>
      <c r="H815" s="25">
        <f>IF($A815="","",IF($G815="","",$F815-$G815))</f>
        <v/>
      </c>
    </row>
    <row r="816">
      <c r="G816" s="26" t="n"/>
      <c r="H816" s="25">
        <f>IF($A816="","",IF($G816="","",$F816-$G816))</f>
        <v/>
      </c>
    </row>
    <row r="817">
      <c r="G817" s="26" t="n"/>
      <c r="H817" s="25">
        <f>IF($A817="","",IF($G817="","",$F817-$G817))</f>
        <v/>
      </c>
    </row>
    <row r="818">
      <c r="G818" s="26" t="n"/>
      <c r="H818" s="25">
        <f>IF($A818="","",IF($G818="","",$F818-$G818))</f>
        <v/>
      </c>
    </row>
    <row r="819">
      <c r="G819" s="26" t="n"/>
      <c r="H819" s="25">
        <f>IF($A819="","",IF($G819="","",$F819-$G819))</f>
        <v/>
      </c>
    </row>
    <row r="820">
      <c r="G820" s="26" t="n"/>
      <c r="H820" s="25">
        <f>IF($A820="","",IF($G820="","",$F820-$G820))</f>
        <v/>
      </c>
    </row>
    <row r="821">
      <c r="G821" s="26" t="n"/>
      <c r="H821" s="25">
        <f>IF($A821="","",IF($G821="","",$F821-$G821))</f>
        <v/>
      </c>
    </row>
    <row r="822">
      <c r="G822" s="26" t="n"/>
      <c r="H822" s="25">
        <f>IF($A822="","",IF($G822="","",$F822-$G822))</f>
        <v/>
      </c>
    </row>
    <row r="823">
      <c r="G823" s="26" t="n"/>
      <c r="H823" s="25">
        <f>IF($A823="","",IF($G823="","",$F823-$G823))</f>
        <v/>
      </c>
    </row>
    <row r="824">
      <c r="G824" s="26" t="n"/>
      <c r="H824" s="25">
        <f>IF($A824="","",IF($G824="","",$F824-$G824))</f>
        <v/>
      </c>
    </row>
    <row r="825">
      <c r="G825" s="26" t="n"/>
      <c r="H825" s="25">
        <f>IF($A825="","",IF($G825="","",$F825-$G825))</f>
        <v/>
      </c>
    </row>
    <row r="826">
      <c r="G826" s="26" t="n"/>
      <c r="H826" s="25">
        <f>IF($A826="","",IF($G826="","",$F826-$G826))</f>
        <v/>
      </c>
    </row>
    <row r="827">
      <c r="G827" s="26" t="n"/>
      <c r="H827" s="25">
        <f>IF($A827="","",IF($G827="","",$F827-$G827))</f>
        <v/>
      </c>
    </row>
    <row r="828">
      <c r="G828" s="26" t="n"/>
      <c r="H828" s="25">
        <f>IF($A828="","",IF($G828="","",$F828-$G828))</f>
        <v/>
      </c>
    </row>
    <row r="829">
      <c r="G829" s="26" t="n"/>
      <c r="H829" s="25">
        <f>IF($A829="","",IF($G829="","",$F829-$G829))</f>
        <v/>
      </c>
    </row>
    <row r="830">
      <c r="G830" s="26" t="n"/>
      <c r="H830" s="25">
        <f>IF($A830="","",IF($G830="","",$F830-$G830))</f>
        <v/>
      </c>
    </row>
    <row r="831">
      <c r="G831" s="26" t="n"/>
      <c r="H831" s="25">
        <f>IF($A831="","",IF($G831="","",$F831-$G831))</f>
        <v/>
      </c>
    </row>
    <row r="832">
      <c r="G832" s="26" t="n"/>
      <c r="H832" s="25">
        <f>IF($A832="","",IF($G832="","",$F832-$G832))</f>
        <v/>
      </c>
    </row>
    <row r="833">
      <c r="G833" s="26" t="n"/>
      <c r="H833" s="25">
        <f>IF($A833="","",IF($G833="","",$F833-$G833))</f>
        <v/>
      </c>
    </row>
    <row r="834">
      <c r="G834" s="26" t="n"/>
      <c r="H834" s="25">
        <f>IF($A834="","",IF($G834="","",$F834-$G834))</f>
        <v/>
      </c>
    </row>
    <row r="835">
      <c r="G835" s="26" t="n"/>
      <c r="H835" s="25">
        <f>IF($A835="","",IF($G835="","",$F835-$G835))</f>
        <v/>
      </c>
    </row>
    <row r="836">
      <c r="G836" s="26" t="n"/>
      <c r="H836" s="25">
        <f>IF($A836="","",IF($G836="","",$F836-$G836))</f>
        <v/>
      </c>
    </row>
    <row r="837">
      <c r="G837" s="26" t="n"/>
      <c r="H837" s="25">
        <f>IF($A837="","",IF($G837="","",$F837-$G837))</f>
        <v/>
      </c>
    </row>
    <row r="838">
      <c r="G838" s="26" t="n"/>
      <c r="H838" s="25">
        <f>IF($A838="","",IF($G838="","",$F838-$G838))</f>
        <v/>
      </c>
    </row>
    <row r="839">
      <c r="G839" s="26" t="n"/>
      <c r="H839" s="25">
        <f>IF($A839="","",IF($G839="","",$F839-$G839))</f>
        <v/>
      </c>
    </row>
    <row r="840">
      <c r="G840" s="26" t="n"/>
      <c r="H840" s="25">
        <f>IF($A840="","",IF($G840="","",$F840-$G840))</f>
        <v/>
      </c>
    </row>
    <row r="841">
      <c r="G841" s="26" t="n"/>
      <c r="H841" s="25">
        <f>IF($A841="","",IF($G841="","",$F841-$G841))</f>
        <v/>
      </c>
    </row>
    <row r="842">
      <c r="G842" s="26" t="n"/>
      <c r="H842" s="25">
        <f>IF($A842="","",IF($G842="","",$F842-$G842))</f>
        <v/>
      </c>
    </row>
    <row r="843">
      <c r="G843" s="26" t="n"/>
      <c r="H843" s="25">
        <f>IF($A843="","",IF($G843="","",$F843-$G843))</f>
        <v/>
      </c>
    </row>
    <row r="844">
      <c r="G844" s="26" t="n"/>
      <c r="H844" s="25">
        <f>IF($A844="","",IF($G844="","",$F844-$G844))</f>
        <v/>
      </c>
    </row>
    <row r="845">
      <c r="G845" s="26" t="n"/>
      <c r="H845" s="25">
        <f>IF($A845="","",IF($G845="","",$F845-$G845))</f>
        <v/>
      </c>
    </row>
    <row r="846">
      <c r="G846" s="26" t="n"/>
      <c r="H846" s="25">
        <f>IF($A846="","",IF($G846="","",$F846-$G846))</f>
        <v/>
      </c>
    </row>
    <row r="847">
      <c r="G847" s="26" t="n"/>
      <c r="H847" s="25">
        <f>IF($A847="","",IF($G847="","",$F847-$G847))</f>
        <v/>
      </c>
    </row>
    <row r="848">
      <c r="G848" s="26" t="n"/>
      <c r="H848" s="25">
        <f>IF($A848="","",IF($G848="","",$F848-$G848))</f>
        <v/>
      </c>
    </row>
    <row r="849">
      <c r="G849" s="26" t="n"/>
      <c r="H849" s="25">
        <f>IF($A849="","",IF($G849="","",$F849-$G849))</f>
        <v/>
      </c>
    </row>
    <row r="850">
      <c r="G850" s="26" t="n"/>
      <c r="H850" s="25">
        <f>IF($A850="","",IF($G850="","",$F850-$G850))</f>
        <v/>
      </c>
    </row>
    <row r="851">
      <c r="G851" s="26" t="n"/>
      <c r="H851" s="25">
        <f>IF($A851="","",IF($G851="","",$F851-$G851))</f>
        <v/>
      </c>
    </row>
    <row r="852">
      <c r="G852" s="26" t="n"/>
      <c r="H852" s="25">
        <f>IF($A852="","",IF($G852="","",$F852-$G852))</f>
        <v/>
      </c>
    </row>
    <row r="853">
      <c r="G853" s="26" t="n"/>
      <c r="H853" s="25">
        <f>IF($A853="","",IF($G853="","",$F853-$G853))</f>
        <v/>
      </c>
    </row>
    <row r="854">
      <c r="G854" s="26" t="n"/>
      <c r="H854" s="25">
        <f>IF($A854="","",IF($G854="","",$F854-$G854))</f>
        <v/>
      </c>
    </row>
    <row r="855">
      <c r="G855" s="26" t="n"/>
      <c r="H855" s="25">
        <f>IF($A855="","",IF($G855="","",$F855-$G855))</f>
        <v/>
      </c>
    </row>
    <row r="856">
      <c r="G856" s="26" t="n"/>
      <c r="H856" s="25">
        <f>IF($A856="","",IF($G856="","",$F856-$G856))</f>
        <v/>
      </c>
    </row>
    <row r="857">
      <c r="G857" s="26" t="n"/>
      <c r="H857" s="25">
        <f>IF($A857="","",IF($G857="","",$F857-$G857))</f>
        <v/>
      </c>
    </row>
    <row r="858">
      <c r="G858" s="26" t="n"/>
      <c r="H858" s="25">
        <f>IF($A858="","",IF($G858="","",$F858-$G858))</f>
        <v/>
      </c>
    </row>
    <row r="859">
      <c r="G859" s="26" t="n"/>
      <c r="H859" s="25">
        <f>IF($A859="","",IF($G859="","",$F859-$G859))</f>
        <v/>
      </c>
    </row>
    <row r="860">
      <c r="G860" s="26" t="n"/>
      <c r="H860" s="25">
        <f>IF($A860="","",IF($G860="","",$F860-$G860))</f>
        <v/>
      </c>
    </row>
    <row r="861">
      <c r="G861" s="26" t="n"/>
      <c r="H861" s="25">
        <f>IF($A861="","",IF($G861="","",$F861-$G861))</f>
        <v/>
      </c>
    </row>
    <row r="862">
      <c r="G862" s="26" t="n"/>
      <c r="H862" s="25">
        <f>IF($A862="","",IF($G862="","",$F862-$G862))</f>
        <v/>
      </c>
    </row>
    <row r="863">
      <c r="G863" s="26" t="n"/>
      <c r="H863" s="25">
        <f>IF($A863="","",IF($G863="","",$F863-$G863))</f>
        <v/>
      </c>
    </row>
    <row r="864">
      <c r="G864" s="26" t="n"/>
      <c r="H864" s="25">
        <f>IF($A864="","",IF($G864="","",$F864-$G864))</f>
        <v/>
      </c>
    </row>
    <row r="865">
      <c r="G865" s="26" t="n"/>
      <c r="H865" s="25">
        <f>IF($A865="","",IF($G865="","",$F865-$G865))</f>
        <v/>
      </c>
    </row>
    <row r="866">
      <c r="G866" s="26" t="n"/>
      <c r="H866" s="25">
        <f>IF($A866="","",IF($G866="","",$F866-$G866))</f>
        <v/>
      </c>
    </row>
    <row r="867">
      <c r="G867" s="26" t="n"/>
      <c r="H867" s="25">
        <f>IF($A867="","",IF($G867="","",$F867-$G867))</f>
        <v/>
      </c>
    </row>
    <row r="868">
      <c r="G868" s="26" t="n"/>
      <c r="H868" s="25">
        <f>IF($A868="","",IF($G868="","",$F868-$G868))</f>
        <v/>
      </c>
    </row>
    <row r="869">
      <c r="G869" s="26" t="n"/>
      <c r="H869" s="25">
        <f>IF($A869="","",IF($G869="","",$F869-$G869))</f>
        <v/>
      </c>
    </row>
    <row r="870">
      <c r="G870" s="26" t="n"/>
      <c r="H870" s="25">
        <f>IF($A870="","",IF($G870="","",$F870-$G870))</f>
        <v/>
      </c>
    </row>
    <row r="871">
      <c r="G871" s="26" t="n"/>
      <c r="H871" s="25">
        <f>IF($A871="","",IF($G871="","",$F871-$G871))</f>
        <v/>
      </c>
    </row>
    <row r="872">
      <c r="G872" s="26" t="n"/>
      <c r="H872" s="25">
        <f>IF($A872="","",IF($G872="","",$F872-$G872))</f>
        <v/>
      </c>
    </row>
    <row r="873">
      <c r="G873" s="26" t="n"/>
      <c r="H873" s="25">
        <f>IF($A873="","",IF($G873="","",$F873-$G873))</f>
        <v/>
      </c>
    </row>
    <row r="874">
      <c r="G874" s="26" t="n"/>
      <c r="H874" s="25">
        <f>IF($A874="","",IF($G874="","",$F874-$G874))</f>
        <v/>
      </c>
    </row>
    <row r="875">
      <c r="G875" s="26" t="n"/>
      <c r="H875" s="25">
        <f>IF($A875="","",IF($G875="","",$F875-$G875))</f>
        <v/>
      </c>
    </row>
    <row r="876">
      <c r="G876" s="26" t="n"/>
      <c r="H876" s="25">
        <f>IF($A876="","",IF($G876="","",$F876-$G876))</f>
        <v/>
      </c>
    </row>
    <row r="877">
      <c r="G877" s="26" t="n"/>
      <c r="H877" s="25">
        <f>IF($A877="","",IF($G877="","",$F877-$G877))</f>
        <v/>
      </c>
    </row>
    <row r="878">
      <c r="G878" s="26" t="n"/>
      <c r="H878" s="25">
        <f>IF($A878="","",IF($G878="","",$F878-$G878))</f>
        <v/>
      </c>
    </row>
    <row r="879">
      <c r="G879" s="26" t="n"/>
      <c r="H879" s="25">
        <f>IF($A879="","",IF($G879="","",$F879-$G879))</f>
        <v/>
      </c>
    </row>
    <row r="880">
      <c r="G880" s="26" t="n"/>
      <c r="H880" s="25">
        <f>IF($A880="","",IF($G880="","",$F880-$G880))</f>
        <v/>
      </c>
    </row>
    <row r="881">
      <c r="G881" s="26" t="n"/>
      <c r="H881" s="25">
        <f>IF($A881="","",IF($G881="","",$F881-$G881))</f>
        <v/>
      </c>
    </row>
    <row r="882">
      <c r="G882" s="26" t="n"/>
      <c r="H882" s="25">
        <f>IF($A882="","",IF($G882="","",$F882-$G882))</f>
        <v/>
      </c>
    </row>
    <row r="883">
      <c r="G883" s="26" t="n"/>
      <c r="H883" s="25">
        <f>IF($A883="","",IF($G883="","",$F883-$G883))</f>
        <v/>
      </c>
    </row>
    <row r="884">
      <c r="G884" s="26" t="n"/>
      <c r="H884" s="25">
        <f>IF($A884="","",IF($G884="","",$F884-$G884))</f>
        <v/>
      </c>
    </row>
    <row r="885">
      <c r="G885" s="26" t="n"/>
      <c r="H885" s="25">
        <f>IF($A885="","",IF($G885="","",$F885-$G885))</f>
        <v/>
      </c>
    </row>
    <row r="886">
      <c r="G886" s="26" t="n"/>
      <c r="H886" s="25">
        <f>IF($A886="","",IF($G886="","",$F886-$G886))</f>
        <v/>
      </c>
    </row>
    <row r="887">
      <c r="G887" s="26" t="n"/>
      <c r="H887" s="25">
        <f>IF($A887="","",IF($G887="","",$F887-$G887))</f>
        <v/>
      </c>
    </row>
    <row r="888">
      <c r="G888" s="26" t="n"/>
      <c r="H888" s="25">
        <f>IF($A888="","",IF($G888="","",$F888-$G888))</f>
        <v/>
      </c>
    </row>
    <row r="889">
      <c r="G889" s="26" t="n"/>
      <c r="H889" s="25">
        <f>IF($A889="","",IF($G889="","",$F889-$G889))</f>
        <v/>
      </c>
    </row>
    <row r="890">
      <c r="G890" s="26" t="n"/>
      <c r="H890" s="25">
        <f>IF($A890="","",IF($G890="","",$F890-$G890))</f>
        <v/>
      </c>
    </row>
    <row r="891">
      <c r="G891" s="26" t="n"/>
      <c r="H891" s="25">
        <f>IF($A891="","",IF($G891="","",$F891-$G891))</f>
        <v/>
      </c>
    </row>
    <row r="892">
      <c r="G892" s="26" t="n"/>
      <c r="H892" s="25">
        <f>IF($A892="","",IF($G892="","",$F892-$G892))</f>
        <v/>
      </c>
    </row>
    <row r="893">
      <c r="G893" s="26" t="n"/>
      <c r="H893" s="25">
        <f>IF($A893="","",IF($G893="","",$F893-$G893))</f>
        <v/>
      </c>
    </row>
    <row r="894">
      <c r="G894" s="26" t="n"/>
      <c r="H894" s="25">
        <f>IF($A894="","",IF($G894="","",$F894-$G894))</f>
        <v/>
      </c>
    </row>
    <row r="895">
      <c r="G895" s="26" t="n"/>
      <c r="H895" s="25">
        <f>IF($A895="","",IF($G895="","",$F895-$G895))</f>
        <v/>
      </c>
    </row>
    <row r="896">
      <c r="G896" s="26" t="n"/>
      <c r="H896" s="25">
        <f>IF($A896="","",IF($G896="","",$F896-$G896))</f>
        <v/>
      </c>
    </row>
    <row r="897">
      <c r="G897" s="26" t="n"/>
      <c r="H897" s="25">
        <f>IF($A897="","",IF($G897="","",$F897-$G897))</f>
        <v/>
      </c>
    </row>
    <row r="898">
      <c r="G898" s="26" t="n"/>
      <c r="H898" s="25">
        <f>IF($A898="","",IF($G898="","",$F898-$G898))</f>
        <v/>
      </c>
    </row>
    <row r="899">
      <c r="G899" s="26" t="n"/>
      <c r="H899" s="25">
        <f>IF($A899="","",IF($G899="","",$F899-$G899))</f>
        <v/>
      </c>
    </row>
    <row r="900">
      <c r="G900" s="26" t="n"/>
      <c r="H900" s="25">
        <f>IF($A900="","",IF($G900="","",$F900-$G900))</f>
        <v/>
      </c>
    </row>
    <row r="901">
      <c r="G901" s="26" t="n"/>
      <c r="H901" s="25">
        <f>IF($A901="","",IF($G901="","",$F901-$G901))</f>
        <v/>
      </c>
    </row>
    <row r="902">
      <c r="G902" s="26" t="n"/>
      <c r="H902" s="25">
        <f>IF($A902="","",IF($G902="","",$F902-$G902))</f>
        <v/>
      </c>
    </row>
    <row r="903">
      <c r="G903" s="26" t="n"/>
      <c r="H903" s="25">
        <f>IF($A903="","",IF($G903="","",$F903-$G903))</f>
        <v/>
      </c>
    </row>
    <row r="904">
      <c r="G904" s="26" t="n"/>
      <c r="H904" s="25">
        <f>IF($A904="","",IF($G904="","",$F904-$G904))</f>
        <v/>
      </c>
    </row>
    <row r="905">
      <c r="G905" s="26" t="n"/>
      <c r="H905" s="25">
        <f>IF($A905="","",IF($G905="","",$F905-$G905))</f>
        <v/>
      </c>
    </row>
    <row r="906">
      <c r="G906" s="26" t="n"/>
      <c r="H906" s="25">
        <f>IF($A906="","",IF($G906="","",$F906-$G906))</f>
        <v/>
      </c>
    </row>
    <row r="907">
      <c r="G907" s="26" t="n"/>
      <c r="H907" s="25">
        <f>IF($A907="","",IF($G907="","",$F907-$G907))</f>
        <v/>
      </c>
    </row>
    <row r="908">
      <c r="G908" s="26" t="n"/>
      <c r="H908" s="25">
        <f>IF($A908="","",IF($G908="","",$F908-$G908))</f>
        <v/>
      </c>
    </row>
    <row r="909">
      <c r="G909" s="26" t="n"/>
      <c r="H909" s="25">
        <f>IF($A909="","",IF($G909="","",$F909-$G909))</f>
        <v/>
      </c>
    </row>
    <row r="910">
      <c r="G910" s="26" t="n"/>
      <c r="H910" s="25">
        <f>IF($A910="","",IF($G910="","",$F910-$G910))</f>
        <v/>
      </c>
    </row>
    <row r="911">
      <c r="G911" s="26" t="n"/>
      <c r="H911" s="25">
        <f>IF($A911="","",IF($G911="","",$F911-$G911))</f>
        <v/>
      </c>
    </row>
    <row r="912">
      <c r="G912" s="26" t="n"/>
      <c r="H912" s="25">
        <f>IF($A912="","",IF($G912="","",$F912-$G912))</f>
        <v/>
      </c>
    </row>
    <row r="913">
      <c r="G913" s="26" t="n"/>
      <c r="H913" s="25">
        <f>IF($A913="","",IF($G913="","",$F913-$G913))</f>
        <v/>
      </c>
    </row>
    <row r="914">
      <c r="G914" s="26" t="n"/>
      <c r="H914" s="25">
        <f>IF($A914="","",IF($G914="","",$F914-$G914))</f>
        <v/>
      </c>
    </row>
    <row r="915">
      <c r="G915" s="26" t="n"/>
      <c r="H915" s="25">
        <f>IF($A915="","",IF($G915="","",$F915-$G915))</f>
        <v/>
      </c>
    </row>
    <row r="916">
      <c r="G916" s="26" t="n"/>
      <c r="H916" s="25">
        <f>IF($A916="","",IF($G916="","",$F916-$G916))</f>
        <v/>
      </c>
    </row>
    <row r="917">
      <c r="G917" s="26" t="n"/>
      <c r="H917" s="25">
        <f>IF($A917="","",IF($G917="","",$F917-$G917))</f>
        <v/>
      </c>
    </row>
    <row r="918">
      <c r="G918" s="26" t="n"/>
      <c r="H918" s="25">
        <f>IF($A918="","",IF($G918="","",$F918-$G918))</f>
        <v/>
      </c>
    </row>
    <row r="919">
      <c r="G919" s="26" t="n"/>
      <c r="H919" s="25">
        <f>IF($A919="","",IF($G919="","",$F919-$G919))</f>
        <v/>
      </c>
    </row>
    <row r="920">
      <c r="G920" s="26" t="n"/>
      <c r="H920" s="25">
        <f>IF($A920="","",IF($G920="","",$F920-$G920))</f>
        <v/>
      </c>
    </row>
    <row r="921">
      <c r="G921" s="26" t="n"/>
      <c r="H921" s="25">
        <f>IF($A921="","",IF($G921="","",$F921-$G921))</f>
        <v/>
      </c>
    </row>
    <row r="922">
      <c r="G922" s="26" t="n"/>
      <c r="H922" s="25">
        <f>IF($A922="","",IF($G922="","",$F922-$G922))</f>
        <v/>
      </c>
    </row>
    <row r="923">
      <c r="G923" s="26" t="n"/>
      <c r="H923" s="25">
        <f>IF($A923="","",IF($G923="","",$F923-$G923))</f>
        <v/>
      </c>
    </row>
    <row r="924">
      <c r="G924" s="26" t="n"/>
      <c r="H924" s="25">
        <f>IF($A924="","",IF($G924="","",$F924-$G924))</f>
        <v/>
      </c>
    </row>
    <row r="925">
      <c r="G925" s="26" t="n"/>
      <c r="H925" s="25">
        <f>IF($A925="","",IF($G925="","",$F925-$G925))</f>
        <v/>
      </c>
    </row>
    <row r="926">
      <c r="G926" s="26" t="n"/>
      <c r="H926" s="25">
        <f>IF($A926="","",IF($G926="","",$F926-$G926))</f>
        <v/>
      </c>
    </row>
    <row r="927">
      <c r="G927" s="26" t="n"/>
      <c r="H927" s="25">
        <f>IF($A927="","",IF($G927="","",$F927-$G927))</f>
        <v/>
      </c>
    </row>
    <row r="928">
      <c r="G928" s="26" t="n"/>
      <c r="H928" s="25">
        <f>IF($A928="","",IF($G928="","",$F928-$G928))</f>
        <v/>
      </c>
    </row>
    <row r="929">
      <c r="G929" s="26" t="n"/>
      <c r="H929" s="25">
        <f>IF($A929="","",IF($G929="","",$F929-$G929))</f>
        <v/>
      </c>
    </row>
    <row r="930">
      <c r="G930" s="26" t="n"/>
      <c r="H930" s="25">
        <f>IF($A930="","",IF($G930="","",$F930-$G930))</f>
        <v/>
      </c>
    </row>
    <row r="931">
      <c r="G931" s="26" t="n"/>
      <c r="H931" s="25">
        <f>IF($A931="","",IF($G931="","",$F931-$G931))</f>
        <v/>
      </c>
    </row>
    <row r="932">
      <c r="G932" s="26" t="n"/>
      <c r="H932" s="25">
        <f>IF($A932="","",IF($G932="","",$F932-$G932))</f>
        <v/>
      </c>
    </row>
    <row r="933">
      <c r="G933" s="26" t="n"/>
      <c r="H933" s="25">
        <f>IF($A933="","",IF($G933="","",$F933-$G933))</f>
        <v/>
      </c>
    </row>
    <row r="934">
      <c r="G934" s="26" t="n"/>
      <c r="H934" s="25">
        <f>IF($A934="","",IF($G934="","",$F934-$G934))</f>
        <v/>
      </c>
    </row>
    <row r="935">
      <c r="G935" s="26" t="n"/>
      <c r="H935" s="25">
        <f>IF($A935="","",IF($G935="","",$F935-$G935))</f>
        <v/>
      </c>
    </row>
    <row r="936">
      <c r="G936" s="26" t="n"/>
      <c r="H936" s="25">
        <f>IF($A936="","",IF($G936="","",$F936-$G936))</f>
        <v/>
      </c>
    </row>
    <row r="937">
      <c r="G937" s="26" t="n"/>
      <c r="H937" s="25">
        <f>IF($A937="","",IF($G937="","",$F937-$G937))</f>
        <v/>
      </c>
    </row>
    <row r="938">
      <c r="G938" s="26" t="n"/>
      <c r="H938" s="25">
        <f>IF($A938="","",IF($G938="","",$F938-$G938))</f>
        <v/>
      </c>
    </row>
    <row r="939">
      <c r="G939" s="26" t="n"/>
      <c r="H939" s="25">
        <f>IF($A939="","",IF($G939="","",$F939-$G939))</f>
        <v/>
      </c>
    </row>
    <row r="940">
      <c r="G940" s="26" t="n"/>
      <c r="H940" s="25">
        <f>IF($A940="","",IF($G940="","",$F940-$G940))</f>
        <v/>
      </c>
    </row>
    <row r="941">
      <c r="G941" s="26" t="n"/>
      <c r="H941" s="25">
        <f>IF($A941="","",IF($G941="","",$F941-$G941))</f>
        <v/>
      </c>
    </row>
    <row r="942">
      <c r="G942" s="26" t="n"/>
      <c r="H942" s="25">
        <f>IF($A942="","",IF($G942="","",$F942-$G942))</f>
        <v/>
      </c>
    </row>
    <row r="943">
      <c r="G943" s="26" t="n"/>
      <c r="H943" s="25">
        <f>IF($A943="","",IF($G943="","",$F943-$G943))</f>
        <v/>
      </c>
    </row>
    <row r="944">
      <c r="G944" s="26" t="n"/>
      <c r="H944" s="25">
        <f>IF($A944="","",IF($G944="","",$F944-$G944))</f>
        <v/>
      </c>
    </row>
    <row r="945">
      <c r="G945" s="26" t="n"/>
      <c r="H945" s="25">
        <f>IF($A945="","",IF($G945="","",$F945-$G945))</f>
        <v/>
      </c>
    </row>
    <row r="946">
      <c r="G946" s="26" t="n"/>
      <c r="H946" s="25">
        <f>IF($A946="","",IF($G946="","",$F946-$G946))</f>
        <v/>
      </c>
    </row>
    <row r="947">
      <c r="G947" s="26" t="n"/>
      <c r="H947" s="25">
        <f>IF($A947="","",IF($G947="","",$F947-$G947))</f>
        <v/>
      </c>
    </row>
    <row r="948">
      <c r="G948" s="26" t="n"/>
      <c r="H948" s="25">
        <f>IF($A948="","",IF($G948="","",$F948-$G948))</f>
        <v/>
      </c>
    </row>
    <row r="949">
      <c r="G949" s="26" t="n"/>
      <c r="H949" s="25">
        <f>IF($A949="","",IF($G949="","",$F949-$G949))</f>
        <v/>
      </c>
    </row>
    <row r="950">
      <c r="G950" s="26" t="n"/>
      <c r="H950" s="25">
        <f>IF($A950="","",IF($G950="","",$F950-$G950))</f>
        <v/>
      </c>
    </row>
    <row r="951">
      <c r="G951" s="26" t="n"/>
      <c r="H951" s="25">
        <f>IF($A951="","",IF($G951="","",$F951-$G951))</f>
        <v/>
      </c>
    </row>
    <row r="952">
      <c r="G952" s="26" t="n"/>
      <c r="H952" s="25">
        <f>IF($A952="","",IF($G952="","",$F952-$G952))</f>
        <v/>
      </c>
    </row>
    <row r="953">
      <c r="G953" s="26" t="n"/>
      <c r="H953" s="25">
        <f>IF($A953="","",IF($G953="","",$F953-$G953))</f>
        <v/>
      </c>
    </row>
    <row r="954">
      <c r="G954" s="26" t="n"/>
      <c r="H954" s="25">
        <f>IF($A954="","",IF($G954="","",$F954-$G954))</f>
        <v/>
      </c>
    </row>
    <row r="955">
      <c r="G955" s="26" t="n"/>
      <c r="H955" s="25">
        <f>IF($A955="","",IF($G955="","",$F955-$G955))</f>
        <v/>
      </c>
    </row>
    <row r="956">
      <c r="G956" s="26" t="n"/>
      <c r="H956" s="25">
        <f>IF($A956="","",IF($G956="","",$F956-$G956))</f>
        <v/>
      </c>
    </row>
    <row r="957">
      <c r="G957" s="26" t="n"/>
      <c r="H957" s="25">
        <f>IF($A957="","",IF($G957="","",$F957-$G957))</f>
        <v/>
      </c>
    </row>
    <row r="958">
      <c r="G958" s="26" t="n"/>
      <c r="H958" s="25">
        <f>IF($A958="","",IF($G958="","",$F958-$G958))</f>
        <v/>
      </c>
    </row>
    <row r="959">
      <c r="G959" s="26" t="n"/>
      <c r="H959" s="25">
        <f>IF($A959="","",IF($G959="","",$F959-$G959))</f>
        <v/>
      </c>
    </row>
    <row r="960">
      <c r="G960" s="26" t="n"/>
      <c r="H960" s="25">
        <f>IF($A960="","",IF($G960="","",$F960-$G960))</f>
        <v/>
      </c>
    </row>
    <row r="961">
      <c r="G961" s="26" t="n"/>
      <c r="H961" s="25">
        <f>IF($A961="","",IF($G961="","",$F961-$G961))</f>
        <v/>
      </c>
    </row>
    <row r="962">
      <c r="G962" s="26" t="n"/>
      <c r="H962" s="25">
        <f>IF($A962="","",IF($G962="","",$F962-$G962))</f>
        <v/>
      </c>
    </row>
    <row r="963">
      <c r="G963" s="26" t="n"/>
      <c r="H963" s="25">
        <f>IF($A963="","",IF($G963="","",$F963-$G963))</f>
        <v/>
      </c>
    </row>
    <row r="964">
      <c r="G964" s="26" t="n"/>
      <c r="H964" s="25">
        <f>IF($A964="","",IF($G964="","",$F964-$G964))</f>
        <v/>
      </c>
    </row>
    <row r="965">
      <c r="G965" s="26" t="n"/>
      <c r="H965" s="25">
        <f>IF($A965="","",IF($G965="","",$F965-$G965))</f>
        <v/>
      </c>
    </row>
    <row r="966">
      <c r="G966" s="26" t="n"/>
      <c r="H966" s="25">
        <f>IF($A966="","",IF($G966="","",$F966-$G966))</f>
        <v/>
      </c>
    </row>
    <row r="967">
      <c r="G967" s="26" t="n"/>
      <c r="H967" s="25">
        <f>IF($A967="","",IF($G967="","",$F967-$G967))</f>
        <v/>
      </c>
    </row>
    <row r="968">
      <c r="G968" s="26" t="n"/>
      <c r="H968" s="25">
        <f>IF($A968="","",IF($G968="","",$F968-$G968))</f>
        <v/>
      </c>
    </row>
    <row r="969">
      <c r="G969" s="26" t="n"/>
      <c r="H969" s="25">
        <f>IF($A969="","",IF($G969="","",$F969-$G969))</f>
        <v/>
      </c>
    </row>
    <row r="970">
      <c r="G970" s="26" t="n"/>
      <c r="H970" s="25">
        <f>IF($A970="","",IF($G970="","",$F970-$G970))</f>
        <v/>
      </c>
    </row>
    <row r="971">
      <c r="G971" s="26" t="n"/>
      <c r="H971" s="25">
        <f>IF($A971="","",IF($G971="","",$F971-$G971))</f>
        <v/>
      </c>
    </row>
    <row r="972">
      <c r="G972" s="26" t="n"/>
      <c r="H972" s="25">
        <f>IF($A972="","",IF($G972="","",$F972-$G972))</f>
        <v/>
      </c>
    </row>
    <row r="973">
      <c r="G973" s="26" t="n"/>
      <c r="H973" s="25">
        <f>IF($A973="","",IF($G973="","",$F973-$G973))</f>
        <v/>
      </c>
    </row>
    <row r="974">
      <c r="G974" s="26" t="n"/>
      <c r="H974" s="25">
        <f>IF($A974="","",IF($G974="","",$F974-$G974))</f>
        <v/>
      </c>
    </row>
    <row r="975">
      <c r="G975" s="26" t="n"/>
      <c r="H975" s="25">
        <f>IF($A975="","",IF($G975="","",$F975-$G975))</f>
        <v/>
      </c>
    </row>
    <row r="976">
      <c r="G976" s="26" t="n"/>
      <c r="H976" s="25">
        <f>IF($A976="","",IF($G976="","",$F976-$G976))</f>
        <v/>
      </c>
    </row>
    <row r="977">
      <c r="G977" s="26" t="n"/>
      <c r="H977" s="25">
        <f>IF($A977="","",IF($G977="","",$F977-$G977))</f>
        <v/>
      </c>
    </row>
    <row r="978">
      <c r="G978" s="26" t="n"/>
      <c r="H978" s="25">
        <f>IF($A978="","",IF($G978="","",$F978-$G978))</f>
        <v/>
      </c>
    </row>
    <row r="979">
      <c r="G979" s="26" t="n"/>
      <c r="H979" s="25">
        <f>IF($A979="","",IF($G979="","",$F979-$G979))</f>
        <v/>
      </c>
    </row>
    <row r="980">
      <c r="G980" s="26" t="n"/>
      <c r="H980" s="25">
        <f>IF($A980="","",IF($G980="","",$F980-$G980))</f>
        <v/>
      </c>
    </row>
    <row r="981">
      <c r="G981" s="26" t="n"/>
      <c r="H981" s="25">
        <f>IF($A981="","",IF($G981="","",$F981-$G981))</f>
        <v/>
      </c>
    </row>
    <row r="982">
      <c r="G982" s="26" t="n"/>
      <c r="H982" s="25">
        <f>IF($A982="","",IF($G982="","",$F982-$G982))</f>
        <v/>
      </c>
    </row>
    <row r="983">
      <c r="G983" s="26" t="n"/>
      <c r="H983" s="25">
        <f>IF($A983="","",IF($G983="","",$F983-$G983))</f>
        <v/>
      </c>
    </row>
    <row r="984">
      <c r="G984" s="26" t="n"/>
      <c r="H984" s="25">
        <f>IF($A984="","",IF($G984="","",$F984-$G984))</f>
        <v/>
      </c>
    </row>
    <row r="985">
      <c r="G985" s="26" t="n"/>
      <c r="H985" s="25">
        <f>IF($A985="","",IF($G985="","",$F985-$G985))</f>
        <v/>
      </c>
    </row>
    <row r="986">
      <c r="G986" s="26" t="n"/>
      <c r="H986" s="25">
        <f>IF($A986="","",IF($G986="","",$F986-$G986))</f>
        <v/>
      </c>
    </row>
    <row r="987">
      <c r="G987" s="26" t="n"/>
      <c r="H987" s="25">
        <f>IF($A987="","",IF($G987="","",$F987-$G987))</f>
        <v/>
      </c>
    </row>
    <row r="988">
      <c r="G988" s="26" t="n"/>
      <c r="H988" s="25">
        <f>IF($A988="","",IF($G988="","",$F988-$G988))</f>
        <v/>
      </c>
    </row>
    <row r="989">
      <c r="G989" s="26" t="n"/>
      <c r="H989" s="25">
        <f>IF($A989="","",IF($G989="","",$F989-$G989))</f>
        <v/>
      </c>
    </row>
    <row r="990">
      <c r="G990" s="26" t="n"/>
      <c r="H990" s="25">
        <f>IF($A990="","",IF($G990="","",$F990-$G990))</f>
        <v/>
      </c>
    </row>
    <row r="991">
      <c r="G991" s="26" t="n"/>
      <c r="H991" s="25">
        <f>IF($A991="","",IF($G991="","",$F991-$G991))</f>
        <v/>
      </c>
    </row>
    <row r="992">
      <c r="G992" s="26" t="n"/>
      <c r="H992" s="25">
        <f>IF($A992="","",IF($G992="","",$F992-$G992))</f>
        <v/>
      </c>
    </row>
    <row r="993">
      <c r="G993" s="26" t="n"/>
      <c r="H993" s="25">
        <f>IF($A993="","",IF($G993="","",$F993-$G993))</f>
        <v/>
      </c>
    </row>
    <row r="994">
      <c r="G994" s="26" t="n"/>
      <c r="H994" s="25">
        <f>IF($A994="","",IF($G994="","",$F994-$G994))</f>
        <v/>
      </c>
    </row>
    <row r="995">
      <c r="G995" s="26" t="n"/>
      <c r="H995" s="25">
        <f>IF($A995="","",IF($G995="","",$F995-$G995))</f>
        <v/>
      </c>
    </row>
    <row r="996">
      <c r="G996" s="26" t="n"/>
      <c r="H996" s="25">
        <f>IF($A996="","",IF($G996="","",$F996-$G996))</f>
        <v/>
      </c>
    </row>
    <row r="997">
      <c r="G997" s="26" t="n"/>
      <c r="H997" s="25">
        <f>IF($A997="","",IF($G997="","",$F997-$G997))</f>
        <v/>
      </c>
    </row>
    <row r="998">
      <c r="G998" s="26" t="n"/>
      <c r="H998" s="25">
        <f>IF($A998="","",IF($G998="","",$F998-$G998))</f>
        <v/>
      </c>
    </row>
    <row r="999">
      <c r="G999" s="26" t="n"/>
      <c r="H999" s="25">
        <f>IF($A999="","",IF($G999="","",$F999-$G999))</f>
        <v/>
      </c>
    </row>
    <row r="1000">
      <c r="G1000" s="26" t="n"/>
      <c r="H1000" s="25">
        <f>IF($A1000="","",IF($G1000="","",$F1000-$G1000))</f>
        <v/>
      </c>
    </row>
    <row r="1001">
      <c r="G1001" s="26" t="n"/>
      <c r="H1001" s="25">
        <f>IF($A1001="","",IF($G1001="","",$F1001-$G1001))</f>
        <v/>
      </c>
    </row>
    <row r="1002">
      <c r="G1002" s="26" t="n"/>
      <c r="H1002" s="25">
        <f>IF($A1002="","",IF($G1002="","",$F1002-$G1002))</f>
        <v/>
      </c>
    </row>
    <row r="1003">
      <c r="G1003" s="26" t="n"/>
      <c r="H1003" s="25">
        <f>IF($A1003="","",IF($G1003="","",$F1003-$G1003))</f>
        <v/>
      </c>
    </row>
    <row r="1004">
      <c r="G1004" s="26" t="n"/>
      <c r="H1004" s="25">
        <f>IF($A1004="","",IF($G1004="","",$F1004-$G1004))</f>
        <v/>
      </c>
    </row>
    <row r="1005">
      <c r="G1005" s="26" t="n"/>
      <c r="H1005" s="25">
        <f>IF($A1005="","",IF($G1005="","",$F1005-$G1005))</f>
        <v/>
      </c>
    </row>
    <row r="1006">
      <c r="G1006" s="26" t="n"/>
      <c r="H1006" s="25">
        <f>IF($A1006="","",IF($G1006="","",$F1006-$G1006))</f>
        <v/>
      </c>
    </row>
    <row r="1007">
      <c r="G1007" s="26" t="n"/>
      <c r="H1007" s="25">
        <f>IF($A1007="","",IF($G1007="","",$F1007-$G1007))</f>
        <v/>
      </c>
    </row>
    <row r="1008">
      <c r="G1008" s="26" t="n"/>
      <c r="H1008" s="25">
        <f>IF($A1008="","",IF($G1008="","",$F1008-$G1008))</f>
        <v/>
      </c>
    </row>
    <row r="1009">
      <c r="G1009" s="26" t="n"/>
      <c r="H1009" s="25">
        <f>IF($A1009="","",IF($G1009="","",$F1009-$G1009))</f>
        <v/>
      </c>
    </row>
    <row r="1010">
      <c r="G1010" s="26" t="n"/>
      <c r="H1010" s="25">
        <f>IF($A1010="","",IF($G1010="","",$F1010-$G1010))</f>
        <v/>
      </c>
    </row>
    <row r="1011">
      <c r="G1011" s="26" t="n"/>
      <c r="H1011" s="25">
        <f>IF($A1011="","",IF($G1011="","",$F1011-$G1011))</f>
        <v/>
      </c>
    </row>
    <row r="1012">
      <c r="G1012" s="26" t="n"/>
      <c r="H1012" s="25">
        <f>IF($A1012="","",IF($G1012="","",$F1012-$G1012))</f>
        <v/>
      </c>
    </row>
    <row r="1013">
      <c r="G1013" s="26" t="n"/>
      <c r="H1013" s="25">
        <f>IF($A1013="","",IF($G1013="","",$F1013-$G1013))</f>
        <v/>
      </c>
    </row>
    <row r="1014">
      <c r="G1014" s="26" t="n"/>
      <c r="H1014" s="25">
        <f>IF($A1014="","",IF($G1014="","",$F1014-$G1014))</f>
        <v/>
      </c>
    </row>
    <row r="1015">
      <c r="G1015" s="26" t="n"/>
      <c r="H1015" s="25">
        <f>IF($A1015="","",IF($G1015="","",$F1015-$G1015))</f>
        <v/>
      </c>
    </row>
    <row r="1016">
      <c r="G1016" s="26" t="n"/>
      <c r="H1016" s="25">
        <f>IF($A1016="","",IF($G1016="","",$F1016-$G1016))</f>
        <v/>
      </c>
    </row>
    <row r="1017">
      <c r="G1017" s="26" t="n"/>
      <c r="H1017" s="25">
        <f>IF($A1017="","",IF($G1017="","",$F1017-$G1017))</f>
        <v/>
      </c>
    </row>
    <row r="1018">
      <c r="G1018" s="26" t="n"/>
      <c r="H1018" s="25">
        <f>IF($A1018="","",IF($G1018="","",$F1018-$G1018))</f>
        <v/>
      </c>
    </row>
    <row r="1019">
      <c r="G1019" s="26" t="n"/>
      <c r="H1019" s="25">
        <f>IF($A1019="","",IF($G1019="","",$F1019-$G1019))</f>
        <v/>
      </c>
    </row>
    <row r="1020">
      <c r="G1020" s="26" t="n"/>
      <c r="H1020" s="25">
        <f>IF($A1020="","",IF($G1020="","",$F1020-$G1020))</f>
        <v/>
      </c>
    </row>
    <row r="1021">
      <c r="G1021" s="26" t="n"/>
      <c r="H1021" s="25">
        <f>IF($A1021="","",IF($G1021="","",$F1021-$G1021))</f>
        <v/>
      </c>
    </row>
    <row r="1022">
      <c r="G1022" s="26" t="n"/>
      <c r="H1022" s="25">
        <f>IF($A1022="","",IF($G1022="","",$F1022-$G1022))</f>
        <v/>
      </c>
    </row>
    <row r="1023">
      <c r="G1023" s="26" t="n"/>
      <c r="H1023" s="25">
        <f>IF($A1023="","",IF($G1023="","",$F1023-$G1023))</f>
        <v/>
      </c>
    </row>
    <row r="1024">
      <c r="G1024" s="26" t="n"/>
      <c r="H1024" s="25">
        <f>IF($A1024="","",IF($G1024="","",$F1024-$G1024))</f>
        <v/>
      </c>
    </row>
    <row r="1025">
      <c r="G1025" s="26" t="n"/>
      <c r="H1025" s="25">
        <f>IF($A1025="","",IF($G1025="","",$F1025-$G1025))</f>
        <v/>
      </c>
    </row>
    <row r="1026">
      <c r="G1026" s="26" t="n"/>
      <c r="H1026" s="25">
        <f>IF($A1026="","",IF($G1026="","",$F1026-$G1026))</f>
        <v/>
      </c>
    </row>
    <row r="1027">
      <c r="G1027" s="26" t="n"/>
      <c r="H1027" s="25">
        <f>IF($A1027="","",IF($G1027="","",$F1027-$G1027))</f>
        <v/>
      </c>
    </row>
    <row r="1028">
      <c r="G1028" s="26" t="n"/>
      <c r="H1028" s="25">
        <f>IF($A1028="","",IF($G1028="","",$F1028-$G1028))</f>
        <v/>
      </c>
    </row>
    <row r="1029">
      <c r="G1029" s="26" t="n"/>
      <c r="H1029" s="25">
        <f>IF($A1029="","",IF($G1029="","",$F1029-$G1029))</f>
        <v/>
      </c>
    </row>
    <row r="1030">
      <c r="G1030" s="26" t="n"/>
      <c r="H1030" s="25">
        <f>IF($A1030="","",IF($G1030="","",$F1030-$G1030))</f>
        <v/>
      </c>
    </row>
    <row r="1031">
      <c r="G1031" s="26" t="n"/>
      <c r="H1031" s="25">
        <f>IF($A1031="","",IF($G1031="","",$F1031-$G1031))</f>
        <v/>
      </c>
    </row>
    <row r="1032">
      <c r="G1032" s="26" t="n"/>
      <c r="H1032" s="25">
        <f>IF($A1032="","",IF($G1032="","",$F1032-$G1032))</f>
        <v/>
      </c>
    </row>
    <row r="1033">
      <c r="G1033" s="26" t="n"/>
      <c r="H1033" s="25">
        <f>IF($A1033="","",IF($G1033="","",$F1033-$G1033))</f>
        <v/>
      </c>
    </row>
    <row r="1034">
      <c r="G1034" s="26" t="n"/>
      <c r="H1034" s="25">
        <f>IF($A1034="","",IF($G1034="","",$F1034-$G1034))</f>
        <v/>
      </c>
    </row>
    <row r="1035">
      <c r="G1035" s="26" t="n"/>
      <c r="H1035" s="25">
        <f>IF($A1035="","",IF($G1035="","",$F1035-$G1035))</f>
        <v/>
      </c>
    </row>
    <row r="1036">
      <c r="G1036" s="26" t="n"/>
      <c r="H1036" s="25">
        <f>IF($A1036="","",IF($G1036="","",$F1036-$G1036))</f>
        <v/>
      </c>
    </row>
    <row r="1037">
      <c r="G1037" s="26" t="n"/>
      <c r="H1037" s="25">
        <f>IF($A1037="","",IF($G1037="","",$F1037-$G1037))</f>
        <v/>
      </c>
    </row>
    <row r="1038">
      <c r="G1038" s="26" t="n"/>
      <c r="H1038" s="25">
        <f>IF($A1038="","",IF($G1038="","",$F1038-$G1038))</f>
        <v/>
      </c>
    </row>
    <row r="1039">
      <c r="G1039" s="26" t="n"/>
      <c r="H1039" s="25">
        <f>IF($A1039="","",IF($G1039="","",$F1039-$G1039))</f>
        <v/>
      </c>
    </row>
    <row r="1040">
      <c r="G1040" s="26" t="n"/>
      <c r="H1040" s="25">
        <f>IF($A1040="","",IF($G1040="","",$F1040-$G1040))</f>
        <v/>
      </c>
    </row>
    <row r="1041">
      <c r="G1041" s="26" t="n"/>
      <c r="H1041" s="25">
        <f>IF($A1041="","",IF($G1041="","",$F1041-$G1041))</f>
        <v/>
      </c>
    </row>
    <row r="1042">
      <c r="G1042" s="26" t="n"/>
      <c r="H1042" s="25">
        <f>IF($A1042="","",IF($G1042="","",$F1042-$G1042))</f>
        <v/>
      </c>
    </row>
    <row r="1043">
      <c r="G1043" s="26" t="n"/>
      <c r="H1043" s="25">
        <f>IF($A1043="","",IF($G1043="","",$F1043-$G1043))</f>
        <v/>
      </c>
    </row>
    <row r="1044">
      <c r="G1044" s="26" t="n"/>
      <c r="H1044" s="25">
        <f>IF($A1044="","",IF($G1044="","",$F1044-$G1044))</f>
        <v/>
      </c>
    </row>
    <row r="1045">
      <c r="G1045" s="26" t="n"/>
      <c r="H1045" s="25">
        <f>IF($A1045="","",IF($G1045="","",$F1045-$G1045))</f>
        <v/>
      </c>
    </row>
    <row r="1046">
      <c r="G1046" s="26" t="n"/>
      <c r="H1046" s="25">
        <f>IF($A1046="","",IF($G1046="","",$F1046-$G1046))</f>
        <v/>
      </c>
    </row>
    <row r="1047">
      <c r="G1047" s="26" t="n"/>
      <c r="H1047" s="25">
        <f>IF($A1047="","",IF($G1047="","",$F1047-$G1047))</f>
        <v/>
      </c>
    </row>
    <row r="1048">
      <c r="G1048" s="26" t="n"/>
      <c r="H1048" s="25">
        <f>IF($A1048="","",IF($G1048="","",$F1048-$G1048))</f>
        <v/>
      </c>
    </row>
    <row r="1049">
      <c r="G1049" s="26" t="n"/>
      <c r="H1049" s="25">
        <f>IF($A1049="","",IF($G1049="","",$F1049-$G1049))</f>
        <v/>
      </c>
    </row>
    <row r="1050">
      <c r="G1050" s="26" t="n"/>
      <c r="H1050" s="25">
        <f>IF($A1050="","",IF($G1050="","",$F1050-$G1050))</f>
        <v/>
      </c>
    </row>
    <row r="1051">
      <c r="G1051" s="26" t="n"/>
      <c r="H1051" s="25">
        <f>IF($A1051="","",IF($G1051="","",$F1051-$G1051))</f>
        <v/>
      </c>
    </row>
    <row r="1052">
      <c r="G1052" s="26" t="n"/>
      <c r="H1052" s="25">
        <f>IF($A1052="","",IF($G1052="","",$F1052-$G1052))</f>
        <v/>
      </c>
    </row>
    <row r="1053">
      <c r="G1053" s="26" t="n"/>
      <c r="H1053" s="25">
        <f>IF($A1053="","",IF($G1053="","",$F1053-$G1053))</f>
        <v/>
      </c>
    </row>
    <row r="1054">
      <c r="G1054" s="26" t="n"/>
      <c r="H1054" s="25">
        <f>IF($A1054="","",IF($G1054="","",$F1054-$G1054))</f>
        <v/>
      </c>
    </row>
    <row r="1055">
      <c r="G1055" s="26" t="n"/>
      <c r="H1055" s="25">
        <f>IF($A1055="","",IF($G1055="","",$F1055-$G1055))</f>
        <v/>
      </c>
    </row>
    <row r="1056">
      <c r="G1056" s="26" t="n"/>
      <c r="H1056" s="25">
        <f>IF($A1056="","",IF($G1056="","",$F1056-$G1056))</f>
        <v/>
      </c>
    </row>
    <row r="1057">
      <c r="G1057" s="26" t="n"/>
      <c r="H1057" s="25">
        <f>IF($A1057="","",IF($G1057="","",$F1057-$G1057))</f>
        <v/>
      </c>
    </row>
    <row r="1058">
      <c r="G1058" s="26" t="n"/>
      <c r="H1058" s="25">
        <f>IF($A1058="","",IF($G1058="","",$F1058-$G1058))</f>
        <v/>
      </c>
    </row>
    <row r="1059">
      <c r="G1059" s="26" t="n"/>
      <c r="H1059" s="25">
        <f>IF($A1059="","",IF($G1059="","",$F1059-$G1059))</f>
        <v/>
      </c>
    </row>
    <row r="1060">
      <c r="G1060" s="26" t="n"/>
      <c r="H1060" s="25">
        <f>IF($A1060="","",IF($G1060="","",$F1060-$G1060))</f>
        <v/>
      </c>
    </row>
    <row r="1061">
      <c r="G1061" s="26" t="n"/>
      <c r="H1061" s="25">
        <f>IF($A1061="","",IF($G1061="","",$F1061-$G1061))</f>
        <v/>
      </c>
    </row>
    <row r="1062">
      <c r="G1062" s="26" t="n"/>
      <c r="H1062" s="25">
        <f>IF($A1062="","",IF($G1062="","",$F1062-$G1062))</f>
        <v/>
      </c>
    </row>
    <row r="1063">
      <c r="G1063" s="26" t="n"/>
      <c r="H1063" s="25">
        <f>IF($A1063="","",IF($G1063="","",$F1063-$G1063))</f>
        <v/>
      </c>
    </row>
    <row r="1064">
      <c r="G1064" s="26" t="n"/>
      <c r="H1064" s="25">
        <f>IF($A1064="","",IF($G1064="","",$F1064-$G1064))</f>
        <v/>
      </c>
    </row>
    <row r="1065">
      <c r="G1065" s="26" t="n"/>
      <c r="H1065" s="25">
        <f>IF($A1065="","",IF($G1065="","",$F1065-$G1065))</f>
        <v/>
      </c>
    </row>
    <row r="1066">
      <c r="G1066" s="26" t="n"/>
      <c r="H1066" s="25">
        <f>IF($A1066="","",IF($G1066="","",$F1066-$G1066))</f>
        <v/>
      </c>
    </row>
    <row r="1067">
      <c r="G1067" s="26" t="n"/>
      <c r="H1067" s="25">
        <f>IF($A1067="","",IF($G1067="","",$F1067-$G1067))</f>
        <v/>
      </c>
    </row>
    <row r="1068">
      <c r="G1068" s="26" t="n"/>
      <c r="H1068" s="25">
        <f>IF($A1068="","",IF($G1068="","",$F1068-$G1068))</f>
        <v/>
      </c>
    </row>
    <row r="1069">
      <c r="G1069" s="26" t="n"/>
      <c r="H1069" s="25">
        <f>IF($A1069="","",IF($G1069="","",$F1069-$G1069))</f>
        <v/>
      </c>
    </row>
    <row r="1070">
      <c r="G1070" s="26" t="n"/>
      <c r="H1070" s="25">
        <f>IF($A1070="","",IF($G1070="","",$F1070-$G1070))</f>
        <v/>
      </c>
    </row>
    <row r="1071">
      <c r="G1071" s="26" t="n"/>
      <c r="H1071" s="25">
        <f>IF($A1071="","",IF($G1071="","",$F1071-$G1071))</f>
        <v/>
      </c>
    </row>
    <row r="1072">
      <c r="G1072" s="26" t="n"/>
      <c r="H1072" s="25">
        <f>IF($A1072="","",IF($G1072="","",$F1072-$G1072))</f>
        <v/>
      </c>
    </row>
    <row r="1073">
      <c r="G1073" s="26" t="n"/>
      <c r="H1073" s="25">
        <f>IF($A1073="","",IF($G1073="","",$F1073-$G1073))</f>
        <v/>
      </c>
    </row>
    <row r="1074">
      <c r="G1074" s="26" t="n"/>
      <c r="H1074" s="25">
        <f>IF($A1074="","",IF($G1074="","",$F1074-$G1074))</f>
        <v/>
      </c>
    </row>
    <row r="1075">
      <c r="G1075" s="26" t="n"/>
      <c r="H1075" s="25">
        <f>IF($A1075="","",IF($G1075="","",$F1075-$G1075))</f>
        <v/>
      </c>
    </row>
    <row r="1076">
      <c r="G1076" s="26" t="n"/>
      <c r="H1076" s="25">
        <f>IF($A1076="","",IF($G1076="","",$F1076-$G1076))</f>
        <v/>
      </c>
    </row>
    <row r="1077">
      <c r="G1077" s="26" t="n"/>
      <c r="H1077" s="25">
        <f>IF($A1077="","",IF($G1077="","",$F1077-$G1077))</f>
        <v/>
      </c>
    </row>
    <row r="1078">
      <c r="G1078" s="26" t="n"/>
      <c r="H1078" s="25">
        <f>IF($A1078="","",IF($G1078="","",$F1078-$G1078))</f>
        <v/>
      </c>
    </row>
    <row r="1079">
      <c r="G1079" s="26" t="n"/>
      <c r="H1079" s="25">
        <f>IF($A1079="","",IF($G1079="","",$F1079-$G1079))</f>
        <v/>
      </c>
    </row>
    <row r="1080">
      <c r="G1080" s="26" t="n"/>
      <c r="H1080" s="25">
        <f>IF($A1080="","",IF($G1080="","",$F1080-$G1080))</f>
        <v/>
      </c>
    </row>
    <row r="1081">
      <c r="G1081" s="26" t="n"/>
      <c r="H1081" s="25">
        <f>IF($A1081="","",IF($G1081="","",$F1081-$G1081))</f>
        <v/>
      </c>
    </row>
    <row r="1082">
      <c r="G1082" s="26" t="n"/>
      <c r="H1082" s="25">
        <f>IF($A1082="","",IF($G1082="","",$F1082-$G1082))</f>
        <v/>
      </c>
    </row>
    <row r="1083">
      <c r="G1083" s="26" t="n"/>
      <c r="H1083" s="25">
        <f>IF($A1083="","",IF($G1083="","",$F1083-$G1083))</f>
        <v/>
      </c>
    </row>
    <row r="1084">
      <c r="G1084" s="26" t="n"/>
      <c r="H1084" s="25">
        <f>IF($A1084="","",IF($G1084="","",$F1084-$G1084))</f>
        <v/>
      </c>
    </row>
    <row r="1085">
      <c r="G1085" s="26" t="n"/>
      <c r="H1085" s="25">
        <f>IF($A1085="","",IF($G1085="","",$F1085-$G1085))</f>
        <v/>
      </c>
    </row>
    <row r="1086">
      <c r="G1086" s="26" t="n"/>
      <c r="H1086" s="25">
        <f>IF($A1086="","",IF($G1086="","",$F1086-$G1086))</f>
        <v/>
      </c>
    </row>
    <row r="1087">
      <c r="G1087" s="26" t="n"/>
      <c r="H1087" s="25">
        <f>IF($A1087="","",IF($G1087="","",$F1087-$G1087))</f>
        <v/>
      </c>
    </row>
    <row r="1088">
      <c r="G1088" s="26" t="n"/>
      <c r="H1088" s="25">
        <f>IF($A1088="","",IF($G1088="","",$F1088-$G1088))</f>
        <v/>
      </c>
    </row>
    <row r="1089">
      <c r="G1089" s="26" t="n"/>
      <c r="H1089" s="25">
        <f>IF($A1089="","",IF($G1089="","",$F1089-$G1089))</f>
        <v/>
      </c>
    </row>
    <row r="1090">
      <c r="G1090" s="26" t="n"/>
      <c r="H1090" s="25">
        <f>IF($A1090="","",IF($G1090="","",$F1090-$G1090))</f>
        <v/>
      </c>
    </row>
    <row r="1091">
      <c r="G1091" s="26" t="n"/>
      <c r="H1091" s="25">
        <f>IF($A1091="","",IF($G1091="","",$F1091-$G1091))</f>
        <v/>
      </c>
    </row>
    <row r="1092">
      <c r="G1092" s="26" t="n"/>
      <c r="H1092" s="25">
        <f>IF($A1092="","",IF($G1092="","",$F1092-$G1092))</f>
        <v/>
      </c>
    </row>
    <row r="1093">
      <c r="G1093" s="26" t="n"/>
      <c r="H1093" s="25">
        <f>IF($A1093="","",IF($G1093="","",$F1093-$G1093))</f>
        <v/>
      </c>
    </row>
    <row r="1094">
      <c r="G1094" s="26" t="n"/>
      <c r="H1094" s="25">
        <f>IF($A1094="","",IF($G1094="","",$F1094-$G1094))</f>
        <v/>
      </c>
    </row>
    <row r="1095">
      <c r="G1095" s="26" t="n"/>
      <c r="H1095" s="25">
        <f>IF($A1095="","",IF($G1095="","",$F1095-$G1095))</f>
        <v/>
      </c>
    </row>
    <row r="1096">
      <c r="G1096" s="26" t="n"/>
      <c r="H1096" s="25">
        <f>IF($A1096="","",IF($G1096="","",$F1096-$G1096))</f>
        <v/>
      </c>
    </row>
    <row r="1097">
      <c r="G1097" s="26" t="n"/>
      <c r="H1097" s="25">
        <f>IF($A1097="","",IF($G1097="","",$F1097-$G1097))</f>
        <v/>
      </c>
    </row>
    <row r="1098">
      <c r="G1098" s="26" t="n"/>
      <c r="H1098" s="25">
        <f>IF($A1098="","",IF($G1098="","",$F1098-$G1098))</f>
        <v/>
      </c>
    </row>
    <row r="1099">
      <c r="G1099" s="26" t="n"/>
      <c r="H1099" s="25">
        <f>IF($A1099="","",IF($G1099="","",$F1099-$G1099))</f>
        <v/>
      </c>
    </row>
    <row r="1100">
      <c r="G1100" s="26" t="n"/>
      <c r="H1100" s="25">
        <f>IF($A1100="","",IF($G1100="","",$F1100-$G1100))</f>
        <v/>
      </c>
    </row>
    <row r="1101">
      <c r="G1101" s="26" t="n"/>
      <c r="H1101" s="25">
        <f>IF($A1101="","",IF($G1101="","",$F1101-$G1101))</f>
        <v/>
      </c>
    </row>
    <row r="1102">
      <c r="G1102" s="26" t="n"/>
      <c r="H1102" s="25">
        <f>IF($A1102="","",IF($G1102="","",$F1102-$G1102))</f>
        <v/>
      </c>
    </row>
    <row r="1103">
      <c r="G1103" s="26" t="n"/>
      <c r="H1103" s="25">
        <f>IF($A1103="","",IF($G1103="","",$F1103-$G1103))</f>
        <v/>
      </c>
    </row>
    <row r="1104">
      <c r="G1104" s="26" t="n"/>
      <c r="H1104" s="25">
        <f>IF($A1104="","",IF($G1104="","",$F1104-$G1104))</f>
        <v/>
      </c>
    </row>
    <row r="1105">
      <c r="G1105" s="26" t="n"/>
      <c r="H1105" s="25">
        <f>IF($A1105="","",IF($G1105="","",$F1105-$G1105))</f>
        <v/>
      </c>
    </row>
    <row r="1106">
      <c r="G1106" s="26" t="n"/>
      <c r="H1106" s="25">
        <f>IF($A1106="","",IF($G1106="","",$F1106-$G1106))</f>
        <v/>
      </c>
    </row>
    <row r="1107">
      <c r="G1107" s="26" t="n"/>
      <c r="H1107" s="25">
        <f>IF($A1107="","",IF($G1107="","",$F1107-$G1107))</f>
        <v/>
      </c>
    </row>
    <row r="1108">
      <c r="G1108" s="26" t="n"/>
      <c r="H1108" s="25">
        <f>IF($A1108="","",IF($G1108="","",$F1108-$G1108))</f>
        <v/>
      </c>
    </row>
    <row r="1109">
      <c r="G1109" s="26" t="n"/>
      <c r="H1109" s="25">
        <f>IF($A1109="","",IF($G1109="","",$F1109-$G1109))</f>
        <v/>
      </c>
    </row>
    <row r="1110">
      <c r="G1110" s="26" t="n"/>
      <c r="H1110" s="25">
        <f>IF($A1110="","",IF($G1110="","",$F1110-$G1110))</f>
        <v/>
      </c>
    </row>
    <row r="1111">
      <c r="G1111" s="26" t="n"/>
      <c r="H1111" s="25">
        <f>IF($A1111="","",IF($G1111="","",$F1111-$G1111))</f>
        <v/>
      </c>
    </row>
    <row r="1112">
      <c r="G1112" s="26" t="n"/>
      <c r="H1112" s="25">
        <f>IF($A1112="","",IF($G1112="","",$F1112-$G1112))</f>
        <v/>
      </c>
    </row>
    <row r="1113">
      <c r="G1113" s="26" t="n"/>
      <c r="H1113" s="25">
        <f>IF($A1113="","",IF($G1113="","",$F1113-$G1113))</f>
        <v/>
      </c>
    </row>
    <row r="1114">
      <c r="G1114" s="26" t="n"/>
      <c r="H1114" s="25">
        <f>IF($A1114="","",IF($G1114="","",$F1114-$G1114))</f>
        <v/>
      </c>
    </row>
    <row r="1115">
      <c r="G1115" s="26" t="n"/>
      <c r="H1115" s="25">
        <f>IF($A1115="","",IF($G1115="","",$F1115-$G1115))</f>
        <v/>
      </c>
    </row>
    <row r="1116">
      <c r="G1116" s="26" t="n"/>
      <c r="H1116" s="25">
        <f>IF($A1116="","",IF($G1116="","",$F1116-$G1116))</f>
        <v/>
      </c>
    </row>
    <row r="1117">
      <c r="G1117" s="26" t="n"/>
      <c r="H1117" s="25">
        <f>IF($A1117="","",IF($G1117="","",$F1117-$G1117))</f>
        <v/>
      </c>
    </row>
    <row r="1118">
      <c r="G1118" s="26" t="n"/>
      <c r="H1118" s="25">
        <f>IF($A1118="","",IF($G1118="","",$F1118-$G1118))</f>
        <v/>
      </c>
    </row>
    <row r="1119">
      <c r="G1119" s="26" t="n"/>
      <c r="H1119" s="25">
        <f>IF($A1119="","",IF($G1119="","",$F1119-$G1119))</f>
        <v/>
      </c>
    </row>
    <row r="1120">
      <c r="G1120" s="26" t="n"/>
      <c r="H1120" s="25">
        <f>IF($A1120="","",IF($G1120="","",$F1120-$G1120))</f>
        <v/>
      </c>
    </row>
    <row r="1121">
      <c r="G1121" s="26" t="n"/>
      <c r="H1121" s="25">
        <f>IF($A1121="","",IF($G1121="","",$F1121-$G1121))</f>
        <v/>
      </c>
    </row>
    <row r="1122">
      <c r="G1122" s="26" t="n"/>
      <c r="H1122" s="25">
        <f>IF($A1122="","",IF($G1122="","",$F1122-$G1122))</f>
        <v/>
      </c>
    </row>
    <row r="1123">
      <c r="G1123" s="26" t="n"/>
      <c r="H1123" s="25">
        <f>IF($A1123="","",IF($G1123="","",$F1123-$G1123))</f>
        <v/>
      </c>
    </row>
    <row r="1124">
      <c r="G1124" s="26" t="n"/>
      <c r="H1124" s="25">
        <f>IF($A1124="","",IF($G1124="","",$F1124-$G1124))</f>
        <v/>
      </c>
    </row>
    <row r="1125">
      <c r="G1125" s="26" t="n"/>
      <c r="H1125" s="25">
        <f>IF($A1125="","",IF($G1125="","",$F1125-$G1125))</f>
        <v/>
      </c>
    </row>
    <row r="1126">
      <c r="G1126" s="26" t="n"/>
      <c r="H1126" s="25">
        <f>IF($A1126="","",IF($G1126="","",$F1126-$G1126))</f>
        <v/>
      </c>
    </row>
    <row r="1127">
      <c r="G1127" s="26" t="n"/>
      <c r="H1127" s="25">
        <f>IF($A1127="","",IF($G1127="","",$F1127-$G1127))</f>
        <v/>
      </c>
    </row>
    <row r="1128">
      <c r="G1128" s="26" t="n"/>
      <c r="H1128" s="25">
        <f>IF($A1128="","",IF($G1128="","",$F1128-$G1128))</f>
        <v/>
      </c>
    </row>
    <row r="1129">
      <c r="G1129" s="26" t="n"/>
      <c r="H1129" s="25">
        <f>IF($A1129="","",IF($G1129="","",$F1129-$G1129))</f>
        <v/>
      </c>
    </row>
    <row r="1130">
      <c r="G1130" s="26" t="n"/>
      <c r="H1130" s="25">
        <f>IF($A1130="","",IF($G1130="","",$F1130-$G1130))</f>
        <v/>
      </c>
    </row>
    <row r="1131">
      <c r="G1131" s="26" t="n"/>
      <c r="H1131" s="25">
        <f>IF($A1131="","",IF($G1131="","",$F1131-$G1131))</f>
        <v/>
      </c>
    </row>
    <row r="1132">
      <c r="G1132" s="26" t="n"/>
      <c r="H1132" s="25">
        <f>IF($A1132="","",IF($G1132="","",$F1132-$G1132))</f>
        <v/>
      </c>
    </row>
    <row r="1133">
      <c r="G1133" s="26" t="n"/>
      <c r="H1133" s="25">
        <f>IF($A1133="","",IF($G1133="","",$F1133-$G1133))</f>
        <v/>
      </c>
    </row>
    <row r="1134">
      <c r="G1134" s="26" t="n"/>
      <c r="H1134" s="25">
        <f>IF($A1134="","",IF($G1134="","",$F1134-$G1134))</f>
        <v/>
      </c>
    </row>
    <row r="1135">
      <c r="G1135" s="26" t="n"/>
      <c r="H1135" s="25">
        <f>IF($A1135="","",IF($G1135="","",$F1135-$G1135))</f>
        <v/>
      </c>
    </row>
    <row r="1136">
      <c r="G1136" s="26" t="n"/>
      <c r="H1136" s="25">
        <f>IF($A1136="","",IF($G1136="","",$F1136-$G1136))</f>
        <v/>
      </c>
    </row>
    <row r="1137">
      <c r="G1137" s="26" t="n"/>
      <c r="H1137" s="25">
        <f>IF($A1137="","",IF($G1137="","",$F1137-$G1137))</f>
        <v/>
      </c>
    </row>
    <row r="1138">
      <c r="G1138" s="26" t="n"/>
      <c r="H1138" s="25">
        <f>IF($A1138="","",IF($G1138="","",$F1138-$G1138))</f>
        <v/>
      </c>
    </row>
    <row r="1139">
      <c r="G1139" s="26" t="n"/>
      <c r="H1139" s="25">
        <f>IF($A1139="","",IF($G1139="","",$F1139-$G1139))</f>
        <v/>
      </c>
    </row>
    <row r="1140">
      <c r="G1140" s="26" t="n"/>
      <c r="H1140" s="25">
        <f>IF($A1140="","",IF($G1140="","",$F1140-$G1140))</f>
        <v/>
      </c>
    </row>
    <row r="1141">
      <c r="G1141" s="26" t="n"/>
      <c r="H1141" s="25">
        <f>IF($A1141="","",IF($G1141="","",$F1141-$G1141))</f>
        <v/>
      </c>
    </row>
    <row r="1142">
      <c r="G1142" s="26" t="n"/>
      <c r="H1142" s="25">
        <f>IF($A1142="","",IF($G1142="","",$F1142-$G1142))</f>
        <v/>
      </c>
    </row>
    <row r="1143">
      <c r="G1143" s="26" t="n"/>
      <c r="H1143" s="25">
        <f>IF($A1143="","",IF($G1143="","",$F1143-$G1143))</f>
        <v/>
      </c>
    </row>
    <row r="1144">
      <c r="G1144" s="26" t="n"/>
      <c r="H1144" s="25">
        <f>IF($A1144="","",IF($G1144="","",$F1144-$G1144))</f>
        <v/>
      </c>
    </row>
    <row r="1145">
      <c r="G1145" s="26" t="n"/>
      <c r="H1145" s="25">
        <f>IF($A1145="","",IF($G1145="","",$F1145-$G1145))</f>
        <v/>
      </c>
    </row>
    <row r="1146">
      <c r="G1146" s="26" t="n"/>
      <c r="H1146" s="25">
        <f>IF($A1146="","",IF($G1146="","",$F1146-$G1146))</f>
        <v/>
      </c>
    </row>
    <row r="1147">
      <c r="G1147" s="26" t="n"/>
      <c r="H1147" s="25">
        <f>IF($A1147="","",IF($G1147="","",$F1147-$G1147))</f>
        <v/>
      </c>
    </row>
    <row r="1148">
      <c r="G1148" s="26" t="n"/>
      <c r="H1148" s="25">
        <f>IF($A1148="","",IF($G1148="","",$F1148-$G1148))</f>
        <v/>
      </c>
    </row>
    <row r="1149">
      <c r="G1149" s="26" t="n"/>
      <c r="H1149" s="25">
        <f>IF($A1149="","",IF($G1149="","",$F1149-$G1149))</f>
        <v/>
      </c>
    </row>
    <row r="1150">
      <c r="G1150" s="26" t="n"/>
      <c r="H1150" s="25">
        <f>IF($A1150="","",IF($G1150="","",$F1150-$G1150))</f>
        <v/>
      </c>
    </row>
    <row r="1151">
      <c r="G1151" s="26" t="n"/>
      <c r="H1151" s="25">
        <f>IF($A1151="","",IF($G1151="","",$F1151-$G1151))</f>
        <v/>
      </c>
    </row>
    <row r="1152">
      <c r="G1152" s="26" t="n"/>
      <c r="H1152" s="25">
        <f>IF($A1152="","",IF($G1152="","",$F1152-$G1152))</f>
        <v/>
      </c>
    </row>
    <row r="1153">
      <c r="G1153" s="26" t="n"/>
      <c r="H1153" s="25">
        <f>IF($A1153="","",IF($G1153="","",$F1153-$G1153))</f>
        <v/>
      </c>
    </row>
    <row r="1154">
      <c r="G1154" s="26" t="n"/>
      <c r="H1154" s="25">
        <f>IF($A1154="","",IF($G1154="","",$F1154-$G1154))</f>
        <v/>
      </c>
    </row>
    <row r="1155">
      <c r="G1155" s="26" t="n"/>
      <c r="H1155" s="25">
        <f>IF($A1155="","",IF($G1155="","",$F1155-$G1155))</f>
        <v/>
      </c>
    </row>
    <row r="1156">
      <c r="G1156" s="26" t="n"/>
      <c r="H1156" s="25">
        <f>IF($A1156="","",IF($G1156="","",$F1156-$G1156))</f>
        <v/>
      </c>
    </row>
    <row r="1157">
      <c r="G1157" s="26" t="n"/>
      <c r="H1157" s="25">
        <f>IF($A1157="","",IF($G1157="","",$F1157-$G1157))</f>
        <v/>
      </c>
    </row>
    <row r="1158">
      <c r="G1158" s="26" t="n"/>
      <c r="H1158" s="25">
        <f>IF($A1158="","",IF($G1158="","",$F1158-$G1158))</f>
        <v/>
      </c>
    </row>
    <row r="1159">
      <c r="G1159" s="26" t="n"/>
      <c r="H1159" s="25">
        <f>IF($A1159="","",IF($G1159="","",$F1159-$G1159))</f>
        <v/>
      </c>
    </row>
    <row r="1160">
      <c r="G1160" s="26" t="n"/>
      <c r="H1160" s="25">
        <f>IF($A1160="","",IF($G1160="","",$F1160-$G1160))</f>
        <v/>
      </c>
    </row>
    <row r="1161">
      <c r="G1161" s="26" t="n"/>
      <c r="H1161" s="25">
        <f>IF($A1161="","",IF($G1161="","",$F1161-$G1161))</f>
        <v/>
      </c>
    </row>
    <row r="1162">
      <c r="G1162" s="26" t="n"/>
      <c r="H1162" s="25">
        <f>IF($A1162="","",IF($G1162="","",$F1162-$G1162))</f>
        <v/>
      </c>
    </row>
    <row r="1163">
      <c r="G1163" s="26" t="n"/>
      <c r="H1163" s="25">
        <f>IF($A1163="","",IF($G1163="","",$F1163-$G1163))</f>
        <v/>
      </c>
    </row>
    <row r="1164">
      <c r="G1164" s="26" t="n"/>
      <c r="H1164" s="25">
        <f>IF($A1164="","",IF($G1164="","",$F1164-$G1164))</f>
        <v/>
      </c>
    </row>
    <row r="1165">
      <c r="G1165" s="26" t="n"/>
      <c r="H1165" s="25">
        <f>IF($A1165="","",IF($G1165="","",$F1165-$G1165))</f>
        <v/>
      </c>
    </row>
    <row r="1166">
      <c r="G1166" s="26" t="n"/>
      <c r="H1166" s="25">
        <f>IF($A1166="","",IF($G1166="","",$F1166-$G1166))</f>
        <v/>
      </c>
    </row>
    <row r="1167">
      <c r="G1167" s="26" t="n"/>
      <c r="H1167" s="25">
        <f>IF($A1167="","",IF($G1167="","",$F1167-$G1167))</f>
        <v/>
      </c>
    </row>
    <row r="1168">
      <c r="G1168" s="26" t="n"/>
      <c r="H1168" s="25">
        <f>IF($A1168="","",IF($G1168="","",$F1168-$G1168))</f>
        <v/>
      </c>
    </row>
    <row r="1169">
      <c r="G1169" s="26" t="n"/>
      <c r="H1169" s="25">
        <f>IF($A1169="","",IF($G1169="","",$F1169-$G1169))</f>
        <v/>
      </c>
    </row>
    <row r="1170">
      <c r="G1170" s="26" t="n"/>
      <c r="H1170" s="25">
        <f>IF($A1170="","",IF($G1170="","",$F1170-$G1170))</f>
        <v/>
      </c>
    </row>
    <row r="1171">
      <c r="G1171" s="26" t="n"/>
      <c r="H1171" s="25">
        <f>IF($A1171="","",IF($G1171="","",$F1171-$G1171))</f>
        <v/>
      </c>
    </row>
    <row r="1172">
      <c r="G1172" s="26" t="n"/>
      <c r="H1172" s="25">
        <f>IF($A1172="","",IF($G1172="","",$F1172-$G1172))</f>
        <v/>
      </c>
    </row>
    <row r="1173">
      <c r="G1173" s="26" t="n"/>
      <c r="H1173" s="25">
        <f>IF($A1173="","",IF($G1173="","",$F1173-$G1173))</f>
        <v/>
      </c>
    </row>
    <row r="1174">
      <c r="G1174" s="26" t="n"/>
      <c r="H1174" s="25">
        <f>IF($A1174="","",IF($G1174="","",$F1174-$G1174))</f>
        <v/>
      </c>
    </row>
    <row r="1175">
      <c r="G1175" s="26" t="n"/>
      <c r="H1175" s="25">
        <f>IF($A1175="","",IF($G1175="","",$F1175-$G1175))</f>
        <v/>
      </c>
    </row>
    <row r="1176">
      <c r="G1176" s="26" t="n"/>
      <c r="H1176" s="25">
        <f>IF($A1176="","",IF($G1176="","",$F1176-$G1176))</f>
        <v/>
      </c>
    </row>
    <row r="1177">
      <c r="G1177" s="26" t="n"/>
      <c r="H1177" s="25">
        <f>IF($A1177="","",IF($G1177="","",$F1177-$G1177))</f>
        <v/>
      </c>
    </row>
    <row r="1178">
      <c r="G1178" s="26" t="n"/>
      <c r="H1178" s="25">
        <f>IF($A1178="","",IF($G1178="","",$F1178-$G1178))</f>
        <v/>
      </c>
    </row>
    <row r="1179">
      <c r="G1179" s="26" t="n"/>
      <c r="H1179" s="25">
        <f>IF($A1179="","",IF($G1179="","",$F1179-$G1179))</f>
        <v/>
      </c>
    </row>
    <row r="1180">
      <c r="G1180" s="26" t="n"/>
      <c r="H1180" s="25">
        <f>IF($A1180="","",IF($G1180="","",$F1180-$G1180))</f>
        <v/>
      </c>
    </row>
    <row r="1181">
      <c r="G1181" s="26" t="n"/>
      <c r="H1181" s="25">
        <f>IF($A1181="","",IF($G1181="","",$F1181-$G1181))</f>
        <v/>
      </c>
    </row>
    <row r="1182">
      <c r="G1182" s="26" t="n"/>
      <c r="H1182" s="25">
        <f>IF($A1182="","",IF($G1182="","",$F1182-$G1182))</f>
        <v/>
      </c>
    </row>
    <row r="1183">
      <c r="G1183" s="26" t="n"/>
      <c r="H1183" s="25">
        <f>IF($A1183="","",IF($G1183="","",$F1183-$G1183))</f>
        <v/>
      </c>
    </row>
    <row r="1184">
      <c r="G1184" s="26" t="n"/>
      <c r="H1184" s="25">
        <f>IF($A1184="","",IF($G1184="","",$F1184-$G1184))</f>
        <v/>
      </c>
    </row>
    <row r="1185">
      <c r="G1185" s="26" t="n"/>
      <c r="H1185" s="25">
        <f>IF($A1185="","",IF($G1185="","",$F1185-$G1185))</f>
        <v/>
      </c>
    </row>
    <row r="1186">
      <c r="G1186" s="26" t="n"/>
      <c r="H1186" s="25">
        <f>IF($A1186="","",IF($G1186="","",$F1186-$G1186))</f>
        <v/>
      </c>
    </row>
    <row r="1187">
      <c r="G1187" s="26" t="n"/>
      <c r="H1187" s="25">
        <f>IF($A1187="","",IF($G1187="","",$F1187-$G1187))</f>
        <v/>
      </c>
    </row>
    <row r="1188">
      <c r="G1188" s="26" t="n"/>
      <c r="H1188" s="25">
        <f>IF($A1188="","",IF($G1188="","",$F1188-$G1188))</f>
        <v/>
      </c>
    </row>
    <row r="1189">
      <c r="G1189" s="26" t="n"/>
      <c r="H1189" s="25">
        <f>IF($A1189="","",IF($G1189="","",$F1189-$G1189))</f>
        <v/>
      </c>
    </row>
    <row r="1190">
      <c r="G1190" s="26" t="n"/>
      <c r="H1190" s="25">
        <f>IF($A1190="","",IF($G1190="","",$F1190-$G1190))</f>
        <v/>
      </c>
    </row>
    <row r="1191">
      <c r="G1191" s="26" t="n"/>
      <c r="H1191" s="25">
        <f>IF($A1191="","",IF($G1191="","",$F1191-$G1191))</f>
        <v/>
      </c>
    </row>
    <row r="1192">
      <c r="G1192" s="26" t="n"/>
      <c r="H1192" s="25">
        <f>IF($A1192="","",IF($G1192="","",$F1192-$G1192))</f>
        <v/>
      </c>
    </row>
    <row r="1193">
      <c r="G1193" s="26" t="n"/>
      <c r="H1193" s="25">
        <f>IF($A1193="","",IF($G1193="","",$F1193-$G1193))</f>
        <v/>
      </c>
    </row>
    <row r="1194">
      <c r="G1194" s="26" t="n"/>
      <c r="H1194" s="25">
        <f>IF($A1194="","",IF($G1194="","",$F1194-$G1194))</f>
        <v/>
      </c>
    </row>
    <row r="1195">
      <c r="G1195" s="26" t="n"/>
      <c r="H1195" s="25">
        <f>IF($A1195="","",IF($G1195="","",$F1195-$G1195))</f>
        <v/>
      </c>
    </row>
    <row r="1196">
      <c r="G1196" s="26" t="n"/>
      <c r="H1196" s="25">
        <f>IF($A1196="","",IF($G1196="","",$F1196-$G1196))</f>
        <v/>
      </c>
    </row>
    <row r="1197">
      <c r="G1197" s="26" t="n"/>
      <c r="H1197" s="25">
        <f>IF($A1197="","",IF($G1197="","",$F1197-$G1197))</f>
        <v/>
      </c>
    </row>
    <row r="1198">
      <c r="G1198" s="26" t="n"/>
      <c r="H1198" s="25">
        <f>IF($A1198="","",IF($G1198="","",$F1198-$G1198))</f>
        <v/>
      </c>
    </row>
    <row r="1199">
      <c r="G1199" s="26" t="n"/>
      <c r="H1199" s="25">
        <f>IF($A1199="","",IF($G1199="","",$F1199-$G1199))</f>
        <v/>
      </c>
    </row>
    <row r="1200">
      <c r="G1200" s="26" t="n"/>
      <c r="H1200" s="25">
        <f>IF($A1200="","",IF($G1200="","",$F1200-$G1200))</f>
        <v/>
      </c>
    </row>
    <row r="1201">
      <c r="G1201" s="26" t="n"/>
      <c r="H1201" s="25">
        <f>IF($A1201="","",IF($G1201="","",$F1201-$G1201))</f>
        <v/>
      </c>
    </row>
    <row r="1202">
      <c r="G1202" s="26" t="n"/>
      <c r="H1202" s="25">
        <f>IF($A1202="","",IF($G1202="","",$F1202-$G1202))</f>
        <v/>
      </c>
    </row>
    <row r="1203">
      <c r="G1203" s="26" t="n"/>
      <c r="H1203" s="25">
        <f>IF($A1203="","",IF($G1203="","",$F1203-$G1203))</f>
        <v/>
      </c>
    </row>
    <row r="1204">
      <c r="G1204" s="26" t="n"/>
      <c r="H1204" s="25">
        <f>IF($A1204="","",IF($G1204="","",$F1204-$G1204))</f>
        <v/>
      </c>
    </row>
    <row r="1205">
      <c r="G1205" s="26" t="n"/>
      <c r="H1205" s="25">
        <f>IF($A1205="","",IF($G1205="","",$F1205-$G1205))</f>
        <v/>
      </c>
    </row>
    <row r="1206">
      <c r="G1206" s="26" t="n"/>
      <c r="H1206" s="25">
        <f>IF($A1206="","",IF($G1206="","",$F1206-$G1206))</f>
        <v/>
      </c>
    </row>
    <row r="1207">
      <c r="G1207" s="26" t="n"/>
      <c r="H1207" s="25">
        <f>IF($A1207="","",IF($G1207="","",$F1207-$G1207))</f>
        <v/>
      </c>
    </row>
    <row r="1208">
      <c r="G1208" s="26" t="n"/>
      <c r="H1208" s="25">
        <f>IF($A1208="","",IF($G1208="","",$F1208-$G1208))</f>
        <v/>
      </c>
    </row>
    <row r="1209">
      <c r="G1209" s="26" t="n"/>
      <c r="H1209" s="25">
        <f>IF($A1209="","",IF($G1209="","",$F1209-$G1209))</f>
        <v/>
      </c>
    </row>
    <row r="1210">
      <c r="G1210" s="26" t="n"/>
      <c r="H1210" s="25">
        <f>IF($A1210="","",IF($G1210="","",$F1210-$G1210))</f>
        <v/>
      </c>
    </row>
  </sheetData>
  <conditionalFormatting sqref="H11:H1210">
    <cfRule type="expression" priority="1" dxfId="0">
      <formula>AND(H11&lt;&gt;"",ROUND(H11,2)&lt;&gt;0)</formula>
    </cfRule>
  </conditionalFormatting>
  <pageMargins left="0.75" right="0.75" top="1" bottom="1" header="0.5" footer="0.5"/>
</worksheet>
</file>

<file path=xl/worksheets/sheet5.xml><?xml version="1.0" encoding="utf-8"?>
<worksheet xmlns="http://schemas.openxmlformats.org/spreadsheetml/2006/main">
  <sheetPr>
    <tabColor rgb="005B708A"/>
    <outlinePr summaryBelow="1" summaryRight="1"/>
    <pageSetUpPr/>
  </sheetPr>
  <dimension ref="A1:W58"/>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 width="18" customWidth="1" min="20" max="20"/>
    <col width="15" customWidth="1" min="21" max="21"/>
    <col width="13" customWidth="1" min="22" max="22"/>
    <col width="16" customWidth="1" min="23" max="23"/>
  </cols>
  <sheetData>
    <row r="1" ht="24" customHeight="1">
      <c r="A1" s="12" t="inlineStr">
        <is>
          <t>Onsite - Revenue Entry</t>
        </is>
      </c>
    </row>
    <row r="2" ht="16" customHeight="1">
      <c r="A2" s="2" t="inlineStr">
        <is>
          <t>Onsite / Support invoicing (ACC005 s.1). One row per Xero invoice. Fill left to right - grey columns calculate themselves. Never insert rows above row 5.</t>
        </is>
      </c>
    </row>
    <row r="3" ht="6" customHeight="1"/>
    <row r="4" ht="34" customHeight="1">
      <c r="A4" s="19" t="inlineStr">
        <is>
          <t>Date</t>
        </is>
      </c>
      <c r="B4" s="47" t="inlineStr">
        <is>
          <t>Month</t>
        </is>
      </c>
      <c r="C4" s="47" t="inlineStr">
        <is>
          <t>Team</t>
        </is>
      </c>
      <c r="D4" s="19" t="inlineStr">
        <is>
          <t>Cost Centre</t>
        </is>
      </c>
      <c r="E4" s="19" t="inlineStr">
        <is>
          <t>Client</t>
        </is>
      </c>
      <c r="F4" s="19" t="inlineStr">
        <is>
          <t>Job Number</t>
        </is>
      </c>
      <c r="G4" s="47" t="inlineStr">
        <is>
          <t>Job in Xero?</t>
        </is>
      </c>
      <c r="H4" s="19" t="inlineStr">
        <is>
          <t>Description</t>
        </is>
      </c>
      <c r="I4" s="19" t="inlineStr">
        <is>
          <t>Invoice Type</t>
        </is>
      </c>
      <c r="J4" s="19" t="inlineStr">
        <is>
          <t>Xero Invoice No</t>
        </is>
      </c>
      <c r="K4" s="19" t="inlineStr">
        <is>
          <t>Tax Code</t>
        </is>
      </c>
      <c r="L4" s="19" t="inlineStr">
        <is>
          <t>Ex GST</t>
        </is>
      </c>
      <c r="M4" s="47" t="inlineStr">
        <is>
          <t>GST</t>
        </is>
      </c>
      <c r="N4" s="47" t="inlineStr">
        <is>
          <t>Inc GST</t>
        </is>
      </c>
      <c r="O4" s="19" t="inlineStr">
        <is>
          <t>Revenue GL</t>
        </is>
      </c>
      <c r="P4" s="19" t="inlineStr">
        <is>
          <t>Posted to Xero</t>
        </is>
      </c>
      <c r="Q4" s="19" t="inlineStr">
        <is>
          <t>To WIP</t>
        </is>
      </c>
      <c r="R4" s="19" t="inlineStr">
        <is>
          <t>Status</t>
        </is>
      </c>
      <c r="S4" s="19" t="inlineStr">
        <is>
          <t>Notes</t>
        </is>
      </c>
      <c r="T4" s="19" t="inlineStr">
        <is>
          <t>PO / Reference</t>
        </is>
      </c>
      <c r="U4" s="19" t="inlineStr">
        <is>
          <t>Ariba Status</t>
        </is>
      </c>
      <c r="V4" s="19" t="inlineStr">
        <is>
          <t>Billable Hours</t>
        </is>
      </c>
      <c r="W4" s="19" t="inlineStr">
        <is>
          <t>Approved By</t>
        </is>
      </c>
    </row>
    <row r="5" ht="15" customHeight="1">
      <c r="A5" s="48" t="n">
        <v>46234</v>
      </c>
      <c r="B5" s="49">
        <f>IF(A5="","",EOMONTH(A5,0))</f>
        <v/>
      </c>
      <c r="C5" s="50">
        <f>"Onsite"</f>
        <v/>
      </c>
      <c r="D5" s="51" t="inlineStr">
        <is>
          <t>ONSITE</t>
        </is>
      </c>
      <c r="E5" s="51" t="inlineStr">
        <is>
          <t>CBA</t>
        </is>
      </c>
      <c r="F5" s="51" t="inlineStr">
        <is>
          <t>1350</t>
        </is>
      </c>
      <c r="G5" s="50">
        <f>IF(F5="","",IF(COUNTIF(lst_Jobs,F5&amp;"")&gt;0,"OK","CHECK"))</f>
        <v/>
      </c>
      <c r="H5" s="51" t="inlineStr">
        <is>
          <t>CBA BNE July 2026</t>
        </is>
      </c>
      <c r="I5" s="51" t="inlineStr">
        <is>
          <t>Contract</t>
        </is>
      </c>
      <c r="J5" s="51" t="inlineStr">
        <is>
          <t>INV-10525</t>
        </is>
      </c>
      <c r="K5" s="51" t="inlineStr">
        <is>
          <t>GST 10%</t>
        </is>
      </c>
      <c r="L5" s="52" t="n">
        <v>8588.450000000001</v>
      </c>
      <c r="M5" s="53">
        <f>IF(L5="","",IF(K5="GST 10%",ROUND(L5*0.1,2),0))</f>
        <v/>
      </c>
      <c r="N5" s="53">
        <f>IF(L5="","",L5+M5)</f>
        <v/>
      </c>
      <c r="O5" s="51" t="inlineStr">
        <is>
          <t>41100</t>
        </is>
      </c>
      <c r="P5" s="51" t="inlineStr">
        <is>
          <t>Y</t>
        </is>
      </c>
      <c r="Q5" s="51" t="inlineStr">
        <is>
          <t>N</t>
        </is>
      </c>
      <c r="R5" s="51" t="inlineStr">
        <is>
          <t>Invoiced</t>
        </is>
      </c>
      <c r="S5" s="51" t="inlineStr">
        <is>
          <t>174.05 hours</t>
        </is>
      </c>
      <c r="T5" s="51" t="n"/>
      <c r="U5" s="51" t="inlineStr">
        <is>
          <t>N/A</t>
        </is>
      </c>
      <c r="V5" s="54" t="n"/>
      <c r="W5" s="51" t="n"/>
    </row>
    <row r="6" ht="15" customHeight="1">
      <c r="A6" s="48" t="n">
        <v>46234</v>
      </c>
      <c r="B6" s="49">
        <f>IF(A6="","",EOMONTH(A6,0))</f>
        <v/>
      </c>
      <c r="C6" s="50">
        <f>"Onsite"</f>
        <v/>
      </c>
      <c r="D6" s="51" t="inlineStr">
        <is>
          <t>ONSITE</t>
        </is>
      </c>
      <c r="E6" s="51" t="inlineStr">
        <is>
          <t>CBA</t>
        </is>
      </c>
      <c r="F6" s="51" t="inlineStr">
        <is>
          <t>585/586/1755</t>
        </is>
      </c>
      <c r="G6" s="50">
        <f>IF(F6="","",IF(COUNTIF(lst_Jobs,F6&amp;"")&gt;0,"OK","CHECK"))</f>
        <v/>
      </c>
      <c r="H6" s="51" t="inlineStr">
        <is>
          <t>CBP July 2026</t>
        </is>
      </c>
      <c r="I6" s="51" t="inlineStr">
        <is>
          <t>Contract</t>
        </is>
      </c>
      <c r="J6" s="51" t="inlineStr">
        <is>
          <t>INV-10526</t>
        </is>
      </c>
      <c r="K6" s="51" t="inlineStr">
        <is>
          <t>GST 10%</t>
        </is>
      </c>
      <c r="L6" s="52" t="n">
        <v>22120.57</v>
      </c>
      <c r="M6" s="53">
        <f>IF(L6="","",IF(K6="GST 10%",ROUND(L6*0.1,2),0))</f>
        <v/>
      </c>
      <c r="N6" s="53">
        <f>IF(L6="","",L6+M6)</f>
        <v/>
      </c>
      <c r="O6" s="51" t="inlineStr">
        <is>
          <t>41100</t>
        </is>
      </c>
      <c r="P6" s="51" t="inlineStr">
        <is>
          <t>Y</t>
        </is>
      </c>
      <c r="Q6" s="51" t="inlineStr">
        <is>
          <t>N</t>
        </is>
      </c>
      <c r="R6" s="51" t="inlineStr">
        <is>
          <t>Invoiced</t>
        </is>
      </c>
      <c r="S6" s="51" t="inlineStr">
        <is>
          <t>Deduct 3hrs for TN 01/07 &amp; 6hrs for NP 14/07</t>
        </is>
      </c>
      <c r="T6" s="51" t="n"/>
      <c r="U6" s="51" t="inlineStr">
        <is>
          <t>N/A</t>
        </is>
      </c>
      <c r="V6" s="54" t="n"/>
      <c r="W6" s="51" t="n"/>
    </row>
    <row r="7" ht="15" customHeight="1">
      <c r="A7" s="48" t="n">
        <v>46234</v>
      </c>
      <c r="B7" s="49">
        <f>IF(A7="","",EOMONTH(A7,0))</f>
        <v/>
      </c>
      <c r="C7" s="50">
        <f>"Onsite"</f>
        <v/>
      </c>
      <c r="D7" s="51" t="inlineStr">
        <is>
          <t>ONSITE</t>
        </is>
      </c>
      <c r="E7" s="51" t="inlineStr">
        <is>
          <t>CBA</t>
        </is>
      </c>
      <c r="F7" s="51" t="inlineStr">
        <is>
          <t>587</t>
        </is>
      </c>
      <c r="G7" s="50">
        <f>IF(F7="","",IF(COUNTIF(lst_Jobs,F7&amp;"")&gt;0,"OK","CHECK"))</f>
        <v/>
      </c>
      <c r="H7" s="51" t="inlineStr">
        <is>
          <t>CBS July 2026</t>
        </is>
      </c>
      <c r="I7" s="51" t="inlineStr">
        <is>
          <t>Contract</t>
        </is>
      </c>
      <c r="J7" s="51" t="inlineStr">
        <is>
          <t>INV-10527</t>
        </is>
      </c>
      <c r="K7" s="51" t="inlineStr">
        <is>
          <t>GST 10%</t>
        </is>
      </c>
      <c r="L7" s="52" t="n">
        <v>10720</v>
      </c>
      <c r="M7" s="53">
        <f>IF(L7="","",IF(K7="GST 10%",ROUND(L7*0.1,2),0))</f>
        <v/>
      </c>
      <c r="N7" s="53">
        <f>IF(L7="","",L7+M7)</f>
        <v/>
      </c>
      <c r="O7" s="51" t="inlineStr">
        <is>
          <t>41100</t>
        </is>
      </c>
      <c r="P7" s="51" t="inlineStr">
        <is>
          <t>Y</t>
        </is>
      </c>
      <c r="Q7" s="51" t="inlineStr">
        <is>
          <t>N</t>
        </is>
      </c>
      <c r="R7" s="51" t="inlineStr">
        <is>
          <t>Invoiced</t>
        </is>
      </c>
      <c r="S7" s="51" t="n"/>
      <c r="T7" s="51" t="n"/>
      <c r="U7" s="51" t="inlineStr">
        <is>
          <t>N/A</t>
        </is>
      </c>
      <c r="V7" s="54" t="n"/>
      <c r="W7" s="51" t="n"/>
    </row>
    <row r="8" ht="15" customHeight="1">
      <c r="A8" s="48" t="n">
        <v>46234</v>
      </c>
      <c r="B8" s="49">
        <f>IF(A8="","",EOMONTH(A8,0))</f>
        <v/>
      </c>
      <c r="C8" s="50">
        <f>"Onsite"</f>
        <v/>
      </c>
      <c r="D8" s="51" t="inlineStr">
        <is>
          <t>ONSITE</t>
        </is>
      </c>
      <c r="E8" s="51" t="inlineStr">
        <is>
          <t>DTTL</t>
        </is>
      </c>
      <c r="F8" s="51" t="inlineStr">
        <is>
          <t>2846/1401/725/1400/1530/1862/2402/2849/974</t>
        </is>
      </c>
      <c r="G8" s="50">
        <f>IF(F8="","",IF(COUNTIF(lst_Jobs,F8&amp;"")&gt;0,"OK","CHECK"))</f>
        <v/>
      </c>
      <c r="H8" s="51" t="inlineStr">
        <is>
          <t>DTTL Contract July 2026</t>
        </is>
      </c>
      <c r="I8" s="51" t="inlineStr">
        <is>
          <t>Contract</t>
        </is>
      </c>
      <c r="J8" s="51" t="inlineStr">
        <is>
          <t>INV-10528</t>
        </is>
      </c>
      <c r="K8" s="51" t="inlineStr">
        <is>
          <t>GST 10%</t>
        </is>
      </c>
      <c r="L8" s="52" t="n">
        <v>103625.44</v>
      </c>
      <c r="M8" s="53">
        <f>IF(L8="","",IF(K8="GST 10%",ROUND(L8*0.1,2),0))</f>
        <v/>
      </c>
      <c r="N8" s="53">
        <f>IF(L8="","",L8+M8)</f>
        <v/>
      </c>
      <c r="O8" s="51" t="inlineStr">
        <is>
          <t>41100</t>
        </is>
      </c>
      <c r="P8" s="51" t="inlineStr">
        <is>
          <t>Y</t>
        </is>
      </c>
      <c r="Q8" s="51" t="inlineStr">
        <is>
          <t>N</t>
        </is>
      </c>
      <c r="R8" s="51" t="inlineStr">
        <is>
          <t>Invoiced</t>
        </is>
      </c>
      <c r="S8" s="51" t="n"/>
      <c r="T8" s="51" t="n"/>
      <c r="U8" s="51" t="inlineStr">
        <is>
          <t>N/A</t>
        </is>
      </c>
      <c r="V8" s="54" t="n"/>
      <c r="W8" s="51" t="n"/>
    </row>
    <row r="9" ht="15" customHeight="1">
      <c r="A9" s="48" t="n">
        <v>46234</v>
      </c>
      <c r="B9" s="49">
        <f>IF(A9="","",EOMONTH(A9,0))</f>
        <v/>
      </c>
      <c r="C9" s="50">
        <f>"Onsite"</f>
        <v/>
      </c>
      <c r="D9" s="51" t="inlineStr">
        <is>
          <t>ONSITE</t>
        </is>
      </c>
      <c r="E9" s="51" t="inlineStr">
        <is>
          <t>BW</t>
        </is>
      </c>
      <c r="F9" s="51" t="inlineStr">
        <is>
          <t>732/1144</t>
        </is>
      </c>
      <c r="G9" s="50">
        <f>IF(F9="","",IF(COUNTIF(lst_Jobs,F9&amp;"")&gt;0,"OK","CHECK"))</f>
        <v/>
      </c>
      <c r="H9" s="51" t="inlineStr">
        <is>
          <t>BW Contract July 2026</t>
        </is>
      </c>
      <c r="I9" s="51" t="inlineStr">
        <is>
          <t>Contract</t>
        </is>
      </c>
      <c r="J9" s="51" t="inlineStr">
        <is>
          <t>INV-10529</t>
        </is>
      </c>
      <c r="K9" s="51" t="inlineStr">
        <is>
          <t>GST 10%</t>
        </is>
      </c>
      <c r="L9" s="52" t="n">
        <v>19427.5</v>
      </c>
      <c r="M9" s="53">
        <f>IF(L9="","",IF(K9="GST 10%",ROUND(L9*0.1,2),0))</f>
        <v/>
      </c>
      <c r="N9" s="53">
        <f>IF(L9="","",L9+M9)</f>
        <v/>
      </c>
      <c r="O9" s="51" t="inlineStr">
        <is>
          <t>41100</t>
        </is>
      </c>
      <c r="P9" s="51" t="inlineStr">
        <is>
          <t>Y</t>
        </is>
      </c>
      <c r="Q9" s="51" t="inlineStr">
        <is>
          <t>N</t>
        </is>
      </c>
      <c r="R9" s="51" t="inlineStr">
        <is>
          <t>Invoiced</t>
        </is>
      </c>
      <c r="S9" s="51" t="n"/>
      <c r="T9" s="51" t="n"/>
      <c r="U9" s="51" t="inlineStr">
        <is>
          <t>N/A</t>
        </is>
      </c>
      <c r="V9" s="54" t="n"/>
      <c r="W9" s="51" t="n"/>
    </row>
    <row r="10" ht="15" customHeight="1">
      <c r="A10" s="48" t="n">
        <v>46234</v>
      </c>
      <c r="B10" s="49">
        <f>IF(A10="","",EOMONTH(A10,0))</f>
        <v/>
      </c>
      <c r="C10" s="50">
        <f>"Onsite"</f>
        <v/>
      </c>
      <c r="D10" s="51" t="inlineStr">
        <is>
          <t>ONSITE</t>
        </is>
      </c>
      <c r="E10" s="51" t="inlineStr">
        <is>
          <t>BW</t>
        </is>
      </c>
      <c r="F10" s="51" t="inlineStr">
        <is>
          <t>2192</t>
        </is>
      </c>
      <c r="G10" s="50">
        <f>IF(F10="","",IF(COUNTIF(lst_Jobs,F10&amp;"")&gt;0,"OK","CHECK"))</f>
        <v/>
      </c>
      <c r="H10" s="51" t="inlineStr">
        <is>
          <t>BW Additionals July 2026</t>
        </is>
      </c>
      <c r="I10" s="51" t="inlineStr">
        <is>
          <t>Contract</t>
        </is>
      </c>
      <c r="J10" s="51" t="inlineStr">
        <is>
          <t>INV-10530</t>
        </is>
      </c>
      <c r="K10" s="51" t="inlineStr">
        <is>
          <t>GST 10%</t>
        </is>
      </c>
      <c r="L10" s="52" t="n">
        <v>1120</v>
      </c>
      <c r="M10" s="53">
        <f>IF(L10="","",IF(K10="GST 10%",ROUND(L10*0.1,2),0))</f>
        <v/>
      </c>
      <c r="N10" s="53">
        <f>IF(L10="","",L10+M10)</f>
        <v/>
      </c>
      <c r="O10" s="51" t="inlineStr">
        <is>
          <t>41100</t>
        </is>
      </c>
      <c r="P10" s="51" t="inlineStr">
        <is>
          <t>Y</t>
        </is>
      </c>
      <c r="Q10" s="51" t="inlineStr">
        <is>
          <t>N</t>
        </is>
      </c>
      <c r="R10" s="51" t="inlineStr">
        <is>
          <t>Invoiced</t>
        </is>
      </c>
      <c r="S10" s="51" t="n"/>
      <c r="T10" s="51" t="n"/>
      <c r="U10" s="51" t="inlineStr">
        <is>
          <t>N/A</t>
        </is>
      </c>
      <c r="V10" s="54" t="n"/>
      <c r="W10" s="51" t="n"/>
    </row>
    <row r="11" ht="15" customHeight="1">
      <c r="A11" s="48" t="n">
        <v>46234</v>
      </c>
      <c r="B11" s="49">
        <f>IF(A11="","",EOMONTH(A11,0))</f>
        <v/>
      </c>
      <c r="C11" s="50">
        <f>"Onsite"</f>
        <v/>
      </c>
      <c r="D11" s="51" t="inlineStr">
        <is>
          <t>ONSITE</t>
        </is>
      </c>
      <c r="E11" s="51" t="inlineStr">
        <is>
          <t>PWC</t>
        </is>
      </c>
      <c r="F11" s="51" t="inlineStr">
        <is>
          <t>2488</t>
        </is>
      </c>
      <c r="G11" s="50">
        <f>IF(F11="","",IF(COUNTIF(lst_Jobs,F11&amp;"")&gt;0,"OK","CHECK"))</f>
        <v/>
      </c>
      <c r="H11" s="51" t="inlineStr">
        <is>
          <t>PWC Brisbane July 2026</t>
        </is>
      </c>
      <c r="I11" s="51" t="inlineStr">
        <is>
          <t>Contract</t>
        </is>
      </c>
      <c r="J11" s="51" t="inlineStr">
        <is>
          <t>INV-10531</t>
        </is>
      </c>
      <c r="K11" s="51" t="inlineStr">
        <is>
          <t>GST 10%</t>
        </is>
      </c>
      <c r="L11" s="52" t="n">
        <v>7150</v>
      </c>
      <c r="M11" s="53">
        <f>IF(L11="","",IF(K11="GST 10%",ROUND(L11*0.1,2),0))</f>
        <v/>
      </c>
      <c r="N11" s="53">
        <f>IF(L11="","",L11+M11)</f>
        <v/>
      </c>
      <c r="O11" s="51" t="inlineStr">
        <is>
          <t>41100</t>
        </is>
      </c>
      <c r="P11" s="51" t="inlineStr">
        <is>
          <t>Y</t>
        </is>
      </c>
      <c r="Q11" s="51" t="inlineStr">
        <is>
          <t>N</t>
        </is>
      </c>
      <c r="R11" s="51" t="inlineStr">
        <is>
          <t>Invoiced</t>
        </is>
      </c>
      <c r="S11" s="51" t="n"/>
      <c r="T11" s="51" t="n"/>
      <c r="U11" s="51" t="inlineStr">
        <is>
          <t>N/A</t>
        </is>
      </c>
      <c r="V11" s="54" t="n"/>
      <c r="W11" s="51" t="n"/>
    </row>
    <row r="12" ht="15" customHeight="1">
      <c r="A12" s="48" t="n">
        <v>46234</v>
      </c>
      <c r="B12" s="49">
        <f>IF(A12="","",EOMONTH(A12,0))</f>
        <v/>
      </c>
      <c r="C12" s="50">
        <f>"Onsite"</f>
        <v/>
      </c>
      <c r="D12" s="51" t="inlineStr">
        <is>
          <t>ONSITE</t>
        </is>
      </c>
      <c r="E12" s="51" t="inlineStr">
        <is>
          <t>Gen-E</t>
        </is>
      </c>
      <c r="F12" s="51" t="inlineStr">
        <is>
          <t>26021602</t>
        </is>
      </c>
      <c r="G12" s="50">
        <f>IF(F12="","",IF(COUNTIF(lst_Jobs,F12&amp;"")&gt;0,"OK","CHECK"))</f>
        <v/>
      </c>
      <c r="H12" s="51" t="inlineStr">
        <is>
          <t>Gen-E ABS July 2026</t>
        </is>
      </c>
      <c r="I12" s="51" t="inlineStr">
        <is>
          <t>Contract</t>
        </is>
      </c>
      <c r="J12" s="51" t="inlineStr">
        <is>
          <t>INV-10532</t>
        </is>
      </c>
      <c r="K12" s="51" t="inlineStr">
        <is>
          <t>GST 10%</t>
        </is>
      </c>
      <c r="L12" s="52" t="n">
        <v>12388.8</v>
      </c>
      <c r="M12" s="53">
        <f>IF(L12="","",IF(K12="GST 10%",ROUND(L12*0.1,2),0))</f>
        <v/>
      </c>
      <c r="N12" s="53">
        <f>IF(L12="","",L12+M12)</f>
        <v/>
      </c>
      <c r="O12" s="51" t="inlineStr">
        <is>
          <t>41100</t>
        </is>
      </c>
      <c r="P12" s="51" t="inlineStr">
        <is>
          <t>Y</t>
        </is>
      </c>
      <c r="Q12" s="51" t="inlineStr">
        <is>
          <t>N</t>
        </is>
      </c>
      <c r="R12" s="51" t="inlineStr">
        <is>
          <t>Invoiced</t>
        </is>
      </c>
      <c r="S12" s="51" t="n"/>
      <c r="T12" s="51" t="n"/>
      <c r="U12" s="51" t="inlineStr">
        <is>
          <t>N/A</t>
        </is>
      </c>
      <c r="V12" s="54" t="n"/>
      <c r="W12" s="51" t="n"/>
    </row>
    <row r="13" ht="15" customHeight="1">
      <c r="A13" s="48" t="n">
        <v>46234</v>
      </c>
      <c r="B13" s="49">
        <f>IF(A13="","",EOMONTH(A13,0))</f>
        <v/>
      </c>
      <c r="C13" s="50">
        <f>"Onsite"</f>
        <v/>
      </c>
      <c r="D13" s="51" t="inlineStr">
        <is>
          <t>ONSITE</t>
        </is>
      </c>
      <c r="E13" s="51" t="inlineStr">
        <is>
          <t>CBA</t>
        </is>
      </c>
      <c r="F13" s="51" t="inlineStr">
        <is>
          <t>26043001</t>
        </is>
      </c>
      <c r="G13" s="50">
        <f>IF(F13="","",IF(COUNTIF(lst_Jobs,F13&amp;"")&gt;0,"OK","CHECK"))</f>
        <v/>
      </c>
      <c r="H13" s="51" t="inlineStr">
        <is>
          <t>CBA Mel July 2026</t>
        </is>
      </c>
      <c r="I13" s="51" t="inlineStr">
        <is>
          <t>Contract</t>
        </is>
      </c>
      <c r="J13" s="51" t="inlineStr">
        <is>
          <t>INV-10534</t>
        </is>
      </c>
      <c r="K13" s="51" t="inlineStr">
        <is>
          <t>GST 10%</t>
        </is>
      </c>
      <c r="L13" s="52" t="n">
        <v>11377.12</v>
      </c>
      <c r="M13" s="53">
        <f>IF(L13="","",IF(K13="GST 10%",ROUND(L13*0.1,2),0))</f>
        <v/>
      </c>
      <c r="N13" s="53">
        <f>IF(L13="","",L13+M13)</f>
        <v/>
      </c>
      <c r="O13" s="51" t="inlineStr">
        <is>
          <t>41100</t>
        </is>
      </c>
      <c r="P13" s="51" t="inlineStr">
        <is>
          <t>Y</t>
        </is>
      </c>
      <c r="Q13" s="51" t="inlineStr">
        <is>
          <t>N</t>
        </is>
      </c>
      <c r="R13" s="51" t="inlineStr">
        <is>
          <t>Invoiced</t>
        </is>
      </c>
      <c r="S13" s="51" t="inlineStr">
        <is>
          <t>Deduct 8hrs CN for 03/07</t>
        </is>
      </c>
      <c r="T13" s="51" t="n"/>
      <c r="U13" s="51" t="inlineStr">
        <is>
          <t>N/A</t>
        </is>
      </c>
      <c r="V13" s="54" t="n"/>
      <c r="W13" s="51" t="n"/>
    </row>
    <row r="14" ht="15" customHeight="1">
      <c r="A14" s="48" t="n">
        <v>46234</v>
      </c>
      <c r="B14" s="49">
        <f>IF(A14="","",EOMONTH(A14,0))</f>
        <v/>
      </c>
      <c r="C14" s="50">
        <f>"Onsite"</f>
        <v/>
      </c>
      <c r="D14" s="51" t="inlineStr">
        <is>
          <t>ONSITE</t>
        </is>
      </c>
      <c r="E14" s="51" t="inlineStr">
        <is>
          <t>PWC</t>
        </is>
      </c>
      <c r="F14" s="51" t="inlineStr">
        <is>
          <t>25101301B</t>
        </is>
      </c>
      <c r="G14" s="50">
        <f>IF(F14="","",IF(COUNTIF(lst_Jobs,F14&amp;"")&gt;0,"OK","CHECK"))</f>
        <v/>
      </c>
      <c r="H14" s="51" t="inlineStr">
        <is>
          <t>PWC Sydney IT July 2026</t>
        </is>
      </c>
      <c r="I14" s="51" t="inlineStr">
        <is>
          <t>Contract</t>
        </is>
      </c>
      <c r="J14" s="51" t="inlineStr">
        <is>
          <t>INV-10535</t>
        </is>
      </c>
      <c r="K14" s="51" t="inlineStr">
        <is>
          <t>GST 10%</t>
        </is>
      </c>
      <c r="L14" s="52" t="n">
        <v>11907</v>
      </c>
      <c r="M14" s="53">
        <f>IF(L14="","",IF(K14="GST 10%",ROUND(L14*0.1,2),0))</f>
        <v/>
      </c>
      <c r="N14" s="53">
        <f>IF(L14="","",L14+M14)</f>
        <v/>
      </c>
      <c r="O14" s="51" t="inlineStr">
        <is>
          <t>41100</t>
        </is>
      </c>
      <c r="P14" s="51" t="inlineStr">
        <is>
          <t>Y</t>
        </is>
      </c>
      <c r="Q14" s="51" t="inlineStr">
        <is>
          <t>N</t>
        </is>
      </c>
      <c r="R14" s="51" t="inlineStr">
        <is>
          <t>Invoiced</t>
        </is>
      </c>
      <c r="S14" s="51" t="n"/>
      <c r="T14" s="51" t="n"/>
      <c r="U14" s="51" t="inlineStr">
        <is>
          <t>N/A</t>
        </is>
      </c>
      <c r="V14" s="54" t="n"/>
      <c r="W14" s="51" t="n"/>
    </row>
    <row r="15" ht="15" customHeight="1">
      <c r="A15" s="48" t="n">
        <v>46234</v>
      </c>
      <c r="B15" s="49">
        <f>IF(A15="","",EOMONTH(A15,0))</f>
        <v/>
      </c>
      <c r="C15" s="50">
        <f>"Onsite"</f>
        <v/>
      </c>
      <c r="D15" s="51" t="inlineStr">
        <is>
          <t>ONSITE</t>
        </is>
      </c>
      <c r="E15" s="51" t="inlineStr">
        <is>
          <t>RICOH</t>
        </is>
      </c>
      <c r="F15" s="51" t="inlineStr">
        <is>
          <t>2880</t>
        </is>
      </c>
      <c r="G15" s="50">
        <f>IF(F15="","",IF(COUNTIF(lst_Jobs,F15&amp;"")&gt;0,"OK","CHECK"))</f>
        <v/>
      </c>
      <c r="H15" s="51" t="inlineStr">
        <is>
          <t>Ricoh Contract July 2026</t>
        </is>
      </c>
      <c r="I15" s="51" t="inlineStr">
        <is>
          <t>Contract</t>
        </is>
      </c>
      <c r="J15" s="51" t="inlineStr">
        <is>
          <t>INV-10536</t>
        </is>
      </c>
      <c r="K15" s="51" t="inlineStr">
        <is>
          <t>GST 10%</t>
        </is>
      </c>
      <c r="L15" s="52" t="n">
        <v>11860.5</v>
      </c>
      <c r="M15" s="53">
        <f>IF(L15="","",IF(K15="GST 10%",ROUND(L15*0.1,2),0))</f>
        <v/>
      </c>
      <c r="N15" s="53">
        <f>IF(L15="","",L15+M15)</f>
        <v/>
      </c>
      <c r="O15" s="51" t="inlineStr">
        <is>
          <t>41100</t>
        </is>
      </c>
      <c r="P15" s="51" t="inlineStr">
        <is>
          <t>Y</t>
        </is>
      </c>
      <c r="Q15" s="51" t="inlineStr">
        <is>
          <t>N</t>
        </is>
      </c>
      <c r="R15" s="51" t="inlineStr">
        <is>
          <t>Invoiced</t>
        </is>
      </c>
      <c r="S15" s="51" t="inlineStr">
        <is>
          <t>2 months extension</t>
        </is>
      </c>
      <c r="T15" s="51" t="n"/>
      <c r="U15" s="51" t="inlineStr">
        <is>
          <t>N/A</t>
        </is>
      </c>
      <c r="V15" s="54" t="n"/>
      <c r="W15" s="51" t="n"/>
    </row>
    <row r="16" ht="15" customHeight="1">
      <c r="A16" s="48" t="n">
        <v>46234</v>
      </c>
      <c r="B16" s="49">
        <f>IF(A16="","",EOMONTH(A16,0))</f>
        <v/>
      </c>
      <c r="C16" s="50">
        <f>"Onsite"</f>
        <v/>
      </c>
      <c r="D16" s="51" t="inlineStr">
        <is>
          <t>ONSITE</t>
        </is>
      </c>
      <c r="E16" s="51" t="inlineStr">
        <is>
          <t>PWC</t>
        </is>
      </c>
      <c r="F16" s="51" t="n"/>
      <c r="G16" s="50">
        <f>IF(F16="","",IF(COUNTIF(lst_Jobs,F16&amp;"")&gt;0,"OK","CHECK"))</f>
        <v/>
      </c>
      <c r="H16" s="51" t="inlineStr">
        <is>
          <t>PWC Dedicated Tech 29/07/2026</t>
        </is>
      </c>
      <c r="I16" s="51" t="inlineStr">
        <is>
          <t>Contract</t>
        </is>
      </c>
      <c r="J16" s="51" t="inlineStr">
        <is>
          <t>INV-10537</t>
        </is>
      </c>
      <c r="K16" s="51" t="inlineStr">
        <is>
          <t>GST 10%</t>
        </is>
      </c>
      <c r="L16" s="52" t="n">
        <v>340</v>
      </c>
      <c r="M16" s="53">
        <f>IF(L16="","",IF(K16="GST 10%",ROUND(L16*0.1,2),0))</f>
        <v/>
      </c>
      <c r="N16" s="53">
        <f>IF(L16="","",L16+M16)</f>
        <v/>
      </c>
      <c r="O16" s="51" t="inlineStr">
        <is>
          <t>41100</t>
        </is>
      </c>
      <c r="P16" s="51" t="inlineStr">
        <is>
          <t>Y</t>
        </is>
      </c>
      <c r="Q16" s="51" t="inlineStr">
        <is>
          <t>N</t>
        </is>
      </c>
      <c r="R16" s="51" t="inlineStr">
        <is>
          <t>Invoiced</t>
        </is>
      </c>
      <c r="S16" s="51" t="inlineStr">
        <is>
          <t>29/07/2026 4hours</t>
        </is>
      </c>
      <c r="T16" s="51" t="n"/>
      <c r="U16" s="51" t="inlineStr">
        <is>
          <t>N/A</t>
        </is>
      </c>
      <c r="V16" s="54" t="n"/>
      <c r="W16" s="51" t="n"/>
    </row>
    <row r="17" ht="15" customHeight="1">
      <c r="A17" s="48" t="n">
        <v>46234</v>
      </c>
      <c r="B17" s="49">
        <f>IF(A17="","",EOMONTH(A17,0))</f>
        <v/>
      </c>
      <c r="C17" s="50">
        <f>"Onsite"</f>
        <v/>
      </c>
      <c r="D17" s="51" t="inlineStr">
        <is>
          <t>ONSITE</t>
        </is>
      </c>
      <c r="E17" s="51" t="inlineStr">
        <is>
          <t>APN</t>
        </is>
      </c>
      <c r="F17" s="51" t="inlineStr">
        <is>
          <t>3056</t>
        </is>
      </c>
      <c r="G17" s="50">
        <f>IF(F17="","",IF(COUNTIF(lst_Jobs,F17&amp;"")&gt;0,"OK","CHECK"))</f>
        <v/>
      </c>
      <c r="H17" s="51" t="inlineStr">
        <is>
          <t>APN Tech Support July 22 &amp; 24</t>
        </is>
      </c>
      <c r="I17" s="51" t="inlineStr">
        <is>
          <t>Contract</t>
        </is>
      </c>
      <c r="J17" s="51" t="inlineStr">
        <is>
          <t>INV-10541</t>
        </is>
      </c>
      <c r="K17" s="51" t="inlineStr">
        <is>
          <t>GST 10%</t>
        </is>
      </c>
      <c r="L17" s="52" t="n">
        <v>680</v>
      </c>
      <c r="M17" s="53">
        <f>IF(L17="","",IF(K17="GST 10%",ROUND(L17*0.1,2),0))</f>
        <v/>
      </c>
      <c r="N17" s="53">
        <f>IF(L17="","",L17+M17)</f>
        <v/>
      </c>
      <c r="O17" s="51" t="inlineStr">
        <is>
          <t>41100</t>
        </is>
      </c>
      <c r="P17" s="51" t="inlineStr">
        <is>
          <t>Y</t>
        </is>
      </c>
      <c r="Q17" s="51" t="inlineStr">
        <is>
          <t>N</t>
        </is>
      </c>
      <c r="R17" s="51" t="inlineStr">
        <is>
          <t>Invoiced</t>
        </is>
      </c>
      <c r="S17" s="51" t="n"/>
      <c r="T17" s="51" t="n"/>
      <c r="U17" s="51" t="inlineStr">
        <is>
          <t>N/A</t>
        </is>
      </c>
      <c r="V17" s="54" t="n"/>
      <c r="W17" s="51" t="n"/>
    </row>
    <row r="18" ht="15" customHeight="1">
      <c r="A18" s="48" t="n">
        <v>46234</v>
      </c>
      <c r="B18" s="49">
        <f>IF(A18="","",EOMONTH(A18,0))</f>
        <v/>
      </c>
      <c r="C18" s="50">
        <f>"Onsite"</f>
        <v/>
      </c>
      <c r="D18" s="51" t="inlineStr">
        <is>
          <t>ONSITE</t>
        </is>
      </c>
      <c r="E18" s="51" t="inlineStr">
        <is>
          <t>PWC</t>
        </is>
      </c>
      <c r="F18" s="51" t="inlineStr">
        <is>
          <t>20250731</t>
        </is>
      </c>
      <c r="G18" s="50">
        <f>IF(F18="","",IF(COUNTIF(lst_Jobs,F18&amp;"")&gt;0,"OK","CHECK"))</f>
        <v/>
      </c>
      <c r="H18" s="51" t="inlineStr">
        <is>
          <t>PWC Pool of Hours (50 hours)</t>
        </is>
      </c>
      <c r="I18" s="51" t="inlineStr">
        <is>
          <t>Contract</t>
        </is>
      </c>
      <c r="J18" s="51" t="inlineStr">
        <is>
          <t>INV-10539</t>
        </is>
      </c>
      <c r="K18" s="51" t="inlineStr">
        <is>
          <t>GST 10%</t>
        </is>
      </c>
      <c r="L18" s="52" t="n">
        <v>4250</v>
      </c>
      <c r="M18" s="53">
        <f>IF(L18="","",IF(K18="GST 10%",ROUND(L18*0.1,2),0))</f>
        <v/>
      </c>
      <c r="N18" s="53">
        <f>IF(L18="","",L18+M18)</f>
        <v/>
      </c>
      <c r="O18" s="51" t="inlineStr">
        <is>
          <t>41100</t>
        </is>
      </c>
      <c r="P18" s="51" t="inlineStr">
        <is>
          <t>Y</t>
        </is>
      </c>
      <c r="Q18" s="51" t="inlineStr">
        <is>
          <t>N</t>
        </is>
      </c>
      <c r="R18" s="51" t="inlineStr">
        <is>
          <t>Invoiced</t>
        </is>
      </c>
      <c r="S18" s="51" t="inlineStr">
        <is>
          <t>PO2601703215</t>
        </is>
      </c>
      <c r="T18" s="51" t="n"/>
      <c r="U18" s="51" t="inlineStr">
        <is>
          <t>N/A</t>
        </is>
      </c>
      <c r="V18" s="54" t="n"/>
      <c r="W18" s="51" t="n"/>
    </row>
    <row r="19" ht="15" customHeight="1">
      <c r="A19" s="48" t="n">
        <v>46234</v>
      </c>
      <c r="B19" s="49">
        <f>IF(A19="","",EOMONTH(A19,0))</f>
        <v/>
      </c>
      <c r="C19" s="50">
        <f>"Onsite"</f>
        <v/>
      </c>
      <c r="D19" s="51" t="inlineStr">
        <is>
          <t>ONSITE</t>
        </is>
      </c>
      <c r="E19" s="51" t="inlineStr">
        <is>
          <t>CBA</t>
        </is>
      </c>
      <c r="F19" s="51" t="inlineStr">
        <is>
          <t>1668</t>
        </is>
      </c>
      <c r="G19" s="50">
        <f>IF(F19="","",IF(COUNTIF(lst_Jobs,F19&amp;"")&gt;0,"OK","CHECK"))</f>
        <v/>
      </c>
      <c r="H19" s="51" t="inlineStr">
        <is>
          <t>AH Support 02/07/2026</t>
        </is>
      </c>
      <c r="I19" s="51" t="inlineStr">
        <is>
          <t>Contract</t>
        </is>
      </c>
      <c r="J19" s="51" t="inlineStr">
        <is>
          <t>INV-10542</t>
        </is>
      </c>
      <c r="K19" s="51" t="inlineStr">
        <is>
          <t>GST 10%</t>
        </is>
      </c>
      <c r="L19" s="52" t="n">
        <v>180</v>
      </c>
      <c r="M19" s="53">
        <f>IF(L19="","",IF(K19="GST 10%",ROUND(L19*0.1,2),0))</f>
        <v/>
      </c>
      <c r="N19" s="53">
        <f>IF(L19="","",L19+M19)</f>
        <v/>
      </c>
      <c r="O19" s="51" t="inlineStr">
        <is>
          <t>41100</t>
        </is>
      </c>
      <c r="P19" s="51" t="inlineStr">
        <is>
          <t>Y</t>
        </is>
      </c>
      <c r="Q19" s="51" t="inlineStr">
        <is>
          <t>N</t>
        </is>
      </c>
      <c r="R19" s="51" t="inlineStr">
        <is>
          <t>Invoiced</t>
        </is>
      </c>
      <c r="S19" s="51" t="n"/>
      <c r="T19" s="51" t="n"/>
      <c r="U19" s="51" t="inlineStr">
        <is>
          <t>N/A</t>
        </is>
      </c>
      <c r="V19" s="54" t="n"/>
      <c r="W19" s="51" t="n"/>
    </row>
    <row r="20" ht="15" customHeight="1">
      <c r="A20" s="48" t="n">
        <v>46234</v>
      </c>
      <c r="B20" s="49">
        <f>IF(A20="","",EOMONTH(A20,0))</f>
        <v/>
      </c>
      <c r="C20" s="50">
        <f>"Onsite"</f>
        <v/>
      </c>
      <c r="D20" s="51" t="inlineStr">
        <is>
          <t>ONSITE</t>
        </is>
      </c>
      <c r="E20" s="51" t="inlineStr">
        <is>
          <t>CBA</t>
        </is>
      </c>
      <c r="F20" s="51" t="inlineStr">
        <is>
          <t>1668</t>
        </is>
      </c>
      <c r="G20" s="50">
        <f>IF(F20="","",IF(COUNTIF(lst_Jobs,F20&amp;"")&gt;0,"OK","CHECK"))</f>
        <v/>
      </c>
      <c r="H20" s="51" t="inlineStr">
        <is>
          <t>DT Support 02/07/2026</t>
        </is>
      </c>
      <c r="I20" s="51" t="inlineStr">
        <is>
          <t>Contract</t>
        </is>
      </c>
      <c r="J20" s="51" t="inlineStr">
        <is>
          <t>INV-10543</t>
        </is>
      </c>
      <c r="K20" s="51" t="inlineStr">
        <is>
          <t>GST 10%</t>
        </is>
      </c>
      <c r="L20" s="52" t="n">
        <v>425</v>
      </c>
      <c r="M20" s="53">
        <f>IF(L20="","",IF(K20="GST 10%",ROUND(L20*0.1,2),0))</f>
        <v/>
      </c>
      <c r="N20" s="53">
        <f>IF(L20="","",L20+M20)</f>
        <v/>
      </c>
      <c r="O20" s="51" t="inlineStr">
        <is>
          <t>41100</t>
        </is>
      </c>
      <c r="P20" s="51" t="inlineStr">
        <is>
          <t>Y</t>
        </is>
      </c>
      <c r="Q20" s="51" t="inlineStr">
        <is>
          <t>N</t>
        </is>
      </c>
      <c r="R20" s="51" t="inlineStr">
        <is>
          <t>Invoiced</t>
        </is>
      </c>
      <c r="S20" s="51" t="n"/>
      <c r="T20" s="51" t="n"/>
      <c r="U20" s="51" t="inlineStr">
        <is>
          <t>N/A</t>
        </is>
      </c>
      <c r="V20" s="54" t="n"/>
      <c r="W20" s="51" t="n"/>
    </row>
    <row r="21" ht="15" customHeight="1">
      <c r="A21" s="48" t="n">
        <v>46234</v>
      </c>
      <c r="B21" s="49">
        <f>IF(A21="","",EOMONTH(A21,0))</f>
        <v/>
      </c>
      <c r="C21" s="50">
        <f>"Onsite"</f>
        <v/>
      </c>
      <c r="D21" s="51" t="inlineStr">
        <is>
          <t>ONSITE</t>
        </is>
      </c>
      <c r="E21" s="51" t="inlineStr">
        <is>
          <t>CBA</t>
        </is>
      </c>
      <c r="F21" s="51" t="inlineStr">
        <is>
          <t>1668</t>
        </is>
      </c>
      <c r="G21" s="50">
        <f>IF(F21="","",IF(COUNTIF(lst_Jobs,F21&amp;"")&gt;0,"OK","CHECK"))</f>
        <v/>
      </c>
      <c r="H21" s="51" t="inlineStr">
        <is>
          <t>DT Support 23/07/2026</t>
        </is>
      </c>
      <c r="I21" s="51" t="inlineStr">
        <is>
          <t>Contract</t>
        </is>
      </c>
      <c r="J21" s="51" t="inlineStr">
        <is>
          <t>INV-10544</t>
        </is>
      </c>
      <c r="K21" s="51" t="inlineStr">
        <is>
          <t>GST 10%</t>
        </is>
      </c>
      <c r="L21" s="52" t="n">
        <v>510</v>
      </c>
      <c r="M21" s="53">
        <f>IF(L21="","",IF(K21="GST 10%",ROUND(L21*0.1,2),0))</f>
        <v/>
      </c>
      <c r="N21" s="53">
        <f>IF(L21="","",L21+M21)</f>
        <v/>
      </c>
      <c r="O21" s="51" t="inlineStr">
        <is>
          <t>41100</t>
        </is>
      </c>
      <c r="P21" s="51" t="inlineStr">
        <is>
          <t>Y</t>
        </is>
      </c>
      <c r="Q21" s="51" t="inlineStr">
        <is>
          <t>N</t>
        </is>
      </c>
      <c r="R21" s="51" t="inlineStr">
        <is>
          <t>Invoiced</t>
        </is>
      </c>
      <c r="S21" s="51" t="n"/>
      <c r="T21" s="51" t="n"/>
      <c r="U21" s="51" t="inlineStr">
        <is>
          <t>N/A</t>
        </is>
      </c>
      <c r="V21" s="54" t="n"/>
      <c r="W21" s="51" t="n"/>
    </row>
    <row r="22" ht="15" customHeight="1">
      <c r="A22" s="48" t="n">
        <v>46233</v>
      </c>
      <c r="B22" s="49">
        <f>IF(A22="","",EOMONTH(A22,0))</f>
        <v/>
      </c>
      <c r="C22" s="50">
        <f>"Onsite"</f>
        <v/>
      </c>
      <c r="D22" s="51" t="inlineStr">
        <is>
          <t>ONSITE</t>
        </is>
      </c>
      <c r="E22" s="51" t="inlineStr">
        <is>
          <t>PWC</t>
        </is>
      </c>
      <c r="F22" s="51" t="inlineStr">
        <is>
          <t>2540</t>
        </is>
      </c>
      <c r="G22" s="50">
        <f>IF(F22="","",IF(COUNTIF(lst_Jobs,F22&amp;"")&gt;0,"OK","CHECK"))</f>
        <v/>
      </c>
      <c r="H22" s="51" t="inlineStr">
        <is>
          <t>PWC Dedicated Tech 30/07/2026</t>
        </is>
      </c>
      <c r="I22" s="51" t="inlineStr">
        <is>
          <t>Contract</t>
        </is>
      </c>
      <c r="J22" s="51" t="inlineStr">
        <is>
          <t>INV-10545</t>
        </is>
      </c>
      <c r="K22" s="51" t="inlineStr">
        <is>
          <t>GST 10%</t>
        </is>
      </c>
      <c r="L22" s="52" t="n">
        <v>340</v>
      </c>
      <c r="M22" s="53">
        <f>IF(L22="","",IF(K22="GST 10%",ROUND(L22*0.1,2),0))</f>
        <v/>
      </c>
      <c r="N22" s="53">
        <f>IF(L22="","",L22+M22)</f>
        <v/>
      </c>
      <c r="O22" s="51" t="inlineStr">
        <is>
          <t>41100</t>
        </is>
      </c>
      <c r="P22" s="51" t="inlineStr">
        <is>
          <t>Y</t>
        </is>
      </c>
      <c r="Q22" s="51" t="inlineStr">
        <is>
          <t>N</t>
        </is>
      </c>
      <c r="R22" s="51" t="inlineStr">
        <is>
          <t>Invoiced</t>
        </is>
      </c>
      <c r="S22" s="51" t="inlineStr">
        <is>
          <t>PO2601703274</t>
        </is>
      </c>
      <c r="T22" s="51" t="n"/>
      <c r="U22" s="51" t="inlineStr">
        <is>
          <t>N/A</t>
        </is>
      </c>
      <c r="V22" s="54" t="n"/>
      <c r="W22" s="51" t="n"/>
    </row>
    <row r="23" ht="15" customHeight="1">
      <c r="A23" s="48" t="n">
        <v>46233</v>
      </c>
      <c r="B23" s="49">
        <f>IF(A23="","",EOMONTH(A23,0))</f>
        <v/>
      </c>
      <c r="C23" s="50">
        <f>"Onsite"</f>
        <v/>
      </c>
      <c r="D23" s="51" t="inlineStr">
        <is>
          <t>ONSITE</t>
        </is>
      </c>
      <c r="E23" s="51" t="inlineStr">
        <is>
          <t>DTTL</t>
        </is>
      </c>
      <c r="F23" s="51" t="inlineStr">
        <is>
          <t>26062501/2347</t>
        </is>
      </c>
      <c r="G23" s="50">
        <f>IF(F23="","",IF(COUNTIF(lst_Jobs,F23&amp;"")&gt;0,"OK","CHECK"))</f>
        <v/>
      </c>
      <c r="H23" s="51" t="inlineStr">
        <is>
          <t>DH Travel 06-07/07 &amp; Ad-hoc Tech Support 30/07 &amp; Market Shapers</t>
        </is>
      </c>
      <c r="I23" s="51" t="inlineStr">
        <is>
          <t>Contract</t>
        </is>
      </c>
      <c r="J23" s="51" t="inlineStr">
        <is>
          <t>INV-10546</t>
        </is>
      </c>
      <c r="K23" s="51" t="inlineStr">
        <is>
          <t>GST 10%</t>
        </is>
      </c>
      <c r="L23" s="52" t="n">
        <v>1672.5</v>
      </c>
      <c r="M23" s="53">
        <f>IF(L23="","",IF(K23="GST 10%",ROUND(L23*0.1,2),0))</f>
        <v/>
      </c>
      <c r="N23" s="53">
        <f>IF(L23="","",L23+M23)</f>
        <v/>
      </c>
      <c r="O23" s="51" t="inlineStr">
        <is>
          <t>41100</t>
        </is>
      </c>
      <c r="P23" s="51" t="inlineStr">
        <is>
          <t>Y</t>
        </is>
      </c>
      <c r="Q23" s="51" t="inlineStr">
        <is>
          <t>N</t>
        </is>
      </c>
      <c r="R23" s="51" t="inlineStr">
        <is>
          <t>Invoiced</t>
        </is>
      </c>
      <c r="S23" s="51" t="n"/>
      <c r="T23" s="51" t="n"/>
      <c r="U23" s="51" t="inlineStr">
        <is>
          <t>N/A</t>
        </is>
      </c>
      <c r="V23" s="54" t="n"/>
      <c r="W23" s="51" t="n"/>
    </row>
    <row r="24" ht="15" customHeight="1">
      <c r="A24" s="48" t="n">
        <v>46233</v>
      </c>
      <c r="B24" s="49">
        <f>IF(A24="","",EOMONTH(A24,0))</f>
        <v/>
      </c>
      <c r="C24" s="50">
        <f>"Onsite"</f>
        <v/>
      </c>
      <c r="D24" s="51" t="inlineStr">
        <is>
          <t>ONSITE</t>
        </is>
      </c>
      <c r="E24" s="51" t="inlineStr">
        <is>
          <t>APN</t>
        </is>
      </c>
      <c r="F24" s="51" t="inlineStr">
        <is>
          <t>2026021101</t>
        </is>
      </c>
      <c r="G24" s="50">
        <f>IF(F24="","",IF(COUNTIF(lst_Jobs,F24&amp;"")&gt;0,"OK","CHECK"))</f>
        <v/>
      </c>
      <c r="H24" s="51" t="inlineStr">
        <is>
          <t>APN Quarterly AV Support</t>
        </is>
      </c>
      <c r="I24" s="51" t="inlineStr">
        <is>
          <t>Contract</t>
        </is>
      </c>
      <c r="J24" s="51" t="inlineStr">
        <is>
          <t>INV-10550</t>
        </is>
      </c>
      <c r="K24" s="51" t="inlineStr">
        <is>
          <t>GST 10%</t>
        </is>
      </c>
      <c r="L24" s="52" t="n">
        <v>1670</v>
      </c>
      <c r="M24" s="53">
        <f>IF(L24="","",IF(K24="GST 10%",ROUND(L24*0.1,2),0))</f>
        <v/>
      </c>
      <c r="N24" s="53">
        <f>IF(L24="","",L24+M24)</f>
        <v/>
      </c>
      <c r="O24" s="51" t="inlineStr">
        <is>
          <t>41100</t>
        </is>
      </c>
      <c r="P24" s="51" t="inlineStr">
        <is>
          <t>Y</t>
        </is>
      </c>
      <c r="Q24" s="51" t="inlineStr">
        <is>
          <t>N</t>
        </is>
      </c>
      <c r="R24" s="51" t="inlineStr">
        <is>
          <t>Invoiced</t>
        </is>
      </c>
      <c r="S24" s="51" t="inlineStr">
        <is>
          <t>Invoice 1/2</t>
        </is>
      </c>
      <c r="T24" s="51" t="n"/>
      <c r="U24" s="51" t="inlineStr">
        <is>
          <t>N/A</t>
        </is>
      </c>
      <c r="V24" s="54" t="n"/>
      <c r="W24" s="51" t="n"/>
    </row>
    <row r="25" ht="15" customHeight="1">
      <c r="A25" s="48" t="n">
        <v>46234</v>
      </c>
      <c r="B25" s="49">
        <f>IF(A25="","",EOMONTH(A25,0))</f>
        <v/>
      </c>
      <c r="C25" s="50">
        <f>"Onsite"</f>
        <v/>
      </c>
      <c r="D25" s="51" t="inlineStr">
        <is>
          <t>ONSITE</t>
        </is>
      </c>
      <c r="E25" s="51" t="inlineStr">
        <is>
          <t>Aware Super</t>
        </is>
      </c>
      <c r="F25" s="51" t="inlineStr">
        <is>
          <t>26022301</t>
        </is>
      </c>
      <c r="G25" s="50">
        <f>IF(F25="","",IF(COUNTIF(lst_Jobs,F25&amp;"")&gt;0,"OK","CHECK"))</f>
        <v/>
      </c>
      <c r="H25" s="51" t="inlineStr">
        <is>
          <t>Aware Super Contract July 2026</t>
        </is>
      </c>
      <c r="I25" s="51" t="inlineStr">
        <is>
          <t>Contract</t>
        </is>
      </c>
      <c r="J25" s="51" t="inlineStr">
        <is>
          <t>INV-10551</t>
        </is>
      </c>
      <c r="K25" s="51" t="inlineStr">
        <is>
          <t>GST 10%</t>
        </is>
      </c>
      <c r="L25" s="52" t="n">
        <v>11000</v>
      </c>
      <c r="M25" s="53">
        <f>IF(L25="","",IF(K25="GST 10%",ROUND(L25*0.1,2),0))</f>
        <v/>
      </c>
      <c r="N25" s="53">
        <f>IF(L25="","",L25+M25)</f>
        <v/>
      </c>
      <c r="O25" s="51" t="inlineStr">
        <is>
          <t>41100</t>
        </is>
      </c>
      <c r="P25" s="51" t="inlineStr">
        <is>
          <t>Y</t>
        </is>
      </c>
      <c r="Q25" s="51" t="inlineStr">
        <is>
          <t>N</t>
        </is>
      </c>
      <c r="R25" s="51" t="inlineStr">
        <is>
          <t>Invoiced</t>
        </is>
      </c>
      <c r="S25" s="51" t="n"/>
      <c r="T25" s="51" t="n"/>
      <c r="U25" s="51" t="inlineStr">
        <is>
          <t>N/A</t>
        </is>
      </c>
      <c r="V25" s="54" t="n"/>
      <c r="W25" s="51" t="n"/>
    </row>
    <row r="26" ht="15" customHeight="1">
      <c r="A26" s="48" t="n">
        <v>46265</v>
      </c>
      <c r="B26" s="49">
        <f>IF(A26="","",EOMONTH(A26,0))</f>
        <v/>
      </c>
      <c r="C26" s="50">
        <f>"Onsite"</f>
        <v/>
      </c>
      <c r="D26" s="51" t="inlineStr">
        <is>
          <t>ONSITE</t>
        </is>
      </c>
      <c r="E26" s="51" t="inlineStr">
        <is>
          <t>DTTL</t>
        </is>
      </c>
      <c r="F26" s="51" t="inlineStr">
        <is>
          <t>2608502</t>
        </is>
      </c>
      <c r="G26" s="50">
        <f>IF(F26="","",IF(COUNTIF(lst_Jobs,F26&amp;"")&gt;0,"OK","CHECK"))</f>
        <v/>
      </c>
      <c r="H26" s="51" t="inlineStr">
        <is>
          <t>DTTL Additionals August 2026</t>
        </is>
      </c>
      <c r="I26" s="51" t="inlineStr">
        <is>
          <t>Contract</t>
        </is>
      </c>
      <c r="J26" s="51" t="inlineStr">
        <is>
          <t>INV-10597</t>
        </is>
      </c>
      <c r="K26" s="51" t="inlineStr">
        <is>
          <t>GST 10%</t>
        </is>
      </c>
      <c r="L26" s="52" t="n">
        <v>1275</v>
      </c>
      <c r="M26" s="53">
        <f>IF(L26="","",IF(K26="GST 10%",ROUND(L26*0.1,2),0))</f>
        <v/>
      </c>
      <c r="N26" s="53">
        <f>IF(L26="","",L26+M26)</f>
        <v/>
      </c>
      <c r="O26" s="51" t="inlineStr">
        <is>
          <t>41100</t>
        </is>
      </c>
      <c r="P26" s="51" t="inlineStr">
        <is>
          <t>Y</t>
        </is>
      </c>
      <c r="Q26" s="51" t="inlineStr">
        <is>
          <t>N</t>
        </is>
      </c>
      <c r="R26" s="51" t="inlineStr">
        <is>
          <t>Invoiced</t>
        </is>
      </c>
      <c r="S26" s="51" t="inlineStr">
        <is>
          <t xml:space="preserve">8419.62 differe from invoice amount </t>
        </is>
      </c>
      <c r="T26" s="51" t="n"/>
      <c r="U26" s="51" t="inlineStr">
        <is>
          <t>N/A</t>
        </is>
      </c>
      <c r="V26" s="54" t="n"/>
      <c r="W26" s="51" t="n"/>
    </row>
    <row r="27" ht="15" customHeight="1">
      <c r="A27" s="48" t="n">
        <v>46265</v>
      </c>
      <c r="B27" s="49">
        <f>IF(A27="","",EOMONTH(A27,0))</f>
        <v/>
      </c>
      <c r="C27" s="50">
        <f>"Onsite"</f>
        <v/>
      </c>
      <c r="D27" s="51" t="inlineStr">
        <is>
          <t>ONSITE</t>
        </is>
      </c>
      <c r="E27" s="51" t="inlineStr">
        <is>
          <t>PWC</t>
        </is>
      </c>
      <c r="F27" s="51" t="inlineStr">
        <is>
          <t>26073102</t>
        </is>
      </c>
      <c r="G27" s="50">
        <f>IF(F27="","",IF(COUNTIF(lst_Jobs,F27&amp;"")&gt;0,"OK","CHECK"))</f>
        <v/>
      </c>
      <c r="H27" s="51" t="inlineStr">
        <is>
          <t>Pool of Hours - National AV/IT Support</t>
        </is>
      </c>
      <c r="I27" s="51" t="inlineStr">
        <is>
          <t>Contract</t>
        </is>
      </c>
      <c r="J27" s="51" t="inlineStr">
        <is>
          <t>INV-10598</t>
        </is>
      </c>
      <c r="K27" s="51" t="inlineStr">
        <is>
          <t>GST 10%</t>
        </is>
      </c>
      <c r="L27" s="52" t="n">
        <v>8500</v>
      </c>
      <c r="M27" s="53">
        <f>IF(L27="","",IF(K27="GST 10%",ROUND(L27*0.1,2),0))</f>
        <v/>
      </c>
      <c r="N27" s="53">
        <f>IF(L27="","",L27+M27)</f>
        <v/>
      </c>
      <c r="O27" s="51" t="inlineStr">
        <is>
          <t>41100</t>
        </is>
      </c>
      <c r="P27" s="51" t="inlineStr">
        <is>
          <t>Y</t>
        </is>
      </c>
      <c r="Q27" s="51" t="inlineStr">
        <is>
          <t>N</t>
        </is>
      </c>
      <c r="R27" s="51" t="inlineStr">
        <is>
          <t>Invoiced</t>
        </is>
      </c>
      <c r="S27" s="51" t="n"/>
      <c r="T27" s="51" t="n"/>
      <c r="U27" s="51" t="inlineStr">
        <is>
          <t>N/A</t>
        </is>
      </c>
      <c r="V27" s="54" t="n"/>
      <c r="W27" s="51" t="n"/>
    </row>
    <row r="28" ht="15" customHeight="1">
      <c r="A28" s="48" t="n">
        <v>46265</v>
      </c>
      <c r="B28" s="49">
        <f>IF(A28="","",EOMONTH(A28,0))</f>
        <v/>
      </c>
      <c r="C28" s="50">
        <f>"Onsite"</f>
        <v/>
      </c>
      <c r="D28" s="51" t="inlineStr">
        <is>
          <t>ONSITE</t>
        </is>
      </c>
      <c r="E28" s="51" t="inlineStr">
        <is>
          <t>CBA</t>
        </is>
      </c>
      <c r="F28" s="51" t="inlineStr">
        <is>
          <t>1350</t>
        </is>
      </c>
      <c r="G28" s="50">
        <f>IF(F28="","",IF(COUNTIF(lst_Jobs,F28&amp;"")&gt;0,"OK","CHECK"))</f>
        <v/>
      </c>
      <c r="H28" s="51" t="inlineStr">
        <is>
          <t>CBA BNE August 2026</t>
        </is>
      </c>
      <c r="I28" s="51" t="inlineStr">
        <is>
          <t>Contract</t>
        </is>
      </c>
      <c r="J28" s="51" t="inlineStr">
        <is>
          <t>INV-10565</t>
        </is>
      </c>
      <c r="K28" s="51" t="inlineStr">
        <is>
          <t>GST 10%</t>
        </is>
      </c>
      <c r="L28" s="52" t="n">
        <v>8022.5</v>
      </c>
      <c r="M28" s="53">
        <f>IF(L28="","",IF(K28="GST 10%",ROUND(L28*0.1,2),0))</f>
        <v/>
      </c>
      <c r="N28" s="53">
        <f>IF(L28="","",L28+M28)</f>
        <v/>
      </c>
      <c r="O28" s="51" t="inlineStr">
        <is>
          <t>41100</t>
        </is>
      </c>
      <c r="P28" s="51" t="inlineStr">
        <is>
          <t>Y</t>
        </is>
      </c>
      <c r="Q28" s="51" t="inlineStr">
        <is>
          <t>N</t>
        </is>
      </c>
      <c r="R28" s="51" t="inlineStr">
        <is>
          <t>Invoiced</t>
        </is>
      </c>
      <c r="S28" s="51" t="n"/>
      <c r="T28" s="51" t="n"/>
      <c r="U28" s="51" t="inlineStr">
        <is>
          <t>N/A</t>
        </is>
      </c>
      <c r="V28" s="54" t="n"/>
      <c r="W28" s="51" t="n"/>
    </row>
    <row r="29" ht="15" customHeight="1">
      <c r="A29" s="48" t="n"/>
      <c r="B29" s="49">
        <f>IF(A29="","",EOMONTH(A29,0))</f>
        <v/>
      </c>
      <c r="C29" s="50">
        <f>"Onsite"</f>
        <v/>
      </c>
      <c r="D29" s="51" t="inlineStr">
        <is>
          <t>ONSITE</t>
        </is>
      </c>
      <c r="E29" s="51" t="inlineStr">
        <is>
          <t>CBA</t>
        </is>
      </c>
      <c r="F29" s="51" t="inlineStr">
        <is>
          <t>585/586/1755</t>
        </is>
      </c>
      <c r="G29" s="50">
        <f>IF(F29="","",IF(COUNTIF(lst_Jobs,F29&amp;"")&gt;0,"OK","CHECK"))</f>
        <v/>
      </c>
      <c r="H29" s="51" t="inlineStr">
        <is>
          <t>CBP August 2026</t>
        </is>
      </c>
      <c r="I29" s="51" t="inlineStr">
        <is>
          <t>Contract</t>
        </is>
      </c>
      <c r="J29" s="51" t="n"/>
      <c r="K29" s="51" t="inlineStr">
        <is>
          <t>GST 10%</t>
        </is>
      </c>
      <c r="L29" s="52" t="n"/>
      <c r="M29" s="53">
        <f>IF(L29="","",IF(K29="GST 10%",ROUND(L29*0.1,2),0))</f>
        <v/>
      </c>
      <c r="N29" s="53">
        <f>IF(L29="","",L29+M29)</f>
        <v/>
      </c>
      <c r="O29" s="51" t="inlineStr">
        <is>
          <t>41100</t>
        </is>
      </c>
      <c r="P29" s="51" t="inlineStr">
        <is>
          <t>N</t>
        </is>
      </c>
      <c r="Q29" s="51" t="inlineStr">
        <is>
          <t>N</t>
        </is>
      </c>
      <c r="R29" s="51" t="inlineStr">
        <is>
          <t>To Invoice</t>
        </is>
      </c>
      <c r="S29" s="51" t="n"/>
      <c r="T29" s="51" t="n"/>
      <c r="U29" s="51" t="inlineStr">
        <is>
          <t>N/A</t>
        </is>
      </c>
      <c r="V29" s="54" t="n"/>
      <c r="W29" s="51" t="n"/>
    </row>
    <row r="30" ht="15" customHeight="1">
      <c r="A30" s="48" t="n"/>
      <c r="B30" s="49">
        <f>IF(A30="","",EOMONTH(A30,0))</f>
        <v/>
      </c>
      <c r="C30" s="50">
        <f>"Onsite"</f>
        <v/>
      </c>
      <c r="D30" s="51" t="inlineStr">
        <is>
          <t>ONSITE</t>
        </is>
      </c>
      <c r="E30" s="51" t="inlineStr">
        <is>
          <t>CBA</t>
        </is>
      </c>
      <c r="F30" s="51" t="inlineStr">
        <is>
          <t>587</t>
        </is>
      </c>
      <c r="G30" s="50">
        <f>IF(F30="","",IF(COUNTIF(lst_Jobs,F30&amp;"")&gt;0,"OK","CHECK"))</f>
        <v/>
      </c>
      <c r="H30" s="51" t="inlineStr">
        <is>
          <t>CBS August 2026</t>
        </is>
      </c>
      <c r="I30" s="51" t="inlineStr">
        <is>
          <t>Contract</t>
        </is>
      </c>
      <c r="J30" s="51" t="n"/>
      <c r="K30" s="51" t="inlineStr">
        <is>
          <t>GST 10%</t>
        </is>
      </c>
      <c r="L30" s="52" t="n"/>
      <c r="M30" s="53">
        <f>IF(L30="","",IF(K30="GST 10%",ROUND(L30*0.1,2),0))</f>
        <v/>
      </c>
      <c r="N30" s="53">
        <f>IF(L30="","",L30+M30)</f>
        <v/>
      </c>
      <c r="O30" s="51" t="inlineStr">
        <is>
          <t>41100</t>
        </is>
      </c>
      <c r="P30" s="51" t="inlineStr">
        <is>
          <t>N</t>
        </is>
      </c>
      <c r="Q30" s="51" t="inlineStr">
        <is>
          <t>N</t>
        </is>
      </c>
      <c r="R30" s="51" t="inlineStr">
        <is>
          <t>To Invoice</t>
        </is>
      </c>
      <c r="S30" s="51" t="n"/>
      <c r="T30" s="51" t="n"/>
      <c r="U30" s="51" t="inlineStr">
        <is>
          <t>N/A</t>
        </is>
      </c>
      <c r="V30" s="54" t="n"/>
      <c r="W30" s="51" t="n"/>
    </row>
    <row r="31" ht="15" customHeight="1">
      <c r="A31" s="48" t="n">
        <v>46265</v>
      </c>
      <c r="B31" s="49">
        <f>IF(A31="","",EOMONTH(A31,0))</f>
        <v/>
      </c>
      <c r="C31" s="50">
        <f>"Onsite"</f>
        <v/>
      </c>
      <c r="D31" s="51" t="inlineStr">
        <is>
          <t>ONSITE</t>
        </is>
      </c>
      <c r="E31" s="51" t="inlineStr">
        <is>
          <t>DTTL</t>
        </is>
      </c>
      <c r="F31" s="51" t="inlineStr">
        <is>
          <t>2846/1401/725/1400/1530/1862/2402/2849/974</t>
        </is>
      </c>
      <c r="G31" s="50">
        <f>IF(F31="","",IF(COUNTIF(lst_Jobs,F31&amp;"")&gt;0,"OK","CHECK"))</f>
        <v/>
      </c>
      <c r="H31" s="51" t="inlineStr">
        <is>
          <t>DTTL Contract August 2026</t>
        </is>
      </c>
      <c r="I31" s="51" t="inlineStr">
        <is>
          <t>Contract</t>
        </is>
      </c>
      <c r="J31" s="51" t="inlineStr">
        <is>
          <t>INV-10569</t>
        </is>
      </c>
      <c r="K31" s="51" t="inlineStr">
        <is>
          <t>GST 10%</t>
        </is>
      </c>
      <c r="L31" s="52" t="n">
        <v>103625.44</v>
      </c>
      <c r="M31" s="53">
        <f>IF(L31="","",IF(K31="GST 10%",ROUND(L31*0.1,2),0))</f>
        <v/>
      </c>
      <c r="N31" s="53">
        <f>IF(L31="","",L31+M31)</f>
        <v/>
      </c>
      <c r="O31" s="51" t="inlineStr">
        <is>
          <t>41100</t>
        </is>
      </c>
      <c r="P31" s="51" t="inlineStr">
        <is>
          <t>Y</t>
        </is>
      </c>
      <c r="Q31" s="51" t="inlineStr">
        <is>
          <t>N</t>
        </is>
      </c>
      <c r="R31" s="51" t="inlineStr">
        <is>
          <t>Invoiced</t>
        </is>
      </c>
      <c r="S31" s="51" t="n"/>
      <c r="T31" s="51" t="n"/>
      <c r="U31" s="51" t="inlineStr">
        <is>
          <t>N/A</t>
        </is>
      </c>
      <c r="V31" s="54" t="n"/>
      <c r="W31" s="51" t="n"/>
    </row>
    <row r="32" ht="15" customHeight="1">
      <c r="A32" s="48" t="n">
        <v>46265</v>
      </c>
      <c r="B32" s="49">
        <f>IF(A32="","",EOMONTH(A32,0))</f>
        <v/>
      </c>
      <c r="C32" s="50">
        <f>"Onsite"</f>
        <v/>
      </c>
      <c r="D32" s="51" t="inlineStr">
        <is>
          <t>ONSITE</t>
        </is>
      </c>
      <c r="E32" s="51" t="inlineStr">
        <is>
          <t>BW</t>
        </is>
      </c>
      <c r="F32" s="51" t="inlineStr">
        <is>
          <t>732/1144</t>
        </is>
      </c>
      <c r="G32" s="50">
        <f>IF(F32="","",IF(COUNTIF(lst_Jobs,F32&amp;"")&gt;0,"OK","CHECK"))</f>
        <v/>
      </c>
      <c r="H32" s="51" t="inlineStr">
        <is>
          <t>BW Contract August 2026</t>
        </is>
      </c>
      <c r="I32" s="51" t="inlineStr">
        <is>
          <t>Contract</t>
        </is>
      </c>
      <c r="J32" s="51" t="inlineStr">
        <is>
          <t>INV-10570</t>
        </is>
      </c>
      <c r="K32" s="51" t="inlineStr">
        <is>
          <t>GST 10%</t>
        </is>
      </c>
      <c r="L32" s="52" t="n">
        <v>15113.75</v>
      </c>
      <c r="M32" s="53">
        <f>IF(L32="","",IF(K32="GST 10%",ROUND(L32*0.1,2),0))</f>
        <v/>
      </c>
      <c r="N32" s="53">
        <f>IF(L32="","",L32+M32)</f>
        <v/>
      </c>
      <c r="O32" s="51" t="inlineStr">
        <is>
          <t>41100</t>
        </is>
      </c>
      <c r="P32" s="51" t="inlineStr">
        <is>
          <t>Y</t>
        </is>
      </c>
      <c r="Q32" s="51" t="inlineStr">
        <is>
          <t>N</t>
        </is>
      </c>
      <c r="R32" s="51" t="inlineStr">
        <is>
          <t>Invoiced</t>
        </is>
      </c>
      <c r="S32" s="51" t="n"/>
      <c r="T32" s="51" t="n"/>
      <c r="U32" s="51" t="inlineStr">
        <is>
          <t>N/A</t>
        </is>
      </c>
      <c r="V32" s="54" t="n"/>
      <c r="W32" s="51" t="n"/>
    </row>
    <row r="33" ht="15" customHeight="1">
      <c r="A33" s="48" t="n">
        <v>46265</v>
      </c>
      <c r="B33" s="49">
        <f>IF(A33="","",EOMONTH(A33,0))</f>
        <v/>
      </c>
      <c r="C33" s="50">
        <f>"Onsite"</f>
        <v/>
      </c>
      <c r="D33" s="51" t="inlineStr">
        <is>
          <t>ONSITE</t>
        </is>
      </c>
      <c r="E33" s="51" t="inlineStr">
        <is>
          <t>BW</t>
        </is>
      </c>
      <c r="F33" s="51" t="inlineStr">
        <is>
          <t>2192</t>
        </is>
      </c>
      <c r="G33" s="50">
        <f>IF(F33="","",IF(COUNTIF(lst_Jobs,F33&amp;"")&gt;0,"OK","CHECK"))</f>
        <v/>
      </c>
      <c r="H33" s="51" t="inlineStr">
        <is>
          <t>BW Additionals August 2026</t>
        </is>
      </c>
      <c r="I33" s="51" t="inlineStr">
        <is>
          <t>Contract</t>
        </is>
      </c>
      <c r="J33" s="51" t="inlineStr">
        <is>
          <t>INV-10571</t>
        </is>
      </c>
      <c r="K33" s="51" t="inlineStr">
        <is>
          <t>GST 10%</t>
        </is>
      </c>
      <c r="L33" s="52" t="n">
        <v>2080</v>
      </c>
      <c r="M33" s="53">
        <f>IF(L33="","",IF(K33="GST 10%",ROUND(L33*0.1,2),0))</f>
        <v/>
      </c>
      <c r="N33" s="53">
        <f>IF(L33="","",L33+M33)</f>
        <v/>
      </c>
      <c r="O33" s="51" t="inlineStr">
        <is>
          <t>41100</t>
        </is>
      </c>
      <c r="P33" s="51" t="inlineStr">
        <is>
          <t>Y</t>
        </is>
      </c>
      <c r="Q33" s="51" t="inlineStr">
        <is>
          <t>N</t>
        </is>
      </c>
      <c r="R33" s="51" t="inlineStr">
        <is>
          <t>Invoiced</t>
        </is>
      </c>
      <c r="S33" s="51" t="n"/>
      <c r="T33" s="51" t="n"/>
      <c r="U33" s="51" t="inlineStr">
        <is>
          <t>N/A</t>
        </is>
      </c>
      <c r="V33" s="54" t="n"/>
      <c r="W33" s="51" t="n"/>
    </row>
    <row r="34" ht="15" customHeight="1">
      <c r="A34" s="48" t="n">
        <v>46265</v>
      </c>
      <c r="B34" s="49">
        <f>IF(A34="","",EOMONTH(A34,0))</f>
        <v/>
      </c>
      <c r="C34" s="50">
        <f>"Onsite"</f>
        <v/>
      </c>
      <c r="D34" s="51" t="inlineStr">
        <is>
          <t>ONSITE</t>
        </is>
      </c>
      <c r="E34" s="51" t="inlineStr">
        <is>
          <t>PWC</t>
        </is>
      </c>
      <c r="F34" s="51" t="inlineStr">
        <is>
          <t>2488</t>
        </is>
      </c>
      <c r="G34" s="50">
        <f>IF(F34="","",IF(COUNTIF(lst_Jobs,F34&amp;"")&gt;0,"OK","CHECK"))</f>
        <v/>
      </c>
      <c r="H34" s="51" t="inlineStr">
        <is>
          <t>PWC Brisbane August 2026</t>
        </is>
      </c>
      <c r="I34" s="51" t="inlineStr">
        <is>
          <t>Contract</t>
        </is>
      </c>
      <c r="J34" s="51" t="inlineStr">
        <is>
          <t>INV-10572</t>
        </is>
      </c>
      <c r="K34" s="51" t="inlineStr">
        <is>
          <t>GST 10%</t>
        </is>
      </c>
      <c r="L34" s="52" t="n">
        <v>7150</v>
      </c>
      <c r="M34" s="53">
        <f>IF(L34="","",IF(K34="GST 10%",ROUND(L34*0.1,2),0))</f>
        <v/>
      </c>
      <c r="N34" s="53">
        <f>IF(L34="","",L34+M34)</f>
        <v/>
      </c>
      <c r="O34" s="51" t="inlineStr">
        <is>
          <t>41100</t>
        </is>
      </c>
      <c r="P34" s="51" t="inlineStr">
        <is>
          <t>Y</t>
        </is>
      </c>
      <c r="Q34" s="51" t="inlineStr">
        <is>
          <t>N</t>
        </is>
      </c>
      <c r="R34" s="51" t="inlineStr">
        <is>
          <t>Invoiced</t>
        </is>
      </c>
      <c r="S34" s="51" t="n"/>
      <c r="T34" s="51" t="n"/>
      <c r="U34" s="51" t="inlineStr">
        <is>
          <t>N/A</t>
        </is>
      </c>
      <c r="V34" s="54" t="n"/>
      <c r="W34" s="51" t="n"/>
    </row>
    <row r="35" ht="15" customHeight="1">
      <c r="A35" s="48" t="n">
        <v>46265</v>
      </c>
      <c r="B35" s="49">
        <f>IF(A35="","",EOMONTH(A35,0))</f>
        <v/>
      </c>
      <c r="C35" s="50">
        <f>"Onsite"</f>
        <v/>
      </c>
      <c r="D35" s="51" t="inlineStr">
        <is>
          <t>ONSITE</t>
        </is>
      </c>
      <c r="E35" s="51" t="inlineStr">
        <is>
          <t>Gen-E</t>
        </is>
      </c>
      <c r="F35" s="51" t="inlineStr">
        <is>
          <t>26021602</t>
        </is>
      </c>
      <c r="G35" s="50">
        <f>IF(F35="","",IF(COUNTIF(lst_Jobs,F35&amp;"")&gt;0,"OK","CHECK"))</f>
        <v/>
      </c>
      <c r="H35" s="51" t="inlineStr">
        <is>
          <t>Gen-E ABS August 2026</t>
        </is>
      </c>
      <c r="I35" s="51" t="inlineStr">
        <is>
          <t>Contract</t>
        </is>
      </c>
      <c r="J35" s="51" t="inlineStr">
        <is>
          <t>INV-10573</t>
        </is>
      </c>
      <c r="K35" s="51" t="inlineStr">
        <is>
          <t>GST 10%</t>
        </is>
      </c>
      <c r="L35" s="52" t="n">
        <v>12388.8</v>
      </c>
      <c r="M35" s="53">
        <f>IF(L35="","",IF(K35="GST 10%",ROUND(L35*0.1,2),0))</f>
        <v/>
      </c>
      <c r="N35" s="53">
        <f>IF(L35="","",L35+M35)</f>
        <v/>
      </c>
      <c r="O35" s="51" t="inlineStr">
        <is>
          <t>41100</t>
        </is>
      </c>
      <c r="P35" s="51" t="inlineStr">
        <is>
          <t>Y</t>
        </is>
      </c>
      <c r="Q35" s="51" t="inlineStr">
        <is>
          <t>N</t>
        </is>
      </c>
      <c r="R35" s="51" t="inlineStr">
        <is>
          <t>Invoiced</t>
        </is>
      </c>
      <c r="S35" s="51" t="n"/>
      <c r="T35" s="51" t="n"/>
      <c r="U35" s="51" t="inlineStr">
        <is>
          <t>N/A</t>
        </is>
      </c>
      <c r="V35" s="54" t="n"/>
      <c r="W35" s="51" t="n"/>
    </row>
    <row r="36" ht="15" customHeight="1">
      <c r="A36" s="48" t="n">
        <v>46265</v>
      </c>
      <c r="B36" s="49">
        <f>IF(A36="","",EOMONTH(A36,0))</f>
        <v/>
      </c>
      <c r="C36" s="50">
        <f>"Onsite"</f>
        <v/>
      </c>
      <c r="D36" s="51" t="inlineStr">
        <is>
          <t>ONSITE</t>
        </is>
      </c>
      <c r="E36" s="51" t="inlineStr">
        <is>
          <t>CBA</t>
        </is>
      </c>
      <c r="F36" s="51" t="inlineStr">
        <is>
          <t>26043001</t>
        </is>
      </c>
      <c r="G36" s="50">
        <f>IF(F36="","",IF(COUNTIF(lst_Jobs,F36&amp;"")&gt;0,"OK","CHECK"))</f>
        <v/>
      </c>
      <c r="H36" s="51" t="inlineStr">
        <is>
          <t>CBA Mel August 2026</t>
        </is>
      </c>
      <c r="I36" s="51" t="inlineStr">
        <is>
          <t>Contract</t>
        </is>
      </c>
      <c r="J36" s="51" t="inlineStr">
        <is>
          <t>INV-10582</t>
        </is>
      </c>
      <c r="K36" s="51" t="inlineStr">
        <is>
          <t>GST 10%</t>
        </is>
      </c>
      <c r="L36" s="52" t="n">
        <v>11960</v>
      </c>
      <c r="M36" s="53">
        <f>IF(L36="","",IF(K36="GST 10%",ROUND(L36*0.1,2),0))</f>
        <v/>
      </c>
      <c r="N36" s="53">
        <f>IF(L36="","",L36+M36)</f>
        <v/>
      </c>
      <c r="O36" s="51" t="inlineStr">
        <is>
          <t>41100</t>
        </is>
      </c>
      <c r="P36" s="51" t="inlineStr">
        <is>
          <t>Y</t>
        </is>
      </c>
      <c r="Q36" s="51" t="inlineStr">
        <is>
          <t>N</t>
        </is>
      </c>
      <c r="R36" s="51" t="inlineStr">
        <is>
          <t>Invoiced</t>
        </is>
      </c>
      <c r="S36" s="51" t="n"/>
      <c r="T36" s="51" t="n"/>
      <c r="U36" s="51" t="inlineStr">
        <is>
          <t>N/A</t>
        </is>
      </c>
      <c r="V36" s="54" t="n"/>
      <c r="W36" s="51" t="n"/>
    </row>
    <row r="37" ht="15" customHeight="1">
      <c r="A37" s="48" t="n">
        <v>46265</v>
      </c>
      <c r="B37" s="49">
        <f>IF(A37="","",EOMONTH(A37,0))</f>
        <v/>
      </c>
      <c r="C37" s="50">
        <f>"Onsite"</f>
        <v/>
      </c>
      <c r="D37" s="51" t="inlineStr">
        <is>
          <t>ONSITE</t>
        </is>
      </c>
      <c r="E37" s="51" t="inlineStr">
        <is>
          <t>Aware Super</t>
        </is>
      </c>
      <c r="F37" s="51" t="inlineStr">
        <is>
          <t>26022301</t>
        </is>
      </c>
      <c r="G37" s="50">
        <f>IF(F37="","",IF(COUNTIF(lst_Jobs,F37&amp;"")&gt;0,"OK","CHECK"))</f>
        <v/>
      </c>
      <c r="H37" s="51" t="inlineStr">
        <is>
          <t>Aware Super Contract August 2026</t>
        </is>
      </c>
      <c r="I37" s="51" t="inlineStr">
        <is>
          <t>Contract</t>
        </is>
      </c>
      <c r="J37" s="51" t="inlineStr">
        <is>
          <t>INV-10615</t>
        </is>
      </c>
      <c r="K37" s="51" t="inlineStr">
        <is>
          <t>GST 10%</t>
        </is>
      </c>
      <c r="L37" s="52" t="n">
        <v>11000</v>
      </c>
      <c r="M37" s="53">
        <f>IF(L37="","",IF(K37="GST 10%",ROUND(L37*0.1,2),0))</f>
        <v/>
      </c>
      <c r="N37" s="53">
        <f>IF(L37="","",L37+M37)</f>
        <v/>
      </c>
      <c r="O37" s="51" t="inlineStr">
        <is>
          <t>41100</t>
        </is>
      </c>
      <c r="P37" s="51" t="inlineStr">
        <is>
          <t>Y</t>
        </is>
      </c>
      <c r="Q37" s="51" t="inlineStr">
        <is>
          <t>N</t>
        </is>
      </c>
      <c r="R37" s="51" t="inlineStr">
        <is>
          <t>Invoiced</t>
        </is>
      </c>
      <c r="S37" s="51" t="inlineStr">
        <is>
          <t xml:space="preserve">Split TBC - Xero split this with production ($850) </t>
        </is>
      </c>
      <c r="T37" s="51" t="n"/>
      <c r="U37" s="51" t="inlineStr">
        <is>
          <t>N/A</t>
        </is>
      </c>
      <c r="V37" s="54" t="n"/>
      <c r="W37" s="51" t="n"/>
    </row>
    <row r="38" ht="15" customHeight="1">
      <c r="A38" s="48" t="n">
        <v>46265</v>
      </c>
      <c r="B38" s="49">
        <f>IF(A38="","",EOMONTH(A38,0))</f>
        <v/>
      </c>
      <c r="C38" s="50">
        <f>"Onsite"</f>
        <v/>
      </c>
      <c r="D38" s="51" t="inlineStr">
        <is>
          <t>ONSITE</t>
        </is>
      </c>
      <c r="E38" s="51" t="inlineStr">
        <is>
          <t>PWC</t>
        </is>
      </c>
      <c r="F38" s="51" t="inlineStr">
        <is>
          <t>25101301B</t>
        </is>
      </c>
      <c r="G38" s="50">
        <f>IF(F38="","",IF(COUNTIF(lst_Jobs,F38&amp;"")&gt;0,"OK","CHECK"))</f>
        <v/>
      </c>
      <c r="H38" s="51" t="inlineStr">
        <is>
          <t>PWC Sydney IT August 2026</t>
        </is>
      </c>
      <c r="I38" s="51" t="inlineStr">
        <is>
          <t>Contract</t>
        </is>
      </c>
      <c r="J38" s="51" t="inlineStr">
        <is>
          <t>INV-10585</t>
        </is>
      </c>
      <c r="K38" s="51" t="inlineStr">
        <is>
          <t>GST 10%</t>
        </is>
      </c>
      <c r="L38" s="52" t="n">
        <v>11907</v>
      </c>
      <c r="M38" s="53">
        <f>IF(L38="","",IF(K38="GST 10%",ROUND(L38*0.1,2),0))</f>
        <v/>
      </c>
      <c r="N38" s="53">
        <f>IF(L38="","",L38+M38)</f>
        <v/>
      </c>
      <c r="O38" s="51" t="inlineStr">
        <is>
          <t>41100</t>
        </is>
      </c>
      <c r="P38" s="51" t="inlineStr">
        <is>
          <t>Y</t>
        </is>
      </c>
      <c r="Q38" s="51" t="inlineStr">
        <is>
          <t>N</t>
        </is>
      </c>
      <c r="R38" s="51" t="inlineStr">
        <is>
          <t>Invoiced</t>
        </is>
      </c>
      <c r="S38" s="51" t="n"/>
      <c r="T38" s="51" t="n"/>
      <c r="U38" s="51" t="inlineStr">
        <is>
          <t>N/A</t>
        </is>
      </c>
      <c r="V38" s="54" t="n"/>
      <c r="W38" s="51" t="n"/>
    </row>
    <row r="39" ht="15" customHeight="1">
      <c r="A39" s="48" t="n"/>
      <c r="B39" s="49">
        <f>IF(A39="","",EOMONTH(A39,0))</f>
        <v/>
      </c>
      <c r="C39" s="50">
        <f>"Onsite"</f>
        <v/>
      </c>
      <c r="D39" s="51" t="inlineStr">
        <is>
          <t>ONSITE</t>
        </is>
      </c>
      <c r="E39" s="51" t="inlineStr">
        <is>
          <t>TWG</t>
        </is>
      </c>
      <c r="F39" s="51" t="inlineStr">
        <is>
          <t>26081301</t>
        </is>
      </c>
      <c r="G39" s="50">
        <f>IF(F39="","",IF(COUNTIF(lst_Jobs,F39&amp;"")&gt;0,"OK","CHECK"))</f>
        <v/>
      </c>
      <c r="H39" s="51" t="inlineStr">
        <is>
          <t>EY Support Technician BNE</t>
        </is>
      </c>
      <c r="I39" s="51" t="inlineStr">
        <is>
          <t>Contract</t>
        </is>
      </c>
      <c r="J39" s="51" t="n"/>
      <c r="K39" s="51" t="inlineStr">
        <is>
          <t>GST 10%</t>
        </is>
      </c>
      <c r="L39" s="52" t="n">
        <v>3740</v>
      </c>
      <c r="M39" s="53">
        <f>IF(L39="","",IF(K39="GST 10%",ROUND(L39*0.1,2),0))</f>
        <v/>
      </c>
      <c r="N39" s="53">
        <f>IF(L39="","",L39+M39)</f>
        <v/>
      </c>
      <c r="O39" s="51" t="inlineStr">
        <is>
          <t>41100</t>
        </is>
      </c>
      <c r="P39" s="51" t="inlineStr">
        <is>
          <t>N</t>
        </is>
      </c>
      <c r="Q39" s="51" t="inlineStr">
        <is>
          <t>N</t>
        </is>
      </c>
      <c r="R39" s="51" t="inlineStr">
        <is>
          <t>To Invoice</t>
        </is>
      </c>
      <c r="S39" s="51" t="inlineStr">
        <is>
          <t>November</t>
        </is>
      </c>
      <c r="T39" s="51" t="n"/>
      <c r="U39" s="51" t="inlineStr">
        <is>
          <t>N/A</t>
        </is>
      </c>
      <c r="V39" s="54" t="n"/>
      <c r="W39" s="51" t="n"/>
    </row>
    <row r="40" ht="15" customHeight="1">
      <c r="A40" s="48" t="n">
        <v>46265</v>
      </c>
      <c r="B40" s="49">
        <f>IF(A40="","",EOMONTH(A40,0))</f>
        <v/>
      </c>
      <c r="C40" s="50">
        <f>"Onsite"</f>
        <v/>
      </c>
      <c r="D40" s="51" t="inlineStr">
        <is>
          <t>ONSITE</t>
        </is>
      </c>
      <c r="E40" s="51" t="inlineStr">
        <is>
          <t>CBA</t>
        </is>
      </c>
      <c r="F40" s="51" t="inlineStr">
        <is>
          <t>1668</t>
        </is>
      </c>
      <c r="G40" s="50">
        <f>IF(F40="","",IF(COUNTIF(lst_Jobs,F40&amp;"")&gt;0,"OK","CHECK"))</f>
        <v/>
      </c>
      <c r="H40" s="51" t="inlineStr">
        <is>
          <t>85720001CBPSCSJUN27 AFTERHOUR</t>
        </is>
      </c>
      <c r="I40" s="51" t="inlineStr">
        <is>
          <t>Contract</t>
        </is>
      </c>
      <c r="J40" s="51" t="inlineStr">
        <is>
          <t>INV-10603</t>
        </is>
      </c>
      <c r="K40" s="51" t="inlineStr">
        <is>
          <t>GST 10%</t>
        </is>
      </c>
      <c r="L40" s="52" t="n">
        <v>775</v>
      </c>
      <c r="M40" s="53">
        <f>IF(L40="","",IF(K40="GST 10%",ROUND(L40*0.1,2),0))</f>
        <v/>
      </c>
      <c r="N40" s="53">
        <f>IF(L40="","",L40+M40)</f>
        <v/>
      </c>
      <c r="O40" s="51" t="inlineStr">
        <is>
          <t>41100</t>
        </is>
      </c>
      <c r="P40" s="51" t="inlineStr">
        <is>
          <t>Y</t>
        </is>
      </c>
      <c r="Q40" s="51" t="inlineStr">
        <is>
          <t>N</t>
        </is>
      </c>
      <c r="R40" s="51" t="inlineStr">
        <is>
          <t>Invoiced</t>
        </is>
      </c>
      <c r="S40" s="51" t="n"/>
      <c r="T40" s="51" t="n"/>
      <c r="U40" s="51" t="inlineStr">
        <is>
          <t>N/A</t>
        </is>
      </c>
      <c r="V40" s="54" t="n"/>
      <c r="W40" s="51" t="n"/>
    </row>
    <row r="41" ht="15" customHeight="1">
      <c r="A41" s="48" t="n">
        <v>46265</v>
      </c>
      <c r="B41" s="49">
        <f>IF(A41="","",EOMONTH(A41,0))</f>
        <v/>
      </c>
      <c r="C41" s="50">
        <f>"Onsite"</f>
        <v/>
      </c>
      <c r="D41" s="51" t="inlineStr">
        <is>
          <t>ONSITE</t>
        </is>
      </c>
      <c r="E41" s="51" t="inlineStr">
        <is>
          <t>CBA</t>
        </is>
      </c>
      <c r="F41" s="51" t="inlineStr">
        <is>
          <t>1668</t>
        </is>
      </c>
      <c r="G41" s="50">
        <f>IF(F41="","",IF(COUNTIF(lst_Jobs,F41&amp;"")&gt;0,"OK","CHECK"))</f>
        <v/>
      </c>
      <c r="H41" s="51" t="inlineStr">
        <is>
          <t>85720001CBPSCSJUN27 DEDICATED TECH</t>
        </is>
      </c>
      <c r="I41" s="51" t="inlineStr">
        <is>
          <t>Contract</t>
        </is>
      </c>
      <c r="J41" s="51" t="inlineStr">
        <is>
          <t>INV-10604</t>
        </is>
      </c>
      <c r="K41" s="51" t="inlineStr">
        <is>
          <t>GST 10%</t>
        </is>
      </c>
      <c r="L41" s="52" t="n">
        <v>510</v>
      </c>
      <c r="M41" s="53">
        <f>IF(L41="","",IF(K41="GST 10%",ROUND(L41*0.1,2),0))</f>
        <v/>
      </c>
      <c r="N41" s="53">
        <f>IF(L41="","",L41+M41)</f>
        <v/>
      </c>
      <c r="O41" s="51" t="inlineStr">
        <is>
          <t>41100</t>
        </is>
      </c>
      <c r="P41" s="51" t="inlineStr">
        <is>
          <t>Y</t>
        </is>
      </c>
      <c r="Q41" s="51" t="inlineStr">
        <is>
          <t>N</t>
        </is>
      </c>
      <c r="R41" s="51" t="inlineStr">
        <is>
          <t>Invoiced</t>
        </is>
      </c>
      <c r="S41" s="51" t="n"/>
      <c r="T41" s="51" t="n"/>
      <c r="U41" s="51" t="inlineStr">
        <is>
          <t>N/A</t>
        </is>
      </c>
      <c r="V41" s="54" t="n"/>
      <c r="W41" s="51" t="n"/>
    </row>
    <row r="42" ht="15" customHeight="1">
      <c r="A42" s="48" t="n">
        <v>46265</v>
      </c>
      <c r="B42" s="49">
        <f>IF(A42="","",EOMONTH(A42,0))</f>
        <v/>
      </c>
      <c r="C42" s="50">
        <f>"Onsite"</f>
        <v/>
      </c>
      <c r="D42" s="51" t="inlineStr">
        <is>
          <t>ONSITE</t>
        </is>
      </c>
      <c r="E42" s="51" t="inlineStr">
        <is>
          <t>CBA</t>
        </is>
      </c>
      <c r="F42" s="51" t="inlineStr">
        <is>
          <t>1668</t>
        </is>
      </c>
      <c r="G42" s="50">
        <f>IF(F42="","",IF(COUNTIF(lst_Jobs,F42&amp;"")&gt;0,"OK","CHECK"))</f>
        <v/>
      </c>
      <c r="H42" s="51" t="inlineStr">
        <is>
          <t>85720001CBPSCSJUN27 DEDICATED TECH</t>
        </is>
      </c>
      <c r="I42" s="51" t="inlineStr">
        <is>
          <t>Contract</t>
        </is>
      </c>
      <c r="J42" s="51" t="inlineStr">
        <is>
          <t>INV-10605</t>
        </is>
      </c>
      <c r="K42" s="51" t="inlineStr">
        <is>
          <t>GST 10%</t>
        </is>
      </c>
      <c r="L42" s="52" t="n">
        <v>340</v>
      </c>
      <c r="M42" s="53">
        <f>IF(L42="","",IF(K42="GST 10%",ROUND(L42*0.1,2),0))</f>
        <v/>
      </c>
      <c r="N42" s="53">
        <f>IF(L42="","",L42+M42)</f>
        <v/>
      </c>
      <c r="O42" s="51" t="inlineStr">
        <is>
          <t>41100</t>
        </is>
      </c>
      <c r="P42" s="51" t="inlineStr">
        <is>
          <t>Y</t>
        </is>
      </c>
      <c r="Q42" s="51" t="inlineStr">
        <is>
          <t>N</t>
        </is>
      </c>
      <c r="R42" s="51" t="inlineStr">
        <is>
          <t>Invoiced</t>
        </is>
      </c>
      <c r="S42" s="51" t="n"/>
      <c r="T42" s="51" t="n"/>
      <c r="U42" s="51" t="inlineStr">
        <is>
          <t>N/A</t>
        </is>
      </c>
      <c r="V42" s="54" t="n"/>
      <c r="W42" s="51" t="n"/>
    </row>
    <row r="43" ht="15" customHeight="1">
      <c r="A43" s="48" t="n">
        <v>46265</v>
      </c>
      <c r="B43" s="49">
        <f>IF(A43="","",EOMONTH(A43,0))</f>
        <v/>
      </c>
      <c r="C43" s="50">
        <f>"Onsite"</f>
        <v/>
      </c>
      <c r="D43" s="51" t="inlineStr">
        <is>
          <t>ONSITE</t>
        </is>
      </c>
      <c r="E43" s="51" t="inlineStr">
        <is>
          <t>CBA</t>
        </is>
      </c>
      <c r="F43" s="51" t="inlineStr">
        <is>
          <t>1668</t>
        </is>
      </c>
      <c r="G43" s="50">
        <f>IF(F43="","",IF(COUNTIF(lst_Jobs,F43&amp;"")&gt;0,"OK","CHECK"))</f>
        <v/>
      </c>
      <c r="H43" s="51" t="inlineStr">
        <is>
          <t>85720001CBPSCSJUN27 DEDICATED TECH</t>
        </is>
      </c>
      <c r="I43" s="51" t="inlineStr">
        <is>
          <t>Contract</t>
        </is>
      </c>
      <c r="J43" s="51" t="inlineStr">
        <is>
          <t>INV-10606</t>
        </is>
      </c>
      <c r="K43" s="51" t="inlineStr">
        <is>
          <t>GST 10%</t>
        </is>
      </c>
      <c r="L43" s="52" t="n">
        <v>510</v>
      </c>
      <c r="M43" s="53">
        <f>IF(L43="","",IF(K43="GST 10%",ROUND(L43*0.1,2),0))</f>
        <v/>
      </c>
      <c r="N43" s="53">
        <f>IF(L43="","",L43+M43)</f>
        <v/>
      </c>
      <c r="O43" s="51" t="inlineStr">
        <is>
          <t>41100</t>
        </is>
      </c>
      <c r="P43" s="51" t="inlineStr">
        <is>
          <t>Y</t>
        </is>
      </c>
      <c r="Q43" s="51" t="inlineStr">
        <is>
          <t>N</t>
        </is>
      </c>
      <c r="R43" s="51" t="inlineStr">
        <is>
          <t>Invoiced</t>
        </is>
      </c>
      <c r="S43" s="51" t="n"/>
      <c r="T43" s="51" t="n"/>
      <c r="U43" s="51" t="inlineStr">
        <is>
          <t>N/A</t>
        </is>
      </c>
      <c r="V43" s="54" t="n"/>
      <c r="W43" s="51" t="n"/>
    </row>
    <row r="44" ht="15" customHeight="1">
      <c r="A44" s="48" t="n">
        <v>46265</v>
      </c>
      <c r="B44" s="49">
        <f>IF(A44="","",EOMONTH(A44,0))</f>
        <v/>
      </c>
      <c r="C44" s="50">
        <f>"Onsite"</f>
        <v/>
      </c>
      <c r="D44" s="51" t="inlineStr">
        <is>
          <t>ONSITE</t>
        </is>
      </c>
      <c r="E44" s="51" t="inlineStr">
        <is>
          <t>CBA</t>
        </is>
      </c>
      <c r="F44" s="51" t="inlineStr">
        <is>
          <t>1668</t>
        </is>
      </c>
      <c r="G44" s="50">
        <f>IF(F44="","",IF(COUNTIF(lst_Jobs,F44&amp;"")&gt;0,"OK","CHECK"))</f>
        <v/>
      </c>
      <c r="H44" s="51" t="inlineStr">
        <is>
          <t>85720001CBPSCSJUN27 DEDICATED TECH</t>
        </is>
      </c>
      <c r="I44" s="51" t="inlineStr">
        <is>
          <t>Contract</t>
        </is>
      </c>
      <c r="J44" s="51" t="inlineStr">
        <is>
          <t>INV-10607</t>
        </is>
      </c>
      <c r="K44" s="51" t="inlineStr">
        <is>
          <t>GST 10%</t>
        </is>
      </c>
      <c r="L44" s="52" t="n">
        <v>510</v>
      </c>
      <c r="M44" s="53">
        <f>IF(L44="","",IF(K44="GST 10%",ROUND(L44*0.1,2),0))</f>
        <v/>
      </c>
      <c r="N44" s="53">
        <f>IF(L44="","",L44+M44)</f>
        <v/>
      </c>
      <c r="O44" s="51" t="inlineStr">
        <is>
          <t>41100</t>
        </is>
      </c>
      <c r="P44" s="51" t="inlineStr">
        <is>
          <t>Y</t>
        </is>
      </c>
      <c r="Q44" s="51" t="inlineStr">
        <is>
          <t>N</t>
        </is>
      </c>
      <c r="R44" s="51" t="inlineStr">
        <is>
          <t>Invoiced</t>
        </is>
      </c>
      <c r="S44" s="51" t="n"/>
      <c r="T44" s="51" t="n"/>
      <c r="U44" s="51" t="inlineStr">
        <is>
          <t>N/A</t>
        </is>
      </c>
      <c r="V44" s="54" t="n"/>
      <c r="W44" s="51" t="n"/>
    </row>
    <row r="45" ht="15" customHeight="1">
      <c r="A45" s="48" t="n">
        <v>46265</v>
      </c>
      <c r="B45" s="49">
        <f>IF(A45="","",EOMONTH(A45,0))</f>
        <v/>
      </c>
      <c r="C45" s="50">
        <f>"Onsite"</f>
        <v/>
      </c>
      <c r="D45" s="51" t="inlineStr">
        <is>
          <t>ONSITE</t>
        </is>
      </c>
      <c r="E45" s="51" t="inlineStr">
        <is>
          <t>CBA</t>
        </is>
      </c>
      <c r="F45" s="51" t="inlineStr">
        <is>
          <t>1668</t>
        </is>
      </c>
      <c r="G45" s="50">
        <f>IF(F45="","",IF(COUNTIF(lst_Jobs,F45&amp;"")&gt;0,"OK","CHECK"))</f>
        <v/>
      </c>
      <c r="H45" s="51" t="inlineStr">
        <is>
          <t>85720001CBPSCSJUN27 DEDICATED TECH</t>
        </is>
      </c>
      <c r="I45" s="51" t="inlineStr">
        <is>
          <t>Contract</t>
        </is>
      </c>
      <c r="J45" s="51" t="inlineStr">
        <is>
          <t>INV-10608</t>
        </is>
      </c>
      <c r="K45" s="51" t="inlineStr">
        <is>
          <t>GST 10%</t>
        </is>
      </c>
      <c r="L45" s="52" t="n">
        <v>340</v>
      </c>
      <c r="M45" s="53">
        <f>IF(L45="","",IF(K45="GST 10%",ROUND(L45*0.1,2),0))</f>
        <v/>
      </c>
      <c r="N45" s="53">
        <f>IF(L45="","",L45+M45)</f>
        <v/>
      </c>
      <c r="O45" s="51" t="inlineStr">
        <is>
          <t>41100</t>
        </is>
      </c>
      <c r="P45" s="51" t="inlineStr">
        <is>
          <t>Y</t>
        </is>
      </c>
      <c r="Q45" s="51" t="inlineStr">
        <is>
          <t>N</t>
        </is>
      </c>
      <c r="R45" s="51" t="inlineStr">
        <is>
          <t>Invoiced</t>
        </is>
      </c>
      <c r="S45" s="51" t="n"/>
      <c r="T45" s="51" t="n"/>
      <c r="U45" s="51" t="inlineStr">
        <is>
          <t>N/A</t>
        </is>
      </c>
      <c r="V45" s="54" t="n"/>
      <c r="W45" s="51" t="n"/>
    </row>
    <row r="46" ht="15" customHeight="1">
      <c r="A46" s="48" t="n">
        <v>46265</v>
      </c>
      <c r="B46" s="49">
        <f>IF(A46="","",EOMONTH(A46,0))</f>
        <v/>
      </c>
      <c r="C46" s="50">
        <f>"Onsite"</f>
        <v/>
      </c>
      <c r="D46" s="51" t="inlineStr">
        <is>
          <t>ONSITE</t>
        </is>
      </c>
      <c r="E46" s="51" t="inlineStr">
        <is>
          <t>CBA</t>
        </is>
      </c>
      <c r="F46" s="51" t="inlineStr">
        <is>
          <t>1668</t>
        </is>
      </c>
      <c r="G46" s="50">
        <f>IF(F46="","",IF(COUNTIF(lst_Jobs,F46&amp;"")&gt;0,"OK","CHECK"))</f>
        <v/>
      </c>
      <c r="H46" s="51" t="inlineStr">
        <is>
          <t>85720001CBPSCSJUN27 DEDICATED TECH</t>
        </is>
      </c>
      <c r="I46" s="51" t="inlineStr">
        <is>
          <t>Contract</t>
        </is>
      </c>
      <c r="J46" s="51" t="inlineStr">
        <is>
          <t>INV-10609</t>
        </is>
      </c>
      <c r="K46" s="51" t="inlineStr">
        <is>
          <t>GST 10%</t>
        </is>
      </c>
      <c r="L46" s="52" t="n">
        <v>425</v>
      </c>
      <c r="M46" s="53">
        <f>IF(L46="","",IF(K46="GST 10%",ROUND(L46*0.1,2),0))</f>
        <v/>
      </c>
      <c r="N46" s="53">
        <f>IF(L46="","",L46+M46)</f>
        <v/>
      </c>
      <c r="O46" s="51" t="inlineStr">
        <is>
          <t>41100</t>
        </is>
      </c>
      <c r="P46" s="51" t="inlineStr">
        <is>
          <t>Y</t>
        </is>
      </c>
      <c r="Q46" s="51" t="inlineStr">
        <is>
          <t>N</t>
        </is>
      </c>
      <c r="R46" s="51" t="inlineStr">
        <is>
          <t>Invoiced</t>
        </is>
      </c>
      <c r="S46" s="51" t="n"/>
      <c r="T46" s="51" t="n"/>
      <c r="U46" s="51" t="inlineStr">
        <is>
          <t>N/A</t>
        </is>
      </c>
      <c r="V46" s="54" t="n"/>
      <c r="W46" s="51" t="n"/>
    </row>
    <row r="47" ht="15" customHeight="1">
      <c r="A47" s="48" t="n">
        <v>46265</v>
      </c>
      <c r="B47" s="49">
        <f>IF(A47="","",EOMONTH(A47,0))</f>
        <v/>
      </c>
      <c r="C47" s="50">
        <f>"Onsite"</f>
        <v/>
      </c>
      <c r="D47" s="51" t="inlineStr">
        <is>
          <t>ONSITE</t>
        </is>
      </c>
      <c r="E47" s="51" t="inlineStr">
        <is>
          <t>CBA</t>
        </is>
      </c>
      <c r="F47" s="51" t="inlineStr">
        <is>
          <t>1668</t>
        </is>
      </c>
      <c r="G47" s="50">
        <f>IF(F47="","",IF(COUNTIF(lst_Jobs,F47&amp;"")&gt;0,"OK","CHECK"))</f>
        <v/>
      </c>
      <c r="H47" s="51" t="inlineStr">
        <is>
          <t>85720001CBPSCSJUN27 DEDICATED TECH</t>
        </is>
      </c>
      <c r="I47" s="51" t="inlineStr">
        <is>
          <t>Contract</t>
        </is>
      </c>
      <c r="J47" s="51" t="inlineStr">
        <is>
          <t>INV-10610</t>
        </is>
      </c>
      <c r="K47" s="51" t="inlineStr">
        <is>
          <t>GST 10%</t>
        </is>
      </c>
      <c r="L47" s="52" t="n">
        <v>595</v>
      </c>
      <c r="M47" s="53">
        <f>IF(L47="","",IF(K47="GST 10%",ROUND(L47*0.1,2),0))</f>
        <v/>
      </c>
      <c r="N47" s="53">
        <f>IF(L47="","",L47+M47)</f>
        <v/>
      </c>
      <c r="O47" s="51" t="inlineStr">
        <is>
          <t>41100</t>
        </is>
      </c>
      <c r="P47" s="51" t="inlineStr">
        <is>
          <t>Y</t>
        </is>
      </c>
      <c r="Q47" s="51" t="inlineStr">
        <is>
          <t>N</t>
        </is>
      </c>
      <c r="R47" s="51" t="inlineStr">
        <is>
          <t>Invoiced</t>
        </is>
      </c>
      <c r="S47" s="51" t="n"/>
      <c r="T47" s="51" t="n"/>
      <c r="U47" s="51" t="inlineStr">
        <is>
          <t>N/A</t>
        </is>
      </c>
      <c r="V47" s="54" t="n"/>
      <c r="W47" s="51" t="n"/>
    </row>
    <row r="48" ht="15" customHeight="1">
      <c r="A48" s="48" t="n">
        <v>46265</v>
      </c>
      <c r="B48" s="49">
        <f>IF(A48="","",EOMONTH(A48,0))</f>
        <v/>
      </c>
      <c r="C48" s="50">
        <f>"Onsite"</f>
        <v/>
      </c>
      <c r="D48" s="51" t="inlineStr">
        <is>
          <t>ONSITE</t>
        </is>
      </c>
      <c r="E48" s="51" t="inlineStr">
        <is>
          <t>CBA</t>
        </is>
      </c>
      <c r="F48" s="51" t="inlineStr">
        <is>
          <t>585, 586</t>
        </is>
      </c>
      <c r="G48" s="50">
        <f>IF(F48="","",IF(COUNTIF(lst_Jobs,F48&amp;"")&gt;0,"OK","CHECK"))</f>
        <v/>
      </c>
      <c r="H48" s="51" t="inlineStr">
        <is>
          <t>85720001CBPSCSJUN27</t>
        </is>
      </c>
      <c r="I48" s="51" t="inlineStr">
        <is>
          <t>Contract</t>
        </is>
      </c>
      <c r="J48" s="51" t="inlineStr">
        <is>
          <t>INV-10614</t>
        </is>
      </c>
      <c r="K48" s="51" t="inlineStr">
        <is>
          <t>GST 10%</t>
        </is>
      </c>
      <c r="L48" s="52" t="n">
        <v>22680</v>
      </c>
      <c r="M48" s="53">
        <f>IF(L48="","",IF(K48="GST 10%",ROUND(L48*0.1,2),0))</f>
        <v/>
      </c>
      <c r="N48" s="53">
        <f>IF(L48="","",L48+M48)</f>
        <v/>
      </c>
      <c r="O48" s="51" t="inlineStr">
        <is>
          <t>41100</t>
        </is>
      </c>
      <c r="P48" s="51" t="inlineStr">
        <is>
          <t>Y</t>
        </is>
      </c>
      <c r="Q48" s="51" t="inlineStr">
        <is>
          <t>N</t>
        </is>
      </c>
      <c r="R48" s="51" t="inlineStr">
        <is>
          <t>Invoiced</t>
        </is>
      </c>
      <c r="S48" s="51" t="n"/>
      <c r="T48" s="51" t="n"/>
      <c r="U48" s="51" t="inlineStr">
        <is>
          <t>N/A</t>
        </is>
      </c>
      <c r="V48" s="54" t="n"/>
      <c r="W48" s="51" t="n"/>
    </row>
    <row r="49" ht="15" customHeight="1">
      <c r="A49" s="48" t="n">
        <v>46265</v>
      </c>
      <c r="B49" s="49">
        <f>IF(A49="","",EOMONTH(A49,0))</f>
        <v/>
      </c>
      <c r="C49" s="50">
        <f>"Onsite"</f>
        <v/>
      </c>
      <c r="D49" s="51" t="inlineStr">
        <is>
          <t>ONSITE</t>
        </is>
      </c>
      <c r="E49" s="51" t="inlineStr">
        <is>
          <t>CBA</t>
        </is>
      </c>
      <c r="F49" s="51" t="inlineStr">
        <is>
          <t>587</t>
        </is>
      </c>
      <c r="G49" s="50">
        <f>IF(F49="","",IF(COUNTIF(lst_Jobs,F49&amp;"")&gt;0,"OK","CHECK"))</f>
        <v/>
      </c>
      <c r="H49" s="51" t="inlineStr">
        <is>
          <t>85720001CBSCSJUN27</t>
        </is>
      </c>
      <c r="I49" s="51" t="inlineStr">
        <is>
          <t>Contract</t>
        </is>
      </c>
      <c r="J49" s="51" t="inlineStr">
        <is>
          <t>INV-10613</t>
        </is>
      </c>
      <c r="K49" s="51" t="inlineStr">
        <is>
          <t>GST 10%</t>
        </is>
      </c>
      <c r="L49" s="52" t="n">
        <v>10197.88</v>
      </c>
      <c r="M49" s="53">
        <f>IF(L49="","",IF(K49="GST 10%",ROUND(L49*0.1,2),0))</f>
        <v/>
      </c>
      <c r="N49" s="53">
        <f>IF(L49="","",L49+M49)</f>
        <v/>
      </c>
      <c r="O49" s="51" t="inlineStr">
        <is>
          <t>41100</t>
        </is>
      </c>
      <c r="P49" s="51" t="inlineStr">
        <is>
          <t>Y</t>
        </is>
      </c>
      <c r="Q49" s="51" t="inlineStr">
        <is>
          <t>N</t>
        </is>
      </c>
      <c r="R49" s="51" t="inlineStr">
        <is>
          <t>Invoiced</t>
        </is>
      </c>
      <c r="S49" s="51" t="n"/>
      <c r="T49" s="51" t="n"/>
      <c r="U49" s="51" t="inlineStr">
        <is>
          <t>N/A</t>
        </is>
      </c>
      <c r="V49" s="54" t="n"/>
      <c r="W49" s="51" t="n"/>
    </row>
    <row r="50" ht="15" customHeight="1">
      <c r="A50" s="48" t="n">
        <v>46265</v>
      </c>
      <c r="B50" s="49">
        <f>IF(A50="","",EOMONTH(A50,0))</f>
        <v/>
      </c>
      <c r="C50" s="50">
        <f>"Onsite"</f>
        <v/>
      </c>
      <c r="D50" s="51" t="inlineStr">
        <is>
          <t>ONSITE</t>
        </is>
      </c>
      <c r="E50" s="51" t="inlineStr">
        <is>
          <t>CBA</t>
        </is>
      </c>
      <c r="F50" s="51" t="inlineStr">
        <is>
          <t>1668</t>
        </is>
      </c>
      <c r="G50" s="50">
        <f>IF(F50="","",IF(COUNTIF(lst_Jobs,F50&amp;"")&gt;0,"OK","CHECK"))</f>
        <v/>
      </c>
      <c r="H50" s="51" t="inlineStr">
        <is>
          <t>85720001CBPSCSJUN27 DEDICATED TECH</t>
        </is>
      </c>
      <c r="I50" s="51" t="inlineStr">
        <is>
          <t>Contract</t>
        </is>
      </c>
      <c r="J50" s="51" t="inlineStr">
        <is>
          <t>INV-10602</t>
        </is>
      </c>
      <c r="K50" s="51" t="inlineStr">
        <is>
          <t>GST 10%</t>
        </is>
      </c>
      <c r="L50" s="52" t="n">
        <v>170</v>
      </c>
      <c r="M50" s="53">
        <f>IF(L50="","",IF(K50="GST 10%",ROUND(L50*0.1,2),0))</f>
        <v/>
      </c>
      <c r="N50" s="53">
        <f>IF(L50="","",L50+M50)</f>
        <v/>
      </c>
      <c r="O50" s="51" t="inlineStr">
        <is>
          <t>41100</t>
        </is>
      </c>
      <c r="P50" s="51" t="inlineStr">
        <is>
          <t>Y</t>
        </is>
      </c>
      <c r="Q50" s="51" t="inlineStr">
        <is>
          <t>N</t>
        </is>
      </c>
      <c r="R50" s="51" t="inlineStr">
        <is>
          <t>Invoiced</t>
        </is>
      </c>
      <c r="S50" s="51" t="n"/>
      <c r="T50" s="51" t="n"/>
      <c r="U50" s="51" t="inlineStr">
        <is>
          <t>N/A</t>
        </is>
      </c>
      <c r="V50" s="54" t="n"/>
      <c r="W50" s="51" t="n"/>
    </row>
    <row r="51" ht="15" customHeight="1">
      <c r="A51" s="48" t="n">
        <v>46265</v>
      </c>
      <c r="B51" s="49">
        <f>IF(A51="","",EOMONTH(A51,0))</f>
        <v/>
      </c>
      <c r="C51" s="50">
        <f>"Onsite"</f>
        <v/>
      </c>
      <c r="D51" s="51" t="inlineStr">
        <is>
          <t>ONSITE</t>
        </is>
      </c>
      <c r="E51" s="51" t="inlineStr">
        <is>
          <t>Ricoh Australia Pty Ltd</t>
        </is>
      </c>
      <c r="F51" s="51" t="inlineStr">
        <is>
          <t>2880</t>
        </is>
      </c>
      <c r="G51" s="50">
        <f>IF(F51="","",IF(COUNTIF(lst_Jobs,F51&amp;"")&gt;0,"OK","CHECK"))</f>
        <v/>
      </c>
      <c r="H51" s="51" t="inlineStr">
        <is>
          <t>CONTRACT</t>
        </is>
      </c>
      <c r="I51" s="51" t="inlineStr">
        <is>
          <t>Contract</t>
        </is>
      </c>
      <c r="J51" s="51" t="inlineStr">
        <is>
          <t>INV-10618</t>
        </is>
      </c>
      <c r="K51" s="51" t="inlineStr">
        <is>
          <t>GST 10%</t>
        </is>
      </c>
      <c r="L51" s="52" t="n">
        <v>11860.56</v>
      </c>
      <c r="M51" s="53">
        <f>IF(L51="","",IF(K51="GST 10%",ROUND(L51*0.1,2),0))</f>
        <v/>
      </c>
      <c r="N51" s="53">
        <f>IF(L51="","",L51+M51)</f>
        <v/>
      </c>
      <c r="O51" s="51" t="inlineStr">
        <is>
          <t>41100</t>
        </is>
      </c>
      <c r="P51" s="51" t="inlineStr">
        <is>
          <t>Y</t>
        </is>
      </c>
      <c r="Q51" s="51" t="inlineStr">
        <is>
          <t>N</t>
        </is>
      </c>
      <c r="R51" s="51" t="inlineStr">
        <is>
          <t>Invoiced</t>
        </is>
      </c>
      <c r="S51" s="51" t="n"/>
      <c r="T51" s="51" t="n"/>
      <c r="U51" s="51" t="inlineStr">
        <is>
          <t>N/A</t>
        </is>
      </c>
      <c r="V51" s="54" t="n"/>
      <c r="W51" s="51" t="n"/>
    </row>
    <row r="52" ht="15" customHeight="1">
      <c r="A52" s="48" t="n"/>
      <c r="B52" s="49">
        <f>IF(A52="","",EOMONTH(A52,0))</f>
        <v/>
      </c>
      <c r="C52" s="50">
        <f>"Onsite"</f>
        <v/>
      </c>
      <c r="D52" s="51" t="inlineStr">
        <is>
          <t>ONSITE</t>
        </is>
      </c>
      <c r="E52" s="51" t="inlineStr">
        <is>
          <t>DTTL</t>
        </is>
      </c>
      <c r="F52" s="51" t="inlineStr">
        <is>
          <t>26073103</t>
        </is>
      </c>
      <c r="G52" s="50">
        <f>IF(F52="","",IF(COUNTIF(lst_Jobs,F52&amp;"")&gt;0,"OK","CHECK"))</f>
        <v/>
      </c>
      <c r="H52" s="51" t="inlineStr">
        <is>
          <t>Perth AV &amp; Hospitality Technician (SEP26-FEB27)</t>
        </is>
      </c>
      <c r="I52" s="51" t="inlineStr">
        <is>
          <t>Contract</t>
        </is>
      </c>
      <c r="J52" s="51" t="n"/>
      <c r="K52" s="51" t="inlineStr">
        <is>
          <t>GST 10%</t>
        </is>
      </c>
      <c r="L52" s="52" t="n"/>
      <c r="M52" s="53">
        <f>IF(L52="","",IF(K52="GST 10%",ROUND(L52*0.1,2),0))</f>
        <v/>
      </c>
      <c r="N52" s="53">
        <f>IF(L52="","",L52+M52)</f>
        <v/>
      </c>
      <c r="O52" s="51" t="inlineStr">
        <is>
          <t>41100</t>
        </is>
      </c>
      <c r="P52" s="51" t="inlineStr">
        <is>
          <t>N</t>
        </is>
      </c>
      <c r="Q52" s="51" t="inlineStr">
        <is>
          <t>N</t>
        </is>
      </c>
      <c r="R52" s="51" t="inlineStr">
        <is>
          <t>To Invoice</t>
        </is>
      </c>
      <c r="S52" s="51"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c r="T52" s="51" t="n"/>
      <c r="U52" s="51" t="inlineStr">
        <is>
          <t>N/A</t>
        </is>
      </c>
      <c r="V52" s="54" t="n"/>
      <c r="W52" s="51" t="n"/>
    </row>
    <row r="53" ht="15" customHeight="1">
      <c r="A53" s="48" t="n">
        <v>46268</v>
      </c>
      <c r="B53" s="49">
        <f>IF(A53="","",EOMONTH(A53,0))</f>
        <v/>
      </c>
      <c r="C53" s="50">
        <f>"Onsite"</f>
        <v/>
      </c>
      <c r="D53" s="51" t="inlineStr">
        <is>
          <t>ONSITE</t>
        </is>
      </c>
      <c r="E53" s="51" t="inlineStr">
        <is>
          <t>Ricoh Australia Pty Ltd</t>
        </is>
      </c>
      <c r="F53" s="51" t="inlineStr">
        <is>
          <t>26082801</t>
        </is>
      </c>
      <c r="G53" s="50">
        <f>IF(F53="","",IF(COUNTIF(lst_Jobs,F53&amp;"")&gt;0,"OK","CHECK"))</f>
        <v/>
      </c>
      <c r="H53" s="51" t="inlineStr">
        <is>
          <t>Ricoh Australia - SHELL AV Support</t>
        </is>
      </c>
      <c r="I53" s="51" t="inlineStr">
        <is>
          <t>Contract</t>
        </is>
      </c>
      <c r="J53" s="51" t="inlineStr">
        <is>
          <t>INV-10620</t>
        </is>
      </c>
      <c r="K53" s="51" t="inlineStr">
        <is>
          <t>GST 10%</t>
        </is>
      </c>
      <c r="L53" s="52" t="n">
        <v>340</v>
      </c>
      <c r="M53" s="53">
        <f>IF(L53="","",IF(K53="GST 10%",ROUND(L53*0.1,2),0))</f>
        <v/>
      </c>
      <c r="N53" s="53">
        <f>IF(L53="","",L53+M53)</f>
        <v/>
      </c>
      <c r="O53" s="51" t="inlineStr">
        <is>
          <t>41100</t>
        </is>
      </c>
      <c r="P53" s="51" t="inlineStr">
        <is>
          <t>Y</t>
        </is>
      </c>
      <c r="Q53" s="51" t="inlineStr">
        <is>
          <t>N</t>
        </is>
      </c>
      <c r="R53" s="51" t="inlineStr">
        <is>
          <t>Invoiced</t>
        </is>
      </c>
      <c r="S53" s="51" t="inlineStr">
        <is>
          <t>This was not actually for Shell - error in quote. End client was Wotton Kearney.</t>
        </is>
      </c>
      <c r="T53" s="51" t="n"/>
      <c r="U53" s="51" t="inlineStr">
        <is>
          <t>N/A</t>
        </is>
      </c>
      <c r="V53" s="54" t="n"/>
      <c r="W53" s="51" t="n"/>
    </row>
    <row r="54" ht="15" customHeight="1">
      <c r="A54" s="48" t="n"/>
      <c r="B54" s="49">
        <f>IF(A54="","",EOMONTH(A54,0))</f>
        <v/>
      </c>
      <c r="C54" s="50">
        <f>"Onsite"</f>
        <v/>
      </c>
      <c r="D54" s="51" t="inlineStr">
        <is>
          <t>ONSITE</t>
        </is>
      </c>
      <c r="E54" s="51" t="inlineStr">
        <is>
          <t>PWC</t>
        </is>
      </c>
      <c r="F54" s="51" t="inlineStr">
        <is>
          <t>2608603</t>
        </is>
      </c>
      <c r="G54" s="50">
        <f>IF(F54="","",IF(COUNTIF(lst_Jobs,F54&amp;"")&gt;0,"OK","CHECK"))</f>
        <v/>
      </c>
      <c r="H54" s="51" t="inlineStr">
        <is>
          <t xml:space="preserve">Pool of Hours - National AV / IT Support </t>
        </is>
      </c>
      <c r="I54" s="51" t="inlineStr">
        <is>
          <t>Contract</t>
        </is>
      </c>
      <c r="J54" s="51" t="n"/>
      <c r="K54" s="51" t="inlineStr">
        <is>
          <t>GST 10%</t>
        </is>
      </c>
      <c r="L54" s="52" t="n">
        <v>8500</v>
      </c>
      <c r="M54" s="53">
        <f>IF(L54="","",IF(K54="GST 10%",ROUND(L54*0.1,2),0))</f>
        <v/>
      </c>
      <c r="N54" s="53">
        <f>IF(L54="","",L54+M54)</f>
        <v/>
      </c>
      <c r="O54" s="51" t="inlineStr">
        <is>
          <t>41100</t>
        </is>
      </c>
      <c r="P54" s="51" t="inlineStr">
        <is>
          <t>N</t>
        </is>
      </c>
      <c r="Q54" s="51" t="inlineStr">
        <is>
          <t>N</t>
        </is>
      </c>
      <c r="R54" s="51" t="inlineStr">
        <is>
          <t>To Invoice</t>
        </is>
      </c>
      <c r="S54" s="51" t="n"/>
      <c r="T54" s="51" t="n"/>
      <c r="U54" s="51" t="inlineStr">
        <is>
          <t>N/A</t>
        </is>
      </c>
      <c r="V54" s="54" t="n"/>
      <c r="W54" s="51" t="n"/>
    </row>
    <row r="55" ht="15" customHeight="1">
      <c r="A55" s="48" t="n"/>
      <c r="B55" s="49">
        <f>IF(A55="","",EOMONTH(A55,0))</f>
        <v/>
      </c>
      <c r="C55" s="50">
        <f>"Onsite"</f>
        <v/>
      </c>
      <c r="D55" s="51" t="inlineStr">
        <is>
          <t>ONSITE</t>
        </is>
      </c>
      <c r="E55" s="51" t="inlineStr">
        <is>
          <t>DTTL</t>
        </is>
      </c>
      <c r="F55" s="51" t="inlineStr">
        <is>
          <t>26073107</t>
        </is>
      </c>
      <c r="G55" s="50">
        <f>IF(F55="","",IF(COUNTIF(lst_Jobs,F55&amp;"")&gt;0,"OK","CHECK"))</f>
        <v/>
      </c>
      <c r="H55" s="51" t="inlineStr">
        <is>
          <t>Technician Travel (ADL-HOB Return)</t>
        </is>
      </c>
      <c r="I55" s="51" t="inlineStr">
        <is>
          <t>Contract</t>
        </is>
      </c>
      <c r="J55" s="51" t="n"/>
      <c r="K55" s="51" t="inlineStr">
        <is>
          <t>GST 10%</t>
        </is>
      </c>
      <c r="L55" s="52" t="n">
        <v>7145</v>
      </c>
      <c r="M55" s="53">
        <f>IF(L55="","",IF(K55="GST 10%",ROUND(L55*0.1,2),0))</f>
        <v/>
      </c>
      <c r="N55" s="53">
        <f>IF(L55="","",L55+M55)</f>
        <v/>
      </c>
      <c r="O55" s="51" t="inlineStr">
        <is>
          <t>41100</t>
        </is>
      </c>
      <c r="P55" s="51" t="inlineStr">
        <is>
          <t>N</t>
        </is>
      </c>
      <c r="Q55" s="51" t="inlineStr">
        <is>
          <t>N</t>
        </is>
      </c>
      <c r="R55" s="51" t="inlineStr">
        <is>
          <t>To Invoice</t>
        </is>
      </c>
      <c r="S55" s="51" t="n"/>
      <c r="T55" s="51" t="n"/>
      <c r="U55" s="51" t="inlineStr">
        <is>
          <t>N/A</t>
        </is>
      </c>
      <c r="V55" s="54" t="n"/>
      <c r="W55" s="51" t="n"/>
    </row>
    <row r="56" ht="15" customHeight="1">
      <c r="A56" s="48" t="n"/>
      <c r="B56" s="49">
        <f>IF(A56="","",EOMONTH(A56,0))</f>
        <v/>
      </c>
      <c r="C56" s="50">
        <f>"Onsite"</f>
        <v/>
      </c>
      <c r="D56" s="51" t="inlineStr">
        <is>
          <t>ONSITE</t>
        </is>
      </c>
      <c r="E56" s="51" t="inlineStr">
        <is>
          <t>DTTL</t>
        </is>
      </c>
      <c r="F56" s="51" t="inlineStr">
        <is>
          <t>2608502</t>
        </is>
      </c>
      <c r="G56" s="50">
        <f>IF(F56="","",IF(COUNTIF(lst_Jobs,F56&amp;"")&gt;0,"OK","CHECK"))</f>
        <v/>
      </c>
      <c r="H56" s="51" t="inlineStr">
        <is>
          <t>Change Maker</t>
        </is>
      </c>
      <c r="I56" s="51" t="inlineStr">
        <is>
          <t>Contract</t>
        </is>
      </c>
      <c r="J56" s="51" t="n"/>
      <c r="K56" s="51" t="inlineStr">
        <is>
          <t>GST 10%</t>
        </is>
      </c>
      <c r="L56" s="52" t="n">
        <v>1275</v>
      </c>
      <c r="M56" s="53">
        <f>IF(L56="","",IF(K56="GST 10%",ROUND(L56*0.1,2),0))</f>
        <v/>
      </c>
      <c r="N56" s="53">
        <f>IF(L56="","",L56+M56)</f>
        <v/>
      </c>
      <c r="O56" s="51" t="inlineStr">
        <is>
          <t>41100</t>
        </is>
      </c>
      <c r="P56" s="51" t="inlineStr">
        <is>
          <t>N</t>
        </is>
      </c>
      <c r="Q56" s="51" t="inlineStr">
        <is>
          <t>N</t>
        </is>
      </c>
      <c r="R56" s="51" t="inlineStr">
        <is>
          <t>To Invoice</t>
        </is>
      </c>
      <c r="S56" s="51" t="n"/>
      <c r="T56" s="51" t="n"/>
      <c r="U56" s="51" t="inlineStr">
        <is>
          <t>N/A</t>
        </is>
      </c>
      <c r="V56" s="54" t="n"/>
      <c r="W56" s="51" t="n"/>
    </row>
    <row r="57" ht="15" customHeight="1">
      <c r="A57" s="48" t="n"/>
      <c r="B57" s="49">
        <f>IF(A57="","",EOMONTH(A57,0))</f>
        <v/>
      </c>
      <c r="C57" s="50">
        <f>"Onsite"</f>
        <v/>
      </c>
      <c r="D57" s="51" t="inlineStr">
        <is>
          <t>ONSITE</t>
        </is>
      </c>
      <c r="E57" s="51" t="inlineStr">
        <is>
          <t>DTTL</t>
        </is>
      </c>
      <c r="F57" s="51" t="inlineStr">
        <is>
          <t>26082704</t>
        </is>
      </c>
      <c r="G57" s="50">
        <f>IF(F57="","",IF(COUNTIF(lst_Jobs,F57&amp;"")&gt;0,"OK","CHECK"))</f>
        <v/>
      </c>
      <c r="H57" s="51" t="inlineStr">
        <is>
          <t>STL Travel (SYD-PER)</t>
        </is>
      </c>
      <c r="I57" s="51" t="inlineStr">
        <is>
          <t>Contract</t>
        </is>
      </c>
      <c r="J57" s="51" t="n"/>
      <c r="K57" s="51" t="inlineStr">
        <is>
          <t>GST 10%</t>
        </is>
      </c>
      <c r="L57" s="52" t="n">
        <v>7735</v>
      </c>
      <c r="M57" s="53">
        <f>IF(L57="","",IF(K57="GST 10%",ROUND(L57*0.1,2),0))</f>
        <v/>
      </c>
      <c r="N57" s="53">
        <f>IF(L57="","",L57+M57)</f>
        <v/>
      </c>
      <c r="O57" s="51" t="inlineStr">
        <is>
          <t>41100</t>
        </is>
      </c>
      <c r="P57" s="51" t="inlineStr">
        <is>
          <t>N</t>
        </is>
      </c>
      <c r="Q57" s="51" t="inlineStr">
        <is>
          <t>N</t>
        </is>
      </c>
      <c r="R57" s="51" t="inlineStr">
        <is>
          <t>To Invoice</t>
        </is>
      </c>
      <c r="S57" s="51" t="n"/>
      <c r="T57" s="51" t="n"/>
      <c r="U57" s="51" t="inlineStr">
        <is>
          <t>N/A</t>
        </is>
      </c>
      <c r="V57" s="54" t="n"/>
      <c r="W57" s="51" t="n"/>
    </row>
    <row r="58" ht="15" customHeight="1">
      <c r="A58" s="48" t="n"/>
      <c r="B58" s="49">
        <f>IF(A58="","",EOMONTH(A58,0))</f>
        <v/>
      </c>
      <c r="C58" s="50">
        <f>"Onsite"</f>
        <v/>
      </c>
      <c r="D58" s="51" t="inlineStr">
        <is>
          <t>ONSITE</t>
        </is>
      </c>
      <c r="E58" s="51" t="inlineStr">
        <is>
          <t>CBA</t>
        </is>
      </c>
      <c r="F58" s="51" t="inlineStr">
        <is>
          <t>26043001</t>
        </is>
      </c>
      <c r="G58" s="50">
        <f>IF(F58="","",IF(COUNTIF(lst_Jobs,F58&amp;"")&gt;0,"OK","CHECK"))</f>
        <v/>
      </c>
      <c r="H58" s="51" t="n"/>
      <c r="I58" s="51" t="inlineStr">
        <is>
          <t>Contract</t>
        </is>
      </c>
      <c r="J58" s="51" t="n"/>
      <c r="K58" s="51" t="inlineStr">
        <is>
          <t>GST 10%</t>
        </is>
      </c>
      <c r="L58" s="52" t="n"/>
      <c r="M58" s="53">
        <f>IF(L58="","",IF(K58="GST 10%",ROUND(L58*0.1,2),0))</f>
        <v/>
      </c>
      <c r="N58" s="53">
        <f>IF(L58="","",L58+M58)</f>
        <v/>
      </c>
      <c r="O58" s="51" t="inlineStr">
        <is>
          <t>41100</t>
        </is>
      </c>
      <c r="P58" s="51" t="inlineStr">
        <is>
          <t>N</t>
        </is>
      </c>
      <c r="Q58" s="51" t="inlineStr">
        <is>
          <t>N</t>
        </is>
      </c>
      <c r="R58" s="51" t="inlineStr">
        <is>
          <t>To Invoice</t>
        </is>
      </c>
      <c r="S58" s="51" t="n"/>
      <c r="T58" s="51" t="n"/>
      <c r="U58" s="51" t="inlineStr">
        <is>
          <t>N/A</t>
        </is>
      </c>
      <c r="V58" s="54" t="n"/>
      <c r="W58" s="51" t="n"/>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dataValidations count="8">
    <dataValidation sqref="D5:D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R5:R20000" showDropDown="0" showInputMessage="0" showErrorMessage="1" allowBlank="1" errorTitle="Not on the list" error="&quot;Status&quot; is not on the list in the Lists sheet. Add it there if it is genuinely new." type="list" errorStyle="warning">
      <formula1>lst_Status</formula1>
    </dataValidation>
    <dataValidation sqref="U5:U20000" showDropDown="0" showInputMessage="0" showErrorMessage="1" allowBlank="1" errorTitle="Not on the list" error="&quot;Ariba Status&quot; is not on the list in the Lists sheet. Add it there if it is genuinely new." type="list" errorStyle="warning">
      <formula1>lst_Ariba</formula1>
    </dataValidation>
  </dataValidation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5B708A"/>
    <outlinePr summaryBelow="1" summaryRight="1"/>
    <pageSetUpPr/>
  </sheetPr>
  <dimension ref="A1:AN65"/>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 width="15" customWidth="1" min="20" max="20"/>
    <col width="17" customWidth="1" min="21" max="21"/>
    <col width="26" customWidth="1" min="22" max="22"/>
    <col width="12" customWidth="1" min="23" max="23"/>
    <col width="30" customWidth="1" min="24" max="24"/>
    <col width="12" customWidth="1" min="25" max="25"/>
    <col width="14" customWidth="1" min="26" max="26"/>
    <col width="14" customWidth="1" min="27" max="27"/>
    <col width="11" customWidth="1" min="28" max="28"/>
    <col width="17" customWidth="1" min="29" max="29"/>
    <col width="11" customWidth="1" min="30" max="30"/>
    <col width="17" customWidth="1" min="31" max="31"/>
    <col width="22" customWidth="1" min="32" max="32"/>
    <col width="14" customWidth="1" min="33" max="33"/>
    <col width="14" customWidth="1" min="34" max="34"/>
    <col width="10" customWidth="1" min="35" max="35"/>
    <col width="15" customWidth="1" min="36" max="36"/>
    <col width="15" customWidth="1" min="37" max="37"/>
    <col width="15" customWidth="1" min="38" max="38"/>
    <col width="19" customWidth="1" min="39" max="39"/>
    <col width="18" customWidth="1" min="40" max="40"/>
  </cols>
  <sheetData>
    <row r="1" ht="24" customHeight="1">
      <c r="A1" s="12" t="inlineStr">
        <is>
          <t>Production - Revenue Entry</t>
        </is>
      </c>
    </row>
    <row r="2" ht="16" customHeight="1">
      <c r="A2" s="2" t="inlineStr">
        <is>
          <t>Production &amp; Video invoicing (ACC005 s.2). One row per Xero invoice. Set Cost Centre to VIDEO for the video half of a split job so Finance can report the split.</t>
        </is>
      </c>
    </row>
    <row r="3" ht="6" customHeight="1"/>
    <row r="4" ht="34" customHeight="1">
      <c r="A4" s="19" t="inlineStr">
        <is>
          <t>Date</t>
        </is>
      </c>
      <c r="B4" s="47" t="inlineStr">
        <is>
          <t>Month</t>
        </is>
      </c>
      <c r="C4" s="47" t="inlineStr">
        <is>
          <t>Team</t>
        </is>
      </c>
      <c r="D4" s="19" t="inlineStr">
        <is>
          <t>Cost Centre</t>
        </is>
      </c>
      <c r="E4" s="19" t="inlineStr">
        <is>
          <t>Client</t>
        </is>
      </c>
      <c r="F4" s="19" t="inlineStr">
        <is>
          <t>Job Number</t>
        </is>
      </c>
      <c r="G4" s="47" t="inlineStr">
        <is>
          <t>Job in Xero?</t>
        </is>
      </c>
      <c r="H4" s="19" t="inlineStr">
        <is>
          <t>Description</t>
        </is>
      </c>
      <c r="I4" s="19" t="inlineStr">
        <is>
          <t>Invoice Type</t>
        </is>
      </c>
      <c r="J4" s="19" t="inlineStr">
        <is>
          <t>Xero Invoice No</t>
        </is>
      </c>
      <c r="K4" s="19" t="inlineStr">
        <is>
          <t>Tax Code</t>
        </is>
      </c>
      <c r="L4" s="19" t="inlineStr">
        <is>
          <t>Ex GST</t>
        </is>
      </c>
      <c r="M4" s="47" t="inlineStr">
        <is>
          <t>GST</t>
        </is>
      </c>
      <c r="N4" s="47" t="inlineStr">
        <is>
          <t>Inc GST</t>
        </is>
      </c>
      <c r="O4" s="19" t="inlineStr">
        <is>
          <t>Revenue GL</t>
        </is>
      </c>
      <c r="P4" s="19" t="inlineStr">
        <is>
          <t>Posted to Xero</t>
        </is>
      </c>
      <c r="Q4" s="19" t="inlineStr">
        <is>
          <t>To WIP</t>
        </is>
      </c>
      <c r="R4" s="19" t="inlineStr">
        <is>
          <t>Status</t>
        </is>
      </c>
      <c r="S4" s="19" t="inlineStr">
        <is>
          <t>Notes</t>
        </is>
      </c>
      <c r="T4" s="19" t="inlineStr">
        <is>
          <t>Video Revenue</t>
        </is>
      </c>
      <c r="U4" s="47" t="inlineStr">
        <is>
          <t>Production Revenue</t>
        </is>
      </c>
      <c r="V4" s="47" t="inlineStr">
        <is>
          <t>Video Split</t>
        </is>
      </c>
      <c r="W4" s="47" t="inlineStr">
        <is>
          <t>Video GST</t>
        </is>
      </c>
      <c r="X4" s="19" t="inlineStr">
        <is>
          <t>Client Email</t>
        </is>
      </c>
      <c r="Y4" s="19" t="inlineStr">
        <is>
          <t>Event Date</t>
        </is>
      </c>
      <c r="Z4" s="19" t="inlineStr">
        <is>
          <t>Current RMS No</t>
        </is>
      </c>
      <c r="AA4" s="19" t="inlineStr">
        <is>
          <t>Zoho Number</t>
        </is>
      </c>
      <c r="AB4" s="19" t="inlineStr">
        <is>
          <t>Job Closed</t>
        </is>
      </c>
      <c r="AC4" s="19" t="inlineStr">
        <is>
          <t>Discounts Included</t>
        </is>
      </c>
      <c r="AD4" s="47" t="inlineStr">
        <is>
          <t>Discount %</t>
        </is>
      </c>
      <c r="AE4" s="19" t="inlineStr">
        <is>
          <t>Cross Hire Expense</t>
        </is>
      </c>
      <c r="AF4" s="19" t="inlineStr">
        <is>
          <t>Labour Expense (Internal)</t>
        </is>
      </c>
      <c r="AG4" s="47" t="inlineStr">
        <is>
          <t>Net Total</t>
        </is>
      </c>
      <c r="AH4" s="47" t="inlineStr">
        <is>
          <t>Margin</t>
        </is>
      </c>
      <c r="AI4" s="47" t="inlineStr">
        <is>
          <t>Margin %</t>
        </is>
      </c>
      <c r="AJ4" s="19" t="inlineStr">
        <is>
          <t>Video Filming Hrs</t>
        </is>
      </c>
      <c r="AK4" s="19" t="inlineStr">
        <is>
          <t>Video Editing Hrs</t>
        </is>
      </c>
      <c r="AL4" s="19" t="inlineStr">
        <is>
          <t>Project Mgmt Hrs</t>
        </is>
      </c>
      <c r="AM4" s="19" t="inlineStr">
        <is>
          <t>Video Project Mgmt Hrs</t>
        </is>
      </c>
      <c r="AN4" s="19" t="inlineStr">
        <is>
          <t>Production Labour Hrs</t>
        </is>
      </c>
    </row>
    <row r="5" ht="15" customHeight="1">
      <c r="A5" s="48" t="n">
        <v>46205</v>
      </c>
      <c r="B5" s="49">
        <f>IF(A5="","",EOMONTH(A5,0))</f>
        <v/>
      </c>
      <c r="C5" s="50">
        <f>"Production"</f>
        <v/>
      </c>
      <c r="D5" s="51" t="inlineStr">
        <is>
          <t>PRODUCTION</t>
        </is>
      </c>
      <c r="E5" s="51" t="inlineStr">
        <is>
          <t>Elkiem</t>
        </is>
      </c>
      <c r="F5" s="51" t="inlineStr">
        <is>
          <t>2602309</t>
        </is>
      </c>
      <c r="G5" s="50">
        <f>IF(F5="","",IF(COUNTIF(lst_Jobs,F5&amp;"")&gt;0,"OK","CHECK"))</f>
        <v/>
      </c>
      <c r="H5" s="51" t="inlineStr">
        <is>
          <t>Studio Support | 1.7.26</t>
        </is>
      </c>
      <c r="I5" s="51" t="inlineStr">
        <is>
          <t>Project</t>
        </is>
      </c>
      <c r="J5" s="51" t="inlineStr">
        <is>
          <t>INV-10513</t>
        </is>
      </c>
      <c r="K5" s="51" t="inlineStr">
        <is>
          <t>GST 10%</t>
        </is>
      </c>
      <c r="L5" s="52" t="n">
        <v>380</v>
      </c>
      <c r="M5" s="53">
        <f>IF(L5="","",IF(K5="GST 10%",ROUND(L5*0.1,2),0))</f>
        <v/>
      </c>
      <c r="N5" s="53">
        <f>IF(L5="","",L5+M5)</f>
        <v/>
      </c>
      <c r="O5" s="51" t="inlineStr">
        <is>
          <t>42100</t>
        </is>
      </c>
      <c r="P5" s="51" t="inlineStr">
        <is>
          <t>Y</t>
        </is>
      </c>
      <c r="Q5" s="51" t="inlineStr">
        <is>
          <t>N</t>
        </is>
      </c>
      <c r="R5" s="51" t="inlineStr">
        <is>
          <t>Invoiced</t>
        </is>
      </c>
      <c r="S5" s="51" t="n"/>
      <c r="T5" s="52" t="n"/>
      <c r="U5" s="53">
        <f>IF(L5="","",L5-N(T5))</f>
        <v/>
      </c>
      <c r="V5" s="50">
        <f>IF(L5="","",IF(SIGN(N(T5))*SIGN(L5)=-1,"CHECK - video sign",IF(ABS(N(T5))&gt;ABS(L5),"CHECK - video exceeds invoice",IF(AND(D5="VIDEO",ROUND(N(T5),2)&lt;&gt;ROUND(L5,2)),"CHECK - VIDEO job not fully split",IF(N(T5)=0,"All production",IF(ROUND(N(T5),2)=ROUND(L5,2),"All video","Split"))))))</f>
        <v/>
      </c>
      <c r="W5" s="53">
        <f>IF(L5="","",IF(N(T5)=0,0,ROUND(M5*N(T5)/L5,2)))</f>
        <v/>
      </c>
      <c r="X5" s="51" t="inlineStr">
        <is>
          <t>Ben.woodlock@elkiem.com</t>
        </is>
      </c>
      <c r="Y5" s="48" t="inlineStr">
        <is>
          <t>7/1/2026</t>
        </is>
      </c>
      <c r="Z5" s="51" t="inlineStr">
        <is>
          <t>5879</t>
        </is>
      </c>
      <c r="AA5" s="51" t="inlineStr">
        <is>
          <t>2602309</t>
        </is>
      </c>
      <c r="AB5" s="51" t="inlineStr">
        <is>
          <t>Y</t>
        </is>
      </c>
      <c r="AC5" s="52" t="n"/>
      <c r="AD5" s="55">
        <f>IFERROR(AC5/AG5,"")</f>
        <v/>
      </c>
      <c r="AE5" s="52" t="n"/>
      <c r="AF5" s="52" t="n">
        <v>229.56</v>
      </c>
      <c r="AG5" s="53">
        <f>IF(L5="","",L5-N(AC5))</f>
        <v/>
      </c>
      <c r="AH5" s="53">
        <f>IF(L5="","",L5-N(AE5)-N(AF5))</f>
        <v/>
      </c>
      <c r="AI5" s="55">
        <f>IFERROR(AH5/L5,"")</f>
        <v/>
      </c>
      <c r="AJ5" s="54" t="n"/>
      <c r="AK5" s="54" t="n"/>
      <c r="AL5" s="54" t="n"/>
      <c r="AM5" s="54" t="n"/>
      <c r="AN5" s="54" t="n">
        <v>4</v>
      </c>
    </row>
    <row r="6" ht="15" customHeight="1">
      <c r="A6" s="48" t="n">
        <v>46210</v>
      </c>
      <c r="B6" s="49">
        <f>IF(A6="","",EOMONTH(A6,0))</f>
        <v/>
      </c>
      <c r="C6" s="50">
        <f>"Production"</f>
        <v/>
      </c>
      <c r="D6" s="51" t="inlineStr">
        <is>
          <t>PRODUCTION</t>
        </is>
      </c>
      <c r="E6" s="51" t="inlineStr">
        <is>
          <t>RSNSW</t>
        </is>
      </c>
      <c r="F6" s="51" t="inlineStr">
        <is>
          <t>26032301</t>
        </is>
      </c>
      <c r="G6" s="50">
        <f>IF(F6="","",IF(COUNTIF(lst_Jobs,F6&amp;"")&gt;0,"OK","CHECK"))</f>
        <v/>
      </c>
      <c r="H6" s="51" t="inlineStr">
        <is>
          <t>Ordinary General Meeting | 1.7.26</t>
        </is>
      </c>
      <c r="I6" s="51" t="inlineStr">
        <is>
          <t>Project</t>
        </is>
      </c>
      <c r="J6" s="51" t="inlineStr">
        <is>
          <t>INV-10519</t>
        </is>
      </c>
      <c r="K6" s="51" t="inlineStr">
        <is>
          <t>GST 10%</t>
        </is>
      </c>
      <c r="L6" s="52" t="n">
        <v>3071</v>
      </c>
      <c r="M6" s="53">
        <f>IF(L6="","",IF(K6="GST 10%",ROUND(L6*0.1,2),0))</f>
        <v/>
      </c>
      <c r="N6" s="53">
        <f>IF(L6="","",L6+M6)</f>
        <v/>
      </c>
      <c r="O6" s="51" t="inlineStr">
        <is>
          <t>42100</t>
        </is>
      </c>
      <c r="P6" s="51" t="inlineStr">
        <is>
          <t>Y</t>
        </is>
      </c>
      <c r="Q6" s="51" t="inlineStr">
        <is>
          <t>N</t>
        </is>
      </c>
      <c r="R6" s="51" t="inlineStr">
        <is>
          <t>Invoiced</t>
        </is>
      </c>
      <c r="S6" s="51" t="n"/>
      <c r="T6" s="52" t="n">
        <v>1029</v>
      </c>
      <c r="U6" s="53">
        <f>IF(L6="","",L6-N(T6))</f>
        <v/>
      </c>
      <c r="V6" s="50">
        <f>IF(L6="","",IF(SIGN(N(T6))*SIGN(L6)=-1,"CHECK - video sign",IF(ABS(N(T6))&gt;ABS(L6),"CHECK - video exceeds invoice",IF(AND(D6="VIDEO",ROUND(N(T6),2)&lt;&gt;ROUND(L6,2)),"CHECK - VIDEO job not fully split",IF(N(T6)=0,"All production",IF(ROUND(N(T6),2)=ROUND(L6,2),"All video","Split"))))))</f>
        <v/>
      </c>
      <c r="W6" s="53">
        <f>IF(L6="","",IF(N(T6)=0,0,ROUND(M6*N(T6)/L6,2)))</f>
        <v/>
      </c>
      <c r="X6" s="51" t="inlineStr">
        <is>
          <t>lindsay.botten@outlook.com</t>
        </is>
      </c>
      <c r="Y6" s="48" t="inlineStr">
        <is>
          <t>7/1/2026</t>
        </is>
      </c>
      <c r="Z6" s="51" t="inlineStr">
        <is>
          <t>5924</t>
        </is>
      </c>
      <c r="AA6" s="51" t="inlineStr">
        <is>
          <t>26032301</t>
        </is>
      </c>
      <c r="AB6" s="51" t="inlineStr">
        <is>
          <t>Y</t>
        </is>
      </c>
      <c r="AC6" s="52" t="n">
        <v>334</v>
      </c>
      <c r="AD6" s="55">
        <f>IFERROR(AC6/AG6,"")</f>
        <v/>
      </c>
      <c r="AE6" s="52" t="n"/>
      <c r="AF6" s="52" t="n">
        <v>977.23</v>
      </c>
      <c r="AG6" s="53">
        <f>IF(L6="","",L6-N(AC6))</f>
        <v/>
      </c>
      <c r="AH6" s="53">
        <f>IF(L6="","",L6-N(AE6)-N(AF6))</f>
        <v/>
      </c>
      <c r="AI6" s="55">
        <f>IFERROR(AH6/L6,"")</f>
        <v/>
      </c>
      <c r="AJ6" s="54" t="n">
        <v>4</v>
      </c>
      <c r="AK6" s="54" t="n"/>
      <c r="AL6" s="54" t="n"/>
      <c r="AM6" s="54" t="n"/>
      <c r="AN6" s="54" t="n">
        <v>10</v>
      </c>
    </row>
    <row r="7" ht="15" customHeight="1">
      <c r="A7" s="48" t="n">
        <v>46210</v>
      </c>
      <c r="B7" s="49">
        <f>IF(A7="","",EOMONTH(A7,0))</f>
        <v/>
      </c>
      <c r="C7" s="50">
        <f>"Production"</f>
        <v/>
      </c>
      <c r="D7" s="51" t="inlineStr">
        <is>
          <t>PRODUCTION</t>
        </is>
      </c>
      <c r="E7" s="51" t="inlineStr">
        <is>
          <t>PWC</t>
        </is>
      </c>
      <c r="F7" s="51" t="inlineStr">
        <is>
          <t>26062201</t>
        </is>
      </c>
      <c r="G7" s="50">
        <f>IF(F7="","",IF(COUNTIF(lst_Jobs,F7&amp;"")&gt;0,"OK","CHECK"))</f>
        <v/>
      </c>
      <c r="H7" s="51" t="inlineStr">
        <is>
          <t>Tax and Legal Webcast 2.7.26</t>
        </is>
      </c>
      <c r="I7" s="51" t="inlineStr">
        <is>
          <t>Project</t>
        </is>
      </c>
      <c r="J7" s="51" t="inlineStr">
        <is>
          <t>INV-10515</t>
        </is>
      </c>
      <c r="K7" s="51" t="inlineStr">
        <is>
          <t>GST 10%</t>
        </is>
      </c>
      <c r="L7" s="52" t="n">
        <v>1925</v>
      </c>
      <c r="M7" s="53">
        <f>IF(L7="","",IF(K7="GST 10%",ROUND(L7*0.1,2),0))</f>
        <v/>
      </c>
      <c r="N7" s="53">
        <f>IF(L7="","",L7+M7)</f>
        <v/>
      </c>
      <c r="O7" s="51" t="inlineStr">
        <is>
          <t>42100</t>
        </is>
      </c>
      <c r="P7" s="51" t="inlineStr">
        <is>
          <t>Y</t>
        </is>
      </c>
      <c r="Q7" s="51" t="inlineStr">
        <is>
          <t>N</t>
        </is>
      </c>
      <c r="R7" s="51" t="inlineStr">
        <is>
          <t>Invoiced</t>
        </is>
      </c>
      <c r="S7" s="51" t="n"/>
      <c r="T7" s="52" t="n">
        <v>970</v>
      </c>
      <c r="U7" s="53">
        <f>IF(L7="","",L7-N(T7))</f>
        <v/>
      </c>
      <c r="V7" s="50">
        <f>IF(L7="","",IF(SIGN(N(T7))*SIGN(L7)=-1,"CHECK - video sign",IF(ABS(N(T7))&gt;ABS(L7),"CHECK - video exceeds invoice",IF(AND(D7="VIDEO",ROUND(N(T7),2)&lt;&gt;ROUND(L7,2)),"CHECK - VIDEO job not fully split",IF(N(T7)=0,"All production",IF(ROUND(N(T7),2)=ROUND(L7,2),"All video","Split"))))))</f>
        <v/>
      </c>
      <c r="W7" s="53">
        <f>IF(L7="","",IF(N(T7)=0,0,ROUND(M7*N(T7)/L7,2)))</f>
        <v/>
      </c>
      <c r="X7" s="51" t="inlineStr">
        <is>
          <t>libby.kovac@au.pwc.com</t>
        </is>
      </c>
      <c r="Y7" s="48" t="inlineStr">
        <is>
          <t>7/2/2026</t>
        </is>
      </c>
      <c r="Z7" s="51" t="inlineStr">
        <is>
          <t>6076</t>
        </is>
      </c>
      <c r="AA7" s="51" t="inlineStr">
        <is>
          <t>26062201</t>
        </is>
      </c>
      <c r="AB7" s="51" t="inlineStr">
        <is>
          <t>Y</t>
        </is>
      </c>
      <c r="AC7" s="52" t="n"/>
      <c r="AD7" s="55">
        <f>IFERROR(AC7/AG7,"")</f>
        <v/>
      </c>
      <c r="AE7" s="52" t="n"/>
      <c r="AF7" s="52" t="n">
        <v>821.5599999999999</v>
      </c>
      <c r="AG7" s="53">
        <f>IF(L7="","",L7-N(AC7))</f>
        <v/>
      </c>
      <c r="AH7" s="53">
        <f>IF(L7="","",L7-N(AE7)-N(AF7))</f>
        <v/>
      </c>
      <c r="AI7" s="55">
        <f>IFERROR(AH7/L7,"")</f>
        <v/>
      </c>
      <c r="AJ7" s="54" t="n">
        <v>8</v>
      </c>
      <c r="AK7" s="54" t="n"/>
      <c r="AL7" s="54" t="n">
        <v>1</v>
      </c>
      <c r="AM7" s="54" t="n"/>
      <c r="AN7" s="54" t="n">
        <v>8</v>
      </c>
    </row>
    <row r="8" ht="15" customHeight="1">
      <c r="A8" s="48" t="n">
        <v>46219</v>
      </c>
      <c r="B8" s="49">
        <f>IF(A8="","",EOMONTH(A8,0))</f>
        <v/>
      </c>
      <c r="C8" s="50">
        <f>"Production"</f>
        <v/>
      </c>
      <c r="D8" s="51" t="inlineStr">
        <is>
          <t>PRODUCTION</t>
        </is>
      </c>
      <c r="E8" s="51" t="inlineStr">
        <is>
          <t>Elkiem - PM** Cancelled</t>
        </is>
      </c>
      <c r="F8" s="51" t="inlineStr">
        <is>
          <t>2605802</t>
        </is>
      </c>
      <c r="G8" s="50">
        <f>IF(F8="","",IF(COUNTIF(lst_Jobs,F8&amp;"")&gt;0,"OK","CHECK"))</f>
        <v/>
      </c>
      <c r="H8" s="51" t="inlineStr">
        <is>
          <t>Elkiem Studio Support | 15.7.26</t>
        </is>
      </c>
      <c r="I8" s="51" t="inlineStr">
        <is>
          <t>Project</t>
        </is>
      </c>
      <c r="J8" s="51" t="inlineStr">
        <is>
          <t>INV-10524</t>
        </is>
      </c>
      <c r="K8" s="51" t="inlineStr">
        <is>
          <t>GST 10%</t>
        </is>
      </c>
      <c r="L8" s="52" t="n">
        <v>261.25</v>
      </c>
      <c r="M8" s="53">
        <f>IF(L8="","",IF(K8="GST 10%",ROUND(L8*0.1,2),0))</f>
        <v/>
      </c>
      <c r="N8" s="53">
        <f>IF(L8="","",L8+M8)</f>
        <v/>
      </c>
      <c r="O8" s="51" t="inlineStr">
        <is>
          <t>42100</t>
        </is>
      </c>
      <c r="P8" s="51" t="inlineStr">
        <is>
          <t>Y</t>
        </is>
      </c>
      <c r="Q8" s="51" t="inlineStr">
        <is>
          <t>N</t>
        </is>
      </c>
      <c r="R8" s="51" t="inlineStr">
        <is>
          <t>Invoiced</t>
        </is>
      </c>
      <c r="S8" s="51" t="n"/>
      <c r="T8" s="52" t="n"/>
      <c r="U8" s="53">
        <f>IF(L8="","",L8-N(T8))</f>
        <v/>
      </c>
      <c r="V8" s="50">
        <f>IF(L8="","",IF(SIGN(N(T8))*SIGN(L8)=-1,"CHECK - video sign",IF(ABS(N(T8))&gt;ABS(L8),"CHECK - video exceeds invoice",IF(AND(D8="VIDEO",ROUND(N(T8),2)&lt;&gt;ROUND(L8,2)),"CHECK - VIDEO job not fully split",IF(N(T8)=0,"All production",IF(ROUND(N(T8),2)=ROUND(L8,2),"All video","Split"))))))</f>
        <v/>
      </c>
      <c r="W8" s="53">
        <f>IF(L8="","",IF(N(T8)=0,0,ROUND(M8*N(T8)/L8,2)))</f>
        <v/>
      </c>
      <c r="X8" s="51" t="inlineStr">
        <is>
          <t>Ben.woodlock@elkiem.com</t>
        </is>
      </c>
      <c r="Y8" s="48" t="inlineStr">
        <is>
          <t>7/15/2026</t>
        </is>
      </c>
      <c r="Z8" s="51" t="inlineStr">
        <is>
          <t>6013</t>
        </is>
      </c>
      <c r="AA8" s="51" t="inlineStr">
        <is>
          <t>2605802</t>
        </is>
      </c>
      <c r="AB8" s="51" t="inlineStr">
        <is>
          <t>Y</t>
        </is>
      </c>
      <c r="AC8" s="52" t="n"/>
      <c r="AD8" s="55">
        <f>IFERROR(AC8/AG8,"")</f>
        <v/>
      </c>
      <c r="AE8" s="52" t="n"/>
      <c r="AF8" s="52" t="n"/>
      <c r="AG8" s="53">
        <f>IF(L8="","",L8-N(AC8))</f>
        <v/>
      </c>
      <c r="AH8" s="53">
        <f>IF(L8="","",L8-N(AE8)-N(AF8))</f>
        <v/>
      </c>
      <c r="AI8" s="55">
        <f>IFERROR(AH8/L8,"")</f>
        <v/>
      </c>
      <c r="AJ8" s="54" t="n"/>
      <c r="AK8" s="54" t="n"/>
      <c r="AL8" s="54" t="n">
        <v>2</v>
      </c>
      <c r="AM8" s="54" t="n"/>
      <c r="AN8" s="54" t="n">
        <v>4</v>
      </c>
    </row>
    <row r="9" ht="15" customHeight="1">
      <c r="A9" s="48" t="n">
        <v>46210</v>
      </c>
      <c r="B9" s="49">
        <f>IF(A9="","",EOMONTH(A9,0))</f>
        <v/>
      </c>
      <c r="C9" s="50">
        <f>"Production"</f>
        <v/>
      </c>
      <c r="D9" s="51" t="inlineStr">
        <is>
          <t>PRODUCTION</t>
        </is>
      </c>
      <c r="E9" s="51" t="inlineStr">
        <is>
          <t>Litecard</t>
        </is>
      </c>
      <c r="F9" s="51" t="inlineStr">
        <is>
          <t>2607701</t>
        </is>
      </c>
      <c r="G9" s="50">
        <f>IF(F9="","",IF(COUNTIF(lst_Jobs,F9&amp;"")&gt;0,"OK","CHECK"))</f>
        <v/>
      </c>
      <c r="H9" s="51" t="inlineStr">
        <is>
          <t>Screen &amp; Mic Hire 16.7.26</t>
        </is>
      </c>
      <c r="I9" s="51" t="inlineStr">
        <is>
          <t>Project</t>
        </is>
      </c>
      <c r="J9" s="51" t="inlineStr">
        <is>
          <t>INV-10518</t>
        </is>
      </c>
      <c r="K9" s="51" t="inlineStr">
        <is>
          <t>GST 10%</t>
        </is>
      </c>
      <c r="L9" s="52" t="n">
        <v>500</v>
      </c>
      <c r="M9" s="53">
        <f>IF(L9="","",IF(K9="GST 10%",ROUND(L9*0.1,2),0))</f>
        <v/>
      </c>
      <c r="N9" s="53">
        <f>IF(L9="","",L9+M9)</f>
        <v/>
      </c>
      <c r="O9" s="51" t="inlineStr">
        <is>
          <t>42100</t>
        </is>
      </c>
      <c r="P9" s="51" t="inlineStr">
        <is>
          <t>Y</t>
        </is>
      </c>
      <c r="Q9" s="51" t="inlineStr">
        <is>
          <t>N</t>
        </is>
      </c>
      <c r="R9" s="51" t="inlineStr">
        <is>
          <t>Invoiced</t>
        </is>
      </c>
      <c r="S9" s="51" t="n"/>
      <c r="T9" s="52" t="n"/>
      <c r="U9" s="53">
        <f>IF(L9="","",L9-N(T9))</f>
        <v/>
      </c>
      <c r="V9" s="50">
        <f>IF(L9="","",IF(SIGN(N(T9))*SIGN(L9)=-1,"CHECK - video sign",IF(ABS(N(T9))&gt;ABS(L9),"CHECK - video exceeds invoice",IF(AND(D9="VIDEO",ROUND(N(T9),2)&lt;&gt;ROUND(L9,2)),"CHECK - VIDEO job not fully split",IF(N(T9)=0,"All production",IF(ROUND(N(T9),2)=ROUND(L9,2),"All video","Split"))))))</f>
        <v/>
      </c>
      <c r="W9" s="53">
        <f>IF(L9="","",IF(N(T9)=0,0,ROUND(M9*N(T9)/L9,2)))</f>
        <v/>
      </c>
      <c r="X9" s="51" t="inlineStr">
        <is>
          <t>brian@litecard.com.au</t>
        </is>
      </c>
      <c r="Y9" s="48" t="inlineStr">
        <is>
          <t>7/16/2026</t>
        </is>
      </c>
      <c r="Z9" s="51" t="inlineStr">
        <is>
          <t>6089</t>
        </is>
      </c>
      <c r="AA9" s="51" t="inlineStr">
        <is>
          <t>2607701</t>
        </is>
      </c>
      <c r="AB9" s="51" t="inlineStr">
        <is>
          <t>Y</t>
        </is>
      </c>
      <c r="AC9" s="52" t="n">
        <v>465</v>
      </c>
      <c r="AD9" s="55">
        <f>IFERROR(AC9/AG9,"")</f>
        <v/>
      </c>
      <c r="AE9" s="52" t="n"/>
      <c r="AF9" s="52" t="n"/>
      <c r="AG9" s="53">
        <f>IF(L9="","",L9-N(AC9))</f>
        <v/>
      </c>
      <c r="AH9" s="53">
        <f>IF(L9="","",L9-N(AE9)-N(AF9))</f>
        <v/>
      </c>
      <c r="AI9" s="55">
        <f>IFERROR(AH9/L9,"")</f>
        <v/>
      </c>
      <c r="AJ9" s="54" t="n"/>
      <c r="AK9" s="54" t="n"/>
      <c r="AL9" s="54" t="n"/>
      <c r="AM9" s="54" t="n"/>
      <c r="AN9" s="54" t="n">
        <v>2</v>
      </c>
    </row>
    <row r="10" ht="15" customHeight="1">
      <c r="A10" s="48" t="n">
        <v>46216</v>
      </c>
      <c r="B10" s="49">
        <f>IF(A10="","",EOMONTH(A10,0))</f>
        <v/>
      </c>
      <c r="C10" s="50">
        <f>"Production"</f>
        <v/>
      </c>
      <c r="D10" s="51" t="inlineStr">
        <is>
          <t>VIDEO</t>
        </is>
      </c>
      <c r="E10" s="51" t="inlineStr">
        <is>
          <t>Litecard</t>
        </is>
      </c>
      <c r="F10" s="51" t="inlineStr">
        <is>
          <t>2607701</t>
        </is>
      </c>
      <c r="G10" s="50">
        <f>IF(F10="","",IF(COUNTIF(lst_Jobs,F10&amp;"")&gt;0,"OK","CHECK"))</f>
        <v/>
      </c>
      <c r="H10" s="51" t="inlineStr">
        <is>
          <t>Litecard - Event Photographer - 16.7.26</t>
        </is>
      </c>
      <c r="I10" s="51" t="inlineStr">
        <is>
          <t>Project</t>
        </is>
      </c>
      <c r="J10" s="51" t="inlineStr">
        <is>
          <t>INV-10522</t>
        </is>
      </c>
      <c r="K10" s="51" t="inlineStr">
        <is>
          <t>GST 10%</t>
        </is>
      </c>
      <c r="L10" s="52" t="n">
        <v>550</v>
      </c>
      <c r="M10" s="53">
        <f>IF(L10="","",IF(K10="GST 10%",ROUND(L10*0.1,2),0))</f>
        <v/>
      </c>
      <c r="N10" s="53">
        <f>IF(L10="","",L10+M10)</f>
        <v/>
      </c>
      <c r="O10" s="51" t="inlineStr">
        <is>
          <t>42150</t>
        </is>
      </c>
      <c r="P10" s="51" t="inlineStr">
        <is>
          <t>Y</t>
        </is>
      </c>
      <c r="Q10" s="51" t="inlineStr">
        <is>
          <t>N</t>
        </is>
      </c>
      <c r="R10" s="51" t="inlineStr">
        <is>
          <t>Invoiced</t>
        </is>
      </c>
      <c r="S10" s="51" t="n"/>
      <c r="T10" s="52" t="n">
        <v>550</v>
      </c>
      <c r="U10" s="53">
        <f>IF(L10="","",L10-N(T10))</f>
        <v/>
      </c>
      <c r="V10" s="50">
        <f>IF(L10="","",IF(SIGN(N(T10))*SIGN(L10)=-1,"CHECK - video sign",IF(ABS(N(T10))&gt;ABS(L10),"CHECK - video exceeds invoice",IF(AND(D10="VIDEO",ROUND(N(T10),2)&lt;&gt;ROUND(L10,2)),"CHECK - VIDEO job not fully split",IF(N(T10)=0,"All production",IF(ROUND(N(T10),2)=ROUND(L10,2),"All video","Split"))))))</f>
        <v/>
      </c>
      <c r="W10" s="53">
        <f>IF(L10="","",IF(N(T10)=0,0,ROUND(M10*N(T10)/L10,2)))</f>
        <v/>
      </c>
      <c r="X10" s="51" t="inlineStr">
        <is>
          <t>brian@litecard.com.au</t>
        </is>
      </c>
      <c r="Y10" s="48" t="n">
        <v>46219</v>
      </c>
      <c r="Z10" s="51" t="inlineStr">
        <is>
          <t>6102</t>
        </is>
      </c>
      <c r="AA10" s="51" t="inlineStr">
        <is>
          <t>2607701</t>
        </is>
      </c>
      <c r="AB10" s="51" t="inlineStr">
        <is>
          <t>Y</t>
        </is>
      </c>
      <c r="AC10" s="52" t="n"/>
      <c r="AD10" s="55">
        <f>IFERROR(AC10/AG10,"")</f>
        <v/>
      </c>
      <c r="AE10" s="52" t="n"/>
      <c r="AF10" s="52" t="n">
        <v>312.18</v>
      </c>
      <c r="AG10" s="53">
        <f>IF(L10="","",L10-N(AC10))</f>
        <v/>
      </c>
      <c r="AH10" s="53">
        <f>IF(L10="","",L10-N(AE10)-N(AF10))</f>
        <v/>
      </c>
      <c r="AI10" s="55">
        <f>IFERROR(AH10/L10,"")</f>
        <v/>
      </c>
      <c r="AJ10" s="54" t="n">
        <v>4</v>
      </c>
      <c r="AK10" s="54" t="n"/>
      <c r="AL10" s="54" t="n"/>
      <c r="AM10" s="54" t="n"/>
      <c r="AN10" s="54" t="n"/>
    </row>
    <row r="11" ht="15" customHeight="1">
      <c r="A11" s="48" t="n">
        <v>46234</v>
      </c>
      <c r="B11" s="49">
        <f>IF(A11="","",EOMONTH(A11,0))</f>
        <v/>
      </c>
      <c r="C11" s="50">
        <f>"Production"</f>
        <v/>
      </c>
      <c r="D11" s="51" t="inlineStr">
        <is>
          <t>PRODUCTION</t>
        </is>
      </c>
      <c r="E11" s="51" t="inlineStr">
        <is>
          <t>Microsoft</t>
        </is>
      </c>
      <c r="F11" s="51" t="inlineStr">
        <is>
          <t>26052703</t>
        </is>
      </c>
      <c r="G11" s="50">
        <f>IF(F11="","",IF(COUNTIF(lst_Jobs,F11&amp;"")&gt;0,"OK","CHECK"))</f>
        <v/>
      </c>
      <c r="H11" s="51" t="inlineStr">
        <is>
          <t>Microsoft Town Hall 21.7.26</t>
        </is>
      </c>
      <c r="I11" s="51" t="inlineStr">
        <is>
          <t>Project</t>
        </is>
      </c>
      <c r="J11" s="51" t="inlineStr">
        <is>
          <t>INV-10554</t>
        </is>
      </c>
      <c r="K11" s="51" t="inlineStr">
        <is>
          <t>GST 10%</t>
        </is>
      </c>
      <c r="L11" s="52" t="n">
        <v>12587</v>
      </c>
      <c r="M11" s="53">
        <f>IF(L11="","",IF(K11="GST 10%",ROUND(L11*0.1,2),0))</f>
        <v/>
      </c>
      <c r="N11" s="53">
        <f>IF(L11="","",L11+M11)</f>
        <v/>
      </c>
      <c r="O11" s="51" t="inlineStr">
        <is>
          <t>42100</t>
        </is>
      </c>
      <c r="P11" s="51" t="inlineStr">
        <is>
          <t>Y</t>
        </is>
      </c>
      <c r="Q11" s="51" t="inlineStr">
        <is>
          <t>N</t>
        </is>
      </c>
      <c r="R11" s="51" t="inlineStr">
        <is>
          <t>Invoiced</t>
        </is>
      </c>
      <c r="S11" s="51" t="n"/>
      <c r="T11" s="52" t="n">
        <v>1702</v>
      </c>
      <c r="U11" s="53">
        <f>IF(L11="","",L11-N(T11))</f>
        <v/>
      </c>
      <c r="V11" s="50">
        <f>IF(L11="","",IF(SIGN(N(T11))*SIGN(L11)=-1,"CHECK - video sign",IF(ABS(N(T11))&gt;ABS(L11),"CHECK - video exceeds invoice",IF(AND(D11="VIDEO",ROUND(N(T11),2)&lt;&gt;ROUND(L11,2)),"CHECK - VIDEO job not fully split",IF(N(T11)=0,"All production",IF(ROUND(N(T11),2)=ROUND(L11,2),"All video","Split"))))))</f>
        <v/>
      </c>
      <c r="W11" s="53">
        <f>IF(L11="","",IF(N(T11)=0,0,ROUND(M11*N(T11)/L11,2)))</f>
        <v/>
      </c>
      <c r="X11" s="51" t="inlineStr">
        <is>
          <t>helenkingham@microsoft.com</t>
        </is>
      </c>
      <c r="Y11" s="48" t="n">
        <v>46224</v>
      </c>
      <c r="Z11" s="51" t="inlineStr">
        <is>
          <t>6034</t>
        </is>
      </c>
      <c r="AA11" s="51" t="inlineStr">
        <is>
          <t>26052703</t>
        </is>
      </c>
      <c r="AB11" s="51" t="inlineStr">
        <is>
          <t>Y</t>
        </is>
      </c>
      <c r="AC11" s="52" t="n">
        <v>580</v>
      </c>
      <c r="AD11" s="55">
        <f>IFERROR(AC11/AG11,"")</f>
        <v/>
      </c>
      <c r="AE11" s="52" t="n">
        <v>631.5</v>
      </c>
      <c r="AF11" s="52" t="n">
        <v>3148.7</v>
      </c>
      <c r="AG11" s="53">
        <f>IF(L11="","",L11-N(AC11))</f>
        <v/>
      </c>
      <c r="AH11" s="53">
        <f>IF(L11="","",L11-N(AE11)-N(AF11))</f>
        <v/>
      </c>
      <c r="AI11" s="55">
        <f>IFERROR(AH11/L11,"")</f>
        <v/>
      </c>
      <c r="AJ11" s="54" t="n">
        <v>4</v>
      </c>
      <c r="AK11" s="54" t="n"/>
      <c r="AL11" s="54" t="n"/>
      <c r="AM11" s="54" t="n"/>
      <c r="AN11" s="54" t="n">
        <v>44</v>
      </c>
    </row>
    <row r="12" ht="15" customHeight="1">
      <c r="A12" s="48" t="n">
        <v>46232</v>
      </c>
      <c r="B12" s="49">
        <f>IF(A12="","",EOMONTH(A12,0))</f>
        <v/>
      </c>
      <c r="C12" s="50">
        <f>"Production"</f>
        <v/>
      </c>
      <c r="D12" s="51" t="inlineStr">
        <is>
          <t>PRODUCTION</t>
        </is>
      </c>
      <c r="E12" s="51" t="inlineStr">
        <is>
          <t>Optiver</t>
        </is>
      </c>
      <c r="F12" s="51" t="inlineStr">
        <is>
          <t>26041603</t>
        </is>
      </c>
      <c r="G12" s="50">
        <f>IF(F12="","",IF(COUNTIF(lst_Jobs,F12&amp;"")&gt;0,"OK","CHECK"))</f>
        <v/>
      </c>
      <c r="H12" s="51" t="inlineStr">
        <is>
          <t>Mid-Year Town Hall 23.7.26</t>
        </is>
      </c>
      <c r="I12" s="51" t="inlineStr">
        <is>
          <t>Project</t>
        </is>
      </c>
      <c r="J12" s="51" t="inlineStr">
        <is>
          <t>INV-10538</t>
        </is>
      </c>
      <c r="K12" s="51" t="inlineStr">
        <is>
          <t>GST 10%</t>
        </is>
      </c>
      <c r="L12" s="52" t="n">
        <v>745</v>
      </c>
      <c r="M12" s="53">
        <f>IF(L12="","",IF(K12="GST 10%",ROUND(L12*0.1,2),0))</f>
        <v/>
      </c>
      <c r="N12" s="53">
        <f>IF(L12="","",L12+M12)</f>
        <v/>
      </c>
      <c r="O12" s="51" t="inlineStr">
        <is>
          <t>42100</t>
        </is>
      </c>
      <c r="P12" s="51" t="inlineStr">
        <is>
          <t>Y</t>
        </is>
      </c>
      <c r="Q12" s="51" t="inlineStr">
        <is>
          <t>N</t>
        </is>
      </c>
      <c r="R12" s="51" t="inlineStr">
        <is>
          <t>Invoiced</t>
        </is>
      </c>
      <c r="S12" s="51" t="n"/>
      <c r="T12" s="52" t="n"/>
      <c r="U12" s="53">
        <f>IF(L12="","",L12-N(T12))</f>
        <v/>
      </c>
      <c r="V12" s="50">
        <f>IF(L12="","",IF(SIGN(N(T12))*SIGN(L12)=-1,"CHECK - video sign",IF(ABS(N(T12))&gt;ABS(L12),"CHECK - video exceeds invoice",IF(AND(D12="VIDEO",ROUND(N(T12),2)&lt;&gt;ROUND(L12,2)),"CHECK - VIDEO job not fully split",IF(N(T12)=0,"All production",IF(ROUND(N(T12),2)=ROUND(L12,2),"All video","Split"))))))</f>
        <v/>
      </c>
      <c r="W12" s="53">
        <f>IF(L12="","",IF(N(T12)=0,0,ROUND(M12*N(T12)/L12,2)))</f>
        <v/>
      </c>
      <c r="X12" s="51" t="inlineStr">
        <is>
          <t>jo.rosewarne@optiver.com.au</t>
        </is>
      </c>
      <c r="Y12" s="48" t="n">
        <v>46226</v>
      </c>
      <c r="Z12" s="51" t="inlineStr">
        <is>
          <t>6085</t>
        </is>
      </c>
      <c r="AA12" s="51" t="inlineStr">
        <is>
          <t>26041603</t>
        </is>
      </c>
      <c r="AB12" s="51" t="inlineStr">
        <is>
          <t>Y</t>
        </is>
      </c>
      <c r="AC12" s="52" t="n"/>
      <c r="AD12" s="55">
        <f>IFERROR(AC12/AG12,"")</f>
        <v/>
      </c>
      <c r="AE12" s="52" t="n"/>
      <c r="AF12" s="52" t="n">
        <v>153.84</v>
      </c>
      <c r="AG12" s="53">
        <f>IF(L12="","",L12-N(AC12))</f>
        <v/>
      </c>
      <c r="AH12" s="53">
        <f>IF(L12="","",L12-N(AE12)-N(AF12))</f>
        <v/>
      </c>
      <c r="AI12" s="55">
        <f>IFERROR(AH12/L12,"")</f>
        <v/>
      </c>
      <c r="AJ12" s="54" t="n"/>
      <c r="AK12" s="54" t="n"/>
      <c r="AL12" s="54" t="n"/>
      <c r="AM12" s="54" t="n"/>
      <c r="AN12" s="54" t="n">
        <v>4</v>
      </c>
    </row>
    <row r="13" ht="15" customHeight="1">
      <c r="A13" s="48" t="n">
        <v>46234</v>
      </c>
      <c r="B13" s="49">
        <f>IF(A13="","",EOMONTH(A13,0))</f>
        <v/>
      </c>
      <c r="C13" s="50">
        <f>"Production"</f>
        <v/>
      </c>
      <c r="D13" s="51" t="inlineStr">
        <is>
          <t>PRODUCTION</t>
        </is>
      </c>
      <c r="E13" s="51" t="inlineStr">
        <is>
          <t>Arup</t>
        </is>
      </c>
      <c r="F13" s="51" t="inlineStr">
        <is>
          <t>2605403</t>
        </is>
      </c>
      <c r="G13" s="50">
        <f>IF(F13="","",IF(COUNTIF(lst_Jobs,F13&amp;"")&gt;0,"OK","CHECK"))</f>
        <v/>
      </c>
      <c r="H13" s="51" t="inlineStr">
        <is>
          <t>Oves Awards Night 23.7.26</t>
        </is>
      </c>
      <c r="I13" s="51" t="inlineStr">
        <is>
          <t>Project</t>
        </is>
      </c>
      <c r="J13" s="51" t="inlineStr">
        <is>
          <t>INV-10540</t>
        </is>
      </c>
      <c r="K13" s="51" t="inlineStr">
        <is>
          <t>GST 10%</t>
        </is>
      </c>
      <c r="L13" s="52" t="n">
        <v>5636</v>
      </c>
      <c r="M13" s="53">
        <f>IF(L13="","",IF(K13="GST 10%",ROUND(L13*0.1,2),0))</f>
        <v/>
      </c>
      <c r="N13" s="53">
        <f>IF(L13="","",L13+M13)</f>
        <v/>
      </c>
      <c r="O13" s="51" t="inlineStr">
        <is>
          <t>42100</t>
        </is>
      </c>
      <c r="P13" s="51" t="inlineStr">
        <is>
          <t>Y</t>
        </is>
      </c>
      <c r="Q13" s="51" t="inlineStr">
        <is>
          <t>N</t>
        </is>
      </c>
      <c r="R13" s="51" t="inlineStr">
        <is>
          <t>Invoiced</t>
        </is>
      </c>
      <c r="S13" s="51" t="n"/>
      <c r="T13" s="52" t="n">
        <v>176</v>
      </c>
      <c r="U13" s="53">
        <f>IF(L13="","",L13-N(T13))</f>
        <v/>
      </c>
      <c r="V13" s="50">
        <f>IF(L13="","",IF(SIGN(N(T13))*SIGN(L13)=-1,"CHECK - video sign",IF(ABS(N(T13))&gt;ABS(L13),"CHECK - video exceeds invoice",IF(AND(D13="VIDEO",ROUND(N(T13),2)&lt;&gt;ROUND(L13,2)),"CHECK - VIDEO job not fully split",IF(N(T13)=0,"All production",IF(ROUND(N(T13),2)=ROUND(L13,2),"All video","Split"))))))</f>
        <v/>
      </c>
      <c r="W13" s="53">
        <f>IF(L13="","",IF(N(T13)=0,0,ROUND(M13*N(T13)/L13,2)))</f>
        <v/>
      </c>
      <c r="X13" s="51" t="inlineStr">
        <is>
          <t>Timothy.Hicks@arup.com</t>
        </is>
      </c>
      <c r="Y13" s="48" t="n">
        <v>46226</v>
      </c>
      <c r="Z13" s="51" t="inlineStr">
        <is>
          <t>5956</t>
        </is>
      </c>
      <c r="AA13" s="51" t="inlineStr">
        <is>
          <t>2605403</t>
        </is>
      </c>
      <c r="AB13" s="51" t="inlineStr">
        <is>
          <t>Y</t>
        </is>
      </c>
      <c r="AC13" s="52" t="n">
        <v>839</v>
      </c>
      <c r="AD13" s="55">
        <f>IFERROR(AC13/AG13,"")</f>
        <v/>
      </c>
      <c r="AE13" s="52" t="n"/>
      <c r="AF13" s="52" t="n">
        <v>1375.96</v>
      </c>
      <c r="AG13" s="53">
        <f>IF(L13="","",L13-N(AC13))</f>
        <v/>
      </c>
      <c r="AH13" s="53">
        <f>IF(L13="","",L13-N(AE13)-N(AF13))</f>
        <v/>
      </c>
      <c r="AI13" s="55">
        <f>IFERROR(AH13/L13,"")</f>
        <v/>
      </c>
      <c r="AJ13" s="54" t="n"/>
      <c r="AK13" s="54" t="n"/>
      <c r="AL13" s="54" t="n"/>
      <c r="AM13" s="54" t="n"/>
      <c r="AN13" s="54" t="n">
        <v>16</v>
      </c>
    </row>
    <row r="14" ht="15" customHeight="1">
      <c r="A14" s="48" t="n">
        <v>46234</v>
      </c>
      <c r="B14" s="49">
        <f>IF(A14="","",EOMONTH(A14,0))</f>
        <v/>
      </c>
      <c r="C14" s="50">
        <f>"Production"</f>
        <v/>
      </c>
      <c r="D14" s="51" t="inlineStr">
        <is>
          <t>PRODUCTION</t>
        </is>
      </c>
      <c r="E14" s="51" t="inlineStr">
        <is>
          <t>On24</t>
        </is>
      </c>
      <c r="F14" s="51" t="inlineStr">
        <is>
          <t>2607901</t>
        </is>
      </c>
      <c r="G14" s="50">
        <f>IF(F14="","",IF(COUNTIF(lst_Jobs,F14&amp;"")&gt;0,"OK","CHECK"))</f>
        <v/>
      </c>
      <c r="H14" s="51" t="inlineStr">
        <is>
          <t>KWM Event 23.7.26 (PO #25962)</t>
        </is>
      </c>
      <c r="I14" s="51" t="inlineStr">
        <is>
          <t>Project</t>
        </is>
      </c>
      <c r="J14" s="51" t="inlineStr">
        <is>
          <t>INV-10552</t>
        </is>
      </c>
      <c r="K14" s="51" t="inlineStr">
        <is>
          <t>GST 10%</t>
        </is>
      </c>
      <c r="L14" s="52" t="n">
        <v>2575</v>
      </c>
      <c r="M14" s="53">
        <f>IF(L14="","",IF(K14="GST 10%",ROUND(L14*0.1,2),0))</f>
        <v/>
      </c>
      <c r="N14" s="53">
        <f>IF(L14="","",L14+M14)</f>
        <v/>
      </c>
      <c r="O14" s="51" t="inlineStr">
        <is>
          <t>42100</t>
        </is>
      </c>
      <c r="P14" s="51" t="inlineStr">
        <is>
          <t>Y</t>
        </is>
      </c>
      <c r="Q14" s="51" t="inlineStr">
        <is>
          <t>N</t>
        </is>
      </c>
      <c r="R14" s="51" t="inlineStr">
        <is>
          <t>Invoiced</t>
        </is>
      </c>
      <c r="S14" s="51" t="n"/>
      <c r="T14" s="52" t="n"/>
      <c r="U14" s="53">
        <f>IF(L14="","",L14-N(T14))</f>
        <v/>
      </c>
      <c r="V14" s="50">
        <f>IF(L14="","",IF(SIGN(N(T14))*SIGN(L14)=-1,"CHECK - video sign",IF(ABS(N(T14))&gt;ABS(L14),"CHECK - video exceeds invoice",IF(AND(D14="VIDEO",ROUND(N(T14),2)&lt;&gt;ROUND(L14,2)),"CHECK - VIDEO job not fully split",IF(N(T14)=0,"All production",IF(ROUND(N(T14),2)=ROUND(L14,2),"All video","Split"))))))</f>
        <v/>
      </c>
      <c r="W14" s="53">
        <f>IF(L14="","",IF(N(T14)=0,0,ROUND(M14*N(T14)/L14,2)))</f>
        <v/>
      </c>
      <c r="X14" s="51" t="inlineStr">
        <is>
          <t>lisa.caraccio@on24.com</t>
        </is>
      </c>
      <c r="Y14" s="48" t="n">
        <v>46226</v>
      </c>
      <c r="Z14" s="51" t="inlineStr">
        <is>
          <t>6097</t>
        </is>
      </c>
      <c r="AA14" s="51" t="inlineStr">
        <is>
          <t>2607901</t>
        </is>
      </c>
      <c r="AB14" s="51" t="inlineStr">
        <is>
          <t>Y</t>
        </is>
      </c>
      <c r="AC14" s="52" t="n">
        <v>95</v>
      </c>
      <c r="AD14" s="55">
        <f>IFERROR(AC14/AG14,"")</f>
        <v/>
      </c>
      <c r="AE14" s="52" t="n"/>
      <c r="AF14" s="52" t="n">
        <v>453.31</v>
      </c>
      <c r="AG14" s="53">
        <f>IF(L14="","",L14-N(AC14))</f>
        <v/>
      </c>
      <c r="AH14" s="53">
        <f>IF(L14="","",L14-N(AE14)-N(AF14))</f>
        <v/>
      </c>
      <c r="AI14" s="55">
        <f>IFERROR(AH14/L14,"")</f>
        <v/>
      </c>
      <c r="AJ14" s="54" t="n"/>
      <c r="AK14" s="54" t="n"/>
      <c r="AL14" s="54" t="n"/>
      <c r="AM14" s="54" t="n"/>
      <c r="AN14" s="54" t="n">
        <v>6</v>
      </c>
    </row>
    <row r="15" ht="15" customHeight="1">
      <c r="A15" s="48" t="n">
        <v>46223</v>
      </c>
      <c r="B15" s="49">
        <f>IF(A15="","",EOMONTH(A15,0))</f>
        <v/>
      </c>
      <c r="C15" s="50">
        <f>"Production"</f>
        <v/>
      </c>
      <c r="D15" s="51" t="inlineStr">
        <is>
          <t>PRODUCTION</t>
        </is>
      </c>
      <c r="E15" s="51" t="inlineStr">
        <is>
          <t>Skykick Ranger</t>
        </is>
      </c>
      <c r="F15" s="51" t="inlineStr">
        <is>
          <t>26063001</t>
        </is>
      </c>
      <c r="G15" s="50">
        <f>IF(F15="","",IF(COUNTIF(lst_Jobs,F15&amp;"")&gt;0,"OK","CHECK"))</f>
        <v/>
      </c>
      <c r="H15" s="51" t="inlineStr">
        <is>
          <t>Sydney Performance Dry Hire 26.7.26</t>
        </is>
      </c>
      <c r="I15" s="51" t="inlineStr">
        <is>
          <t>Project</t>
        </is>
      </c>
      <c r="J15" s="51" t="inlineStr">
        <is>
          <t>INV-10533</t>
        </is>
      </c>
      <c r="K15" s="51" t="inlineStr">
        <is>
          <t>GST 10%</t>
        </is>
      </c>
      <c r="L15" s="52" t="n">
        <v>975</v>
      </c>
      <c r="M15" s="53">
        <f>IF(L15="","",IF(K15="GST 10%",ROUND(L15*0.1,2),0))</f>
        <v/>
      </c>
      <c r="N15" s="53">
        <f>IF(L15="","",L15+M15)</f>
        <v/>
      </c>
      <c r="O15" s="51" t="inlineStr">
        <is>
          <t>42100</t>
        </is>
      </c>
      <c r="P15" s="51" t="inlineStr">
        <is>
          <t>Y</t>
        </is>
      </c>
      <c r="Q15" s="51" t="inlineStr">
        <is>
          <t>N</t>
        </is>
      </c>
      <c r="R15" s="51" t="inlineStr">
        <is>
          <t>Invoiced</t>
        </is>
      </c>
      <c r="S15" s="51" t="n"/>
      <c r="T15" s="52" t="n"/>
      <c r="U15" s="53">
        <f>IF(L15="","",L15-N(T15))</f>
        <v/>
      </c>
      <c r="V15" s="50">
        <f>IF(L15="","",IF(SIGN(N(T15))*SIGN(L15)=-1,"CHECK - video sign",IF(ABS(N(T15))&gt;ABS(L15),"CHECK - video exceeds invoice",IF(AND(D15="VIDEO",ROUND(N(T15),2)&lt;&gt;ROUND(L15,2)),"CHECK - VIDEO job not fully split",IF(N(T15)=0,"All production",IF(ROUND(N(T15),2)=ROUND(L15,2),"All video","Split"))))))</f>
        <v/>
      </c>
      <c r="W15" s="53">
        <f>IF(L15="","",IF(N(T15)=0,0,ROUND(M15*N(T15)/L15,2)))</f>
        <v/>
      </c>
      <c r="X15" s="51" t="inlineStr">
        <is>
          <t>park_za_888@hotmail.com</t>
        </is>
      </c>
      <c r="Y15" s="48" t="n">
        <v>46229</v>
      </c>
      <c r="Z15" s="51" t="inlineStr">
        <is>
          <t>6114</t>
        </is>
      </c>
      <c r="AA15" s="51" t="inlineStr">
        <is>
          <t>26063001</t>
        </is>
      </c>
      <c r="AB15" s="51" t="inlineStr">
        <is>
          <t>Y</t>
        </is>
      </c>
      <c r="AC15" s="52" t="n"/>
      <c r="AD15" s="55">
        <f>IFERROR(AC15/AG15,"")</f>
        <v/>
      </c>
      <c r="AE15" s="52" t="n">
        <v>850</v>
      </c>
      <c r="AF15" s="52" t="n"/>
      <c r="AG15" s="53">
        <f>IF(L15="","",L15-N(AC15))</f>
        <v/>
      </c>
      <c r="AH15" s="53">
        <f>IF(L15="","",L15-N(AE15)-N(AF15))</f>
        <v/>
      </c>
      <c r="AI15" s="55">
        <f>IFERROR(AH15/L15,"")</f>
        <v/>
      </c>
      <c r="AJ15" s="54" t="n"/>
      <c r="AK15" s="54" t="n"/>
      <c r="AL15" s="54" t="n"/>
      <c r="AM15" s="54" t="n"/>
      <c r="AN15" s="54" t="n">
        <v>0</v>
      </c>
    </row>
    <row r="16" ht="15" customHeight="1">
      <c r="A16" s="48" t="n">
        <v>46234</v>
      </c>
      <c r="B16" s="49">
        <f>IF(A16="","",EOMONTH(A16,0))</f>
        <v/>
      </c>
      <c r="C16" s="50">
        <f>"Production"</f>
        <v/>
      </c>
      <c r="D16" s="51" t="inlineStr">
        <is>
          <t>PRODUCTION</t>
        </is>
      </c>
      <c r="E16" s="51" t="inlineStr">
        <is>
          <t>Ventia</t>
        </is>
      </c>
      <c r="F16" s="51" t="inlineStr">
        <is>
          <t>2604202</t>
        </is>
      </c>
      <c r="G16" s="50">
        <f>IF(F16="","",IF(COUNTIF(lst_Jobs,F16&amp;"")&gt;0,"OK","CHECK"))</f>
        <v/>
      </c>
      <c r="H16" s="51" t="inlineStr">
        <is>
          <t>Ventia Awards 28 &amp; 30.7.26 (PO 4701355678)</t>
        </is>
      </c>
      <c r="I16" s="51" t="inlineStr">
        <is>
          <t>Project</t>
        </is>
      </c>
      <c r="J16" s="51" t="inlineStr">
        <is>
          <t>INV-10557</t>
        </is>
      </c>
      <c r="K16" s="51" t="inlineStr">
        <is>
          <t>GST 10%</t>
        </is>
      </c>
      <c r="L16" s="52" t="n">
        <v>52749.78</v>
      </c>
      <c r="M16" s="53">
        <f>IF(L16="","",IF(K16="GST 10%",ROUND(L16*0.1,2),0))</f>
        <v/>
      </c>
      <c r="N16" s="53">
        <f>IF(L16="","",L16+M16)</f>
        <v/>
      </c>
      <c r="O16" s="51" t="inlineStr">
        <is>
          <t>42100</t>
        </is>
      </c>
      <c r="P16" s="51" t="inlineStr">
        <is>
          <t>Y</t>
        </is>
      </c>
      <c r="Q16" s="51" t="inlineStr">
        <is>
          <t>N</t>
        </is>
      </c>
      <c r="R16" s="51" t="inlineStr">
        <is>
          <t>Invoiced</t>
        </is>
      </c>
      <c r="S16" s="51" t="n"/>
      <c r="T16" s="52" t="n"/>
      <c r="U16" s="53">
        <f>IF(L16="","",L16-N(T16))</f>
        <v/>
      </c>
      <c r="V16" s="50">
        <f>IF(L16="","",IF(SIGN(N(T16))*SIGN(L16)=-1,"CHECK - video sign",IF(ABS(N(T16))&gt;ABS(L16),"CHECK - video exceeds invoice",IF(AND(D16="VIDEO",ROUND(N(T16),2)&lt;&gt;ROUND(L16,2)),"CHECK - VIDEO job not fully split",IF(N(T16)=0,"All production",IF(ROUND(N(T16),2)=ROUND(L16,2),"All video","Split"))))))</f>
        <v/>
      </c>
      <c r="W16" s="53">
        <f>IF(L16="","",IF(N(T16)=0,0,ROUND(M16*N(T16)/L16,2)))</f>
        <v/>
      </c>
      <c r="X16" s="51" t="inlineStr">
        <is>
          <t>amy.johnson@ventia.com</t>
        </is>
      </c>
      <c r="Y16" s="48" t="n">
        <v>46231</v>
      </c>
      <c r="Z16" s="51" t="inlineStr">
        <is>
          <t>6099</t>
        </is>
      </c>
      <c r="AA16" s="51" t="inlineStr">
        <is>
          <t>2604202</t>
        </is>
      </c>
      <c r="AB16" s="51" t="inlineStr">
        <is>
          <t>Y</t>
        </is>
      </c>
      <c r="AC16" s="52" t="n">
        <v>4452.72</v>
      </c>
      <c r="AD16" s="55">
        <f>IFERROR(AC16/AG16,"")</f>
        <v/>
      </c>
      <c r="AE16" s="52" t="n">
        <v>19155.02</v>
      </c>
      <c r="AF16" s="52" t="n">
        <v>462.23</v>
      </c>
      <c r="AG16" s="53">
        <f>IF(L16="","",L16-N(AC16))</f>
        <v/>
      </c>
      <c r="AH16" s="53">
        <f>IF(L16="","",L16-N(AE16)-N(AF16))</f>
        <v/>
      </c>
      <c r="AI16" s="55">
        <f>IFERROR(AH16/L16,"")</f>
        <v/>
      </c>
      <c r="AJ16" s="54" t="n"/>
      <c r="AK16" s="54" t="n"/>
      <c r="AL16" s="54" t="n">
        <v>8</v>
      </c>
      <c r="AM16" s="54" t="n"/>
      <c r="AN16" s="54" t="n">
        <v>142</v>
      </c>
    </row>
    <row r="17" ht="15" customHeight="1">
      <c r="A17" s="48" t="n">
        <v>46234</v>
      </c>
      <c r="B17" s="49">
        <f>IF(A17="","",EOMONTH(A17,0))</f>
        <v/>
      </c>
      <c r="C17" s="50">
        <f>"Production"</f>
        <v/>
      </c>
      <c r="D17" s="51" t="inlineStr">
        <is>
          <t>PRODUCTION</t>
        </is>
      </c>
      <c r="E17" s="51" t="inlineStr">
        <is>
          <t>PWC</t>
        </is>
      </c>
      <c r="F17" s="51" t="inlineStr">
        <is>
          <t>26062202</t>
        </is>
      </c>
      <c r="G17" s="50">
        <f>IF(F17="","",IF(COUNTIF(lst_Jobs,F17&amp;"")&gt;0,"OK","CHECK"))</f>
        <v/>
      </c>
      <c r="H17" s="51" t="inlineStr">
        <is>
          <t>Early Careers Webcast 29.7.26</t>
        </is>
      </c>
      <c r="I17" s="51" t="inlineStr">
        <is>
          <t>Project</t>
        </is>
      </c>
      <c r="J17" s="51" t="inlineStr">
        <is>
          <t>INV-10555</t>
        </is>
      </c>
      <c r="K17" s="51" t="inlineStr">
        <is>
          <t>GST 10%</t>
        </is>
      </c>
      <c r="L17" s="52" t="n">
        <v>1925</v>
      </c>
      <c r="M17" s="53">
        <f>IF(L17="","",IF(K17="GST 10%",ROUND(L17*0.1,2),0))</f>
        <v/>
      </c>
      <c r="N17" s="53">
        <f>IF(L17="","",L17+M17)</f>
        <v/>
      </c>
      <c r="O17" s="51" t="inlineStr">
        <is>
          <t>42100</t>
        </is>
      </c>
      <c r="P17" s="51" t="inlineStr">
        <is>
          <t>Y</t>
        </is>
      </c>
      <c r="Q17" s="51" t="inlineStr">
        <is>
          <t>N</t>
        </is>
      </c>
      <c r="R17" s="51" t="inlineStr">
        <is>
          <t>Invoiced</t>
        </is>
      </c>
      <c r="S17" s="51" t="n"/>
      <c r="T17" s="52" t="n"/>
      <c r="U17" s="53">
        <f>IF(L17="","",L17-N(T17))</f>
        <v/>
      </c>
      <c r="V17" s="50">
        <f>IF(L17="","",IF(SIGN(N(T17))*SIGN(L17)=-1,"CHECK - video sign",IF(ABS(N(T17))&gt;ABS(L17),"CHECK - video exceeds invoice",IF(AND(D17="VIDEO",ROUND(N(T17),2)&lt;&gt;ROUND(L17,2)),"CHECK - VIDEO job not fully split",IF(N(T17)=0,"All production",IF(ROUND(N(T17),2)=ROUND(L17,2),"All video","Split"))))))</f>
        <v/>
      </c>
      <c r="W17" s="53">
        <f>IF(L17="","",IF(N(T17)=0,0,ROUND(M17*N(T17)/L17,2)))</f>
        <v/>
      </c>
      <c r="X17" s="51" t="inlineStr">
        <is>
          <t>libby.kovac@au.pwc.com</t>
        </is>
      </c>
      <c r="Y17" s="48" t="n">
        <v>46232</v>
      </c>
      <c r="Z17" s="51" t="inlineStr">
        <is>
          <t>6075</t>
        </is>
      </c>
      <c r="AA17" s="51" t="inlineStr">
        <is>
          <t>26062202</t>
        </is>
      </c>
      <c r="AB17" s="51" t="inlineStr">
        <is>
          <t>Y</t>
        </is>
      </c>
      <c r="AC17" s="52" t="n"/>
      <c r="AD17" s="55">
        <f>IFERROR(AC17/AG17,"")</f>
        <v/>
      </c>
      <c r="AE17" s="52" t="n"/>
      <c r="AF17" s="52" t="n">
        <v>812.09</v>
      </c>
      <c r="AG17" s="53">
        <f>IF(L17="","",L17-N(AC17))</f>
        <v/>
      </c>
      <c r="AH17" s="53">
        <f>IF(L17="","",L17-N(AE17)-N(AF17))</f>
        <v/>
      </c>
      <c r="AI17" s="55">
        <f>IFERROR(AH17/L17,"")</f>
        <v/>
      </c>
      <c r="AJ17" s="54" t="n">
        <v>8</v>
      </c>
      <c r="AK17" s="54" t="n"/>
      <c r="AL17" s="54" t="n">
        <v>1</v>
      </c>
      <c r="AM17" s="54" t="n"/>
      <c r="AN17" s="54" t="n">
        <v>8</v>
      </c>
    </row>
    <row r="18" ht="15" customHeight="1">
      <c r="A18" s="48" t="n">
        <v>46234</v>
      </c>
      <c r="B18" s="49">
        <f>IF(A18="","",EOMONTH(A18,0))</f>
        <v/>
      </c>
      <c r="C18" s="50">
        <f>"Production"</f>
        <v/>
      </c>
      <c r="D18" s="51" t="inlineStr">
        <is>
          <t>PRODUCTION</t>
        </is>
      </c>
      <c r="E18" s="51" t="inlineStr">
        <is>
          <t>Ventia (Melbourne)</t>
        </is>
      </c>
      <c r="F18" s="51" t="inlineStr">
        <is>
          <t>26071303</t>
        </is>
      </c>
      <c r="G18" s="50">
        <f>IF(F18="","",IF(COUNTIF(lst_Jobs,F18&amp;"")&gt;0,"OK","CHECK"))</f>
        <v/>
      </c>
      <c r="H18" s="51" t="inlineStr">
        <is>
          <t>Melbourne Office Event 30&amp;31.7.26</t>
        </is>
      </c>
      <c r="I18" s="51" t="inlineStr">
        <is>
          <t>Project</t>
        </is>
      </c>
      <c r="J18" s="51" t="inlineStr">
        <is>
          <t>INV-10558</t>
        </is>
      </c>
      <c r="K18" s="51" t="inlineStr">
        <is>
          <t>GST 10%</t>
        </is>
      </c>
      <c r="L18" s="52" t="n">
        <v>11570</v>
      </c>
      <c r="M18" s="53">
        <f>IF(L18="","",IF(K18="GST 10%",ROUND(L18*0.1,2),0))</f>
        <v/>
      </c>
      <c r="N18" s="53">
        <f>IF(L18="","",L18+M18)</f>
        <v/>
      </c>
      <c r="O18" s="51" t="inlineStr">
        <is>
          <t>42100</t>
        </is>
      </c>
      <c r="P18" s="51" t="inlineStr">
        <is>
          <t>Y</t>
        </is>
      </c>
      <c r="Q18" s="51" t="inlineStr">
        <is>
          <t>N</t>
        </is>
      </c>
      <c r="R18" s="51" t="inlineStr">
        <is>
          <t>Invoiced</t>
        </is>
      </c>
      <c r="S18" s="51" t="n"/>
      <c r="T18" s="52" t="n"/>
      <c r="U18" s="53">
        <f>IF(L18="","",L18-N(T18))</f>
        <v/>
      </c>
      <c r="V18" s="50">
        <f>IF(L18="","",IF(SIGN(N(T18))*SIGN(L18)=-1,"CHECK - video sign",IF(ABS(N(T18))&gt;ABS(L18),"CHECK - video exceeds invoice",IF(AND(D18="VIDEO",ROUND(N(T18),2)&lt;&gt;ROUND(L18,2)),"CHECK - VIDEO job not fully split",IF(N(T18)=0,"All production",IF(ROUND(N(T18),2)=ROUND(L18,2),"All video","Split"))))))</f>
        <v/>
      </c>
      <c r="W18" s="53">
        <f>IF(L18="","",IF(N(T18)=0,0,ROUND(M18*N(T18)/L18,2)))</f>
        <v/>
      </c>
      <c r="X18" s="51" t="inlineStr">
        <is>
          <t>Lauren.Quinn@ventia.com</t>
        </is>
      </c>
      <c r="Y18" s="48" t="n">
        <v>46233</v>
      </c>
      <c r="Z18" s="51" t="inlineStr">
        <is>
          <t>6125</t>
        </is>
      </c>
      <c r="AA18" s="51" t="inlineStr">
        <is>
          <t>26071303</t>
        </is>
      </c>
      <c r="AB18" s="51" t="inlineStr">
        <is>
          <t>Y</t>
        </is>
      </c>
      <c r="AC18" s="52" t="n"/>
      <c r="AD18" s="55">
        <f>IFERROR(AC18/AG18,"")</f>
        <v/>
      </c>
      <c r="AE18" s="52" t="n">
        <v>9487</v>
      </c>
      <c r="AF18" s="52" t="n">
        <v>283.18</v>
      </c>
      <c r="AG18" s="53">
        <f>IF(L18="","",L18-N(AC18))</f>
        <v/>
      </c>
      <c r="AH18" s="53">
        <f>IF(L18="","",L18-N(AE18)-N(AF18))</f>
        <v/>
      </c>
      <c r="AI18" s="55">
        <f>IFERROR(AH18/L18,"")</f>
        <v/>
      </c>
      <c r="AJ18" s="54" t="n"/>
      <c r="AK18" s="54" t="n"/>
      <c r="AL18" s="54" t="n"/>
      <c r="AM18" s="54" t="n"/>
      <c r="AN18" s="54" t="n">
        <v>40</v>
      </c>
    </row>
    <row r="19" ht="15" customHeight="1">
      <c r="A19" s="48" t="n">
        <v>46234</v>
      </c>
      <c r="B19" s="49">
        <f>IF(A19="","",EOMONTH(A19,0))</f>
        <v/>
      </c>
      <c r="C19" s="50">
        <f>"Production"</f>
        <v/>
      </c>
      <c r="D19" s="51" t="inlineStr">
        <is>
          <t>PRODUCTION</t>
        </is>
      </c>
      <c r="E19" s="51" t="inlineStr">
        <is>
          <t>Garvan</t>
        </is>
      </c>
      <c r="F19" s="51" t="inlineStr">
        <is>
          <t>26061702</t>
        </is>
      </c>
      <c r="G19" s="50">
        <f>IF(F19="","",IF(COUNTIF(lst_Jobs,F19&amp;"")&gt;0,"OK","CHECK"))</f>
        <v/>
      </c>
      <c r="H19" s="51" t="inlineStr">
        <is>
          <t>Morning Tea Event 31.7.26 (PO-58817)</t>
        </is>
      </c>
      <c r="I19" s="51" t="inlineStr">
        <is>
          <t>Project</t>
        </is>
      </c>
      <c r="J19" s="51" t="inlineStr">
        <is>
          <t>INV-10556</t>
        </is>
      </c>
      <c r="K19" s="51" t="inlineStr">
        <is>
          <t>GST 10%</t>
        </is>
      </c>
      <c r="L19" s="52" t="n">
        <v>1120</v>
      </c>
      <c r="M19" s="53">
        <f>IF(L19="","",IF(K19="GST 10%",ROUND(L19*0.1,2),0))</f>
        <v/>
      </c>
      <c r="N19" s="53">
        <f>IF(L19="","",L19+M19)</f>
        <v/>
      </c>
      <c r="O19" s="51" t="inlineStr">
        <is>
          <t>42100</t>
        </is>
      </c>
      <c r="P19" s="51" t="inlineStr">
        <is>
          <t>Y</t>
        </is>
      </c>
      <c r="Q19" s="51" t="inlineStr">
        <is>
          <t>N</t>
        </is>
      </c>
      <c r="R19" s="51" t="inlineStr">
        <is>
          <t>Invoiced</t>
        </is>
      </c>
      <c r="S19" s="51" t="n"/>
      <c r="T19" s="52" t="n"/>
      <c r="U19" s="53">
        <f>IF(L19="","",L19-N(T19))</f>
        <v/>
      </c>
      <c r="V19" s="50">
        <f>IF(L19="","",IF(SIGN(N(T19))*SIGN(L19)=-1,"CHECK - video sign",IF(ABS(N(T19))&gt;ABS(L19),"CHECK - video exceeds invoice",IF(AND(D19="VIDEO",ROUND(N(T19),2)&lt;&gt;ROUND(L19,2)),"CHECK - VIDEO job not fully split",IF(N(T19)=0,"All production",IF(ROUND(N(T19),2)=ROUND(L19,2),"All video","Split"))))))</f>
        <v/>
      </c>
      <c r="W19" s="53">
        <f>IF(L19="","",IF(N(T19)=0,0,ROUND(M19*N(T19)/L19,2)))</f>
        <v/>
      </c>
      <c r="X19" s="51" t="inlineStr">
        <is>
          <t>l.cordt@garvan.org.au</t>
        </is>
      </c>
      <c r="Y19" s="48" t="n">
        <v>46234</v>
      </c>
      <c r="Z19" s="51" t="inlineStr">
        <is>
          <t>6066</t>
        </is>
      </c>
      <c r="AA19" s="51" t="inlineStr">
        <is>
          <t>26061702</t>
        </is>
      </c>
      <c r="AB19" s="51" t="inlineStr">
        <is>
          <t>Y</t>
        </is>
      </c>
      <c r="AC19" s="52" t="n"/>
      <c r="AD19" s="55">
        <f>IFERROR(AC19/AG19,"")</f>
        <v/>
      </c>
      <c r="AE19" s="52" t="n"/>
      <c r="AF19" s="52" t="n">
        <v>626.92</v>
      </c>
      <c r="AG19" s="53">
        <f>IF(L19="","",L19-N(AC19))</f>
        <v/>
      </c>
      <c r="AH19" s="53">
        <f>IF(L19="","",L19-N(AE19)-N(AF19))</f>
        <v/>
      </c>
      <c r="AI19" s="55">
        <f>IFERROR(AH19/L19,"")</f>
        <v/>
      </c>
      <c r="AJ19" s="54" t="n"/>
      <c r="AK19" s="54" t="n"/>
      <c r="AL19" s="54" t="n"/>
      <c r="AM19" s="54" t="n"/>
      <c r="AN19" s="54" t="n">
        <v>10</v>
      </c>
    </row>
    <row r="20" ht="15" customHeight="1">
      <c r="A20" s="48" t="n">
        <v>46234</v>
      </c>
      <c r="B20" s="49">
        <f>IF(A20="","",EOMONTH(A20,0))</f>
        <v/>
      </c>
      <c r="C20" s="50">
        <f>"Production"</f>
        <v/>
      </c>
      <c r="D20" s="51" t="inlineStr">
        <is>
          <t>PRODUCTION</t>
        </is>
      </c>
      <c r="E20" s="51" t="inlineStr">
        <is>
          <t>CBA</t>
        </is>
      </c>
      <c r="F20" s="51" t="inlineStr">
        <is>
          <t>26061701</t>
        </is>
      </c>
      <c r="G20" s="50">
        <f>IF(F20="","",IF(COUNTIF(lst_Jobs,F20&amp;"")&gt;0,"OK","CHECK"))</f>
        <v/>
      </c>
      <c r="H20" s="51" t="inlineStr">
        <is>
          <t>CBA LES July 2026</t>
        </is>
      </c>
      <c r="I20" s="51" t="inlineStr">
        <is>
          <t>Project</t>
        </is>
      </c>
      <c r="J20" s="51" t="inlineStr">
        <is>
          <t>INV-10559</t>
        </is>
      </c>
      <c r="K20" s="51" t="inlineStr">
        <is>
          <t>GST 10%</t>
        </is>
      </c>
      <c r="L20" s="52" t="n">
        <v>8550</v>
      </c>
      <c r="M20" s="53">
        <f>IF(L20="","",IF(K20="GST 10%",ROUND(L20*0.1,2),0))</f>
        <v/>
      </c>
      <c r="N20" s="53">
        <f>IF(L20="","",L20+M20)</f>
        <v/>
      </c>
      <c r="O20" s="51" t="inlineStr">
        <is>
          <t>42100</t>
        </is>
      </c>
      <c r="P20" s="51" t="inlineStr">
        <is>
          <t>Y</t>
        </is>
      </c>
      <c r="Q20" s="51" t="inlineStr">
        <is>
          <t>N</t>
        </is>
      </c>
      <c r="R20" s="51" t="inlineStr">
        <is>
          <t>Invoiced</t>
        </is>
      </c>
      <c r="S20" s="51" t="n"/>
      <c r="T20" s="52" t="n"/>
      <c r="U20" s="53">
        <f>IF(L20="","",L20-N(T20))</f>
        <v/>
      </c>
      <c r="V20" s="50">
        <f>IF(L20="","",IF(SIGN(N(T20))*SIGN(L20)=-1,"CHECK - video sign",IF(ABS(N(T20))&gt;ABS(L20),"CHECK - video exceeds invoice",IF(AND(D20="VIDEO",ROUND(N(T20),2)&lt;&gt;ROUND(L20,2)),"CHECK - VIDEO job not fully split",IF(N(T20)=0,"All production",IF(ROUND(N(T20),2)=ROUND(L20,2),"All video","Split"))))))</f>
        <v/>
      </c>
      <c r="W20" s="53">
        <f>IF(L20="","",IF(N(T20)=0,0,ROUND(M20*N(T20)/L20,2)))</f>
        <v/>
      </c>
      <c r="X20" s="51" t="inlineStr">
        <is>
          <t>steve.chezzi@cba.com.au</t>
        </is>
      </c>
      <c r="Y20" s="48" t="n">
        <v>46234</v>
      </c>
      <c r="Z20" s="51" t="inlineStr">
        <is>
          <t>6145</t>
        </is>
      </c>
      <c r="AA20" s="51" t="inlineStr">
        <is>
          <t>26061701</t>
        </is>
      </c>
      <c r="AB20" s="51" t="inlineStr">
        <is>
          <t>Y</t>
        </is>
      </c>
      <c r="AC20" s="52" t="n"/>
      <c r="AD20" s="55">
        <f>IFERROR(AC20/AG20,"")</f>
        <v/>
      </c>
      <c r="AE20" s="52" t="n"/>
      <c r="AF20" s="52" t="n"/>
      <c r="AG20" s="53">
        <f>IF(L20="","",L20-N(AC20))</f>
        <v/>
      </c>
      <c r="AH20" s="53">
        <f>IF(L20="","",L20-N(AE20)-N(AF20))</f>
        <v/>
      </c>
      <c r="AI20" s="55">
        <f>IFERROR(AH20/L20,"")</f>
        <v/>
      </c>
      <c r="AJ20" s="54" t="n"/>
      <c r="AK20" s="54" t="n"/>
      <c r="AL20" s="54" t="n"/>
      <c r="AM20" s="54" t="n"/>
      <c r="AN20" s="54" t="n"/>
    </row>
    <row r="21" ht="15" customHeight="1">
      <c r="A21" s="48" t="n">
        <v>46247</v>
      </c>
      <c r="B21" s="49">
        <f>IF(A21="","",EOMONTH(A21,0))</f>
        <v/>
      </c>
      <c r="C21" s="50">
        <f>"Production"</f>
        <v/>
      </c>
      <c r="D21" s="51" t="inlineStr">
        <is>
          <t>PRODUCTION</t>
        </is>
      </c>
      <c r="E21" s="51" t="inlineStr">
        <is>
          <t>CBA</t>
        </is>
      </c>
      <c r="F21" s="51" t="inlineStr">
        <is>
          <t>26061701</t>
        </is>
      </c>
      <c r="G21" s="50">
        <f>IF(F21="","",IF(COUNTIF(lst_Jobs,F21&amp;"")&gt;0,"OK","CHECK"))</f>
        <v/>
      </c>
      <c r="H21" s="51" t="inlineStr">
        <is>
          <t>CBA LES July 2026 Loading Reversal</t>
        </is>
      </c>
      <c r="I21" s="51" t="inlineStr">
        <is>
          <t>Project</t>
        </is>
      </c>
      <c r="J21" s="51" t="inlineStr">
        <is>
          <t>CN-10563</t>
        </is>
      </c>
      <c r="K21" s="51" t="inlineStr">
        <is>
          <t>GST 10%</t>
        </is>
      </c>
      <c r="L21" s="52" t="n">
        <v>-332.5</v>
      </c>
      <c r="M21" s="53">
        <f>IF(L21="","",IF(K21="GST 10%",ROUND(L21*0.1,2),0))</f>
        <v/>
      </c>
      <c r="N21" s="53">
        <f>IF(L21="","",L21+M21)</f>
        <v/>
      </c>
      <c r="O21" s="51" t="inlineStr">
        <is>
          <t>42100</t>
        </is>
      </c>
      <c r="P21" s="51" t="inlineStr">
        <is>
          <t>Y</t>
        </is>
      </c>
      <c r="Q21" s="51" t="inlineStr">
        <is>
          <t>N</t>
        </is>
      </c>
      <c r="R21" s="51" t="inlineStr">
        <is>
          <t>Invoiced</t>
        </is>
      </c>
      <c r="S21" s="51" t="n"/>
      <c r="T21" s="52" t="n"/>
      <c r="U21" s="53">
        <f>IF(L21="","",L21-N(T21))</f>
        <v/>
      </c>
      <c r="V21" s="50">
        <f>IF(L21="","",IF(SIGN(N(T21))*SIGN(L21)=-1,"CHECK - video sign",IF(ABS(N(T21))&gt;ABS(L21),"CHECK - video exceeds invoice",IF(AND(D21="VIDEO",ROUND(N(T21),2)&lt;&gt;ROUND(L21,2)),"CHECK - VIDEO job not fully split",IF(N(T21)=0,"All production",IF(ROUND(N(T21),2)=ROUND(L21,2),"All video","Split"))))))</f>
        <v/>
      </c>
      <c r="W21" s="53">
        <f>IF(L21="","",IF(N(T21)=0,0,ROUND(M21*N(T21)/L21,2)))</f>
        <v/>
      </c>
      <c r="X21" s="51" t="inlineStr">
        <is>
          <t>steve.chezzi@cba.com.au</t>
        </is>
      </c>
      <c r="Y21" s="48" t="n">
        <v>46234</v>
      </c>
      <c r="Z21" s="51" t="inlineStr">
        <is>
          <t>6145</t>
        </is>
      </c>
      <c r="AA21" s="51" t="inlineStr">
        <is>
          <t>26061701</t>
        </is>
      </c>
      <c r="AB21" s="51" t="inlineStr">
        <is>
          <t>Y</t>
        </is>
      </c>
      <c r="AC21" s="52" t="n"/>
      <c r="AD21" s="55">
        <f>IFERROR(AC21/AG21,"")</f>
        <v/>
      </c>
      <c r="AE21" s="52" t="n"/>
      <c r="AF21" s="52" t="n"/>
      <c r="AG21" s="53">
        <f>IF(L21="","",L21-N(AC21))</f>
        <v/>
      </c>
      <c r="AH21" s="53">
        <f>IF(L21="","",L21-N(AE21)-N(AF21))</f>
        <v/>
      </c>
      <c r="AI21" s="55">
        <f>IFERROR(AH21/L21,"")</f>
        <v/>
      </c>
      <c r="AJ21" s="54" t="n"/>
      <c r="AK21" s="54" t="n"/>
      <c r="AL21" s="54" t="n"/>
      <c r="AM21" s="54" t="n"/>
      <c r="AN21" s="54" t="n"/>
    </row>
    <row r="22" ht="15" customHeight="1">
      <c r="A22" s="48" t="n">
        <v>46247</v>
      </c>
      <c r="B22" s="49">
        <f>IF(A22="","",EOMONTH(A22,0))</f>
        <v/>
      </c>
      <c r="C22" s="50">
        <f>"Production"</f>
        <v/>
      </c>
      <c r="D22" s="51" t="inlineStr">
        <is>
          <t>PRODUCTION</t>
        </is>
      </c>
      <c r="E22" s="51" t="inlineStr">
        <is>
          <t>RSNSW</t>
        </is>
      </c>
      <c r="F22" s="51" t="inlineStr">
        <is>
          <t>2512804</t>
        </is>
      </c>
      <c r="G22" s="50">
        <f>IF(F22="","",IF(COUNTIF(lst_Jobs,F22&amp;"")&gt;0,"OK","CHECK"))</f>
        <v/>
      </c>
      <c r="H22" s="51" t="inlineStr">
        <is>
          <t>Ordinary General Meeting 5.8.26</t>
        </is>
      </c>
      <c r="I22" s="51" t="inlineStr">
        <is>
          <t>Project</t>
        </is>
      </c>
      <c r="J22" s="51" t="inlineStr">
        <is>
          <t>INV-10561</t>
        </is>
      </c>
      <c r="K22" s="51" t="inlineStr">
        <is>
          <t>GST 10%</t>
        </is>
      </c>
      <c r="L22" s="52" t="n">
        <v>3261</v>
      </c>
      <c r="M22" s="53">
        <f>IF(L22="","",IF(K22="GST 10%",ROUND(L22*0.1,2),0))</f>
        <v/>
      </c>
      <c r="N22" s="53">
        <f>IF(L22="","",L22+M22)</f>
        <v/>
      </c>
      <c r="O22" s="51" t="inlineStr">
        <is>
          <t>42100</t>
        </is>
      </c>
      <c r="P22" s="51" t="inlineStr">
        <is>
          <t>Y</t>
        </is>
      </c>
      <c r="Q22" s="51" t="inlineStr">
        <is>
          <t>N</t>
        </is>
      </c>
      <c r="R22" s="51" t="inlineStr">
        <is>
          <t>Invoiced</t>
        </is>
      </c>
      <c r="S22" s="51" t="n"/>
      <c r="T22" s="52" t="n">
        <v>1029</v>
      </c>
      <c r="U22" s="53">
        <f>IF(L22="","",L22-N(T22))</f>
        <v/>
      </c>
      <c r="V22" s="50">
        <f>IF(L22="","",IF(SIGN(N(T22))*SIGN(L22)=-1,"CHECK - video sign",IF(ABS(N(T22))&gt;ABS(L22),"CHECK - video exceeds invoice",IF(AND(D22="VIDEO",ROUND(N(T22),2)&lt;&gt;ROUND(L22,2)),"CHECK - VIDEO job not fully split",IF(N(T22)=0,"All production",IF(ROUND(N(T22),2)=ROUND(L22,2),"All video","Split"))))))</f>
        <v/>
      </c>
      <c r="W22" s="53">
        <f>IF(L22="","",IF(N(T22)=0,0,ROUND(M22*N(T22)/L22,2)))</f>
        <v/>
      </c>
      <c r="X22" s="51" t="inlineStr">
        <is>
          <t>lindsay.botten@outlook.com</t>
        </is>
      </c>
      <c r="Y22" s="48" t="n">
        <v>46239</v>
      </c>
      <c r="Z22" s="51" t="inlineStr">
        <is>
          <t>5826</t>
        </is>
      </c>
      <c r="AA22" s="51" t="inlineStr">
        <is>
          <t>2512804</t>
        </is>
      </c>
      <c r="AB22" s="51" t="inlineStr">
        <is>
          <t>Y</t>
        </is>
      </c>
      <c r="AC22" s="52" t="n">
        <v>334</v>
      </c>
      <c r="AD22" s="55">
        <f>IFERROR(AC22/AG22,"")</f>
        <v/>
      </c>
      <c r="AE22" s="52" t="n"/>
      <c r="AF22" s="52" t="n"/>
      <c r="AG22" s="53">
        <f>IF(L22="","",L22-N(AC22))</f>
        <v/>
      </c>
      <c r="AH22" s="53">
        <f>IF(L22="","",L22-N(AE22)-N(AF22))</f>
        <v/>
      </c>
      <c r="AI22" s="55">
        <f>IFERROR(AH22/L22,"")</f>
        <v/>
      </c>
      <c r="AJ22" s="54" t="n">
        <v>4</v>
      </c>
      <c r="AK22" s="54" t="n"/>
      <c r="AL22" s="54" t="n"/>
      <c r="AM22" s="54" t="n"/>
      <c r="AN22" s="54" t="n">
        <v>12</v>
      </c>
    </row>
    <row r="23" ht="15" customHeight="1">
      <c r="A23" s="48" t="n">
        <v>46247</v>
      </c>
      <c r="B23" s="49">
        <f>IF(A23="","",EOMONTH(A23,0))</f>
        <v/>
      </c>
      <c r="C23" s="50">
        <f>"Production"</f>
        <v/>
      </c>
      <c r="D23" s="51" t="inlineStr">
        <is>
          <t>PRODUCTION</t>
        </is>
      </c>
      <c r="E23" s="51" t="inlineStr">
        <is>
          <t>Garvan</t>
        </is>
      </c>
      <c r="F23" s="51" t="inlineStr">
        <is>
          <t>2607703</t>
        </is>
      </c>
      <c r="G23" s="50">
        <f>IF(F23="","",IF(COUNTIF(lst_Jobs,F23&amp;"")&gt;0,"OK","CHECK"))</f>
        <v/>
      </c>
      <c r="H23" s="51" t="inlineStr">
        <is>
          <t>YPO Event 6.8.26 (PO-58493)</t>
        </is>
      </c>
      <c r="I23" s="51" t="inlineStr">
        <is>
          <t>Project</t>
        </is>
      </c>
      <c r="J23" s="51" t="inlineStr">
        <is>
          <t>INV-10560</t>
        </is>
      </c>
      <c r="K23" s="51" t="inlineStr">
        <is>
          <t>GST 10%</t>
        </is>
      </c>
      <c r="L23" s="52" t="n">
        <v>2152.5</v>
      </c>
      <c r="M23" s="53">
        <f>IF(L23="","",IF(K23="GST 10%",ROUND(L23*0.1,2),0))</f>
        <v/>
      </c>
      <c r="N23" s="53">
        <f>IF(L23="","",L23+M23)</f>
        <v/>
      </c>
      <c r="O23" s="51" t="inlineStr">
        <is>
          <t>42100</t>
        </is>
      </c>
      <c r="P23" s="51" t="inlineStr">
        <is>
          <t>Y</t>
        </is>
      </c>
      <c r="Q23" s="51" t="inlineStr">
        <is>
          <t>N</t>
        </is>
      </c>
      <c r="R23" s="51" t="inlineStr">
        <is>
          <t>Invoiced</t>
        </is>
      </c>
      <c r="S23" s="51" t="n"/>
      <c r="T23" s="52" t="n"/>
      <c r="U23" s="53">
        <f>IF(L23="","",L23-N(T23))</f>
        <v/>
      </c>
      <c r="V23" s="50">
        <f>IF(L23="","",IF(SIGN(N(T23))*SIGN(L23)=-1,"CHECK - video sign",IF(ABS(N(T23))&gt;ABS(L23),"CHECK - video exceeds invoice",IF(AND(D23="VIDEO",ROUND(N(T23),2)&lt;&gt;ROUND(L23,2)),"CHECK - VIDEO job not fully split",IF(N(T23)=0,"All production",IF(ROUND(N(T23),2)=ROUND(L23,2),"All video","Split"))))))</f>
        <v/>
      </c>
      <c r="W23" s="53">
        <f>IF(L23="","",IF(N(T23)=0,0,ROUND(M23*N(T23)/L23,2)))</f>
        <v/>
      </c>
      <c r="X23" s="51" t="inlineStr">
        <is>
          <t>m.gonzalezhuerta@garvan.org.au</t>
        </is>
      </c>
      <c r="Y23" s="48" t="n">
        <v>46240</v>
      </c>
      <c r="Z23" s="51" t="inlineStr">
        <is>
          <t>6088</t>
        </is>
      </c>
      <c r="AA23" s="51" t="inlineStr">
        <is>
          <t>2607703</t>
        </is>
      </c>
      <c r="AB23" s="51" t="inlineStr">
        <is>
          <t>Y</t>
        </is>
      </c>
      <c r="AC23" s="52" t="n">
        <v>0</v>
      </c>
      <c r="AD23" s="55">
        <f>IFERROR(AC23/AG23,"")</f>
        <v/>
      </c>
      <c r="AE23" s="52" t="n"/>
      <c r="AF23" s="52" t="n"/>
      <c r="AG23" s="53">
        <f>IF(L23="","",L23-N(AC23))</f>
        <v/>
      </c>
      <c r="AH23" s="53">
        <f>IF(L23="","",L23-N(AE23)-N(AF23))</f>
        <v/>
      </c>
      <c r="AI23" s="55">
        <f>IFERROR(AH23/L23,"")</f>
        <v/>
      </c>
      <c r="AJ23" s="54" t="n"/>
      <c r="AK23" s="54" t="n"/>
      <c r="AL23" s="54" t="n"/>
      <c r="AM23" s="54" t="n"/>
      <c r="AN23" s="54" t="n">
        <v>11</v>
      </c>
    </row>
    <row r="24" ht="15" customHeight="1">
      <c r="A24" s="48" t="n">
        <v>46247</v>
      </c>
      <c r="B24" s="49">
        <f>IF(A24="","",EOMONTH(A24,0))</f>
        <v/>
      </c>
      <c r="C24" s="50">
        <f>"Production"</f>
        <v/>
      </c>
      <c r="D24" s="51" t="inlineStr">
        <is>
          <t>PRODUCTION</t>
        </is>
      </c>
      <c r="E24" s="51" t="inlineStr">
        <is>
          <t>PwC</t>
        </is>
      </c>
      <c r="F24" s="51" t="inlineStr">
        <is>
          <t>26072902</t>
        </is>
      </c>
      <c r="G24" s="50">
        <f>IF(F24="","",IF(COUNTIF(lst_Jobs,F24&amp;"")&gt;0,"OK","CHECK"))</f>
        <v/>
      </c>
      <c r="H24" s="51" t="inlineStr">
        <is>
          <t>AI Townhall 6.8.26 (PO2601703328)</t>
        </is>
      </c>
      <c r="I24" s="51" t="inlineStr">
        <is>
          <t>Project</t>
        </is>
      </c>
      <c r="J24" s="51" t="inlineStr">
        <is>
          <t>INV-10562</t>
        </is>
      </c>
      <c r="K24" s="51" t="inlineStr">
        <is>
          <t>GST 10%</t>
        </is>
      </c>
      <c r="L24" s="52" t="n">
        <v>1650</v>
      </c>
      <c r="M24" s="53">
        <f>IF(L24="","",IF(K24="GST 10%",ROUND(L24*0.1,2),0))</f>
        <v/>
      </c>
      <c r="N24" s="53">
        <f>IF(L24="","",L24+M24)</f>
        <v/>
      </c>
      <c r="O24" s="51" t="inlineStr">
        <is>
          <t>42100</t>
        </is>
      </c>
      <c r="P24" s="51" t="inlineStr">
        <is>
          <t>Y</t>
        </is>
      </c>
      <c r="Q24" s="51" t="inlineStr">
        <is>
          <t>N</t>
        </is>
      </c>
      <c r="R24" s="51" t="inlineStr">
        <is>
          <t>Invoiced</t>
        </is>
      </c>
      <c r="S24" s="51" t="n"/>
      <c r="T24" s="52" t="n">
        <v>485</v>
      </c>
      <c r="U24" s="53">
        <f>IF(L24="","",L24-N(T24))</f>
        <v/>
      </c>
      <c r="V24" s="50">
        <f>IF(L24="","",IF(SIGN(N(T24))*SIGN(L24)=-1,"CHECK - video sign",IF(ABS(N(T24))&gt;ABS(L24),"CHECK - video exceeds invoice",IF(AND(D24="VIDEO",ROUND(N(T24),2)&lt;&gt;ROUND(L24,2)),"CHECK - VIDEO job not fully split",IF(N(T24)=0,"All production",IF(ROUND(N(T24),2)=ROUND(L24,2),"All video","Split"))))))</f>
        <v/>
      </c>
      <c r="W24" s="53">
        <f>IF(L24="","",IF(N(T24)=0,0,ROUND(M24*N(T24)/L24,2)))</f>
        <v/>
      </c>
      <c r="X24" s="51" t="inlineStr">
        <is>
          <t>libby.kovac@au.pwc.com</t>
        </is>
      </c>
      <c r="Y24" s="48" t="n">
        <v>46240</v>
      </c>
      <c r="Z24" s="51" t="inlineStr">
        <is>
          <t>6128</t>
        </is>
      </c>
      <c r="AA24" s="51" t="inlineStr">
        <is>
          <t>26072902</t>
        </is>
      </c>
      <c r="AB24" s="51" t="inlineStr">
        <is>
          <t>Y</t>
        </is>
      </c>
      <c r="AC24" s="52" t="n"/>
      <c r="AD24" s="55">
        <f>IFERROR(AC24/AG24,"")</f>
        <v/>
      </c>
      <c r="AE24" s="52" t="n">
        <v>1092.36</v>
      </c>
      <c r="AF24" s="52" t="n"/>
      <c r="AG24" s="53">
        <f>IF(L24="","",L24-N(AC24))</f>
        <v/>
      </c>
      <c r="AH24" s="53">
        <f>IF(L24="","",L24-N(AE24)-N(AF24))</f>
        <v/>
      </c>
      <c r="AI24" s="55">
        <f>IFERROR(AH24/L24,"")</f>
        <v/>
      </c>
      <c r="AJ24" s="54" t="n">
        <v>4</v>
      </c>
      <c r="AK24" s="54" t="n"/>
      <c r="AL24" s="54" t="n">
        <v>1</v>
      </c>
      <c r="AM24" s="54" t="n"/>
      <c r="AN24" s="54" t="n">
        <v>10</v>
      </c>
    </row>
    <row r="25" ht="15" customHeight="1">
      <c r="A25" s="48" t="n">
        <v>46255</v>
      </c>
      <c r="B25" s="49">
        <f>IF(A25="","",EOMONTH(A25,0))</f>
        <v/>
      </c>
      <c r="C25" s="50">
        <f>"Production"</f>
        <v/>
      </c>
      <c r="D25" s="51" t="inlineStr">
        <is>
          <t>PRODUCTION</t>
        </is>
      </c>
      <c r="E25" s="51" t="inlineStr">
        <is>
          <t>Elkiem</t>
        </is>
      </c>
      <c r="F25" s="51" t="inlineStr">
        <is>
          <t>26071901</t>
        </is>
      </c>
      <c r="G25" s="50">
        <f>IF(F25="","",IF(COUNTIF(lst_Jobs,F25&amp;"")&gt;0,"OK","CHECK"))</f>
        <v/>
      </c>
      <c r="H25" s="51" t="inlineStr">
        <is>
          <t>Studio Support 11.8.26</t>
        </is>
      </c>
      <c r="I25" s="51" t="inlineStr">
        <is>
          <t>Project</t>
        </is>
      </c>
      <c r="J25" s="51" t="inlineStr">
        <is>
          <t>INV-10580</t>
        </is>
      </c>
      <c r="K25" s="51" t="inlineStr">
        <is>
          <t>GST 10%</t>
        </is>
      </c>
      <c r="L25" s="52" t="n">
        <v>380</v>
      </c>
      <c r="M25" s="53">
        <f>IF(L25="","",IF(K25="GST 10%",ROUND(L25*0.1,2),0))</f>
        <v/>
      </c>
      <c r="N25" s="53">
        <f>IF(L25="","",L25+M25)</f>
        <v/>
      </c>
      <c r="O25" s="51" t="inlineStr">
        <is>
          <t>42100</t>
        </is>
      </c>
      <c r="P25" s="51" t="inlineStr">
        <is>
          <t>Y</t>
        </is>
      </c>
      <c r="Q25" s="51" t="inlineStr">
        <is>
          <t>N</t>
        </is>
      </c>
      <c r="R25" s="51" t="inlineStr">
        <is>
          <t>Invoiced</t>
        </is>
      </c>
      <c r="S25" s="51" t="n"/>
      <c r="T25" s="52" t="n"/>
      <c r="U25" s="53">
        <f>IF(L25="","",L25-N(T25))</f>
        <v/>
      </c>
      <c r="V25" s="50">
        <f>IF(L25="","",IF(SIGN(N(T25))*SIGN(L25)=-1,"CHECK - video sign",IF(ABS(N(T25))&gt;ABS(L25),"CHECK - video exceeds invoice",IF(AND(D25="VIDEO",ROUND(N(T25),2)&lt;&gt;ROUND(L25,2)),"CHECK - VIDEO job not fully split",IF(N(T25)=0,"All production",IF(ROUND(N(T25),2)=ROUND(L25,2),"All video","Split"))))))</f>
        <v/>
      </c>
      <c r="W25" s="53">
        <f>IF(L25="","",IF(N(T25)=0,0,ROUND(M25*N(T25)/L25,2)))</f>
        <v/>
      </c>
      <c r="X25" s="51" t="inlineStr">
        <is>
          <t>ben.woodlock@elkiem.com</t>
        </is>
      </c>
      <c r="Y25" s="48" t="n">
        <v>46245</v>
      </c>
      <c r="Z25" s="51" t="inlineStr">
        <is>
          <t>6127</t>
        </is>
      </c>
      <c r="AA25" s="51" t="inlineStr">
        <is>
          <t>26071901</t>
        </is>
      </c>
      <c r="AB25" s="51" t="inlineStr">
        <is>
          <t>Y</t>
        </is>
      </c>
      <c r="AC25" s="52" t="n"/>
      <c r="AD25" s="55">
        <f>IFERROR(AC25/AG25,"")</f>
        <v/>
      </c>
      <c r="AE25" s="52" t="n"/>
      <c r="AF25" s="52" t="n"/>
      <c r="AG25" s="53">
        <f>IF(L25="","",L25-N(AC25))</f>
        <v/>
      </c>
      <c r="AH25" s="53">
        <f>IF(L25="","",L25-N(AE25)-N(AF25))</f>
        <v/>
      </c>
      <c r="AI25" s="55">
        <f>IFERROR(AH25/L25,"")</f>
        <v/>
      </c>
      <c r="AJ25" s="54" t="n"/>
      <c r="AK25" s="54" t="n"/>
      <c r="AL25" s="54" t="n"/>
      <c r="AM25" s="54" t="n"/>
      <c r="AN25" s="54" t="n">
        <v>4</v>
      </c>
    </row>
    <row r="26" ht="15" customHeight="1">
      <c r="A26" s="48" t="n">
        <v>46255</v>
      </c>
      <c r="B26" s="49">
        <f>IF(A26="","",EOMONTH(A26,0))</f>
        <v/>
      </c>
      <c r="C26" s="50">
        <f>"Production"</f>
        <v/>
      </c>
      <c r="D26" s="51" t="inlineStr">
        <is>
          <t>PRODUCTION</t>
        </is>
      </c>
      <c r="E26" s="51" t="inlineStr">
        <is>
          <t>CEO Institute</t>
        </is>
      </c>
      <c r="F26" s="51" t="inlineStr">
        <is>
          <t>26063002</t>
        </is>
      </c>
      <c r="G26" s="50">
        <f>IF(F26="","",IF(COUNTIF(lst_Jobs,F26&amp;"")&gt;0,"OK","CHECK"))</f>
        <v/>
      </c>
      <c r="H26" s="51" t="inlineStr">
        <is>
          <t>CEO Connect 11.8.26</t>
        </is>
      </c>
      <c r="I26" s="51" t="inlineStr">
        <is>
          <t>Project</t>
        </is>
      </c>
      <c r="J26" s="51" t="inlineStr">
        <is>
          <t>INV-10581</t>
        </is>
      </c>
      <c r="K26" s="51" t="inlineStr">
        <is>
          <t>GST 10%</t>
        </is>
      </c>
      <c r="L26" s="52" t="n">
        <v>8260.35</v>
      </c>
      <c r="M26" s="53">
        <f>IF(L26="","",IF(K26="GST 10%",ROUND(L26*0.1,2),0))</f>
        <v/>
      </c>
      <c r="N26" s="53">
        <f>IF(L26="","",L26+M26)</f>
        <v/>
      </c>
      <c r="O26" s="51" t="inlineStr">
        <is>
          <t>42100</t>
        </is>
      </c>
      <c r="P26" s="51" t="inlineStr">
        <is>
          <t>Y</t>
        </is>
      </c>
      <c r="Q26" s="51" t="inlineStr">
        <is>
          <t>N</t>
        </is>
      </c>
      <c r="R26" s="51" t="inlineStr">
        <is>
          <t>Invoiced</t>
        </is>
      </c>
      <c r="S26" s="51" t="n"/>
      <c r="T26" s="52" t="n">
        <v>1977.35</v>
      </c>
      <c r="U26" s="53">
        <f>IF(L26="","",L26-N(T26))</f>
        <v/>
      </c>
      <c r="V26" s="50">
        <f>IF(L26="","",IF(SIGN(N(T26))*SIGN(L26)=-1,"CHECK - video sign",IF(ABS(N(T26))&gt;ABS(L26),"CHECK - video exceeds invoice",IF(AND(D26="VIDEO",ROUND(N(T26),2)&lt;&gt;ROUND(L26,2)),"CHECK - VIDEO job not fully split",IF(N(T26)=0,"All production",IF(ROUND(N(T26),2)=ROUND(L26,2),"All video","Split"))))))</f>
        <v/>
      </c>
      <c r="W26" s="53">
        <f>IF(L26="","",IF(N(T26)=0,0,ROUND(M26*N(T26)/L26,2)))</f>
        <v/>
      </c>
      <c r="X26" s="51" t="inlineStr">
        <is>
          <t>taniaa@ceoinstitute.com</t>
        </is>
      </c>
      <c r="Y26" s="48" t="n">
        <v>46245</v>
      </c>
      <c r="Z26" s="51" t="inlineStr">
        <is>
          <t>6084</t>
        </is>
      </c>
      <c r="AA26" s="51" t="inlineStr">
        <is>
          <t>26063002</t>
        </is>
      </c>
      <c r="AB26" s="51" t="inlineStr">
        <is>
          <t>Y</t>
        </is>
      </c>
      <c r="AC26" s="52" t="n">
        <v>2104.4</v>
      </c>
      <c r="AD26" s="55">
        <f>IFERROR(AC26/AG26,"")</f>
        <v/>
      </c>
      <c r="AE26" s="52" t="n"/>
      <c r="AF26" s="52" t="n"/>
      <c r="AG26" s="53">
        <f>IF(L26="","",L26-N(AC26))</f>
        <v/>
      </c>
      <c r="AH26" s="53">
        <f>IF(L26="","",L26-N(AE26)-N(AF26))</f>
        <v/>
      </c>
      <c r="AI26" s="55">
        <f>IFERROR(AH26/L26,"")</f>
        <v/>
      </c>
      <c r="AJ26" s="54" t="n">
        <v>7</v>
      </c>
      <c r="AK26" s="54" t="n"/>
      <c r="AL26" s="54" t="n">
        <v>2</v>
      </c>
      <c r="AM26" s="54" t="n"/>
      <c r="AN26" s="54" t="n">
        <v>37</v>
      </c>
    </row>
    <row r="27" ht="15" customHeight="1">
      <c r="A27" s="48" t="n">
        <v>46259</v>
      </c>
      <c r="B27" s="49">
        <f>IF(A27="","",EOMONTH(A27,0))</f>
        <v/>
      </c>
      <c r="C27" s="50">
        <f>"Production"</f>
        <v/>
      </c>
      <c r="D27" s="51" t="inlineStr">
        <is>
          <t>PRODUCTION</t>
        </is>
      </c>
      <c r="E27" s="51" t="inlineStr">
        <is>
          <t>PwC</t>
        </is>
      </c>
      <c r="F27" s="51" t="inlineStr">
        <is>
          <t>26072903</t>
        </is>
      </c>
      <c r="G27" s="50">
        <f>IF(F27="","",IF(COUNTIF(lst_Jobs,F27&amp;"")&gt;0,"OK","CHECK"))</f>
        <v/>
      </c>
      <c r="H27" s="51" t="inlineStr">
        <is>
          <t>GB Webcast 11.8.26</t>
        </is>
      </c>
      <c r="I27" s="51" t="inlineStr">
        <is>
          <t>Project</t>
        </is>
      </c>
      <c r="J27" s="51" t="inlineStr">
        <is>
          <t>INV-10577</t>
        </is>
      </c>
      <c r="K27" s="51" t="inlineStr">
        <is>
          <t>GST 10%</t>
        </is>
      </c>
      <c r="L27" s="52" t="n">
        <v>4300</v>
      </c>
      <c r="M27" s="53">
        <f>IF(L27="","",IF(K27="GST 10%",ROUND(L27*0.1,2),0))</f>
        <v/>
      </c>
      <c r="N27" s="53">
        <f>IF(L27="","",L27+M27)</f>
        <v/>
      </c>
      <c r="O27" s="51" t="inlineStr">
        <is>
          <t>42100</t>
        </is>
      </c>
      <c r="P27" s="51" t="inlineStr">
        <is>
          <t>Y</t>
        </is>
      </c>
      <c r="Q27" s="51" t="inlineStr">
        <is>
          <t>N</t>
        </is>
      </c>
      <c r="R27" s="51" t="inlineStr">
        <is>
          <t>Invoiced</t>
        </is>
      </c>
      <c r="S27" s="51" t="n"/>
      <c r="T27" s="52" t="n">
        <v>1065</v>
      </c>
      <c r="U27" s="53">
        <f>IF(L27="","",L27-N(T27))</f>
        <v/>
      </c>
      <c r="V27" s="50">
        <f>IF(L27="","",IF(SIGN(N(T27))*SIGN(L27)=-1,"CHECK - video sign",IF(ABS(N(T27))&gt;ABS(L27),"CHECK - video exceeds invoice",IF(AND(D27="VIDEO",ROUND(N(T27),2)&lt;&gt;ROUND(L27,2)),"CHECK - VIDEO job not fully split",IF(N(T27)=0,"All production",IF(ROUND(N(T27),2)=ROUND(L27,2),"All video","Split"))))))</f>
        <v/>
      </c>
      <c r="W27" s="53">
        <f>IF(L27="","",IF(N(T27)=0,0,ROUND(M27*N(T27)/L27,2)))</f>
        <v/>
      </c>
      <c r="X27" s="51" t="inlineStr">
        <is>
          <t>libby.kovac@au.pwc.com</t>
        </is>
      </c>
      <c r="Y27" s="48" t="n">
        <v>46245</v>
      </c>
      <c r="Z27" s="51" t="inlineStr">
        <is>
          <t>6134</t>
        </is>
      </c>
      <c r="AA27" s="51" t="inlineStr">
        <is>
          <t>26072903</t>
        </is>
      </c>
      <c r="AB27" s="51" t="inlineStr">
        <is>
          <t>Y</t>
        </is>
      </c>
      <c r="AC27" s="52" t="n"/>
      <c r="AD27" s="55">
        <f>IFERROR(AC27/AG27,"")</f>
        <v/>
      </c>
      <c r="AE27" s="52" t="n">
        <v>1092.36</v>
      </c>
      <c r="AF27" s="52" t="n"/>
      <c r="AG27" s="53">
        <f>IF(L27="","",L27-N(AC27))</f>
        <v/>
      </c>
      <c r="AH27" s="53">
        <f>IF(L27="","",L27-N(AE27)-N(AF27))</f>
        <v/>
      </c>
      <c r="AI27" s="55">
        <f>IFERROR(AH27/L27,"")</f>
        <v/>
      </c>
      <c r="AJ27" s="54" t="n">
        <v>9</v>
      </c>
      <c r="AK27" s="54" t="n"/>
      <c r="AL27" s="54" t="n"/>
      <c r="AM27" s="54" t="n"/>
      <c r="AN27" s="54" t="n">
        <v>9</v>
      </c>
    </row>
    <row r="28" ht="15" customHeight="1">
      <c r="A28" s="48" t="n">
        <v>46259</v>
      </c>
      <c r="B28" s="49">
        <f>IF(A28="","",EOMONTH(A28,0))</f>
        <v/>
      </c>
      <c r="C28" s="50">
        <f>"Production"</f>
        <v/>
      </c>
      <c r="D28" s="51" t="inlineStr">
        <is>
          <t>PRODUCTION</t>
        </is>
      </c>
      <c r="E28" s="51" t="inlineStr">
        <is>
          <t>MUFG</t>
        </is>
      </c>
      <c r="F28" s="51" t="inlineStr">
        <is>
          <t>26061104</t>
        </is>
      </c>
      <c r="G28" s="50">
        <f>IF(F28="","",IF(COUNTIF(lst_Jobs,F28&amp;"")&gt;0,"OK","CHECK"))</f>
        <v/>
      </c>
      <c r="H28" s="51" t="inlineStr">
        <is>
          <t>MUFG - Suncorp FYR</t>
        </is>
      </c>
      <c r="I28" s="51" t="inlineStr">
        <is>
          <t>Project</t>
        </is>
      </c>
      <c r="J28" s="51" t="inlineStr">
        <is>
          <t>INV - 10584
INV - 10585</t>
        </is>
      </c>
      <c r="K28" s="51" t="inlineStr">
        <is>
          <t>GST 10%</t>
        </is>
      </c>
      <c r="L28" s="52" t="n">
        <v>28652.25</v>
      </c>
      <c r="M28" s="53">
        <f>IF(L28="","",IF(K28="GST 10%",ROUND(L28*0.1,2),0))</f>
        <v/>
      </c>
      <c r="N28" s="53">
        <f>IF(L28="","",L28+M28)</f>
        <v/>
      </c>
      <c r="O28" s="51" t="inlineStr">
        <is>
          <t>42100</t>
        </is>
      </c>
      <c r="P28" s="51" t="inlineStr">
        <is>
          <t>Y</t>
        </is>
      </c>
      <c r="Q28" s="51" t="inlineStr">
        <is>
          <t>N</t>
        </is>
      </c>
      <c r="R28" s="51" t="inlineStr">
        <is>
          <t>Invoiced</t>
        </is>
      </c>
      <c r="S28" s="51" t="n"/>
      <c r="T28" s="52" t="n">
        <v>3017</v>
      </c>
      <c r="U28" s="53">
        <f>IF(L28="","",L28-N(T28))</f>
        <v/>
      </c>
      <c r="V28" s="50">
        <f>IF(L28="","",IF(SIGN(N(T28))*SIGN(L28)=-1,"CHECK - video sign",IF(ABS(N(T28))&gt;ABS(L28),"CHECK - video exceeds invoice",IF(AND(D28="VIDEO",ROUND(N(T28),2)&lt;&gt;ROUND(L28,2)),"CHECK - VIDEO job not fully split",IF(N(T28)=0,"All production",IF(ROUND(N(T28),2)=ROUND(L28,2),"All video","Split"))))))</f>
        <v/>
      </c>
      <c r="W28" s="53">
        <f>IF(L28="","",IF(N(T28)=0,0,ROUND(M28*N(T28)/L28,2)))</f>
        <v/>
      </c>
      <c r="X28" s="51" t="inlineStr">
        <is>
          <t>events@cm.mpms.mufg.com</t>
        </is>
      </c>
      <c r="Y28" s="48" t="n">
        <v>46246</v>
      </c>
      <c r="Z28" s="51" t="inlineStr">
        <is>
          <t>Proj: 0016</t>
        </is>
      </c>
      <c r="AA28" s="51" t="inlineStr">
        <is>
          <t>26061104</t>
        </is>
      </c>
      <c r="AB28" s="51" t="inlineStr">
        <is>
          <t>Y</t>
        </is>
      </c>
      <c r="AC28" s="52" t="n">
        <v>5271.5</v>
      </c>
      <c r="AD28" s="55">
        <f>IFERROR(AC28/AG28,"")</f>
        <v/>
      </c>
      <c r="AE28" s="52" t="n">
        <v>980.16</v>
      </c>
      <c r="AF28" s="52" t="n"/>
      <c r="AG28" s="53">
        <f>IF(L28="","",L28-N(AC28))</f>
        <v/>
      </c>
      <c r="AH28" s="53">
        <f>IF(L28="","",L28-N(AE28)-N(AF28))</f>
        <v/>
      </c>
      <c r="AI28" s="55">
        <f>IFERROR(AH28/L28,"")</f>
        <v/>
      </c>
      <c r="AJ28" s="54" t="n">
        <v>8</v>
      </c>
      <c r="AK28" s="54" t="n"/>
      <c r="AL28" s="54" t="n">
        <v>12</v>
      </c>
      <c r="AM28" s="54" t="n"/>
      <c r="AN28" s="54" t="n">
        <v>104</v>
      </c>
    </row>
    <row r="29" ht="15" customHeight="1">
      <c r="A29" s="48" t="n">
        <v>46247</v>
      </c>
      <c r="B29" s="49">
        <f>IF(A29="","",EOMONTH(A29,0))</f>
        <v/>
      </c>
      <c r="C29" s="50">
        <f>"Production"</f>
        <v/>
      </c>
      <c r="D29" s="51" t="inlineStr">
        <is>
          <t>PRODUCTION</t>
        </is>
      </c>
      <c r="E29" s="51" t="inlineStr">
        <is>
          <t xml:space="preserve">CBA </t>
        </is>
      </c>
      <c r="F29" s="51" t="inlineStr">
        <is>
          <t>26061105</t>
        </is>
      </c>
      <c r="G29" s="50">
        <f>IF(F29="","",IF(COUNTIF(lst_Jobs,F29&amp;"")&gt;0,"OK","CHECK"))</f>
        <v/>
      </c>
      <c r="H29" s="51" t="inlineStr">
        <is>
          <t>CBA FYR 2026 (Order PO3308779)</t>
        </is>
      </c>
      <c r="I29" s="51" t="inlineStr">
        <is>
          <t>Project</t>
        </is>
      </c>
      <c r="J29" s="51" t="inlineStr">
        <is>
          <t>INV-10563</t>
        </is>
      </c>
      <c r="K29" s="51" t="inlineStr">
        <is>
          <t>GST 10%</t>
        </is>
      </c>
      <c r="L29" s="52" t="n">
        <v>12170</v>
      </c>
      <c r="M29" s="53">
        <f>IF(L29="","",IF(K29="GST 10%",ROUND(L29*0.1,2),0))</f>
        <v/>
      </c>
      <c r="N29" s="53">
        <f>IF(L29="","",L29+M29)</f>
        <v/>
      </c>
      <c r="O29" s="51" t="inlineStr">
        <is>
          <t>42100</t>
        </is>
      </c>
      <c r="P29" s="51" t="inlineStr">
        <is>
          <t>Y</t>
        </is>
      </c>
      <c r="Q29" s="51" t="inlineStr">
        <is>
          <t>N</t>
        </is>
      </c>
      <c r="R29" s="51" t="inlineStr">
        <is>
          <t>Invoiced</t>
        </is>
      </c>
      <c r="S29" s="51" t="n"/>
      <c r="T29" s="52" t="n">
        <v>850</v>
      </c>
      <c r="U29" s="53">
        <f>IF(L29="","",L29-N(T29))</f>
        <v/>
      </c>
      <c r="V29" s="50">
        <f>IF(L29="","",IF(SIGN(N(T29))*SIGN(L29)=-1,"CHECK - video sign",IF(ABS(N(T29))&gt;ABS(L29),"CHECK - video exceeds invoice",IF(AND(D29="VIDEO",ROUND(N(T29),2)&lt;&gt;ROUND(L29,2)),"CHECK - VIDEO job not fully split",IF(N(T29)=0,"All production",IF(ROUND(N(T29),2)=ROUND(L29,2),"All video","Split"))))))</f>
        <v/>
      </c>
      <c r="W29" s="53">
        <f>IF(L29="","",IF(N(T29)=0,0,ROUND(M29*N(T29)/L29,2)))</f>
        <v/>
      </c>
      <c r="X29" s="51" t="inlineStr">
        <is>
          <t>Rebecca.Rodger@cba.com.au</t>
        </is>
      </c>
      <c r="Y29" s="48" t="n">
        <v>46246</v>
      </c>
      <c r="Z29" s="51" t="inlineStr">
        <is>
          <t>6093</t>
        </is>
      </c>
      <c r="AA29" s="51" t="inlineStr">
        <is>
          <t>26061105</t>
        </is>
      </c>
      <c r="AB29" s="51" t="inlineStr">
        <is>
          <t>Y</t>
        </is>
      </c>
      <c r="AC29" s="52" t="n">
        <v>1680</v>
      </c>
      <c r="AD29" s="55">
        <f>IFERROR(AC29/AG29,"")</f>
        <v/>
      </c>
      <c r="AE29" s="52" t="n">
        <v>3111.2</v>
      </c>
      <c r="AF29" s="52" t="n"/>
      <c r="AG29" s="53">
        <f>IF(L29="","",L29-N(AC29))</f>
        <v/>
      </c>
      <c r="AH29" s="53">
        <f>IF(L29="","",L29-N(AE29)-N(AF29))</f>
        <v/>
      </c>
      <c r="AI29" s="55">
        <f>IFERROR(AH29/L29,"")</f>
        <v/>
      </c>
      <c r="AJ29" s="54" t="n"/>
      <c r="AK29" s="54" t="n"/>
      <c r="AL29" s="54" t="n"/>
      <c r="AM29" s="54" t="n"/>
      <c r="AN29" s="54" t="n">
        <v>16</v>
      </c>
    </row>
    <row r="30" ht="15" customHeight="1">
      <c r="A30" s="48" t="n">
        <v>46255</v>
      </c>
      <c r="B30" s="49">
        <f>IF(A30="","",EOMONTH(A30,0))</f>
        <v/>
      </c>
      <c r="C30" s="50">
        <f>"Production"</f>
        <v/>
      </c>
      <c r="D30" s="51" t="inlineStr">
        <is>
          <t>PRODUCTION</t>
        </is>
      </c>
      <c r="E30" s="51" t="inlineStr">
        <is>
          <t>AGL</t>
        </is>
      </c>
      <c r="F30" s="51" t="inlineStr">
        <is>
          <t>2605401</t>
        </is>
      </c>
      <c r="G30" s="50">
        <f>IF(F30="","",IF(COUNTIF(lst_Jobs,F30&amp;"")&gt;0,"OK","CHECK"))</f>
        <v/>
      </c>
      <c r="H30" s="51" t="inlineStr">
        <is>
          <t>AGL FYR - Investor Briefing</t>
        </is>
      </c>
      <c r="I30" s="51" t="inlineStr">
        <is>
          <t>Project</t>
        </is>
      </c>
      <c r="J30" s="51" t="inlineStr">
        <is>
          <t>INV-10579</t>
        </is>
      </c>
      <c r="K30" s="51" t="inlineStr">
        <is>
          <t>GST 10%</t>
        </is>
      </c>
      <c r="L30" s="52" t="n">
        <v>14271.5</v>
      </c>
      <c r="M30" s="53">
        <f>IF(L30="","",IF(K30="GST 10%",ROUND(L30*0.1,2),0))</f>
        <v/>
      </c>
      <c r="N30" s="53">
        <f>IF(L30="","",L30+M30)</f>
        <v/>
      </c>
      <c r="O30" s="51" t="inlineStr">
        <is>
          <t>42100</t>
        </is>
      </c>
      <c r="P30" s="51" t="inlineStr">
        <is>
          <t>Y</t>
        </is>
      </c>
      <c r="Q30" s="51" t="inlineStr">
        <is>
          <t>N</t>
        </is>
      </c>
      <c r="R30" s="51" t="inlineStr">
        <is>
          <t>Invoiced</t>
        </is>
      </c>
      <c r="S30" s="51" t="n"/>
      <c r="T30" s="52" t="n">
        <v>1806</v>
      </c>
      <c r="U30" s="53">
        <f>IF(L30="","",L30-N(T30))</f>
        <v/>
      </c>
      <c r="V30" s="50">
        <f>IF(L30="","",IF(SIGN(N(T30))*SIGN(L30)=-1,"CHECK - video sign",IF(ABS(N(T30))&gt;ABS(L30),"CHECK - video exceeds invoice",IF(AND(D30="VIDEO",ROUND(N(T30),2)&lt;&gt;ROUND(L30,2)),"CHECK - VIDEO job not fully split",IF(N(T30)=0,"All production",IF(ROUND(N(T30),2)=ROUND(L30,2),"All video","Split"))))))</f>
        <v/>
      </c>
      <c r="W30" s="53">
        <f>IF(L30="","",IF(N(T30)=0,0,ROUND(M30*N(T30)/L30,2)))</f>
        <v/>
      </c>
      <c r="X30" s="51" t="inlineStr">
        <is>
          <t>KDraisey@agl.com.au</t>
        </is>
      </c>
      <c r="Y30" s="48" t="n">
        <v>46246</v>
      </c>
      <c r="Z30" s="51" t="inlineStr">
        <is>
          <t>Proj: 0019</t>
        </is>
      </c>
      <c r="AA30" s="51" t="inlineStr">
        <is>
          <t>2605401</t>
        </is>
      </c>
      <c r="AB30" s="51" t="inlineStr">
        <is>
          <t>Y</t>
        </is>
      </c>
      <c r="AC30" s="52" t="n">
        <v>2351.5</v>
      </c>
      <c r="AD30" s="55">
        <f>IFERROR(AC30/AG30,"")</f>
        <v/>
      </c>
      <c r="AE30" s="52" t="n">
        <v>3520.25</v>
      </c>
      <c r="AF30" s="52" t="n"/>
      <c r="AG30" s="53">
        <f>IF(L30="","",L30-N(AC30))</f>
        <v/>
      </c>
      <c r="AH30" s="53">
        <f>IF(L30="","",L30-N(AE30)-N(AF30))</f>
        <v/>
      </c>
      <c r="AI30" s="55">
        <f>IFERROR(AH30/L30,"")</f>
        <v/>
      </c>
      <c r="AJ30" s="54" t="n"/>
      <c r="AK30" s="54" t="n">
        <v>8</v>
      </c>
      <c r="AL30" s="54" t="n"/>
      <c r="AM30" s="54" t="n"/>
      <c r="AN30" s="54" t="n">
        <v>18</v>
      </c>
    </row>
    <row r="31" ht="15" customHeight="1">
      <c r="A31" s="48" t="n">
        <v>46255</v>
      </c>
      <c r="B31" s="49">
        <f>IF(A31="","",EOMONTH(A31,0))</f>
        <v/>
      </c>
      <c r="C31" s="50">
        <f>"Production"</f>
        <v/>
      </c>
      <c r="D31" s="51" t="inlineStr">
        <is>
          <t>PRODUCTION</t>
        </is>
      </c>
      <c r="E31" s="51" t="inlineStr">
        <is>
          <t>AGL</t>
        </is>
      </c>
      <c r="F31" s="51" t="inlineStr">
        <is>
          <t>2605402</t>
        </is>
      </c>
      <c r="G31" s="50">
        <f>IF(F31="","",IF(COUNTIF(lst_Jobs,F31&amp;"")&gt;0,"OK","CHECK"))</f>
        <v/>
      </c>
      <c r="H31" s="51" t="inlineStr">
        <is>
          <t xml:space="preserve">AGL FYR - Employee Town Hall </t>
        </is>
      </c>
      <c r="I31" s="51" t="inlineStr">
        <is>
          <t>Project</t>
        </is>
      </c>
      <c r="J31" s="51" t="inlineStr">
        <is>
          <t>INV-10578</t>
        </is>
      </c>
      <c r="K31" s="51" t="inlineStr">
        <is>
          <t>GST 10%</t>
        </is>
      </c>
      <c r="L31" s="52" t="n">
        <v>7148.75</v>
      </c>
      <c r="M31" s="53">
        <f>IF(L31="","",IF(K31="GST 10%",ROUND(L31*0.1,2),0))</f>
        <v/>
      </c>
      <c r="N31" s="53">
        <f>IF(L31="","",L31+M31)</f>
        <v/>
      </c>
      <c r="O31" s="51" t="inlineStr">
        <is>
          <t>42100</t>
        </is>
      </c>
      <c r="P31" s="51" t="inlineStr">
        <is>
          <t>Y</t>
        </is>
      </c>
      <c r="Q31" s="51" t="inlineStr">
        <is>
          <t>N</t>
        </is>
      </c>
      <c r="R31" s="51" t="inlineStr">
        <is>
          <t>Invoiced</t>
        </is>
      </c>
      <c r="S31" s="51" t="n"/>
      <c r="T31" s="52" t="n"/>
      <c r="U31" s="53">
        <f>IF(L31="","",L31-N(T31))</f>
        <v/>
      </c>
      <c r="V31" s="50">
        <f>IF(L31="","",IF(SIGN(N(T31))*SIGN(L31)=-1,"CHECK - video sign",IF(ABS(N(T31))&gt;ABS(L31),"CHECK - video exceeds invoice",IF(AND(D31="VIDEO",ROUND(N(T31),2)&lt;&gt;ROUND(L31,2)),"CHECK - VIDEO job not fully split",IF(N(T31)=0,"All production",IF(ROUND(N(T31),2)=ROUND(L31,2),"All video","Split"))))))</f>
        <v/>
      </c>
      <c r="W31" s="53">
        <f>IF(L31="","",IF(N(T31)=0,0,ROUND(M31*N(T31)/L31,2)))</f>
        <v/>
      </c>
      <c r="X31" s="51" t="inlineStr">
        <is>
          <t>KDraisey@agl.com.au</t>
        </is>
      </c>
      <c r="Y31" s="48" t="n">
        <v>46246</v>
      </c>
      <c r="Z31" s="51" t="inlineStr">
        <is>
          <t>Proj: 0019</t>
        </is>
      </c>
      <c r="AA31" s="51" t="inlineStr">
        <is>
          <t>2605402</t>
        </is>
      </c>
      <c r="AB31" s="51" t="inlineStr">
        <is>
          <t>Y</t>
        </is>
      </c>
      <c r="AC31" s="52" t="n">
        <v>1309.25</v>
      </c>
      <c r="AD31" s="55">
        <f>IFERROR(AC31/AG31,"")</f>
        <v/>
      </c>
      <c r="AE31" s="52" t="n">
        <v>706.67</v>
      </c>
      <c r="AF31" s="52" t="n"/>
      <c r="AG31" s="53">
        <f>IF(L31="","",L31-N(AC31))</f>
        <v/>
      </c>
      <c r="AH31" s="53">
        <f>IF(L31="","",L31-N(AE31)-N(AF31))</f>
        <v/>
      </c>
      <c r="AI31" s="55">
        <f>IFERROR(AH31/L31,"")</f>
        <v/>
      </c>
      <c r="AJ31" s="54" t="n">
        <v>4</v>
      </c>
      <c r="AK31" s="54" t="n"/>
      <c r="AL31" s="54" t="n"/>
      <c r="AM31" s="54" t="n"/>
      <c r="AN31" s="54" t="n">
        <v>31</v>
      </c>
    </row>
    <row r="32" ht="15" customHeight="1">
      <c r="A32" s="48" t="n">
        <v>46255</v>
      </c>
      <c r="B32" s="49">
        <f>IF(A32="","",EOMONTH(A32,0))</f>
        <v/>
      </c>
      <c r="C32" s="50">
        <f>"Production"</f>
        <v/>
      </c>
      <c r="D32" s="51" t="inlineStr">
        <is>
          <t>PRODUCTION</t>
        </is>
      </c>
      <c r="E32" s="51" t="inlineStr">
        <is>
          <t>ASX</t>
        </is>
      </c>
      <c r="F32" s="51" t="inlineStr">
        <is>
          <t>2608604</t>
        </is>
      </c>
      <c r="G32" s="50">
        <f>IF(F32="","",IF(COUNTIF(lst_Jobs,F32&amp;"")&gt;0,"OK","CHECK"))</f>
        <v/>
      </c>
      <c r="H32" s="51" t="inlineStr">
        <is>
          <t>ASX Employee Townhall 13.8.26</t>
        </is>
      </c>
      <c r="I32" s="51" t="inlineStr">
        <is>
          <t>Project</t>
        </is>
      </c>
      <c r="J32" s="51" t="inlineStr">
        <is>
          <t>INV-10599</t>
        </is>
      </c>
      <c r="K32" s="51" t="inlineStr">
        <is>
          <t>GST 10%</t>
        </is>
      </c>
      <c r="L32" s="52" t="n">
        <v>1510</v>
      </c>
      <c r="M32" s="53">
        <f>IF(L32="","",IF(K32="GST 10%",ROUND(L32*0.1,2),0))</f>
        <v/>
      </c>
      <c r="N32" s="53">
        <f>IF(L32="","",L32+M32)</f>
        <v/>
      </c>
      <c r="O32" s="51" t="inlineStr">
        <is>
          <t>42100</t>
        </is>
      </c>
      <c r="P32" s="51" t="inlineStr">
        <is>
          <t>Y</t>
        </is>
      </c>
      <c r="Q32" s="51" t="inlineStr">
        <is>
          <t>N</t>
        </is>
      </c>
      <c r="R32" s="51" t="inlineStr">
        <is>
          <t>Invoiced</t>
        </is>
      </c>
      <c r="S32" s="51" t="n"/>
      <c r="T32" s="52" t="n">
        <v>485</v>
      </c>
      <c r="U32" s="53">
        <f>IF(L32="","",L32-N(T32))</f>
        <v/>
      </c>
      <c r="V32" s="50">
        <f>IF(L32="","",IF(SIGN(N(T32))*SIGN(L32)=-1,"CHECK - video sign",IF(ABS(N(T32))&gt;ABS(L32),"CHECK - video exceeds invoice",IF(AND(D32="VIDEO",ROUND(N(T32),2)&lt;&gt;ROUND(L32,2)),"CHECK - VIDEO job not fully split",IF(N(T32)=0,"All production",IF(ROUND(N(T32),2)=ROUND(L32,2),"All video","Split"))))))</f>
        <v/>
      </c>
      <c r="W32" s="53">
        <f>IF(L32="","",IF(N(T32)=0,0,ROUND(M32*N(T32)/L32,2)))</f>
        <v/>
      </c>
      <c r="X32" s="51" t="inlineStr">
        <is>
          <t>Aimee.Kuipers@asx.com.au</t>
        </is>
      </c>
      <c r="Y32" s="48" t="n">
        <v>46247</v>
      </c>
      <c r="Z32" s="51" t="inlineStr">
        <is>
          <t>6138</t>
        </is>
      </c>
      <c r="AA32" s="51" t="inlineStr">
        <is>
          <t>2608604</t>
        </is>
      </c>
      <c r="AB32" s="51" t="inlineStr">
        <is>
          <t>Y</t>
        </is>
      </c>
      <c r="AC32" s="52" t="n">
        <v>25</v>
      </c>
      <c r="AD32" s="55">
        <f>IFERROR(AC32/AG32,"")</f>
        <v/>
      </c>
      <c r="AE32" s="52" t="n"/>
      <c r="AF32" s="52" t="n"/>
      <c r="AG32" s="53">
        <f>IF(L32="","",L32-N(AC32))</f>
        <v/>
      </c>
      <c r="AH32" s="53">
        <f>IF(L32="","",L32-N(AE32)-N(AF32))</f>
        <v/>
      </c>
      <c r="AI32" s="55">
        <f>IFERROR(AH32/L32,"")</f>
        <v/>
      </c>
      <c r="AJ32" s="54" t="n">
        <v>4</v>
      </c>
      <c r="AK32" s="54" t="n"/>
      <c r="AL32" s="54" t="n">
        <v>2</v>
      </c>
      <c r="AM32" s="54" t="n"/>
      <c r="AN32" s="54" t="n">
        <v>6</v>
      </c>
    </row>
    <row r="33" ht="15" customHeight="1">
      <c r="A33" s="48" t="n">
        <v>46255</v>
      </c>
      <c r="B33" s="49">
        <f>IF(A33="","",EOMONTH(A33,0))</f>
        <v/>
      </c>
      <c r="C33" s="50">
        <f>"Production"</f>
        <v/>
      </c>
      <c r="D33" s="51" t="inlineStr">
        <is>
          <t>PRODUCTION</t>
        </is>
      </c>
      <c r="E33" s="51" t="inlineStr">
        <is>
          <t>ASX</t>
        </is>
      </c>
      <c r="F33" s="51" t="inlineStr">
        <is>
          <t>26052702</t>
        </is>
      </c>
      <c r="G33" s="50">
        <f>IF(F33="","",IF(COUNTIF(lst_Jobs,F33&amp;"")&gt;0,"OK","CHECK"))</f>
        <v/>
      </c>
      <c r="H33" s="51" t="inlineStr">
        <is>
          <t>ASX FYR Briefing 13.8.26</t>
        </is>
      </c>
      <c r="I33" s="51" t="inlineStr">
        <is>
          <t>Project</t>
        </is>
      </c>
      <c r="J33" s="51" t="inlineStr">
        <is>
          <t>INV-10576</t>
        </is>
      </c>
      <c r="K33" s="51" t="inlineStr">
        <is>
          <t>GST 10%</t>
        </is>
      </c>
      <c r="L33" s="52" t="n">
        <v>37579</v>
      </c>
      <c r="M33" s="53">
        <f>IF(L33="","",IF(K33="GST 10%",ROUND(L33*0.1,2),0))</f>
        <v/>
      </c>
      <c r="N33" s="53">
        <f>IF(L33="","",L33+M33)</f>
        <v/>
      </c>
      <c r="O33" s="51" t="inlineStr">
        <is>
          <t>42100</t>
        </is>
      </c>
      <c r="P33" s="51" t="inlineStr">
        <is>
          <t>Y</t>
        </is>
      </c>
      <c r="Q33" s="51" t="inlineStr">
        <is>
          <t>N</t>
        </is>
      </c>
      <c r="R33" s="51" t="inlineStr">
        <is>
          <t>Invoiced</t>
        </is>
      </c>
      <c r="S33" s="51" t="n"/>
      <c r="T33" s="52" t="n">
        <v>3357</v>
      </c>
      <c r="U33" s="53">
        <f>IF(L33="","",L33-N(T33))</f>
        <v/>
      </c>
      <c r="V33" s="50">
        <f>IF(L33="","",IF(SIGN(N(T33))*SIGN(L33)=-1,"CHECK - video sign",IF(ABS(N(T33))&gt;ABS(L33),"CHECK - video exceeds invoice",IF(AND(D33="VIDEO",ROUND(N(T33),2)&lt;&gt;ROUND(L33,2)),"CHECK - VIDEO job not fully split",IF(N(T33)=0,"All production",IF(ROUND(N(T33),2)=ROUND(L33,2),"All video","Split"))))))</f>
        <v/>
      </c>
      <c r="W33" s="53">
        <f>IF(L33="","",IF(N(T33)=0,0,ROUND(M33*N(T33)/L33,2)))</f>
        <v/>
      </c>
      <c r="X33" s="51" t="inlineStr">
        <is>
          <t>simon.starr@asx.com.au</t>
        </is>
      </c>
      <c r="Y33" s="48" t="n">
        <v>46247</v>
      </c>
      <c r="Z33" s="51" t="inlineStr">
        <is>
          <t>6045</t>
        </is>
      </c>
      <c r="AA33" s="51" t="inlineStr">
        <is>
          <t>26052702</t>
        </is>
      </c>
      <c r="AB33" s="51" t="inlineStr">
        <is>
          <t>Y</t>
        </is>
      </c>
      <c r="AC33" s="52" t="n">
        <v>2181</v>
      </c>
      <c r="AD33" s="55">
        <f>IFERROR(AC33/AG33,"")</f>
        <v/>
      </c>
      <c r="AE33" s="52" t="n">
        <v>5005.78</v>
      </c>
      <c r="AF33" s="52" t="n"/>
      <c r="AG33" s="53">
        <f>IF(L33="","",L33-N(AC33))</f>
        <v/>
      </c>
      <c r="AH33" s="53">
        <f>IF(L33="","",L33-N(AE33)-N(AF33))</f>
        <v/>
      </c>
      <c r="AI33" s="55">
        <f>IFERROR(AH33/L33,"")</f>
        <v/>
      </c>
      <c r="AJ33" s="54" t="n"/>
      <c r="AK33" s="54" t="n"/>
      <c r="AL33" s="54" t="n">
        <v>6</v>
      </c>
      <c r="AM33" s="54" t="n"/>
      <c r="AN33" s="54" t="n">
        <v>78</v>
      </c>
    </row>
    <row r="34" ht="15" customHeight="1">
      <c r="A34" s="48" t="n">
        <v>46261</v>
      </c>
      <c r="B34" s="49">
        <f>IF(A34="","",EOMONTH(A34,0))</f>
        <v/>
      </c>
      <c r="C34" s="50">
        <f>"Production"</f>
        <v/>
      </c>
      <c r="D34" s="51" t="inlineStr">
        <is>
          <t>VIDEO</t>
        </is>
      </c>
      <c r="E34" s="51" t="inlineStr">
        <is>
          <t>ASX</t>
        </is>
      </c>
      <c r="F34" s="51" t="inlineStr">
        <is>
          <t>26072906</t>
        </is>
      </c>
      <c r="G34" s="50">
        <f>IF(F34="","",IF(COUNTIF(lst_Jobs,F34&amp;"")&gt;0,"OK","CHECK"))</f>
        <v/>
      </c>
      <c r="H34" s="51" t="inlineStr">
        <is>
          <t>ASX Advisory Group on Corporate Governance</t>
        </is>
      </c>
      <c r="I34" s="51" t="inlineStr">
        <is>
          <t>Project</t>
        </is>
      </c>
      <c r="J34" s="51" t="inlineStr">
        <is>
          <t>INV-10600</t>
        </is>
      </c>
      <c r="K34" s="51" t="inlineStr">
        <is>
          <t>GST 10%</t>
        </is>
      </c>
      <c r="L34" s="52" t="n">
        <v>4601.7</v>
      </c>
      <c r="M34" s="53">
        <f>IF(L34="","",IF(K34="GST 10%",ROUND(L34*0.1,2),0))</f>
        <v/>
      </c>
      <c r="N34" s="53">
        <f>IF(L34="","",L34+M34)</f>
        <v/>
      </c>
      <c r="O34" s="51" t="inlineStr">
        <is>
          <t>42150</t>
        </is>
      </c>
      <c r="P34" s="51" t="inlineStr">
        <is>
          <t>Y</t>
        </is>
      </c>
      <c r="Q34" s="51" t="inlineStr">
        <is>
          <t>N</t>
        </is>
      </c>
      <c r="R34" s="51" t="inlineStr">
        <is>
          <t>Invoiced</t>
        </is>
      </c>
      <c r="S34" s="51" t="n"/>
      <c r="T34" s="52" t="n">
        <v>4221.7</v>
      </c>
      <c r="U34" s="53">
        <f>IF(L34="","",L34-N(T34))</f>
        <v/>
      </c>
      <c r="V34" s="50">
        <f>IF(L34="","",IF(SIGN(N(T34))*SIGN(L34)=-1,"CHECK - video sign",IF(ABS(N(T34))&gt;ABS(L34),"CHECK - video exceeds invoice",IF(AND(D34="VIDEO",ROUND(N(T34),2)&lt;&gt;ROUND(L34,2)),"CHECK - VIDEO job not fully split",IF(N(T34)=0,"All production",IF(ROUND(N(T34),2)=ROUND(L34,2),"All video","Split"))))))</f>
        <v/>
      </c>
      <c r="W34" s="53">
        <f>IF(L34="","",IF(N(T34)=0,0,ROUND(M34*N(T34)/L34,2)))</f>
        <v/>
      </c>
      <c r="X34" s="51" t="inlineStr">
        <is>
          <t>vicky.duan@asx.com.au</t>
        </is>
      </c>
      <c r="Y34" s="48" t="n">
        <v>46252</v>
      </c>
      <c r="Z34" s="51" t="inlineStr">
        <is>
          <t>6130</t>
        </is>
      </c>
      <c r="AA34" s="51" t="inlineStr">
        <is>
          <t>26072906</t>
        </is>
      </c>
      <c r="AB34" s="51" t="inlineStr">
        <is>
          <t>Y</t>
        </is>
      </c>
      <c r="AC34" s="52" t="n">
        <v>148.8</v>
      </c>
      <c r="AD34" s="55">
        <f>IFERROR(AC34/AG34,"")</f>
        <v/>
      </c>
      <c r="AE34" s="52" t="n"/>
      <c r="AF34" s="52" t="n"/>
      <c r="AG34" s="53">
        <f>IF(L34="","",L34-N(AC34))</f>
        <v/>
      </c>
      <c r="AH34" s="53">
        <f>IF(L34="","",L34-N(AE34)-N(AF34))</f>
        <v/>
      </c>
      <c r="AI34" s="55">
        <f>IFERROR(AH34/L34,"")</f>
        <v/>
      </c>
      <c r="AJ34" s="54" t="n">
        <v>8</v>
      </c>
      <c r="AK34" s="54" t="n">
        <v>8</v>
      </c>
      <c r="AL34" s="54" t="n"/>
      <c r="AM34" s="54" t="n"/>
      <c r="AN34" s="54" t="n">
        <v>8</v>
      </c>
    </row>
    <row r="35" ht="15" customHeight="1">
      <c r="A35" s="48" t="n">
        <v>46265</v>
      </c>
      <c r="B35" s="49">
        <f>IF(A35="","",EOMONTH(A35,0))</f>
        <v/>
      </c>
      <c r="C35" s="50">
        <f>"Production"</f>
        <v/>
      </c>
      <c r="D35" s="51" t="inlineStr">
        <is>
          <t>PRODUCTION</t>
        </is>
      </c>
      <c r="E35" s="51" t="inlineStr">
        <is>
          <t>Cochlear</t>
        </is>
      </c>
      <c r="F35" s="51" t="inlineStr">
        <is>
          <t>2603104</t>
        </is>
      </c>
      <c r="G35" s="50">
        <f>IF(F35="","",IF(COUNTIF(lst_Jobs,F35&amp;"")&gt;0,"OK","CHECK"))</f>
        <v/>
      </c>
      <c r="H35" s="51" t="inlineStr">
        <is>
          <t>Cochlear FY26 Results 18.8.26</t>
        </is>
      </c>
      <c r="I35" s="51" t="inlineStr">
        <is>
          <t>Project</t>
        </is>
      </c>
      <c r="J35" s="51" t="inlineStr">
        <is>
          <t>INV-10590</t>
        </is>
      </c>
      <c r="K35" s="51" t="inlineStr">
        <is>
          <t>GST 10%</t>
        </is>
      </c>
      <c r="L35" s="52" t="n">
        <v>10540.5</v>
      </c>
      <c r="M35" s="53">
        <f>IF(L35="","",IF(K35="GST 10%",ROUND(L35*0.1,2),0))</f>
        <v/>
      </c>
      <c r="N35" s="53">
        <f>IF(L35="","",L35+M35)</f>
        <v/>
      </c>
      <c r="O35" s="51" t="inlineStr">
        <is>
          <t>42100</t>
        </is>
      </c>
      <c r="P35" s="51" t="inlineStr">
        <is>
          <t>Y</t>
        </is>
      </c>
      <c r="Q35" s="51" t="inlineStr">
        <is>
          <t>N</t>
        </is>
      </c>
      <c r="R35" s="51" t="inlineStr">
        <is>
          <t>Invoiced</t>
        </is>
      </c>
      <c r="S35" s="51" t="n"/>
      <c r="T35" s="52" t="n"/>
      <c r="U35" s="53">
        <f>IF(L35="","",L35-N(T35))</f>
        <v/>
      </c>
      <c r="V35" s="50">
        <f>IF(L35="","",IF(SIGN(N(T35))*SIGN(L35)=-1,"CHECK - video sign",IF(ABS(N(T35))&gt;ABS(L35),"CHECK - video exceeds invoice",IF(AND(D35="VIDEO",ROUND(N(T35),2)&lt;&gt;ROUND(L35,2)),"CHECK - VIDEO job not fully split",IF(N(T35)=0,"All production",IF(ROUND(N(T35),2)=ROUND(L35,2),"All video","Split"))))))</f>
        <v/>
      </c>
      <c r="W35" s="53">
        <f>IF(L35="","",IF(N(T35)=0,0,ROUND(M35*N(T35)/L35,2)))</f>
        <v/>
      </c>
      <c r="X35" s="51" t="inlineStr">
        <is>
          <t>jbarrish@cochlear.com</t>
        </is>
      </c>
      <c r="Y35" s="48" t="n">
        <v>46252</v>
      </c>
      <c r="Z35" s="51" t="inlineStr">
        <is>
          <t>6091</t>
        </is>
      </c>
      <c r="AA35" s="51" t="inlineStr">
        <is>
          <t>2603104</t>
        </is>
      </c>
      <c r="AB35" s="51" t="inlineStr">
        <is>
          <t>Y</t>
        </is>
      </c>
      <c r="AC35" s="52" t="n">
        <v>2984.5</v>
      </c>
      <c r="AD35" s="55">
        <f>IFERROR(AC35/AG35,"")</f>
        <v/>
      </c>
      <c r="AE35" s="52" t="n">
        <v>2166.76</v>
      </c>
      <c r="AF35" s="52" t="n"/>
      <c r="AG35" s="53">
        <f>IF(L35="","",L35-N(AC35))</f>
        <v/>
      </c>
      <c r="AH35" s="53">
        <f>IF(L35="","",L35-N(AE35)-N(AF35))</f>
        <v/>
      </c>
      <c r="AI35" s="55">
        <f>IFERROR(AH35/L35,"")</f>
        <v/>
      </c>
      <c r="AJ35" s="54" t="n">
        <v>8</v>
      </c>
      <c r="AK35" s="54" t="n"/>
      <c r="AL35" s="54" t="n"/>
      <c r="AM35" s="54" t="n"/>
      <c r="AN35" s="54" t="n">
        <v>18</v>
      </c>
    </row>
    <row r="36" ht="15" customHeight="1">
      <c r="A36" s="48" t="n">
        <v>46260</v>
      </c>
      <c r="B36" s="49">
        <f>IF(A36="","",EOMONTH(A36,0))</f>
        <v/>
      </c>
      <c r="C36" s="50">
        <f>"Production"</f>
        <v/>
      </c>
      <c r="D36" s="51" t="inlineStr">
        <is>
          <t>PRODUCTION</t>
        </is>
      </c>
      <c r="E36" s="51" t="inlineStr">
        <is>
          <t>ON24</t>
        </is>
      </c>
      <c r="F36" s="51" t="inlineStr">
        <is>
          <t>26072802</t>
        </is>
      </c>
      <c r="G36" s="50">
        <f>IF(F36="","",IF(COUNTIF(lst_Jobs,F36&amp;"")&gt;0,"OK","CHECK"))</f>
        <v/>
      </c>
      <c r="H36" s="51" t="inlineStr">
        <is>
          <t>KWM Sydney Event 18.8.26 (PO25962)</t>
        </is>
      </c>
      <c r="I36" s="51" t="inlineStr">
        <is>
          <t>Project</t>
        </is>
      </c>
      <c r="J36" s="51" t="inlineStr">
        <is>
          <t>INV-10589</t>
        </is>
      </c>
      <c r="K36" s="51" t="inlineStr">
        <is>
          <t>GST 10%</t>
        </is>
      </c>
      <c r="L36" s="52" t="n">
        <v>2732.5</v>
      </c>
      <c r="M36" s="53">
        <f>IF(L36="","",IF(K36="GST 10%",ROUND(L36*0.1,2),0))</f>
        <v/>
      </c>
      <c r="N36" s="53">
        <f>IF(L36="","",L36+M36)</f>
        <v/>
      </c>
      <c r="O36" s="51" t="inlineStr">
        <is>
          <t>42100</t>
        </is>
      </c>
      <c r="P36" s="51" t="inlineStr">
        <is>
          <t>Y</t>
        </is>
      </c>
      <c r="Q36" s="51" t="inlineStr">
        <is>
          <t>N</t>
        </is>
      </c>
      <c r="R36" s="51" t="inlineStr">
        <is>
          <t>Invoiced</t>
        </is>
      </c>
      <c r="S36" s="51" t="n"/>
      <c r="T36" s="52" t="n"/>
      <c r="U36" s="53">
        <f>IF(L36="","",L36-N(T36))</f>
        <v/>
      </c>
      <c r="V36" s="50">
        <f>IF(L36="","",IF(SIGN(N(T36))*SIGN(L36)=-1,"CHECK - video sign",IF(ABS(N(T36))&gt;ABS(L36),"CHECK - video exceeds invoice",IF(AND(D36="VIDEO",ROUND(N(T36),2)&lt;&gt;ROUND(L36,2)),"CHECK - VIDEO job not fully split",IF(N(T36)=0,"All production",IF(ROUND(N(T36),2)=ROUND(L36,2),"All video","Split"))))))</f>
        <v/>
      </c>
      <c r="W36" s="53">
        <f>IF(L36="","",IF(N(T36)=0,0,ROUND(M36*N(T36)/L36,2)))</f>
        <v/>
      </c>
      <c r="X36" s="51" t="inlineStr">
        <is>
          <t>lisa.caraccio@on24.com</t>
        </is>
      </c>
      <c r="Y36" s="48" t="n">
        <v>46252</v>
      </c>
      <c r="Z36" s="51" t="inlineStr">
        <is>
          <t>6131</t>
        </is>
      </c>
      <c r="AA36" s="51" t="inlineStr">
        <is>
          <t>26072802</t>
        </is>
      </c>
      <c r="AB36" s="51" t="inlineStr">
        <is>
          <t>Y</t>
        </is>
      </c>
      <c r="AC36" s="52" t="n">
        <v>95</v>
      </c>
      <c r="AD36" s="55">
        <f>IFERROR(AC36/AG36,"")</f>
        <v/>
      </c>
      <c r="AE36" s="52" t="n"/>
      <c r="AF36" s="52" t="n"/>
      <c r="AG36" s="53">
        <f>IF(L36="","",L36-N(AC36))</f>
        <v/>
      </c>
      <c r="AH36" s="53">
        <f>IF(L36="","",L36-N(AE36)-N(AF36))</f>
        <v/>
      </c>
      <c r="AI36" s="55">
        <f>IFERROR(AH36/L36,"")</f>
        <v/>
      </c>
      <c r="AJ36" s="54" t="n"/>
      <c r="AK36" s="54" t="n"/>
      <c r="AL36" s="54" t="n"/>
      <c r="AM36" s="54" t="n"/>
      <c r="AN36" s="54" t="n">
        <v>6.5</v>
      </c>
    </row>
    <row r="37" ht="15" customHeight="1">
      <c r="A37" s="48" t="n">
        <v>46260</v>
      </c>
      <c r="B37" s="49">
        <f>IF(A37="","",EOMONTH(A37,0))</f>
        <v/>
      </c>
      <c r="C37" s="50">
        <f>"Production"</f>
        <v/>
      </c>
      <c r="D37" s="51" t="inlineStr">
        <is>
          <t>PRODUCTION</t>
        </is>
      </c>
      <c r="E37" s="51" t="inlineStr">
        <is>
          <t>Dimensional</t>
        </is>
      </c>
      <c r="F37" s="51" t="inlineStr">
        <is>
          <t>26081402</t>
        </is>
      </c>
      <c r="G37" s="50">
        <f>IF(F37="","",IF(COUNTIF(lst_Jobs,F37&amp;"")&gt;0,"OK","CHECK"))</f>
        <v/>
      </c>
      <c r="H37" s="51" t="inlineStr">
        <is>
          <t>AV Support 19.8.26</t>
        </is>
      </c>
      <c r="I37" s="51" t="inlineStr">
        <is>
          <t>Project</t>
        </is>
      </c>
      <c r="J37" s="51" t="inlineStr">
        <is>
          <t>INV-10588</t>
        </is>
      </c>
      <c r="K37" s="51" t="inlineStr">
        <is>
          <t>GST 10%</t>
        </is>
      </c>
      <c r="L37" s="52" t="n">
        <v>460</v>
      </c>
      <c r="M37" s="53">
        <f>IF(L37="","",IF(K37="GST 10%",ROUND(L37*0.1,2),0))</f>
        <v/>
      </c>
      <c r="N37" s="53">
        <f>IF(L37="","",L37+M37)</f>
        <v/>
      </c>
      <c r="O37" s="51" t="inlineStr">
        <is>
          <t>42100</t>
        </is>
      </c>
      <c r="P37" s="51" t="inlineStr">
        <is>
          <t>Y</t>
        </is>
      </c>
      <c r="Q37" s="51" t="inlineStr">
        <is>
          <t>N</t>
        </is>
      </c>
      <c r="R37" s="51" t="inlineStr">
        <is>
          <t>Invoiced</t>
        </is>
      </c>
      <c r="S37" s="51" t="n"/>
      <c r="T37" s="52" t="n"/>
      <c r="U37" s="53">
        <f>IF(L37="","",L37-N(T37))</f>
        <v/>
      </c>
      <c r="V37" s="50">
        <f>IF(L37="","",IF(SIGN(N(T37))*SIGN(L37)=-1,"CHECK - video sign",IF(ABS(N(T37))&gt;ABS(L37),"CHECK - video exceeds invoice",IF(AND(D37="VIDEO",ROUND(N(T37),2)&lt;&gt;ROUND(L37,2)),"CHECK - VIDEO job not fully split",IF(N(T37)=0,"All production",IF(ROUND(N(T37),2)=ROUND(L37,2),"All video","Split"))))))</f>
        <v/>
      </c>
      <c r="W37" s="53">
        <f>IF(L37="","",IF(N(T37)=0,0,ROUND(M37*N(T37)/L37,2)))</f>
        <v/>
      </c>
      <c r="X37" s="51" t="inlineStr">
        <is>
          <t>Mahan.Noori@dimensional.com.au</t>
        </is>
      </c>
      <c r="Y37" s="48" t="n">
        <v>46253</v>
      </c>
      <c r="Z37" s="51" t="inlineStr">
        <is>
          <t>6153</t>
        </is>
      </c>
      <c r="AA37" s="51" t="inlineStr">
        <is>
          <t>26081402</t>
        </is>
      </c>
      <c r="AB37" s="51" t="inlineStr">
        <is>
          <t>Y</t>
        </is>
      </c>
      <c r="AC37" s="52" t="n"/>
      <c r="AD37" s="55">
        <f>IFERROR(AC37/AG37,"")</f>
        <v/>
      </c>
      <c r="AE37" s="52" t="n"/>
      <c r="AF37" s="52" t="n"/>
      <c r="AG37" s="53">
        <f>IF(L37="","",L37-N(AC37))</f>
        <v/>
      </c>
      <c r="AH37" s="53">
        <f>IF(L37="","",L37-N(AE37)-N(AF37))</f>
        <v/>
      </c>
      <c r="AI37" s="55">
        <f>IFERROR(AH37/L37,"")</f>
        <v/>
      </c>
      <c r="AJ37" s="54" t="n"/>
      <c r="AK37" s="54" t="n"/>
      <c r="AL37" s="54" t="n"/>
      <c r="AM37" s="54" t="n"/>
      <c r="AN37" s="54" t="n">
        <v>4</v>
      </c>
    </row>
    <row r="38" ht="15" customHeight="1">
      <c r="A38" s="48" t="n">
        <v>46259</v>
      </c>
      <c r="B38" s="49">
        <f>IF(A38="","",EOMONTH(A38,0))</f>
        <v/>
      </c>
      <c r="C38" s="50">
        <f>"Production"</f>
        <v/>
      </c>
      <c r="D38" s="51" t="inlineStr">
        <is>
          <t>PRODUCTION</t>
        </is>
      </c>
      <c r="E38" s="51" t="inlineStr">
        <is>
          <t>TLC -  Melbourne</t>
        </is>
      </c>
      <c r="F38" s="51" t="inlineStr">
        <is>
          <t>26061106</t>
        </is>
      </c>
      <c r="G38" s="50">
        <f>IF(F38="","",IF(COUNTIF(lst_Jobs,F38&amp;"")&gt;0,"OK","CHECK"))</f>
        <v/>
      </c>
      <c r="H38" s="51" t="inlineStr">
        <is>
          <t>TLC Full Year Results</t>
        </is>
      </c>
      <c r="I38" s="51" t="inlineStr">
        <is>
          <t>Project</t>
        </is>
      </c>
      <c r="J38" s="51" t="inlineStr">
        <is>
          <t>INV-10591</t>
        </is>
      </c>
      <c r="K38" s="51" t="inlineStr">
        <is>
          <t>GST 10%</t>
        </is>
      </c>
      <c r="L38" s="52" t="n">
        <v>13661</v>
      </c>
      <c r="M38" s="53">
        <f>IF(L38="","",IF(K38="GST 10%",ROUND(L38*0.1,2),0))</f>
        <v/>
      </c>
      <c r="N38" s="53">
        <f>IF(L38="","",L38+M38)</f>
        <v/>
      </c>
      <c r="O38" s="51" t="inlineStr">
        <is>
          <t>42100</t>
        </is>
      </c>
      <c r="P38" s="51" t="inlineStr">
        <is>
          <t>Y</t>
        </is>
      </c>
      <c r="Q38" s="51" t="inlineStr">
        <is>
          <t>N</t>
        </is>
      </c>
      <c r="R38" s="51" t="inlineStr">
        <is>
          <t>Invoiced</t>
        </is>
      </c>
      <c r="S38" s="51" t="n"/>
      <c r="T38" s="52" t="n">
        <v>674</v>
      </c>
      <c r="U38" s="53">
        <f>IF(L38="","",L38-N(T38))</f>
        <v/>
      </c>
      <c r="V38" s="50">
        <f>IF(L38="","",IF(SIGN(N(T38))*SIGN(L38)=-1,"CHECK - video sign",IF(ABS(N(T38))&gt;ABS(L38),"CHECK - video exceeds invoice",IF(AND(D38="VIDEO",ROUND(N(T38),2)&lt;&gt;ROUND(L38,2)),"CHECK - VIDEO job not fully split",IF(N(T38)=0,"All production",IF(ROUND(N(T38),2)=ROUND(L38,2),"All video","Split"))))))</f>
        <v/>
      </c>
      <c r="W38" s="53">
        <f>IF(L38="","",IF(N(T38)=0,0,ROUND(M38*N(T38)/L38,2)))</f>
        <v/>
      </c>
      <c r="X38" s="51" t="inlineStr">
        <is>
          <t>sharne.flanagan@thelotterycorporation.com</t>
        </is>
      </c>
      <c r="Y38" s="48" t="n">
        <v>46253</v>
      </c>
      <c r="Z38" s="51" t="inlineStr">
        <is>
          <t>5853</t>
        </is>
      </c>
      <c r="AA38" s="51" t="inlineStr">
        <is>
          <t>26061106</t>
        </is>
      </c>
      <c r="AB38" s="51" t="inlineStr">
        <is>
          <t>Y</t>
        </is>
      </c>
      <c r="AC38" s="52" t="n">
        <v>611.5</v>
      </c>
      <c r="AD38" s="55">
        <f>IFERROR(AC38/AG38,"")</f>
        <v/>
      </c>
      <c r="AE38" s="52" t="n">
        <v>4272.26</v>
      </c>
      <c r="AF38" s="52" t="n"/>
      <c r="AG38" s="53">
        <f>IF(L38="","",L38-N(AC38))</f>
        <v/>
      </c>
      <c r="AH38" s="53">
        <f>IF(L38="","",L38-N(AE38)-N(AF38))</f>
        <v/>
      </c>
      <c r="AI38" s="55">
        <f>IFERROR(AH38/L38,"")</f>
        <v/>
      </c>
      <c r="AJ38" s="54" t="n"/>
      <c r="AK38" s="54" t="n">
        <v>4</v>
      </c>
      <c r="AL38" s="54" t="n">
        <v>2</v>
      </c>
      <c r="AM38" s="54" t="n"/>
      <c r="AN38" s="54" t="n">
        <v>25</v>
      </c>
    </row>
    <row r="39" ht="15" customHeight="1">
      <c r="A39" s="48" t="n">
        <v>46259</v>
      </c>
      <c r="B39" s="49">
        <f>IF(A39="","",EOMONTH(A39,0))</f>
        <v/>
      </c>
      <c r="C39" s="50">
        <f>"Production"</f>
        <v/>
      </c>
      <c r="D39" s="51" t="inlineStr">
        <is>
          <t>PRODUCTION</t>
        </is>
      </c>
      <c r="E39" s="51" t="inlineStr">
        <is>
          <t>Downer</t>
        </is>
      </c>
      <c r="F39" s="51" t="inlineStr">
        <is>
          <t>26061107</t>
        </is>
      </c>
      <c r="G39" s="50">
        <f>IF(F39="","",IF(COUNTIF(lst_Jobs,F39&amp;"")&gt;0,"OK","CHECK"))</f>
        <v/>
      </c>
      <c r="H39" s="51" t="inlineStr">
        <is>
          <t>Downer FYR26 20.8.26</t>
        </is>
      </c>
      <c r="I39" s="51" t="inlineStr">
        <is>
          <t>Project</t>
        </is>
      </c>
      <c r="J39" s="51" t="inlineStr">
        <is>
          <t>INV-10587</t>
        </is>
      </c>
      <c r="K39" s="51" t="inlineStr">
        <is>
          <t>GST 10%</t>
        </is>
      </c>
      <c r="L39" s="52" t="n">
        <v>11644.25</v>
      </c>
      <c r="M39" s="53">
        <f>IF(L39="","",IF(K39="GST 10%",ROUND(L39*0.1,2),0))</f>
        <v/>
      </c>
      <c r="N39" s="53">
        <f>IF(L39="","",L39+M39)</f>
        <v/>
      </c>
      <c r="O39" s="51" t="inlineStr">
        <is>
          <t>42100</t>
        </is>
      </c>
      <c r="P39" s="51" t="inlineStr">
        <is>
          <t>Y</t>
        </is>
      </c>
      <c r="Q39" s="51" t="inlineStr">
        <is>
          <t>N</t>
        </is>
      </c>
      <c r="R39" s="51" t="inlineStr">
        <is>
          <t>Invoiced</t>
        </is>
      </c>
      <c r="S39" s="51" t="n"/>
      <c r="T39" s="52" t="n">
        <v>263.5</v>
      </c>
      <c r="U39" s="53">
        <f>IF(L39="","",L39-N(T39))</f>
        <v/>
      </c>
      <c r="V39" s="50">
        <f>IF(L39="","",IF(SIGN(N(T39))*SIGN(L39)=-1,"CHECK - video sign",IF(ABS(N(T39))&gt;ABS(L39),"CHECK - video exceeds invoice",IF(AND(D39="VIDEO",ROUND(N(T39),2)&lt;&gt;ROUND(L39,2)),"CHECK - VIDEO job not fully split",IF(N(T39)=0,"All production",IF(ROUND(N(T39),2)=ROUND(L39,2),"All video","Split"))))))</f>
        <v/>
      </c>
      <c r="W39" s="53">
        <f>IF(L39="","",IF(N(T39)=0,0,ROUND(M39*N(T39)/L39,2)))</f>
        <v/>
      </c>
      <c r="X39" s="51" t="inlineStr">
        <is>
          <t>mitchell.dale@downergroup.com</t>
        </is>
      </c>
      <c r="Y39" s="48" t="n">
        <v>46254</v>
      </c>
      <c r="Z39" s="51" t="inlineStr">
        <is>
          <t>6092</t>
        </is>
      </c>
      <c r="AA39" s="51" t="inlineStr">
        <is>
          <t>26061107</t>
        </is>
      </c>
      <c r="AB39" s="51" t="inlineStr">
        <is>
          <t>Y</t>
        </is>
      </c>
      <c r="AC39" s="52" t="n">
        <v>885.75</v>
      </c>
      <c r="AD39" s="55">
        <f>IFERROR(AC39/AG39,"")</f>
        <v/>
      </c>
      <c r="AE39" s="52" t="n">
        <v>1221.04</v>
      </c>
      <c r="AF39" s="52" t="n"/>
      <c r="AG39" s="53">
        <f>IF(L39="","",L39-N(AC39))</f>
        <v/>
      </c>
      <c r="AH39" s="53">
        <f>IF(L39="","",L39-N(AE39)-N(AF39))</f>
        <v/>
      </c>
      <c r="AI39" s="55">
        <f>IFERROR(AH39/L39,"")</f>
        <v/>
      </c>
      <c r="AJ39" s="54" t="n"/>
      <c r="AK39" s="54" t="n"/>
      <c r="AL39" s="54" t="n">
        <v>3</v>
      </c>
      <c r="AM39" s="54" t="n"/>
      <c r="AN39" s="54" t="n">
        <v>18</v>
      </c>
    </row>
    <row r="40" ht="15" customHeight="1">
      <c r="A40" s="48" t="n">
        <v>46260</v>
      </c>
      <c r="B40" s="49">
        <f>IF(A40="","",EOMONTH(A40,0))</f>
        <v/>
      </c>
      <c r="C40" s="50">
        <f>"Production"</f>
        <v/>
      </c>
      <c r="D40" s="51" t="inlineStr">
        <is>
          <t>PRODUCTION</t>
        </is>
      </c>
      <c r="E40" s="51" t="inlineStr">
        <is>
          <t>Garvan</t>
        </is>
      </c>
      <c r="F40" s="51" t="inlineStr">
        <is>
          <t>26073110</t>
        </is>
      </c>
      <c r="G40" s="50">
        <f>IF(F40="","",IF(COUNTIF(lst_Jobs,F40&amp;"")&gt;0,"OK","CHECK"))</f>
        <v/>
      </c>
      <c r="H40" s="51" t="inlineStr">
        <is>
          <t>Garvan - Weizmann Dinner Event</t>
        </is>
      </c>
      <c r="I40" s="51" t="inlineStr">
        <is>
          <t>Project</t>
        </is>
      </c>
      <c r="J40" s="51" t="inlineStr">
        <is>
          <t>INV-10586</t>
        </is>
      </c>
      <c r="K40" s="51" t="inlineStr">
        <is>
          <t>GST 10%</t>
        </is>
      </c>
      <c r="L40" s="52" t="n">
        <v>1055</v>
      </c>
      <c r="M40" s="53">
        <f>IF(L40="","",IF(K40="GST 10%",ROUND(L40*0.1,2),0))</f>
        <v/>
      </c>
      <c r="N40" s="53">
        <f>IF(L40="","",L40+M40)</f>
        <v/>
      </c>
      <c r="O40" s="51" t="inlineStr">
        <is>
          <t>42100</t>
        </is>
      </c>
      <c r="P40" s="51" t="inlineStr">
        <is>
          <t>Y</t>
        </is>
      </c>
      <c r="Q40" s="51" t="inlineStr">
        <is>
          <t>N</t>
        </is>
      </c>
      <c r="R40" s="51" t="inlineStr">
        <is>
          <t>Invoiced</t>
        </is>
      </c>
      <c r="S40" s="51" t="n"/>
      <c r="T40" s="52" t="n"/>
      <c r="U40" s="53">
        <f>IF(L40="","",L40-N(T40))</f>
        <v/>
      </c>
      <c r="V40" s="50">
        <f>IF(L40="","",IF(SIGN(N(T40))*SIGN(L40)=-1,"CHECK - video sign",IF(ABS(N(T40))&gt;ABS(L40),"CHECK - video exceeds invoice",IF(AND(D40="VIDEO",ROUND(N(T40),2)&lt;&gt;ROUND(L40,2)),"CHECK - VIDEO job not fully split",IF(N(T40)=0,"All production",IF(ROUND(N(T40),2)=ROUND(L40,2),"All video","Split"))))))</f>
        <v/>
      </c>
      <c r="W40" s="53">
        <f>IF(L40="","",IF(N(T40)=0,0,ROUND(M40*N(T40)/L40,2)))</f>
        <v/>
      </c>
      <c r="X40" s="51" t="inlineStr">
        <is>
          <t>m.gonzalezhuerta@garvan.org.au</t>
        </is>
      </c>
      <c r="Y40" s="48" t="n">
        <v>46254</v>
      </c>
      <c r="Z40" s="51" t="inlineStr">
        <is>
          <t>6117</t>
        </is>
      </c>
      <c r="AA40" s="51" t="inlineStr">
        <is>
          <t>26073110</t>
        </is>
      </c>
      <c r="AB40" s="51" t="inlineStr">
        <is>
          <t>Y</t>
        </is>
      </c>
      <c r="AC40" s="52" t="n"/>
      <c r="AD40" s="55">
        <f>IFERROR(AC40/AG40,"")</f>
        <v/>
      </c>
      <c r="AE40" s="52" t="n"/>
      <c r="AF40" s="52" t="n"/>
      <c r="AG40" s="53">
        <f>IF(L40="","",L40-N(AC40))</f>
        <v/>
      </c>
      <c r="AH40" s="53">
        <f>IF(L40="","",L40-N(AE40)-N(AF40))</f>
        <v/>
      </c>
      <c r="AI40" s="55">
        <f>IFERROR(AH40/L40,"")</f>
        <v/>
      </c>
      <c r="AJ40" s="54" t="n"/>
      <c r="AK40" s="54" t="n"/>
      <c r="AL40" s="54" t="n">
        <v>1</v>
      </c>
      <c r="AM40" s="54" t="n"/>
      <c r="AN40" s="54" t="n">
        <v>8</v>
      </c>
    </row>
    <row r="41" ht="15" customHeight="1">
      <c r="A41" s="48" t="n"/>
      <c r="B41" s="49">
        <f>IF(A41="","",EOMONTH(A41,0))</f>
        <v/>
      </c>
      <c r="C41" s="50">
        <f>"Production"</f>
        <v/>
      </c>
      <c r="D41" s="51" t="inlineStr">
        <is>
          <t>PRODUCTION</t>
        </is>
      </c>
      <c r="E41" s="51" t="inlineStr">
        <is>
          <t xml:space="preserve">APA </t>
        </is>
      </c>
      <c r="F41" s="51" t="inlineStr">
        <is>
          <t>25121208</t>
        </is>
      </c>
      <c r="G41" s="50">
        <f>IF(F41="","",IF(COUNTIF(lst_Jobs,F41&amp;"")&gt;0,"OK","CHECK"))</f>
        <v/>
      </c>
      <c r="H41" s="51" t="inlineStr">
        <is>
          <t>APA FYR Investor Briefing 20.8.26</t>
        </is>
      </c>
      <c r="I41" s="51" t="inlineStr">
        <is>
          <t>Project</t>
        </is>
      </c>
      <c r="J41" s="51" t="inlineStr">
        <is>
          <t>Package</t>
        </is>
      </c>
      <c r="K41" s="51" t="inlineStr">
        <is>
          <t>GST 10%</t>
        </is>
      </c>
      <c r="L41" s="52" t="n">
        <v>8472.5</v>
      </c>
      <c r="M41" s="53">
        <f>IF(L41="","",IF(K41="GST 10%",ROUND(L41*0.1,2),0))</f>
        <v/>
      </c>
      <c r="N41" s="53">
        <f>IF(L41="","",L41+M41)</f>
        <v/>
      </c>
      <c r="O41" s="51" t="inlineStr">
        <is>
          <t>42100</t>
        </is>
      </c>
      <c r="P41" s="51" t="inlineStr">
        <is>
          <t>Y</t>
        </is>
      </c>
      <c r="Q41" s="51" t="inlineStr">
        <is>
          <t>N</t>
        </is>
      </c>
      <c r="R41" s="51" t="inlineStr">
        <is>
          <t>Invoiced</t>
        </is>
      </c>
      <c r="S41" s="51" t="n"/>
      <c r="T41" s="52" t="n"/>
      <c r="U41" s="53">
        <f>IF(L41="","",L41-N(T41))</f>
        <v/>
      </c>
      <c r="V41" s="50">
        <f>IF(L41="","",IF(SIGN(N(T41))*SIGN(L41)=-1,"CHECK - video sign",IF(ABS(N(T41))&gt;ABS(L41),"CHECK - video exceeds invoice",IF(AND(D41="VIDEO",ROUND(N(T41),2)&lt;&gt;ROUND(L41,2)),"CHECK - VIDEO job not fully split",IF(N(T41)=0,"All production",IF(ROUND(N(T41),2)=ROUND(L41,2),"All video","Split"))))))</f>
        <v/>
      </c>
      <c r="W41" s="53">
        <f>IF(L41="","",IF(N(T41)=0,0,ROUND(M41*N(T41)/L41,2)))</f>
        <v/>
      </c>
      <c r="X41" s="51" t="inlineStr">
        <is>
          <t>anna.sampson@apa.com.au</t>
        </is>
      </c>
      <c r="Y41" s="48" t="n">
        <v>46254</v>
      </c>
      <c r="Z41" s="51" t="inlineStr">
        <is>
          <t>5821</t>
        </is>
      </c>
      <c r="AA41" s="51" t="inlineStr">
        <is>
          <t>25121208</t>
        </is>
      </c>
      <c r="AB41" s="51" t="inlineStr">
        <is>
          <t>Y</t>
        </is>
      </c>
      <c r="AC41" s="52" t="n">
        <v>3652.5</v>
      </c>
      <c r="AD41" s="55">
        <f>IFERROR(AC41/AG41,"")</f>
        <v/>
      </c>
      <c r="AE41" s="52" t="n">
        <v>1805.72</v>
      </c>
      <c r="AF41" s="52" t="n"/>
      <c r="AG41" s="53">
        <f>IF(L41="","",L41-N(AC41))</f>
        <v/>
      </c>
      <c r="AH41" s="53">
        <f>IF(L41="","",L41-N(AE41)-N(AF41))</f>
        <v/>
      </c>
      <c r="AI41" s="55">
        <f>IFERROR(AH41/L41,"")</f>
        <v/>
      </c>
      <c r="AJ41" s="54" t="n"/>
      <c r="AK41" s="54" t="n"/>
      <c r="AL41" s="54" t="n">
        <v>2</v>
      </c>
      <c r="AM41" s="54" t="n"/>
      <c r="AN41" s="54" t="n">
        <v>20</v>
      </c>
    </row>
    <row r="42" ht="15" customHeight="1">
      <c r="A42" s="48" t="n"/>
      <c r="B42" s="49">
        <f>IF(A42="","",EOMONTH(A42,0))</f>
        <v/>
      </c>
      <c r="C42" s="50">
        <f>"Production"</f>
        <v/>
      </c>
      <c r="D42" s="51" t="inlineStr">
        <is>
          <t>PRODUCTION</t>
        </is>
      </c>
      <c r="E42" s="51" t="inlineStr">
        <is>
          <t>APA</t>
        </is>
      </c>
      <c r="F42" s="51" t="inlineStr">
        <is>
          <t>26061108</t>
        </is>
      </c>
      <c r="G42" s="50">
        <f>IF(F42="","",IF(COUNTIF(lst_Jobs,F42&amp;"")&gt;0,"OK","CHECK"))</f>
        <v/>
      </c>
      <c r="H42" s="51" t="inlineStr">
        <is>
          <t>APA FYR Town Hall 20.8.26</t>
        </is>
      </c>
      <c r="I42" s="51" t="inlineStr">
        <is>
          <t>Project</t>
        </is>
      </c>
      <c r="J42" s="51" t="inlineStr">
        <is>
          <t>Package</t>
        </is>
      </c>
      <c r="K42" s="51" t="inlineStr">
        <is>
          <t>GST 10%</t>
        </is>
      </c>
      <c r="L42" s="52" t="n">
        <v>12600.6</v>
      </c>
      <c r="M42" s="53">
        <f>IF(L42="","",IF(K42="GST 10%",ROUND(L42*0.1,2),0))</f>
        <v/>
      </c>
      <c r="N42" s="53">
        <f>IF(L42="","",L42+M42)</f>
        <v/>
      </c>
      <c r="O42" s="51" t="inlineStr">
        <is>
          <t>42100</t>
        </is>
      </c>
      <c r="P42" s="51" t="inlineStr">
        <is>
          <t>Y</t>
        </is>
      </c>
      <c r="Q42" s="51" t="inlineStr">
        <is>
          <t>N</t>
        </is>
      </c>
      <c r="R42" s="51" t="inlineStr">
        <is>
          <t>Invoiced</t>
        </is>
      </c>
      <c r="S42" s="51" t="n"/>
      <c r="T42" s="52" t="n">
        <v>1261.6</v>
      </c>
      <c r="U42" s="53">
        <f>IF(L42="","",L42-N(T42))</f>
        <v/>
      </c>
      <c r="V42" s="50">
        <f>IF(L42="","",IF(SIGN(N(T42))*SIGN(L42)=-1,"CHECK - video sign",IF(ABS(N(T42))&gt;ABS(L42),"CHECK - video exceeds invoice",IF(AND(D42="VIDEO",ROUND(N(T42),2)&lt;&gt;ROUND(L42,2)),"CHECK - VIDEO job not fully split",IF(N(T42)=0,"All production",IF(ROUND(N(T42),2)=ROUND(L42,2),"All video","Split"))))))</f>
        <v/>
      </c>
      <c r="W42" s="53">
        <f>IF(L42="","",IF(N(T42)=0,0,ROUND(M42*N(T42)/L42,2)))</f>
        <v/>
      </c>
      <c r="X42" s="51" t="inlineStr">
        <is>
          <t>steph.bennett@apa.com.au</t>
        </is>
      </c>
      <c r="Y42" s="48" t="n">
        <v>46254</v>
      </c>
      <c r="Z42" s="51" t="inlineStr">
        <is>
          <t>6073</t>
        </is>
      </c>
      <c r="AA42" s="51" t="inlineStr">
        <is>
          <t>26061108</t>
        </is>
      </c>
      <c r="AB42" s="51" t="inlineStr">
        <is>
          <t>Y</t>
        </is>
      </c>
      <c r="AC42" s="52" t="n">
        <v>1651.4</v>
      </c>
      <c r="AD42" s="55">
        <f>IFERROR(AC42/AG42,"")</f>
        <v/>
      </c>
      <c r="AE42" s="52" t="n"/>
      <c r="AF42" s="52" t="n"/>
      <c r="AG42" s="53">
        <f>IF(L42="","",L42-N(AC42))</f>
        <v/>
      </c>
      <c r="AH42" s="53">
        <f>IF(L42="","",L42-N(AE42)-N(AF42))</f>
        <v/>
      </c>
      <c r="AI42" s="55">
        <f>IFERROR(AH42/L42,"")</f>
        <v/>
      </c>
      <c r="AJ42" s="54" t="n">
        <v>5</v>
      </c>
      <c r="AK42" s="54" t="n"/>
      <c r="AL42" s="54" t="n">
        <v>6</v>
      </c>
      <c r="AM42" s="54" t="n"/>
      <c r="AN42" s="54" t="n">
        <v>45</v>
      </c>
    </row>
    <row r="43" ht="15" customHeight="1">
      <c r="A43" s="48" t="n">
        <v>46265</v>
      </c>
      <c r="B43" s="49">
        <f>IF(A43="","",EOMONTH(A43,0))</f>
        <v/>
      </c>
      <c r="C43" s="50">
        <f>"Production"</f>
        <v/>
      </c>
      <c r="D43" s="51" t="inlineStr">
        <is>
          <t>PRODUCTION</t>
        </is>
      </c>
      <c r="E43" s="51" t="inlineStr">
        <is>
          <t>Ventia</t>
        </is>
      </c>
      <c r="F43" s="51" t="inlineStr">
        <is>
          <t>26061109</t>
        </is>
      </c>
      <c r="G43" s="50">
        <f>IF(F43="","",IF(COUNTIF(lst_Jobs,F43&amp;"")&gt;0,"OK","CHECK"))</f>
        <v/>
      </c>
      <c r="H43" s="51" t="inlineStr">
        <is>
          <t>Ventia HYR Employee Town Hall 24.8.26 (PO 4701366307)</t>
        </is>
      </c>
      <c r="I43" s="51" t="inlineStr">
        <is>
          <t>Project</t>
        </is>
      </c>
      <c r="J43" s="51" t="inlineStr">
        <is>
          <t>INV-10593</t>
        </is>
      </c>
      <c r="K43" s="51" t="inlineStr">
        <is>
          <t>GST 10%</t>
        </is>
      </c>
      <c r="L43" s="52" t="n">
        <v>13401.5</v>
      </c>
      <c r="M43" s="53">
        <f>IF(L43="","",IF(K43="GST 10%",ROUND(L43*0.1,2),0))</f>
        <v/>
      </c>
      <c r="N43" s="53">
        <f>IF(L43="","",L43+M43)</f>
        <v/>
      </c>
      <c r="O43" s="51" t="inlineStr">
        <is>
          <t>42100</t>
        </is>
      </c>
      <c r="P43" s="51" t="inlineStr">
        <is>
          <t>Y</t>
        </is>
      </c>
      <c r="Q43" s="51" t="inlineStr">
        <is>
          <t>N</t>
        </is>
      </c>
      <c r="R43" s="51" t="inlineStr">
        <is>
          <t>Invoiced</t>
        </is>
      </c>
      <c r="S43" s="51" t="n"/>
      <c r="T43" s="52" t="n">
        <v>1771</v>
      </c>
      <c r="U43" s="53">
        <f>IF(L43="","",L43-N(T43))</f>
        <v/>
      </c>
      <c r="V43" s="50">
        <f>IF(L43="","",IF(SIGN(N(T43))*SIGN(L43)=-1,"CHECK - video sign",IF(ABS(N(T43))&gt;ABS(L43),"CHECK - video exceeds invoice",IF(AND(D43="VIDEO",ROUND(N(T43),2)&lt;&gt;ROUND(L43,2)),"CHECK - VIDEO job not fully split",IF(N(T43)=0,"All production",IF(ROUND(N(T43),2)=ROUND(L43,2),"All video","Split"))))))</f>
        <v/>
      </c>
      <c r="W43" s="53">
        <f>IF(L43="","",IF(N(T43)=0,0,ROUND(M43*N(T43)/L43,2)))</f>
        <v/>
      </c>
      <c r="X43" s="51" t="inlineStr">
        <is>
          <t>amy.johnson@ventia.com</t>
        </is>
      </c>
      <c r="Y43" s="48" t="n">
        <v>46258</v>
      </c>
      <c r="Z43" s="51" t="inlineStr">
        <is>
          <t>6095</t>
        </is>
      </c>
      <c r="AA43" s="51" t="inlineStr">
        <is>
          <t>26061109</t>
        </is>
      </c>
      <c r="AB43" s="51" t="inlineStr">
        <is>
          <t>Y</t>
        </is>
      </c>
      <c r="AC43" s="52" t="n">
        <v>524.5</v>
      </c>
      <c r="AD43" s="55">
        <f>IFERROR(AC43/AG43,"")</f>
        <v/>
      </c>
      <c r="AE43" s="52" t="n">
        <v>1350</v>
      </c>
      <c r="AF43" s="52" t="n"/>
      <c r="AG43" s="53">
        <f>IF(L43="","",L43-N(AC43))</f>
        <v/>
      </c>
      <c r="AH43" s="53">
        <f>IF(L43="","",L43-N(AE43)-N(AF43))</f>
        <v/>
      </c>
      <c r="AI43" s="55">
        <f>IFERROR(AH43/L43,"")</f>
        <v/>
      </c>
      <c r="AJ43" s="54" t="n">
        <v>4</v>
      </c>
      <c r="AK43" s="54" t="n"/>
      <c r="AL43" s="54" t="n"/>
      <c r="AM43" s="54" t="n"/>
      <c r="AN43" s="54" t="n">
        <v>41</v>
      </c>
    </row>
    <row r="44" ht="15" customHeight="1">
      <c r="A44" s="48" t="n">
        <v>46265</v>
      </c>
      <c r="B44" s="49">
        <f>IF(A44="","",EOMONTH(A44,0))</f>
        <v/>
      </c>
      <c r="C44" s="50">
        <f>"Production"</f>
        <v/>
      </c>
      <c r="D44" s="51" t="inlineStr">
        <is>
          <t>PRODUCTION</t>
        </is>
      </c>
      <c r="E44" s="51" t="inlineStr">
        <is>
          <t>Ventia</t>
        </is>
      </c>
      <c r="F44" s="51" t="inlineStr">
        <is>
          <t>26071501</t>
        </is>
      </c>
      <c r="G44" s="50">
        <f>IF(F44="","",IF(COUNTIF(lst_Jobs,F44&amp;"")&gt;0,"OK","CHECK"))</f>
        <v/>
      </c>
      <c r="H44" s="51" t="inlineStr">
        <is>
          <t>Ventia Half Year Results Briefing</t>
        </is>
      </c>
      <c r="I44" s="51" t="inlineStr">
        <is>
          <t>Project</t>
        </is>
      </c>
      <c r="J44" s="51" t="inlineStr">
        <is>
          <t>INV-10612</t>
        </is>
      </c>
      <c r="K44" s="51" t="inlineStr">
        <is>
          <t>GST 10%</t>
        </is>
      </c>
      <c r="L44" s="52" t="n">
        <v>10835.49</v>
      </c>
      <c r="M44" s="53">
        <f>IF(L44="","",IF(K44="GST 10%",ROUND(L44*0.1,2),0))</f>
        <v/>
      </c>
      <c r="N44" s="53">
        <f>IF(L44="","",L44+M44)</f>
        <v/>
      </c>
      <c r="O44" s="51" t="inlineStr">
        <is>
          <t>42100</t>
        </is>
      </c>
      <c r="P44" s="51" t="inlineStr">
        <is>
          <t>Y</t>
        </is>
      </c>
      <c r="Q44" s="51" t="inlineStr">
        <is>
          <t>N</t>
        </is>
      </c>
      <c r="R44" s="51" t="inlineStr">
        <is>
          <t>Invoiced</t>
        </is>
      </c>
      <c r="S44" s="51" t="n"/>
      <c r="T44" s="52" t="n"/>
      <c r="U44" s="53">
        <f>IF(L44="","",L44-N(T44))</f>
        <v/>
      </c>
      <c r="V44" s="50">
        <f>IF(L44="","",IF(SIGN(N(T44))*SIGN(L44)=-1,"CHECK - video sign",IF(ABS(N(T44))&gt;ABS(L44),"CHECK - video exceeds invoice",IF(AND(D44="VIDEO",ROUND(N(T44),2)&lt;&gt;ROUND(L44,2)),"CHECK - VIDEO job not fully split",IF(N(T44)=0,"All production",IF(ROUND(N(T44),2)=ROUND(L44,2),"All video","Split"))))))</f>
        <v/>
      </c>
      <c r="W44" s="53">
        <f>IF(L44="","",IF(N(T44)=0,0,ROUND(M44*N(T44)/L44,2)))</f>
        <v/>
      </c>
      <c r="X44" s="51" t="inlineStr">
        <is>
          <t>chantal.travers@ventia.com</t>
        </is>
      </c>
      <c r="Y44" s="48" t="n">
        <v>46258</v>
      </c>
      <c r="Z44" s="51" t="inlineStr">
        <is>
          <t>6094</t>
        </is>
      </c>
      <c r="AA44" s="51" t="inlineStr">
        <is>
          <t>26071501</t>
        </is>
      </c>
      <c r="AB44" s="51" t="inlineStr">
        <is>
          <t>Y</t>
        </is>
      </c>
      <c r="AC44" s="52" t="n">
        <v>495</v>
      </c>
      <c r="AD44" s="55">
        <f>IFERROR(AC44/AG44,"")</f>
        <v/>
      </c>
      <c r="AE44" s="52" t="n">
        <v>2303.09</v>
      </c>
      <c r="AF44" s="52" t="n"/>
      <c r="AG44" s="53">
        <f>IF(L44="","",L44-N(AC44))</f>
        <v/>
      </c>
      <c r="AH44" s="53">
        <f>IF(L44="","",L44-N(AE44)-N(AF44))</f>
        <v/>
      </c>
      <c r="AI44" s="55">
        <f>IFERROR(AH44/L44,"")</f>
        <v/>
      </c>
      <c r="AJ44" s="54" t="n"/>
      <c r="AK44" s="54" t="n"/>
      <c r="AL44" s="54" t="n"/>
      <c r="AM44" s="54" t="n"/>
      <c r="AN44" s="54" t="n">
        <v>11</v>
      </c>
    </row>
    <row r="45" ht="15" customHeight="1">
      <c r="A45" s="48" t="n">
        <v>46265</v>
      </c>
      <c r="B45" s="49">
        <f>IF(A45="","",EOMONTH(A45,0))</f>
        <v/>
      </c>
      <c r="C45" s="50">
        <f>"Production"</f>
        <v/>
      </c>
      <c r="D45" s="51" t="inlineStr">
        <is>
          <t>PRODUCTION</t>
        </is>
      </c>
      <c r="E45" s="51" t="inlineStr">
        <is>
          <t>Downer - Melbourne</t>
        </is>
      </c>
      <c r="F45" s="51" t="inlineStr">
        <is>
          <t>26073111</t>
        </is>
      </c>
      <c r="G45" s="50">
        <f>IF(F45="","",IF(COUNTIF(lst_Jobs,F45&amp;"")&gt;0,"OK","CHECK"))</f>
        <v/>
      </c>
      <c r="H45" s="51" t="inlineStr">
        <is>
          <t>Employee Results Briefing</t>
        </is>
      </c>
      <c r="I45" s="51" t="inlineStr">
        <is>
          <t>Project</t>
        </is>
      </c>
      <c r="J45" s="51" t="inlineStr">
        <is>
          <t>INV-10611</t>
        </is>
      </c>
      <c r="K45" s="51" t="inlineStr">
        <is>
          <t>GST 10%</t>
        </is>
      </c>
      <c r="L45" s="52" t="n">
        <v>24413.75</v>
      </c>
      <c r="M45" s="53">
        <f>IF(L45="","",IF(K45="GST 10%",ROUND(L45*0.1,2),0))</f>
        <v/>
      </c>
      <c r="N45" s="53">
        <f>IF(L45="","",L45+M45)</f>
        <v/>
      </c>
      <c r="O45" s="51" t="inlineStr">
        <is>
          <t>42100</t>
        </is>
      </c>
      <c r="P45" s="51" t="inlineStr">
        <is>
          <t>Y</t>
        </is>
      </c>
      <c r="Q45" s="51" t="inlineStr">
        <is>
          <t>N</t>
        </is>
      </c>
      <c r="R45" s="51" t="inlineStr">
        <is>
          <t>Invoiced</t>
        </is>
      </c>
      <c r="S45" s="51" t="n"/>
      <c r="T45" s="52" t="n">
        <v>1785</v>
      </c>
      <c r="U45" s="53">
        <f>IF(L45="","",L45-N(T45))</f>
        <v/>
      </c>
      <c r="V45" s="50">
        <f>IF(L45="","",IF(SIGN(N(T45))*SIGN(L45)=-1,"CHECK - video sign",IF(ABS(N(T45))&gt;ABS(L45),"CHECK - video exceeds invoice",IF(AND(D45="VIDEO",ROUND(N(T45),2)&lt;&gt;ROUND(L45,2)),"CHECK - VIDEO job not fully split",IF(N(T45)=0,"All production",IF(ROUND(N(T45),2)=ROUND(L45,2),"All video","Split"))))))</f>
        <v/>
      </c>
      <c r="W45" s="53">
        <f>IF(L45="","",IF(N(T45)=0,0,ROUND(M45*N(T45)/L45,2)))</f>
        <v/>
      </c>
      <c r="X45" s="51" t="inlineStr">
        <is>
          <t>mitchell.dale@downergroup.com</t>
        </is>
      </c>
      <c r="Y45" s="48" t="n">
        <v>46259</v>
      </c>
      <c r="Z45" s="51" t="inlineStr">
        <is>
          <t>6144</t>
        </is>
      </c>
      <c r="AA45" s="51" t="inlineStr">
        <is>
          <t>26073111</t>
        </is>
      </c>
      <c r="AB45" s="51" t="inlineStr">
        <is>
          <t>Y</t>
        </is>
      </c>
      <c r="AC45" s="52" t="n">
        <v>2281.25</v>
      </c>
      <c r="AD45" s="55">
        <f>IFERROR(AC45/AG45,"")</f>
        <v/>
      </c>
      <c r="AE45" s="52" t="n">
        <v>14754.3</v>
      </c>
      <c r="AF45" s="52" t="n"/>
      <c r="AG45" s="53">
        <f>IF(L45="","",L45-N(AC45))</f>
        <v/>
      </c>
      <c r="AH45" s="53">
        <f>IF(L45="","",L45-N(AE45)-N(AF45))</f>
        <v/>
      </c>
      <c r="AI45" s="55">
        <f>IFERROR(AH45/L45,"")</f>
        <v/>
      </c>
      <c r="AJ45" s="54" t="n">
        <v>5</v>
      </c>
      <c r="AK45" s="54" t="n"/>
      <c r="AL45" s="54" t="n">
        <v>3</v>
      </c>
      <c r="AM45" s="54" t="n"/>
      <c r="AN45" s="54" t="n">
        <v>37</v>
      </c>
    </row>
    <row r="46" ht="15" customHeight="1">
      <c r="A46" s="48" t="n">
        <v>46253</v>
      </c>
      <c r="B46" s="49">
        <f>IF(A46="","",EOMONTH(A46,0))</f>
        <v/>
      </c>
      <c r="C46" s="50">
        <f>"Production"</f>
        <v/>
      </c>
      <c r="D46" s="51" t="inlineStr">
        <is>
          <t>PRODUCTION</t>
        </is>
      </c>
      <c r="E46" s="51" t="inlineStr">
        <is>
          <t>Symal - Melbourne</t>
        </is>
      </c>
      <c r="F46" s="51" t="inlineStr">
        <is>
          <t>2606904</t>
        </is>
      </c>
      <c r="G46" s="50">
        <f>IF(F46="","",IF(COUNTIF(lst_Jobs,F46&amp;"")&gt;0,"OK","CHECK"))</f>
        <v/>
      </c>
      <c r="H46" s="51" t="inlineStr">
        <is>
          <t>Symal FYR 2026</t>
        </is>
      </c>
      <c r="I46" s="51" t="inlineStr">
        <is>
          <t>Project</t>
        </is>
      </c>
      <c r="J46" s="51" t="inlineStr">
        <is>
          <t>INV10567</t>
        </is>
      </c>
      <c r="K46" s="51" t="inlineStr">
        <is>
          <t>GST 10%</t>
        </is>
      </c>
      <c r="L46" s="52" t="n">
        <v>13347</v>
      </c>
      <c r="M46" s="53">
        <f>IF(L46="","",IF(K46="GST 10%",ROUND(L46*0.1,2),0))</f>
        <v/>
      </c>
      <c r="N46" s="53">
        <f>IF(L46="","",L46+M46)</f>
        <v/>
      </c>
      <c r="O46" s="51" t="inlineStr">
        <is>
          <t>42100</t>
        </is>
      </c>
      <c r="P46" s="51" t="inlineStr">
        <is>
          <t>Y</t>
        </is>
      </c>
      <c r="Q46" s="51" t="inlineStr">
        <is>
          <t>N</t>
        </is>
      </c>
      <c r="R46" s="51" t="inlineStr">
        <is>
          <t>Invoiced</t>
        </is>
      </c>
      <c r="S46" s="51" t="n"/>
      <c r="T46" s="52" t="n">
        <v>86.5</v>
      </c>
      <c r="U46" s="53">
        <f>IF(L46="","",L46-N(T46))</f>
        <v/>
      </c>
      <c r="V46" s="50">
        <f>IF(L46="","",IF(SIGN(N(T46))*SIGN(L46)=-1,"CHECK - video sign",IF(ABS(N(T46))&gt;ABS(L46),"CHECK - video exceeds invoice",IF(AND(D46="VIDEO",ROUND(N(T46),2)&lt;&gt;ROUND(L46,2)),"CHECK - VIDEO job not fully split",IF(N(T46)=0,"All production",IF(ROUND(N(T46),2)=ROUND(L46,2),"All video","Split"))))))</f>
        <v/>
      </c>
      <c r="W46" s="53">
        <f>IF(L46="","",IF(N(T46)=0,0,ROUND(M46*N(T46)/L46,2)))</f>
        <v/>
      </c>
      <c r="X46" s="51" t="inlineStr">
        <is>
          <t>pia.witt@symal.com.au</t>
        </is>
      </c>
      <c r="Y46" s="48" t="n">
        <v>46259</v>
      </c>
      <c r="Z46" s="51" t="inlineStr">
        <is>
          <t>6044</t>
        </is>
      </c>
      <c r="AA46" s="51" t="inlineStr">
        <is>
          <t>2606904</t>
        </is>
      </c>
      <c r="AB46" s="51" t="inlineStr">
        <is>
          <t>Y</t>
        </is>
      </c>
      <c r="AC46" s="52" t="n">
        <v>3563</v>
      </c>
      <c r="AD46" s="55">
        <f>IFERROR(AC46/AG46,"")</f>
        <v/>
      </c>
      <c r="AE46" s="52" t="n">
        <v>1874</v>
      </c>
      <c r="AF46" s="52" t="n"/>
      <c r="AG46" s="53">
        <f>IF(L46="","",L46-N(AC46))</f>
        <v/>
      </c>
      <c r="AH46" s="53">
        <f>IF(L46="","",L46-N(AE46)-N(AF46))</f>
        <v/>
      </c>
      <c r="AI46" s="55">
        <f>IFERROR(AH46/L46,"")</f>
        <v/>
      </c>
      <c r="AJ46" s="54" t="n"/>
      <c r="AK46" s="54" t="n"/>
      <c r="AL46" s="54" t="n">
        <v>2</v>
      </c>
      <c r="AM46" s="54" t="n"/>
      <c r="AN46" s="54" t="n">
        <v>22</v>
      </c>
    </row>
    <row r="47" ht="15" customHeight="1">
      <c r="A47" s="48" t="n">
        <v>46261</v>
      </c>
      <c r="B47" s="49">
        <f>IF(A47="","",EOMONTH(A47,0))</f>
        <v/>
      </c>
      <c r="C47" s="50">
        <f>"Production"</f>
        <v/>
      </c>
      <c r="D47" s="51" t="inlineStr">
        <is>
          <t>PRODUCTION</t>
        </is>
      </c>
      <c r="E47" s="51" t="inlineStr">
        <is>
          <t>Garvan</t>
        </is>
      </c>
      <c r="F47" s="51" t="inlineStr">
        <is>
          <t>26061001</t>
        </is>
      </c>
      <c r="G47" s="50">
        <f>IF(F47="","",IF(COUNTIF(lst_Jobs,F47&amp;"")&gt;0,"OK","CHECK"))</f>
        <v/>
      </c>
      <c r="H47" s="51" t="inlineStr">
        <is>
          <t>Garvan August All Clear Event 25.8.26</t>
        </is>
      </c>
      <c r="I47" s="51" t="inlineStr">
        <is>
          <t>Project</t>
        </is>
      </c>
      <c r="J47" s="51" t="inlineStr">
        <is>
          <t>INV-10595</t>
        </is>
      </c>
      <c r="K47" s="51" t="inlineStr">
        <is>
          <t>GST 10%</t>
        </is>
      </c>
      <c r="L47" s="52" t="n">
        <v>770</v>
      </c>
      <c r="M47" s="53">
        <f>IF(L47="","",IF(K47="GST 10%",ROUND(L47*0.1,2),0))</f>
        <v/>
      </c>
      <c r="N47" s="53">
        <f>IF(L47="","",L47+M47)</f>
        <v/>
      </c>
      <c r="O47" s="51" t="inlineStr">
        <is>
          <t>42100</t>
        </is>
      </c>
      <c r="P47" s="51" t="inlineStr">
        <is>
          <t>Y</t>
        </is>
      </c>
      <c r="Q47" s="51" t="inlineStr">
        <is>
          <t>N</t>
        </is>
      </c>
      <c r="R47" s="51" t="inlineStr">
        <is>
          <t>Invoiced</t>
        </is>
      </c>
      <c r="S47" s="51" t="n"/>
      <c r="T47" s="52" t="n"/>
      <c r="U47" s="53">
        <f>IF(L47="","",L47-N(T47))</f>
        <v/>
      </c>
      <c r="V47" s="50">
        <f>IF(L47="","",IF(SIGN(N(T47))*SIGN(L47)=-1,"CHECK - video sign",IF(ABS(N(T47))&gt;ABS(L47),"CHECK - video exceeds invoice",IF(AND(D47="VIDEO",ROUND(N(T47),2)&lt;&gt;ROUND(L47,2)),"CHECK - VIDEO job not fully split",IF(N(T47)=0,"All production",IF(ROUND(N(T47),2)=ROUND(L47,2),"All video","Split"))))))</f>
        <v/>
      </c>
      <c r="W47" s="53">
        <f>IF(L47="","",IF(N(T47)=0,0,ROUND(M47*N(T47)/L47,2)))</f>
        <v/>
      </c>
      <c r="X47" s="51" t="inlineStr">
        <is>
          <t>t.choi@garvan.org.au</t>
        </is>
      </c>
      <c r="Y47" s="48" t="n">
        <v>46259</v>
      </c>
      <c r="Z47" s="51" t="inlineStr">
        <is>
          <t>6055</t>
        </is>
      </c>
      <c r="AA47" s="51" t="inlineStr">
        <is>
          <t>26061001</t>
        </is>
      </c>
      <c r="AB47" s="51" t="inlineStr">
        <is>
          <t>Y</t>
        </is>
      </c>
      <c r="AC47" s="52" t="n">
        <v>90</v>
      </c>
      <c r="AD47" s="55">
        <f>IFERROR(AC47/AG47,"")</f>
        <v/>
      </c>
      <c r="AE47" s="52" t="n"/>
      <c r="AF47" s="52" t="n"/>
      <c r="AG47" s="53">
        <f>IF(L47="","",L47-N(AC47))</f>
        <v/>
      </c>
      <c r="AH47" s="53">
        <f>IF(L47="","",L47-N(AE47)-N(AF47))</f>
        <v/>
      </c>
      <c r="AI47" s="55">
        <f>IFERROR(AH47/L47,"")</f>
        <v/>
      </c>
      <c r="AJ47" s="54" t="n"/>
      <c r="AK47" s="54" t="n"/>
      <c r="AL47" s="54" t="n">
        <v>1</v>
      </c>
      <c r="AM47" s="54" t="n"/>
      <c r="AN47" s="54" t="n">
        <v>4</v>
      </c>
    </row>
    <row r="48" ht="15" customHeight="1">
      <c r="A48" s="48" t="n">
        <v>46260</v>
      </c>
      <c r="B48" s="49">
        <f>IF(A48="","",EOMONTH(A48,0))</f>
        <v/>
      </c>
      <c r="C48" s="50">
        <f>"Production"</f>
        <v/>
      </c>
      <c r="D48" s="51" t="inlineStr">
        <is>
          <t>PRODUCTION</t>
        </is>
      </c>
      <c r="E48" s="51" t="inlineStr">
        <is>
          <t>Elkiem</t>
        </is>
      </c>
      <c r="F48" s="51" t="inlineStr">
        <is>
          <t>26073105</t>
        </is>
      </c>
      <c r="G48" s="50">
        <f>IF(F48="","",IF(COUNTIF(lst_Jobs,F48&amp;"")&gt;0,"OK","CHECK"))</f>
        <v/>
      </c>
      <c r="H48" s="51" t="inlineStr">
        <is>
          <t>Studio Support 25.8.26</t>
        </is>
      </c>
      <c r="I48" s="51" t="inlineStr">
        <is>
          <t>Project</t>
        </is>
      </c>
      <c r="J48" s="51" t="inlineStr">
        <is>
          <t>INV-10594</t>
        </is>
      </c>
      <c r="K48" s="51" t="inlineStr">
        <is>
          <t>GST 10%</t>
        </is>
      </c>
      <c r="L48" s="52" t="n">
        <v>380</v>
      </c>
      <c r="M48" s="53">
        <f>IF(L48="","",IF(K48="GST 10%",ROUND(L48*0.1,2),0))</f>
        <v/>
      </c>
      <c r="N48" s="53">
        <f>IF(L48="","",L48+M48)</f>
        <v/>
      </c>
      <c r="O48" s="51" t="inlineStr">
        <is>
          <t>42100</t>
        </is>
      </c>
      <c r="P48" s="51" t="inlineStr">
        <is>
          <t>Y</t>
        </is>
      </c>
      <c r="Q48" s="51" t="inlineStr">
        <is>
          <t>N</t>
        </is>
      </c>
      <c r="R48" s="51" t="inlineStr">
        <is>
          <t>Invoiced</t>
        </is>
      </c>
      <c r="S48" s="51" t="n"/>
      <c r="T48" s="52" t="n"/>
      <c r="U48" s="53">
        <f>IF(L48="","",L48-N(T48))</f>
        <v/>
      </c>
      <c r="V48" s="50">
        <f>IF(L48="","",IF(SIGN(N(T48))*SIGN(L48)=-1,"CHECK - video sign",IF(ABS(N(T48))&gt;ABS(L48),"CHECK - video exceeds invoice",IF(AND(D48="VIDEO",ROUND(N(T48),2)&lt;&gt;ROUND(L48,2)),"CHECK - VIDEO job not fully split",IF(N(T48)=0,"All production",IF(ROUND(N(T48),2)=ROUND(L48,2),"All video","Split"))))))</f>
        <v/>
      </c>
      <c r="W48" s="53">
        <f>IF(L48="","",IF(N(T48)=0,0,ROUND(M48*N(T48)/L48,2)))</f>
        <v/>
      </c>
      <c r="X48" s="51" t="inlineStr">
        <is>
          <t>ben.woodlock@elkiem.com</t>
        </is>
      </c>
      <c r="Y48" s="48" t="n">
        <v>46259</v>
      </c>
      <c r="Z48" s="51" t="inlineStr">
        <is>
          <t>6129</t>
        </is>
      </c>
      <c r="AA48" s="51" t="inlineStr">
        <is>
          <t>26073105</t>
        </is>
      </c>
      <c r="AB48" s="51" t="inlineStr">
        <is>
          <t>Y</t>
        </is>
      </c>
      <c r="AC48" s="52" t="n"/>
      <c r="AD48" s="55">
        <f>IFERROR(AC48/AG48,"")</f>
        <v/>
      </c>
      <c r="AE48" s="52" t="n"/>
      <c r="AF48" s="52" t="n"/>
      <c r="AG48" s="53">
        <f>IF(L48="","",L48-N(AC48))</f>
        <v/>
      </c>
      <c r="AH48" s="53">
        <f>IF(L48="","",L48-N(AE48)-N(AF48))</f>
        <v/>
      </c>
      <c r="AI48" s="55">
        <f>IFERROR(AH48/L48,"")</f>
        <v/>
      </c>
      <c r="AJ48" s="54" t="n"/>
      <c r="AK48" s="54" t="n"/>
      <c r="AL48" s="54" t="n"/>
      <c r="AM48" s="54" t="n"/>
      <c r="AN48" s="54" t="n">
        <v>4</v>
      </c>
    </row>
    <row r="49" ht="15" customHeight="1">
      <c r="A49" s="48" t="n">
        <v>46265</v>
      </c>
      <c r="B49" s="49">
        <f>IF(A49="","",EOMONTH(A49,0))</f>
        <v/>
      </c>
      <c r="C49" s="50">
        <f>"Production"</f>
        <v/>
      </c>
      <c r="D49" s="51" t="inlineStr">
        <is>
          <t>PRODUCTION</t>
        </is>
      </c>
      <c r="E49" s="51" t="inlineStr">
        <is>
          <t xml:space="preserve">APA </t>
        </is>
      </c>
      <c r="F49" s="51" t="inlineStr">
        <is>
          <t>2608702</t>
        </is>
      </c>
      <c r="G49" s="50">
        <f>IF(F49="","",IF(COUNTIF(lst_Jobs,F49&amp;"")&gt;0,"OK","CHECK"))</f>
        <v/>
      </c>
      <c r="H49" s="51" t="inlineStr">
        <is>
          <t>APA FYR Town Hall Screen Hire 20.8.26</t>
        </is>
      </c>
      <c r="I49" s="51" t="inlineStr">
        <is>
          <t>Project</t>
        </is>
      </c>
      <c r="J49" s="51" t="inlineStr">
        <is>
          <t>INV-10592</t>
        </is>
      </c>
      <c r="K49" s="51" t="inlineStr">
        <is>
          <t>GST 10%</t>
        </is>
      </c>
      <c r="L49" s="52" t="n">
        <v>830</v>
      </c>
      <c r="M49" s="53">
        <f>IF(L49="","",IF(K49="GST 10%",ROUND(L49*0.1,2),0))</f>
        <v/>
      </c>
      <c r="N49" s="53">
        <f>IF(L49="","",L49+M49)</f>
        <v/>
      </c>
      <c r="O49" s="51" t="inlineStr">
        <is>
          <t>42100</t>
        </is>
      </c>
      <c r="P49" s="51" t="inlineStr">
        <is>
          <t>Y</t>
        </is>
      </c>
      <c r="Q49" s="51" t="inlineStr">
        <is>
          <t>N</t>
        </is>
      </c>
      <c r="R49" s="51" t="inlineStr">
        <is>
          <t>Invoiced</t>
        </is>
      </c>
      <c r="S49" s="51" t="n"/>
      <c r="T49" s="52" t="n"/>
      <c r="U49" s="53">
        <f>IF(L49="","",L49-N(T49))</f>
        <v/>
      </c>
      <c r="V49" s="50">
        <f>IF(L49="","",IF(SIGN(N(T49))*SIGN(L49)=-1,"CHECK - video sign",IF(ABS(N(T49))&gt;ABS(L49),"CHECK - video exceeds invoice",IF(AND(D49="VIDEO",ROUND(N(T49),2)&lt;&gt;ROUND(L49,2)),"CHECK - VIDEO job not fully split",IF(N(T49)=0,"All production",IF(ROUND(N(T49),2)=ROUND(L49,2),"All video","Split"))))))</f>
        <v/>
      </c>
      <c r="W49" s="53">
        <f>IF(L49="","",IF(N(T49)=0,0,ROUND(M49*N(T49)/L49,2)))</f>
        <v/>
      </c>
      <c r="X49" s="51" t="inlineStr">
        <is>
          <t>anna.sampson@apa.com.au</t>
        </is>
      </c>
      <c r="Y49" s="48" t="n">
        <v>46260</v>
      </c>
      <c r="Z49" s="51" t="inlineStr">
        <is>
          <t>6149</t>
        </is>
      </c>
      <c r="AA49" s="51" t="inlineStr">
        <is>
          <t>2608702</t>
        </is>
      </c>
      <c r="AB49" s="51" t="inlineStr">
        <is>
          <t>Y</t>
        </is>
      </c>
      <c r="AC49" s="52" t="n"/>
      <c r="AD49" s="55">
        <f>IFERROR(AC49/AG49,"")</f>
        <v/>
      </c>
      <c r="AE49" s="52" t="n">
        <v>784.5</v>
      </c>
      <c r="AF49" s="52" t="n"/>
      <c r="AG49" s="53">
        <f>IF(L49="","",L49-N(AC49))</f>
        <v/>
      </c>
      <c r="AH49" s="53">
        <f>IF(L49="","",L49-N(AE49)-N(AF49))</f>
        <v/>
      </c>
      <c r="AI49" s="55">
        <f>IFERROR(AH49/L49,"")</f>
        <v/>
      </c>
      <c r="AJ49" s="54" t="n"/>
      <c r="AK49" s="54" t="n"/>
      <c r="AL49" s="54" t="n"/>
      <c r="AM49" s="54" t="n"/>
      <c r="AN49" s="54" t="n"/>
    </row>
    <row r="50" ht="15" customHeight="1">
      <c r="A50" s="48" t="n">
        <v>46265</v>
      </c>
      <c r="B50" s="49">
        <f>IF(A50="","",EOMONTH(A50,0))</f>
        <v/>
      </c>
      <c r="C50" s="50">
        <f>"Production"</f>
        <v/>
      </c>
      <c r="D50" s="51" t="inlineStr">
        <is>
          <t>PRODUCTION</t>
        </is>
      </c>
      <c r="E50" s="51" t="inlineStr">
        <is>
          <t>Virgin - BNE</t>
        </is>
      </c>
      <c r="F50" s="51" t="inlineStr">
        <is>
          <t>2606903</t>
        </is>
      </c>
      <c r="G50" s="50">
        <f>IF(F50="","",IF(COUNTIF(lst_Jobs,F50&amp;"")&gt;0,"OK","CHECK"))</f>
        <v/>
      </c>
      <c r="H50" s="51" t="inlineStr">
        <is>
          <t>FY26 Results - 28.8.26</t>
        </is>
      </c>
      <c r="I50" s="51" t="inlineStr">
        <is>
          <t>Project</t>
        </is>
      </c>
      <c r="J50" s="51" t="inlineStr">
        <is>
          <t>INV-10617</t>
        </is>
      </c>
      <c r="K50" s="51" t="inlineStr">
        <is>
          <t>GST 10%</t>
        </is>
      </c>
      <c r="L50" s="52" t="n">
        <v>13389.5</v>
      </c>
      <c r="M50" s="53">
        <f>IF(L50="","",IF(K50="GST 10%",ROUND(L50*0.1,2),0))</f>
        <v/>
      </c>
      <c r="N50" s="53">
        <f>IF(L50="","",L50+M50)</f>
        <v/>
      </c>
      <c r="O50" s="51" t="inlineStr">
        <is>
          <t>42100</t>
        </is>
      </c>
      <c r="P50" s="51" t="inlineStr">
        <is>
          <t>Y</t>
        </is>
      </c>
      <c r="Q50" s="51" t="inlineStr">
        <is>
          <t>N</t>
        </is>
      </c>
      <c r="R50" s="51" t="inlineStr">
        <is>
          <t>Invoiced</t>
        </is>
      </c>
      <c r="S50" s="51" t="n"/>
      <c r="T50" s="52" t="n"/>
      <c r="U50" s="53">
        <f>IF(L50="","",L50-N(T50))</f>
        <v/>
      </c>
      <c r="V50" s="50">
        <f>IF(L50="","",IF(SIGN(N(T50))*SIGN(L50)=-1,"CHECK - video sign",IF(ABS(N(T50))&gt;ABS(L50),"CHECK - video exceeds invoice",IF(AND(D50="VIDEO",ROUND(N(T50),2)&lt;&gt;ROUND(L50,2)),"CHECK - VIDEO job not fully split",IF(N(T50)=0,"All production",IF(ROUND(N(T50),2)=ROUND(L50,2),"All video","Split"))))))</f>
        <v/>
      </c>
      <c r="W50" s="53">
        <f>IF(L50="","",IF(N(T50)=0,0,ROUND(M50*N(T50)/L50,2)))</f>
        <v/>
      </c>
      <c r="X50" s="51" t="inlineStr">
        <is>
          <t>Saranya.Nagpal@virginaustralia.com</t>
        </is>
      </c>
      <c r="Y50" s="48" t="n">
        <v>46262</v>
      </c>
      <c r="Z50" s="51" t="inlineStr">
        <is>
          <t>6024</t>
        </is>
      </c>
      <c r="AA50" s="51" t="inlineStr">
        <is>
          <t>2606903</t>
        </is>
      </c>
      <c r="AB50" s="51" t="inlineStr">
        <is>
          <t>Y</t>
        </is>
      </c>
      <c r="AC50" s="52" t="n">
        <v>3530.5</v>
      </c>
      <c r="AD50" s="55">
        <f>IFERROR(AC50/AG50,"")</f>
        <v/>
      </c>
      <c r="AE50" s="52" t="n">
        <v>4749.88</v>
      </c>
      <c r="AF50" s="52" t="n"/>
      <c r="AG50" s="53">
        <f>IF(L50="","",L50-N(AC50))</f>
        <v/>
      </c>
      <c r="AH50" s="53">
        <f>IF(L50="","",L50-N(AE50)-N(AF50))</f>
        <v/>
      </c>
      <c r="AI50" s="55">
        <f>IFERROR(AH50/L50,"")</f>
        <v/>
      </c>
      <c r="AJ50" s="54" t="n"/>
      <c r="AK50" s="54" t="n"/>
      <c r="AL50" s="54" t="n">
        <v>4</v>
      </c>
      <c r="AM50" s="54" t="n"/>
      <c r="AN50" s="54" t="n">
        <v>23</v>
      </c>
    </row>
    <row r="51" ht="15" customHeight="1">
      <c r="A51" s="48" t="n">
        <v>46265</v>
      </c>
      <c r="B51" s="49">
        <f>IF(A51="","",EOMONTH(A51,0))</f>
        <v/>
      </c>
      <c r="C51" s="50">
        <f>"Production"</f>
        <v/>
      </c>
      <c r="D51" s="51" t="inlineStr">
        <is>
          <t>PRODUCTION</t>
        </is>
      </c>
      <c r="E51" s="51" t="inlineStr">
        <is>
          <t>CBA</t>
        </is>
      </c>
      <c r="F51" s="51" t="inlineStr">
        <is>
          <t>26072003</t>
        </is>
      </c>
      <c r="G51" s="50">
        <f>IF(F51="","",IF(COUNTIF(lst_Jobs,F51&amp;"")&gt;0,"OK","CHECK"))</f>
        <v/>
      </c>
      <c r="H51" s="51" t="inlineStr">
        <is>
          <t>CBA - Live Event Support - August</t>
        </is>
      </c>
      <c r="I51" s="51" t="inlineStr">
        <is>
          <t>Project</t>
        </is>
      </c>
      <c r="J51" s="51" t="inlineStr">
        <is>
          <t>INV-10616</t>
        </is>
      </c>
      <c r="K51" s="51" t="inlineStr">
        <is>
          <t>GST 10%</t>
        </is>
      </c>
      <c r="L51" s="52" t="n">
        <v>3990</v>
      </c>
      <c r="M51" s="53">
        <f>IF(L51="","",IF(K51="GST 10%",ROUND(L51*0.1,2),0))</f>
        <v/>
      </c>
      <c r="N51" s="53">
        <f>IF(L51="","",L51+M51)</f>
        <v/>
      </c>
      <c r="O51" s="51" t="inlineStr">
        <is>
          <t>42100</t>
        </is>
      </c>
      <c r="P51" s="51" t="inlineStr">
        <is>
          <t>Y</t>
        </is>
      </c>
      <c r="Q51" s="51" t="inlineStr">
        <is>
          <t>N</t>
        </is>
      </c>
      <c r="R51" s="51" t="inlineStr">
        <is>
          <t>Invoiced</t>
        </is>
      </c>
      <c r="S51" s="51" t="n"/>
      <c r="T51" s="52" t="n"/>
      <c r="U51" s="53">
        <f>IF(L51="","",L51-N(T51))</f>
        <v/>
      </c>
      <c r="V51" s="50">
        <f>IF(L51="","",IF(SIGN(N(T51))*SIGN(L51)=-1,"CHECK - video sign",IF(ABS(N(T51))&gt;ABS(L51),"CHECK - video exceeds invoice",IF(AND(D51="VIDEO",ROUND(N(T51),2)&lt;&gt;ROUND(L51,2)),"CHECK - VIDEO job not fully split",IF(N(T51)=0,"All production",IF(ROUND(N(T51),2)=ROUND(L51,2),"All video","Split"))))))</f>
        <v/>
      </c>
      <c r="W51" s="53">
        <f>IF(L51="","",IF(N(T51)=0,0,ROUND(M51*N(T51)/L51,2)))</f>
        <v/>
      </c>
      <c r="X51" s="51" t="inlineStr">
        <is>
          <t>Steve.chezzi@cba.com.au</t>
        </is>
      </c>
      <c r="Y51" s="48" t="n">
        <v>46265</v>
      </c>
      <c r="Z51" s="51" t="inlineStr">
        <is>
          <t>6169</t>
        </is>
      </c>
      <c r="AA51" s="51" t="inlineStr">
        <is>
          <t>26072003</t>
        </is>
      </c>
      <c r="AB51" s="51" t="inlineStr">
        <is>
          <t>Y</t>
        </is>
      </c>
      <c r="AC51" s="52" t="n"/>
      <c r="AD51" s="55">
        <f>IFERROR(AC51/AG51,"")</f>
        <v/>
      </c>
      <c r="AE51" s="52" t="n"/>
      <c r="AF51" s="52" t="n"/>
      <c r="AG51" s="53">
        <f>IF(L51="","",L51-N(AC51))</f>
        <v/>
      </c>
      <c r="AH51" s="53">
        <f>IF(L51="","",L51-N(AE51)-N(AF51))</f>
        <v/>
      </c>
      <c r="AI51" s="55">
        <f>IFERROR(AH51/L51,"")</f>
        <v/>
      </c>
      <c r="AJ51" s="54" t="n"/>
      <c r="AK51" s="54" t="n"/>
      <c r="AL51" s="54" t="n"/>
      <c r="AM51" s="54" t="n"/>
      <c r="AN51" s="54" t="n">
        <v>56</v>
      </c>
    </row>
    <row r="52" ht="15" customHeight="1">
      <c r="A52" s="48" t="n">
        <v>46218</v>
      </c>
      <c r="B52" s="49">
        <f>IF(A52="","",EOMONTH(A52,0))</f>
        <v/>
      </c>
      <c r="C52" s="50">
        <f>"Production"</f>
        <v/>
      </c>
      <c r="D52" s="51" t="inlineStr">
        <is>
          <t>PRODUCTION</t>
        </is>
      </c>
      <c r="E52" s="51" t="inlineStr">
        <is>
          <t>APA</t>
        </is>
      </c>
      <c r="F52" s="51" t="inlineStr">
        <is>
          <t>26061609/26061608/26061607/26061108</t>
        </is>
      </c>
      <c r="G52" s="50">
        <f>IF(F52="","",IF(COUNTIF(lst_Jobs,F52&amp;"")&gt;0,"OK","CHECK"))</f>
        <v/>
      </c>
      <c r="H52" s="51" t="inlineStr">
        <is>
          <t>APA - All Hands Package FY27 (PO-00030766)</t>
        </is>
      </c>
      <c r="I52" s="51" t="inlineStr">
        <is>
          <t>Project</t>
        </is>
      </c>
      <c r="J52" s="51" t="inlineStr">
        <is>
          <t>INV-10521</t>
        </is>
      </c>
      <c r="K52" s="51" t="inlineStr">
        <is>
          <t>GST 10%</t>
        </is>
      </c>
      <c r="L52" s="52" t="n">
        <v>54051.4</v>
      </c>
      <c r="M52" s="53">
        <f>IF(L52="","",IF(K52="GST 10%",ROUND(L52*0.1,2),0))</f>
        <v/>
      </c>
      <c r="N52" s="53">
        <f>IF(L52="","",L52+M52)</f>
        <v/>
      </c>
      <c r="O52" s="51" t="inlineStr">
        <is>
          <t>42100</t>
        </is>
      </c>
      <c r="P52" s="51" t="inlineStr">
        <is>
          <t>Y</t>
        </is>
      </c>
      <c r="Q52" s="51" t="inlineStr">
        <is>
          <t>N</t>
        </is>
      </c>
      <c r="R52" s="51" t="inlineStr">
        <is>
          <t>Invoiced</t>
        </is>
      </c>
      <c r="S52" s="51" t="n"/>
      <c r="T52" s="52" t="n">
        <v>4308</v>
      </c>
      <c r="U52" s="53">
        <f>IF(L52="","",L52-N(T52))</f>
        <v/>
      </c>
      <c r="V52" s="50">
        <f>IF(L52="","",IF(SIGN(N(T52))*SIGN(L52)=-1,"CHECK - video sign",IF(ABS(N(T52))&gt;ABS(L52),"CHECK - video exceeds invoice",IF(AND(D52="VIDEO",ROUND(N(T52),2)&lt;&gt;ROUND(L52,2)),"CHECK - VIDEO job not fully split",IF(N(T52)=0,"All production",IF(ROUND(N(T52),2)=ROUND(L52,2),"All video","Split"))))))</f>
        <v/>
      </c>
      <c r="W52" s="53">
        <f>IF(L52="","",IF(N(T52)=0,0,ROUND(M52*N(T52)/L52,2)))</f>
        <v/>
      </c>
      <c r="X52" s="51" t="n"/>
      <c r="Y52" s="48" t="inlineStr">
        <is>
          <t>N/A</t>
        </is>
      </c>
      <c r="Z52" s="51" t="inlineStr">
        <is>
          <t>Proj: 0017</t>
        </is>
      </c>
      <c r="AA52" s="51" t="inlineStr">
        <is>
          <t>26061609</t>
        </is>
      </c>
      <c r="AB52" s="51" t="inlineStr">
        <is>
          <t>Y</t>
        </is>
      </c>
      <c r="AC52" s="52" t="n"/>
      <c r="AD52" s="55">
        <f>IFERROR(AC52/AG52,"")</f>
        <v/>
      </c>
      <c r="AE52" s="52" t="n"/>
      <c r="AF52" s="52" t="n"/>
      <c r="AG52" s="53">
        <f>IF(L52="","",L52-N(AC52))</f>
        <v/>
      </c>
      <c r="AH52" s="53">
        <f>IF(L52="","",L52-N(AE52)-N(AF52))</f>
        <v/>
      </c>
      <c r="AI52" s="55">
        <f>IFERROR(AH52/L52,"")</f>
        <v/>
      </c>
      <c r="AJ52" s="54" t="n"/>
      <c r="AK52" s="54" t="n"/>
      <c r="AL52" s="54" t="n"/>
      <c r="AM52" s="54" t="n"/>
      <c r="AN52" s="54" t="n"/>
    </row>
    <row r="53" ht="15" customHeight="1">
      <c r="A53" s="48" t="n">
        <v>46216</v>
      </c>
      <c r="B53" s="49">
        <f>IF(A53="","",EOMONTH(A53,0))</f>
        <v/>
      </c>
      <c r="C53" s="50">
        <f>"Production"</f>
        <v/>
      </c>
      <c r="D53" s="51" t="inlineStr">
        <is>
          <t>CTS</t>
        </is>
      </c>
      <c r="E53" s="51" t="inlineStr">
        <is>
          <t>Jaaz Salanoa</t>
        </is>
      </c>
      <c r="F53" s="51" t="inlineStr">
        <is>
          <t>9100</t>
        </is>
      </c>
      <c r="G53" s="50">
        <f>IF(F53="","",IF(COUNTIF(lst_Jobs,F53&amp;"")&gt;0,"OK","CHECK"))</f>
        <v/>
      </c>
      <c r="H53" s="51" t="inlineStr">
        <is>
          <t>Jaaz - Goget Hire</t>
        </is>
      </c>
      <c r="I53" s="51" t="inlineStr">
        <is>
          <t>Project</t>
        </is>
      </c>
      <c r="J53" s="51" t="inlineStr">
        <is>
          <t>INV-10523</t>
        </is>
      </c>
      <c r="K53" s="51" t="inlineStr">
        <is>
          <t>GST 10%</t>
        </is>
      </c>
      <c r="L53" s="52" t="n"/>
      <c r="M53" s="53">
        <f>IF(L53="","",IF(K53="GST 10%",ROUND(L53*0.1,2),0))</f>
        <v/>
      </c>
      <c r="N53" s="53">
        <f>IF(L53="","",L53+M53)</f>
        <v/>
      </c>
      <c r="O53" s="51" t="inlineStr">
        <is>
          <t>42100</t>
        </is>
      </c>
      <c r="P53" s="51" t="inlineStr">
        <is>
          <t>Y</t>
        </is>
      </c>
      <c r="Q53" s="51" t="inlineStr">
        <is>
          <t>N</t>
        </is>
      </c>
      <c r="R53" s="51" t="inlineStr">
        <is>
          <t>Invoiced</t>
        </is>
      </c>
      <c r="S53" s="51" t="n"/>
      <c r="T53" s="52" t="n"/>
      <c r="U53" s="53">
        <f>IF(L53="","",L53-N(T53))</f>
        <v/>
      </c>
      <c r="V53" s="50">
        <f>IF(L53="","",IF(SIGN(N(T53))*SIGN(L53)=-1,"CHECK - video sign",IF(ABS(N(T53))&gt;ABS(L53),"CHECK - video exceeds invoice",IF(AND(D53="VIDEO",ROUND(N(T53),2)&lt;&gt;ROUND(L53,2)),"CHECK - VIDEO job not fully split",IF(N(T53)=0,"All production",IF(ROUND(N(T53),2)=ROUND(L53,2),"All video","Split"))))))</f>
        <v/>
      </c>
      <c r="W53" s="53">
        <f>IF(L53="","",IF(N(T53)=0,0,ROUND(M53*N(T53)/L53,2)))</f>
        <v/>
      </c>
      <c r="X53" s="51" t="inlineStr">
        <is>
          <t>jaaz.salanoa@ctsav.com.au</t>
        </is>
      </c>
      <c r="Y53" s="48" t="inlineStr">
        <is>
          <t>N/A</t>
        </is>
      </c>
      <c r="Z53" s="51" t="n"/>
      <c r="AA53" s="51" t="inlineStr">
        <is>
          <t>N/A</t>
        </is>
      </c>
      <c r="AB53" s="51" t="inlineStr">
        <is>
          <t>Y</t>
        </is>
      </c>
      <c r="AC53" s="52" t="n"/>
      <c r="AD53" s="55">
        <f>IFERROR(AC53/AG53,"")</f>
        <v/>
      </c>
      <c r="AE53" s="52" t="n"/>
      <c r="AF53" s="52" t="n"/>
      <c r="AG53" s="53">
        <f>IF(L53="","",L53-N(AC53))</f>
        <v/>
      </c>
      <c r="AH53" s="53">
        <f>IF(L53="","",L53-N(AE53)-N(AF53))</f>
        <v/>
      </c>
      <c r="AI53" s="55">
        <f>IFERROR(AH53/L53,"")</f>
        <v/>
      </c>
      <c r="AJ53" s="54" t="n"/>
      <c r="AK53" s="54" t="n"/>
      <c r="AL53" s="54" t="n"/>
      <c r="AM53" s="54" t="n"/>
      <c r="AN53" s="54" t="n"/>
    </row>
    <row r="54" ht="15" customHeight="1">
      <c r="A54" s="48" t="n">
        <v>46265</v>
      </c>
      <c r="B54" s="49">
        <f>IF(A54="","",EOMONTH(A54,0))</f>
        <v/>
      </c>
      <c r="C54" s="50">
        <f>"Production"</f>
        <v/>
      </c>
      <c r="D54" s="51" t="inlineStr">
        <is>
          <t>CTS</t>
        </is>
      </c>
      <c r="E54" s="51" t="inlineStr">
        <is>
          <t>Jaaz Salanoa</t>
        </is>
      </c>
      <c r="F54" s="51" t="inlineStr">
        <is>
          <t>9100</t>
        </is>
      </c>
      <c r="G54" s="50">
        <f>IF(F54="","",IF(COUNTIF(lst_Jobs,F54&amp;"")&gt;0,"OK","CHECK"))</f>
        <v/>
      </c>
      <c r="H54" s="51" t="inlineStr">
        <is>
          <t>Jaaz - Goget Hire</t>
        </is>
      </c>
      <c r="I54" s="51" t="inlineStr">
        <is>
          <t>Project</t>
        </is>
      </c>
      <c r="J54" s="51" t="inlineStr">
        <is>
          <t>INV-10621</t>
        </is>
      </c>
      <c r="K54" s="51" t="inlineStr">
        <is>
          <t>GST 10%</t>
        </is>
      </c>
      <c r="L54" s="52" t="n"/>
      <c r="M54" s="53">
        <f>IF(L54="","",IF(K54="GST 10%",ROUND(L54*0.1,2),0))</f>
        <v/>
      </c>
      <c r="N54" s="53">
        <f>IF(L54="","",L54+M54)</f>
        <v/>
      </c>
      <c r="O54" s="51" t="inlineStr">
        <is>
          <t>42100</t>
        </is>
      </c>
      <c r="P54" s="51" t="inlineStr">
        <is>
          <t>Y</t>
        </is>
      </c>
      <c r="Q54" s="51" t="inlineStr">
        <is>
          <t>N</t>
        </is>
      </c>
      <c r="R54" s="51" t="inlineStr">
        <is>
          <t>Invoiced</t>
        </is>
      </c>
      <c r="S54" s="51" t="n"/>
      <c r="T54" s="52" t="n"/>
      <c r="U54" s="53">
        <f>IF(L54="","",L54-N(T54))</f>
        <v/>
      </c>
      <c r="V54" s="50">
        <f>IF(L54="","",IF(SIGN(N(T54))*SIGN(L54)=-1,"CHECK - video sign",IF(ABS(N(T54))&gt;ABS(L54),"CHECK - video exceeds invoice",IF(AND(D54="VIDEO",ROUND(N(T54),2)&lt;&gt;ROUND(L54,2)),"CHECK - VIDEO job not fully split",IF(N(T54)=0,"All production",IF(ROUND(N(T54),2)=ROUND(L54,2),"All video","Split"))))))</f>
        <v/>
      </c>
      <c r="W54" s="53">
        <f>IF(L54="","",IF(N(T54)=0,0,ROUND(M54*N(T54)/L54,2)))</f>
        <v/>
      </c>
      <c r="X54" s="51" t="inlineStr">
        <is>
          <t>jaaz.salanoa@ctsav.com.au</t>
        </is>
      </c>
      <c r="Y54" s="48" t="inlineStr">
        <is>
          <t>N/A</t>
        </is>
      </c>
      <c r="Z54" s="51" t="n"/>
      <c r="AA54" s="51" t="inlineStr">
        <is>
          <t>N/A</t>
        </is>
      </c>
      <c r="AB54" s="51" t="inlineStr">
        <is>
          <t>Y</t>
        </is>
      </c>
      <c r="AC54" s="52" t="n"/>
      <c r="AD54" s="55">
        <f>IFERROR(AC54/AG54,"")</f>
        <v/>
      </c>
      <c r="AE54" s="52" t="n"/>
      <c r="AF54" s="52" t="n"/>
      <c r="AG54" s="53">
        <f>IF(L54="","",L54-N(AC54))</f>
        <v/>
      </c>
      <c r="AH54" s="53">
        <f>IF(L54="","",L54-N(AE54)-N(AF54))</f>
        <v/>
      </c>
      <c r="AI54" s="55">
        <f>IFERROR(AH54/L54,"")</f>
        <v/>
      </c>
      <c r="AJ54" s="54" t="n"/>
      <c r="AK54" s="54" t="n"/>
      <c r="AL54" s="54" t="n"/>
      <c r="AM54" s="54" t="n"/>
      <c r="AN54" s="54" t="n"/>
    </row>
    <row r="55" ht="15" customHeight="1">
      <c r="A55" s="48" t="n"/>
      <c r="B55" s="49">
        <f>IF(A55="","",EOMONTH(A55,0))</f>
        <v/>
      </c>
      <c r="C55" s="50">
        <f>"Production"</f>
        <v/>
      </c>
      <c r="D55" s="51" t="inlineStr">
        <is>
          <t>PRODUCTION</t>
        </is>
      </c>
      <c r="E55" s="51" t="inlineStr">
        <is>
          <t>ASX</t>
        </is>
      </c>
      <c r="F55" s="51" t="inlineStr">
        <is>
          <t>26061602</t>
        </is>
      </c>
      <c r="G55" s="50">
        <f>IF(F55="","",IF(COUNTIF(lst_Jobs,F55&amp;"")&gt;0,"OK","CHECK"))</f>
        <v/>
      </c>
      <c r="H55" s="51" t="inlineStr">
        <is>
          <t>CEO Connect (Extended Results)</t>
        </is>
      </c>
      <c r="I55" s="51" t="inlineStr">
        <is>
          <t>Project</t>
        </is>
      </c>
      <c r="J55" s="51" t="n"/>
      <c r="K55" s="51" t="inlineStr">
        <is>
          <t>GST 10%</t>
        </is>
      </c>
      <c r="L55" s="52" t="n">
        <v>4174</v>
      </c>
      <c r="M55" s="53">
        <f>IF(L55="","",IF(K55="GST 10%",ROUND(L55*0.1,2),0))</f>
        <v/>
      </c>
      <c r="N55" s="53">
        <f>IF(L55="","",L55+M55)</f>
        <v/>
      </c>
      <c r="O55" s="51" t="inlineStr">
        <is>
          <t>42100</t>
        </is>
      </c>
      <c r="P55" s="51" t="inlineStr">
        <is>
          <t>Y</t>
        </is>
      </c>
      <c r="Q55" s="51" t="inlineStr">
        <is>
          <t>N</t>
        </is>
      </c>
      <c r="R55" s="51" t="inlineStr">
        <is>
          <t>To Invoice</t>
        </is>
      </c>
      <c r="S55" s="51" t="n"/>
      <c r="T55" s="52" t="n">
        <v>1500</v>
      </c>
      <c r="U55" s="53">
        <f>IF(L55="","",L55-N(T55))</f>
        <v/>
      </c>
      <c r="V55" s="50">
        <f>IF(L55="","",IF(SIGN(N(T55))*SIGN(L55)=-1,"CHECK - video sign",IF(ABS(N(T55))&gt;ABS(L55),"CHECK - video exceeds invoice",IF(AND(D55="VIDEO",ROUND(N(T55),2)&lt;&gt;ROUND(L55,2)),"CHECK - VIDEO job not fully split",IF(N(T55)=0,"All production",IF(ROUND(N(T55),2)=ROUND(L55,2),"All video","Split"))))))</f>
        <v/>
      </c>
      <c r="W55" s="53">
        <f>IF(L55="","",IF(N(T55)=0,0,ROUND(M55*N(T55)/L55,2)))</f>
        <v/>
      </c>
      <c r="X55" s="51" t="inlineStr">
        <is>
          <t>oliver.mariano@asx.com.au</t>
        </is>
      </c>
      <c r="Y55" s="48" t="n">
        <v>46266</v>
      </c>
      <c r="Z55" s="51" t="inlineStr">
        <is>
          <t>5849</t>
        </is>
      </c>
      <c r="AA55" s="51" t="inlineStr">
        <is>
          <t>26061602</t>
        </is>
      </c>
      <c r="AB55" s="51" t="inlineStr">
        <is>
          <t>Y</t>
        </is>
      </c>
      <c r="AC55" s="52" t="n">
        <v>261</v>
      </c>
      <c r="AD55" s="55">
        <f>IFERROR(AC55/AG55,"")</f>
        <v/>
      </c>
      <c r="AE55" s="52" t="n"/>
      <c r="AF55" s="52" t="n"/>
      <c r="AG55" s="53">
        <f>IF(L55="","",L55-N(AC55))</f>
        <v/>
      </c>
      <c r="AH55" s="53">
        <f>IF(L55="","",L55-N(AE55)-N(AF55))</f>
        <v/>
      </c>
      <c r="AI55" s="55">
        <f>IFERROR(AH55/L55,"")</f>
        <v/>
      </c>
      <c r="AJ55" s="54" t="n"/>
      <c r="AK55" s="54" t="n">
        <v>9</v>
      </c>
      <c r="AL55" s="54" t="n"/>
      <c r="AM55" s="54" t="n"/>
      <c r="AN55" s="54" t="n">
        <v>16</v>
      </c>
    </row>
    <row r="56" ht="15" customHeight="1">
      <c r="A56" s="48" t="n"/>
      <c r="B56" s="49">
        <f>IF(A56="","",EOMONTH(A56,0))</f>
        <v/>
      </c>
      <c r="C56" s="50">
        <f>"Production"</f>
        <v/>
      </c>
      <c r="D56" s="51" t="inlineStr">
        <is>
          <t>PRODUCTION</t>
        </is>
      </c>
      <c r="E56" s="51" t="inlineStr">
        <is>
          <t>ASX</t>
        </is>
      </c>
      <c r="F56" s="51" t="inlineStr">
        <is>
          <t>26071701</t>
        </is>
      </c>
      <c r="G56" s="50">
        <f>IF(F56="","",IF(COUNTIF(lst_Jobs,F56&amp;"")&gt;0,"OK","CHECK"))</f>
        <v/>
      </c>
      <c r="H56" s="51" t="inlineStr">
        <is>
          <t>ASX Live 1.9.26</t>
        </is>
      </c>
      <c r="I56" s="51" t="inlineStr">
        <is>
          <t>Project</t>
        </is>
      </c>
      <c r="J56" s="51" t="n"/>
      <c r="K56" s="51" t="inlineStr">
        <is>
          <t>GST 10%</t>
        </is>
      </c>
      <c r="L56" s="52" t="n">
        <v>7768</v>
      </c>
      <c r="M56" s="53">
        <f>IF(L56="","",IF(K56="GST 10%",ROUND(L56*0.1,2),0))</f>
        <v/>
      </c>
      <c r="N56" s="53">
        <f>IF(L56="","",L56+M56)</f>
        <v/>
      </c>
      <c r="O56" s="51" t="inlineStr">
        <is>
          <t>42100</t>
        </is>
      </c>
      <c r="P56" s="51" t="inlineStr">
        <is>
          <t>Y</t>
        </is>
      </c>
      <c r="Q56" s="51" t="inlineStr">
        <is>
          <t>N</t>
        </is>
      </c>
      <c r="R56" s="51" t="inlineStr">
        <is>
          <t>To Invoice</t>
        </is>
      </c>
      <c r="S56" s="51" t="n"/>
      <c r="T56" s="52" t="n">
        <v>1508</v>
      </c>
      <c r="U56" s="53">
        <f>IF(L56="","",L56-N(T56))</f>
        <v/>
      </c>
      <c r="V56" s="50">
        <f>IF(L56="","",IF(SIGN(N(T56))*SIGN(L56)=-1,"CHECK - video sign",IF(ABS(N(T56))&gt;ABS(L56),"CHECK - video exceeds invoice",IF(AND(D56="VIDEO",ROUND(N(T56),2)&lt;&gt;ROUND(L56,2)),"CHECK - VIDEO job not fully split",IF(N(T56)=0,"All production",IF(ROUND(N(T56),2)=ROUND(L56,2),"All video","Split"))))))</f>
        <v/>
      </c>
      <c r="W56" s="53">
        <f>IF(L56="","",IF(N(T56)=0,0,ROUND(M56*N(T56)/L56,2)))</f>
        <v/>
      </c>
      <c r="X56" s="51" t="inlineStr">
        <is>
          <t>Aimee.Kuipers@asx.com.au</t>
        </is>
      </c>
      <c r="Y56" s="48" t="n">
        <v>46266</v>
      </c>
      <c r="Z56" s="51" t="inlineStr">
        <is>
          <t>6143</t>
        </is>
      </c>
      <c r="AA56" s="51" t="inlineStr">
        <is>
          <t>26071701</t>
        </is>
      </c>
      <c r="AB56" s="51" t="inlineStr">
        <is>
          <t>Y</t>
        </is>
      </c>
      <c r="AC56" s="52" t="n">
        <v>180</v>
      </c>
      <c r="AD56" s="55">
        <f>IFERROR(AC56/AG56,"")</f>
        <v/>
      </c>
      <c r="AE56" s="52" t="n"/>
      <c r="AF56" s="52" t="n"/>
      <c r="AG56" s="53">
        <f>IF(L56="","",L56-N(AC56))</f>
        <v/>
      </c>
      <c r="AH56" s="53">
        <f>IF(L56="","",L56-N(AE56)-N(AF56))</f>
        <v/>
      </c>
      <c r="AI56" s="55">
        <f>IFERROR(AH56/L56,"")</f>
        <v/>
      </c>
      <c r="AJ56" s="54" t="n">
        <v>4</v>
      </c>
      <c r="AK56" s="54" t="n"/>
      <c r="AL56" s="54" t="n"/>
      <c r="AM56" s="54" t="n"/>
      <c r="AN56" s="54" t="n">
        <v>31</v>
      </c>
    </row>
    <row r="57" ht="15" customHeight="1">
      <c r="A57" s="48" t="n"/>
      <c r="B57" s="49">
        <f>IF(A57="","",EOMONTH(A57,0))</f>
        <v/>
      </c>
      <c r="C57" s="50">
        <f>"Production"</f>
        <v/>
      </c>
      <c r="D57" s="51" t="inlineStr">
        <is>
          <t>PRODUCTION</t>
        </is>
      </c>
      <c r="E57" s="51" t="inlineStr">
        <is>
          <t>SVHS</t>
        </is>
      </c>
      <c r="F57" s="51" t="inlineStr">
        <is>
          <t>2608404</t>
        </is>
      </c>
      <c r="G57" s="50">
        <f>IF(F57="","",IF(COUNTIF(lst_Jobs,F57&amp;"")&gt;0,"OK","CHECK"))</f>
        <v/>
      </c>
      <c r="H57" s="51" t="inlineStr">
        <is>
          <t>St Vincent's Hospital - Award Ceremony 2.9.26</t>
        </is>
      </c>
      <c r="I57" s="51" t="inlineStr">
        <is>
          <t>Project</t>
        </is>
      </c>
      <c r="J57" s="51" t="n"/>
      <c r="K57" s="51" t="inlineStr">
        <is>
          <t>GST 10%</t>
        </is>
      </c>
      <c r="L57" s="52" t="n">
        <v>495</v>
      </c>
      <c r="M57" s="53">
        <f>IF(L57="","",IF(K57="GST 10%",ROUND(L57*0.1,2),0))</f>
        <v/>
      </c>
      <c r="N57" s="53">
        <f>IF(L57="","",L57+M57)</f>
        <v/>
      </c>
      <c r="O57" s="51" t="inlineStr">
        <is>
          <t>42100</t>
        </is>
      </c>
      <c r="P57" s="51" t="inlineStr">
        <is>
          <t>Y</t>
        </is>
      </c>
      <c r="Q57" s="51" t="inlineStr">
        <is>
          <t>N</t>
        </is>
      </c>
      <c r="R57" s="51" t="inlineStr">
        <is>
          <t>To Invoice</t>
        </is>
      </c>
      <c r="S57" s="51" t="n"/>
      <c r="T57" s="52" t="n"/>
      <c r="U57" s="53">
        <f>IF(L57="","",L57-N(T57))</f>
        <v/>
      </c>
      <c r="V57" s="50">
        <f>IF(L57="","",IF(SIGN(N(T57))*SIGN(L57)=-1,"CHECK - video sign",IF(ABS(N(T57))&gt;ABS(L57),"CHECK - video exceeds invoice",IF(AND(D57="VIDEO",ROUND(N(T57),2)&lt;&gt;ROUND(L57,2)),"CHECK - VIDEO job not fully split",IF(N(T57)=0,"All production",IF(ROUND(N(T57),2)=ROUND(L57,2),"All video","Split"))))))</f>
        <v/>
      </c>
      <c r="W57" s="53">
        <f>IF(L57="","",IF(N(T57)=0,0,ROUND(M57*N(T57)/L57,2)))</f>
        <v/>
      </c>
      <c r="X57" s="51" t="inlineStr">
        <is>
          <t>juan.velozo@svha.org.au</t>
        </is>
      </c>
      <c r="Y57" s="48" t="n">
        <v>46267</v>
      </c>
      <c r="Z57" s="51" t="inlineStr">
        <is>
          <t>6115</t>
        </is>
      </c>
      <c r="AA57" s="51" t="inlineStr">
        <is>
          <t>2608404</t>
        </is>
      </c>
      <c r="AB57" s="51" t="inlineStr">
        <is>
          <t>Y</t>
        </is>
      </c>
      <c r="AC57" s="52" t="n"/>
      <c r="AD57" s="55">
        <f>IFERROR(AC57/AG57,"")</f>
        <v/>
      </c>
      <c r="AE57" s="52" t="n"/>
      <c r="AF57" s="52" t="n"/>
      <c r="AG57" s="53">
        <f>IF(L57="","",L57-N(AC57))</f>
        <v/>
      </c>
      <c r="AH57" s="53">
        <f>IF(L57="","",L57-N(AE57)-N(AF57))</f>
        <v/>
      </c>
      <c r="AI57" s="55">
        <f>IFERROR(AH57/L57,"")</f>
        <v/>
      </c>
      <c r="AJ57" s="54" t="n"/>
      <c r="AK57" s="54" t="n">
        <v>1</v>
      </c>
      <c r="AL57" s="54" t="n">
        <v>1</v>
      </c>
      <c r="AM57" s="54" t="n"/>
      <c r="AN57" s="54" t="n">
        <v>4</v>
      </c>
    </row>
    <row r="58" ht="15" customHeight="1">
      <c r="A58" s="48" t="n"/>
      <c r="B58" s="49">
        <f>IF(A58="","",EOMONTH(A58,0))</f>
        <v/>
      </c>
      <c r="C58" s="50">
        <f>"Production"</f>
        <v/>
      </c>
      <c r="D58" s="51" t="inlineStr">
        <is>
          <t>PRODUCTION</t>
        </is>
      </c>
      <c r="E58" s="51" t="inlineStr">
        <is>
          <t xml:space="preserve">Garvan </t>
        </is>
      </c>
      <c r="F58" s="51" t="inlineStr">
        <is>
          <t>26081904</t>
        </is>
      </c>
      <c r="G58" s="50">
        <f>IF(F58="","",IF(COUNTIF(lst_Jobs,F58&amp;"")&gt;0,"OK","CHECK"))</f>
        <v/>
      </c>
      <c r="H58" s="51" t="inlineStr">
        <is>
          <t>AllClear Program Meeting - 2.9.26</t>
        </is>
      </c>
      <c r="I58" s="51" t="inlineStr">
        <is>
          <t>Project</t>
        </is>
      </c>
      <c r="J58" s="51" t="n"/>
      <c r="K58" s="51" t="inlineStr">
        <is>
          <t>GST 10%</t>
        </is>
      </c>
      <c r="L58" s="52" t="n">
        <v>865</v>
      </c>
      <c r="M58" s="53">
        <f>IF(L58="","",IF(K58="GST 10%",ROUND(L58*0.1,2),0))</f>
        <v/>
      </c>
      <c r="N58" s="53">
        <f>IF(L58="","",L58+M58)</f>
        <v/>
      </c>
      <c r="O58" s="51" t="inlineStr">
        <is>
          <t>42100</t>
        </is>
      </c>
      <c r="P58" s="51" t="inlineStr">
        <is>
          <t>Y</t>
        </is>
      </c>
      <c r="Q58" s="51" t="inlineStr">
        <is>
          <t>N</t>
        </is>
      </c>
      <c r="R58" s="51" t="inlineStr">
        <is>
          <t>To Invoice</t>
        </is>
      </c>
      <c r="S58" s="51" t="n"/>
      <c r="T58" s="52" t="n"/>
      <c r="U58" s="53">
        <f>IF(L58="","",L58-N(T58))</f>
        <v/>
      </c>
      <c r="V58" s="50">
        <f>IF(L58="","",IF(SIGN(N(T58))*SIGN(L58)=-1,"CHECK - video sign",IF(ABS(N(T58))&gt;ABS(L58),"CHECK - video exceeds invoice",IF(AND(D58="VIDEO",ROUND(N(T58),2)&lt;&gt;ROUND(L58,2)),"CHECK - VIDEO job not fully split",IF(N(T58)=0,"All production",IF(ROUND(N(T58),2)=ROUND(L58,2),"All video","Split"))))))</f>
        <v/>
      </c>
      <c r="W58" s="53">
        <f>IF(L58="","",IF(N(T58)=0,0,ROUND(M58*N(T58)/L58,2)))</f>
        <v/>
      </c>
      <c r="X58" s="51" t="inlineStr">
        <is>
          <t>r.vieyra@garvan.org.au</t>
        </is>
      </c>
      <c r="Y58" s="48" t="n">
        <v>46267</v>
      </c>
      <c r="Z58" s="51" t="inlineStr">
        <is>
          <t>6160</t>
        </is>
      </c>
      <c r="AA58" s="51" t="inlineStr">
        <is>
          <t>26081904</t>
        </is>
      </c>
      <c r="AB58" s="51" t="inlineStr">
        <is>
          <t>Y</t>
        </is>
      </c>
      <c r="AC58" s="52" t="n">
        <v>90</v>
      </c>
      <c r="AD58" s="55">
        <f>IFERROR(AC58/AG58,"")</f>
        <v/>
      </c>
      <c r="AE58" s="52" t="n"/>
      <c r="AF58" s="52" t="n"/>
      <c r="AG58" s="53">
        <f>IF(L58="","",L58-N(AC58))</f>
        <v/>
      </c>
      <c r="AH58" s="53">
        <f>IF(L58="","",L58-N(AE58)-N(AF58))</f>
        <v/>
      </c>
      <c r="AI58" s="55">
        <f>IFERROR(AH58/L58,"")</f>
        <v/>
      </c>
      <c r="AJ58" s="54" t="n"/>
      <c r="AK58" s="54" t="n">
        <v>1</v>
      </c>
      <c r="AL58" s="54" t="n">
        <v>1</v>
      </c>
      <c r="AM58" s="54" t="n"/>
      <c r="AN58" s="54" t="n">
        <v>5</v>
      </c>
    </row>
    <row r="59" ht="15" customHeight="1">
      <c r="A59" s="48" t="n"/>
      <c r="B59" s="49">
        <f>IF(A59="","",EOMONTH(A59,0))</f>
        <v/>
      </c>
      <c r="C59" s="50">
        <f>"Production"</f>
        <v/>
      </c>
      <c r="D59" s="51" t="inlineStr">
        <is>
          <t>PRODUCTION</t>
        </is>
      </c>
      <c r="E59" s="51" t="inlineStr">
        <is>
          <t>RSNSW</t>
        </is>
      </c>
      <c r="F59" s="51" t="inlineStr">
        <is>
          <t>26032302</t>
        </is>
      </c>
      <c r="G59" s="50">
        <f>IF(F59="","",IF(COUNTIF(lst_Jobs,F59&amp;"")&gt;0,"OK","CHECK"))</f>
        <v/>
      </c>
      <c r="H59" s="51" t="inlineStr">
        <is>
          <t>Ordinary General Meeting 2.9.26</t>
        </is>
      </c>
      <c r="I59" s="51" t="inlineStr">
        <is>
          <t>Project</t>
        </is>
      </c>
      <c r="J59" s="51" t="n"/>
      <c r="K59" s="51" t="inlineStr">
        <is>
          <t>GST 10%</t>
        </is>
      </c>
      <c r="L59" s="52" t="n">
        <v>3261</v>
      </c>
      <c r="M59" s="53">
        <f>IF(L59="","",IF(K59="GST 10%",ROUND(L59*0.1,2),0))</f>
        <v/>
      </c>
      <c r="N59" s="53">
        <f>IF(L59="","",L59+M59)</f>
        <v/>
      </c>
      <c r="O59" s="51" t="inlineStr">
        <is>
          <t>42100</t>
        </is>
      </c>
      <c r="P59" s="51" t="inlineStr">
        <is>
          <t>Y</t>
        </is>
      </c>
      <c r="Q59" s="51" t="inlineStr">
        <is>
          <t>N</t>
        </is>
      </c>
      <c r="R59" s="51" t="inlineStr">
        <is>
          <t>To Invoice</t>
        </is>
      </c>
      <c r="S59" s="51" t="n"/>
      <c r="T59" s="52" t="n">
        <v>1029</v>
      </c>
      <c r="U59" s="53">
        <f>IF(L59="","",L59-N(T59))</f>
        <v/>
      </c>
      <c r="V59" s="50">
        <f>IF(L59="","",IF(SIGN(N(T59))*SIGN(L59)=-1,"CHECK - video sign",IF(ABS(N(T59))&gt;ABS(L59),"CHECK - video exceeds invoice",IF(AND(D59="VIDEO",ROUND(N(T59),2)&lt;&gt;ROUND(L59,2)),"CHECK - VIDEO job not fully split",IF(N(T59)=0,"All production",IF(ROUND(N(T59),2)=ROUND(L59,2),"All video","Split"))))))</f>
        <v/>
      </c>
      <c r="W59" s="53">
        <f>IF(L59="","",IF(N(T59)=0,0,ROUND(M59*N(T59)/L59,2)))</f>
        <v/>
      </c>
      <c r="X59" s="51" t="inlineStr">
        <is>
          <t>lindsay.botten@outlook.com</t>
        </is>
      </c>
      <c r="Y59" s="48" t="n">
        <v>46267</v>
      </c>
      <c r="Z59" s="51" t="inlineStr">
        <is>
          <t>5925</t>
        </is>
      </c>
      <c r="AA59" s="51" t="inlineStr">
        <is>
          <t>26032302</t>
        </is>
      </c>
      <c r="AB59" s="51" t="inlineStr">
        <is>
          <t>Y</t>
        </is>
      </c>
      <c r="AC59" s="52" t="n">
        <v>334</v>
      </c>
      <c r="AD59" s="55">
        <f>IFERROR(AC59/AG59,"")</f>
        <v/>
      </c>
      <c r="AE59" s="52" t="n"/>
      <c r="AF59" s="52" t="n"/>
      <c r="AG59" s="53">
        <f>IF(L59="","",L59-N(AC59))</f>
        <v/>
      </c>
      <c r="AH59" s="53">
        <f>IF(L59="","",L59-N(AE59)-N(AF59))</f>
        <v/>
      </c>
      <c r="AI59" s="55">
        <f>IFERROR(AH59/L59,"")</f>
        <v/>
      </c>
      <c r="AJ59" s="54" t="n">
        <v>4</v>
      </c>
      <c r="AK59" s="54" t="n"/>
      <c r="AL59" s="54" t="n"/>
      <c r="AM59" s="54" t="n"/>
      <c r="AN59" s="54" t="n">
        <v>12</v>
      </c>
    </row>
    <row r="60" ht="15" customHeight="1">
      <c r="A60" s="48" t="n"/>
      <c r="B60" s="49">
        <f>IF(A60="","",EOMONTH(A60,0))</f>
        <v/>
      </c>
      <c r="C60" s="50">
        <f>"Production"</f>
        <v/>
      </c>
      <c r="D60" s="51" t="inlineStr">
        <is>
          <t>PRODUCTION</t>
        </is>
      </c>
      <c r="E60" s="51" t="inlineStr">
        <is>
          <t>Ventia</t>
        </is>
      </c>
      <c r="F60" s="51" t="inlineStr">
        <is>
          <t>26072102</t>
        </is>
      </c>
      <c r="G60" s="50">
        <f>IF(F60="","",IF(COUNTIF(lst_Jobs,F60&amp;"")&gt;0,"OK","CHECK"))</f>
        <v/>
      </c>
      <c r="H60" s="51" t="inlineStr">
        <is>
          <t>RUOK? Day 10.9.26</t>
        </is>
      </c>
      <c r="I60" s="51" t="inlineStr">
        <is>
          <t>Project</t>
        </is>
      </c>
      <c r="J60" s="51" t="n"/>
      <c r="K60" s="51" t="inlineStr">
        <is>
          <t>GST 10%</t>
        </is>
      </c>
      <c r="L60" s="52" t="n">
        <v>10015.89</v>
      </c>
      <c r="M60" s="53">
        <f>IF(L60="","",IF(K60="GST 10%",ROUND(L60*0.1,2),0))</f>
        <v/>
      </c>
      <c r="N60" s="53">
        <f>IF(L60="","",L60+M60)</f>
        <v/>
      </c>
      <c r="O60" s="51" t="inlineStr">
        <is>
          <t>42100</t>
        </is>
      </c>
      <c r="P60" s="51" t="inlineStr">
        <is>
          <t>Y</t>
        </is>
      </c>
      <c r="Q60" s="51" t="inlineStr">
        <is>
          <t>N</t>
        </is>
      </c>
      <c r="R60" s="51" t="inlineStr">
        <is>
          <t>To Invoice</t>
        </is>
      </c>
      <c r="S60" s="51" t="n"/>
      <c r="T60" s="52" t="n">
        <v>1578.1</v>
      </c>
      <c r="U60" s="53">
        <f>IF(L60="","",L60-N(T60))</f>
        <v/>
      </c>
      <c r="V60" s="50">
        <f>IF(L60="","",IF(SIGN(N(T60))*SIGN(L60)=-1,"CHECK - video sign",IF(ABS(N(T60))&gt;ABS(L60),"CHECK - video exceeds invoice",IF(AND(D60="VIDEO",ROUND(N(T60),2)&lt;&gt;ROUND(L60,2)),"CHECK - VIDEO job not fully split",IF(N(T60)=0,"All production",IF(ROUND(N(T60),2)=ROUND(L60,2),"All video","Split"))))))</f>
        <v/>
      </c>
      <c r="W60" s="53">
        <f>IF(L60="","",IF(N(T60)=0,0,ROUND(M60*N(T60)/L60,2)))</f>
        <v/>
      </c>
      <c r="X60" s="51" t="inlineStr">
        <is>
          <t>amy.johnson@ventia.com</t>
        </is>
      </c>
      <c r="Y60" s="48" t="n">
        <v>46275</v>
      </c>
      <c r="Z60" s="51" t="inlineStr">
        <is>
          <t>6122</t>
        </is>
      </c>
      <c r="AA60" s="51" t="inlineStr">
        <is>
          <t>26072102</t>
        </is>
      </c>
      <c r="AB60" s="51" t="inlineStr">
        <is>
          <t>Y</t>
        </is>
      </c>
      <c r="AC60" s="52" t="n">
        <v>2005.65</v>
      </c>
      <c r="AD60" s="55">
        <f>IFERROR(AC60/AG60,"")</f>
        <v/>
      </c>
      <c r="AE60" s="52" t="n"/>
      <c r="AF60" s="52" t="n"/>
      <c r="AG60" s="53">
        <f>IF(L60="","",L60-N(AC60))</f>
        <v/>
      </c>
      <c r="AH60" s="53">
        <f>IF(L60="","",L60-N(AE60)-N(AF60))</f>
        <v/>
      </c>
      <c r="AI60" s="55">
        <f>IFERROR(AH60/L60,"")</f>
        <v/>
      </c>
      <c r="AJ60" s="54" t="n">
        <v>4</v>
      </c>
      <c r="AK60" s="54" t="n"/>
      <c r="AL60" s="54" t="n"/>
      <c r="AM60" s="54" t="n"/>
      <c r="AN60" s="54" t="n">
        <v>28</v>
      </c>
    </row>
    <row r="61" ht="15" customHeight="1">
      <c r="A61" s="48" t="n"/>
      <c r="B61" s="49">
        <f>IF(A61="","",EOMONTH(A61,0))</f>
        <v/>
      </c>
      <c r="C61" s="50">
        <f>"Production"</f>
        <v/>
      </c>
      <c r="D61" s="51" t="inlineStr">
        <is>
          <t>PRODUCTION</t>
        </is>
      </c>
      <c r="E61" s="51" t="inlineStr">
        <is>
          <t>APA</t>
        </is>
      </c>
      <c r="F61" s="51" t="inlineStr">
        <is>
          <t>26082703</t>
        </is>
      </c>
      <c r="G61" s="50">
        <f>IF(F61="","",IF(COUNTIF(lst_Jobs,F61&amp;"")&gt;0,"OK","CHECK"))</f>
        <v/>
      </c>
      <c r="H61" s="51" t="inlineStr">
        <is>
          <t>RUOK? Day 10.9.26</t>
        </is>
      </c>
      <c r="I61" s="51" t="inlineStr">
        <is>
          <t>Project</t>
        </is>
      </c>
      <c r="J61" s="51" t="n"/>
      <c r="K61" s="51" t="inlineStr">
        <is>
          <t>GST 10%</t>
        </is>
      </c>
      <c r="L61" s="52" t="n">
        <v>570</v>
      </c>
      <c r="M61" s="53">
        <f>IF(L61="","",IF(K61="GST 10%",ROUND(L61*0.1,2),0))</f>
        <v/>
      </c>
      <c r="N61" s="53">
        <f>IF(L61="","",L61+M61)</f>
        <v/>
      </c>
      <c r="O61" s="51" t="inlineStr">
        <is>
          <t>42100</t>
        </is>
      </c>
      <c r="P61" s="51" t="inlineStr">
        <is>
          <t>Y</t>
        </is>
      </c>
      <c r="Q61" s="51" t="inlineStr">
        <is>
          <t>N</t>
        </is>
      </c>
      <c r="R61" s="51" t="inlineStr">
        <is>
          <t>To Invoice</t>
        </is>
      </c>
      <c r="S61" s="51" t="n"/>
      <c r="T61" s="52" t="n"/>
      <c r="U61" s="53">
        <f>IF(L61="","",L61-N(T61))</f>
        <v/>
      </c>
      <c r="V61" s="50">
        <f>IF(L61="","",IF(SIGN(N(T61))*SIGN(L61)=-1,"CHECK - video sign",IF(ABS(N(T61))&gt;ABS(L61),"CHECK - video exceeds invoice",IF(AND(D61="VIDEO",ROUND(N(T61),2)&lt;&gt;ROUND(L61,2)),"CHECK - VIDEO job not fully split",IF(N(T61)=0,"All production",IF(ROUND(N(T61),2)=ROUND(L61,2),"All video","Split"))))))</f>
        <v/>
      </c>
      <c r="W61" s="53">
        <f>IF(L61="","",IF(N(T61)=0,0,ROUND(M61*N(T61)/L61,2)))</f>
        <v/>
      </c>
      <c r="X61" s="51" t="inlineStr">
        <is>
          <t>candice.gaillard@apa.com.au</t>
        </is>
      </c>
      <c r="Y61" s="48" t="n">
        <v>46275</v>
      </c>
      <c r="Z61" s="51" t="inlineStr">
        <is>
          <t>6168</t>
        </is>
      </c>
      <c r="AA61" s="51" t="inlineStr">
        <is>
          <t>26082703</t>
        </is>
      </c>
      <c r="AB61" s="51" t="inlineStr">
        <is>
          <t>Y</t>
        </is>
      </c>
      <c r="AC61" s="52" t="n"/>
      <c r="AD61" s="55">
        <f>IFERROR(AC61/AG61,"")</f>
        <v/>
      </c>
      <c r="AE61" s="52" t="n"/>
      <c r="AF61" s="52" t="n"/>
      <c r="AG61" s="53">
        <f>IF(L61="","",L61-N(AC61))</f>
        <v/>
      </c>
      <c r="AH61" s="53">
        <f>IF(L61="","",L61-N(AE61)-N(AF61))</f>
        <v/>
      </c>
      <c r="AI61" s="55">
        <f>IFERROR(AH61/L61,"")</f>
        <v/>
      </c>
      <c r="AJ61" s="54" t="n"/>
      <c r="AK61" s="54" t="n"/>
      <c r="AL61" s="54" t="n"/>
      <c r="AM61" s="54" t="n"/>
      <c r="AN61" s="54" t="n">
        <v>6</v>
      </c>
    </row>
    <row r="62" ht="15" customHeight="1">
      <c r="A62" s="48" t="n"/>
      <c r="B62" s="49">
        <f>IF(A62="","",EOMONTH(A62,0))</f>
        <v/>
      </c>
      <c r="C62" s="50">
        <f>"Production"</f>
        <v/>
      </c>
      <c r="D62" s="51" t="inlineStr">
        <is>
          <t>PRODUCTION</t>
        </is>
      </c>
      <c r="E62" s="51" t="inlineStr">
        <is>
          <t>Ventia</t>
        </is>
      </c>
      <c r="F62" s="51" t="inlineStr">
        <is>
          <t>2608701</t>
        </is>
      </c>
      <c r="G62" s="50">
        <f>IF(F62="","",IF(COUNTIF(lst_Jobs,F62&amp;"")&gt;0,"OK","CHECK"))</f>
        <v/>
      </c>
      <c r="H62" s="51" t="inlineStr">
        <is>
          <t>Elkiem Studio Support 10.9.26</t>
        </is>
      </c>
      <c r="I62" s="51" t="inlineStr">
        <is>
          <t>Project</t>
        </is>
      </c>
      <c r="J62" s="51" t="n"/>
      <c r="K62" s="51" t="inlineStr">
        <is>
          <t>GST 10%</t>
        </is>
      </c>
      <c r="L62" s="52" t="n">
        <v>380</v>
      </c>
      <c r="M62" s="53">
        <f>IF(L62="","",IF(K62="GST 10%",ROUND(L62*0.1,2),0))</f>
        <v/>
      </c>
      <c r="N62" s="53">
        <f>IF(L62="","",L62+M62)</f>
        <v/>
      </c>
      <c r="O62" s="51" t="inlineStr">
        <is>
          <t>42100</t>
        </is>
      </c>
      <c r="P62" s="51" t="inlineStr">
        <is>
          <t>Y</t>
        </is>
      </c>
      <c r="Q62" s="51" t="inlineStr">
        <is>
          <t>N</t>
        </is>
      </c>
      <c r="R62" s="51" t="inlineStr">
        <is>
          <t>To Invoice</t>
        </is>
      </c>
      <c r="S62" s="51" t="n"/>
      <c r="T62" s="52" t="n"/>
      <c r="U62" s="53">
        <f>IF(L62="","",L62-N(T62))</f>
        <v/>
      </c>
      <c r="V62" s="50">
        <f>IF(L62="","",IF(SIGN(N(T62))*SIGN(L62)=-1,"CHECK - video sign",IF(ABS(N(T62))&gt;ABS(L62),"CHECK - video exceeds invoice",IF(AND(D62="VIDEO",ROUND(N(T62),2)&lt;&gt;ROUND(L62,2)),"CHECK - VIDEO job not fully split",IF(N(T62)=0,"All production",IF(ROUND(N(T62),2)=ROUND(L62,2),"All video","Split"))))))</f>
        <v/>
      </c>
      <c r="W62" s="53">
        <f>IF(L62="","",IF(N(T62)=0,0,ROUND(M62*N(T62)/L62,2)))</f>
        <v/>
      </c>
      <c r="X62" s="51" t="inlineStr">
        <is>
          <t>ben.woodlock@elkiem.com</t>
        </is>
      </c>
      <c r="Y62" s="48" t="n">
        <v>46275</v>
      </c>
      <c r="Z62" s="51" t="inlineStr">
        <is>
          <t>6148</t>
        </is>
      </c>
      <c r="AA62" s="51" t="inlineStr">
        <is>
          <t>2608701</t>
        </is>
      </c>
      <c r="AB62" s="51" t="inlineStr">
        <is>
          <t>Y</t>
        </is>
      </c>
      <c r="AC62" s="52" t="n"/>
      <c r="AD62" s="55">
        <f>IFERROR(AC62/AG62,"")</f>
        <v/>
      </c>
      <c r="AE62" s="52" t="n"/>
      <c r="AF62" s="52" t="n"/>
      <c r="AG62" s="53">
        <f>IF(L62="","",L62-N(AC62))</f>
        <v/>
      </c>
      <c r="AH62" s="53">
        <f>IF(L62="","",L62-N(AE62)-N(AF62))</f>
        <v/>
      </c>
      <c r="AI62" s="55">
        <f>IFERROR(AH62/L62,"")</f>
        <v/>
      </c>
      <c r="AJ62" s="54" t="n"/>
      <c r="AK62" s="54" t="n"/>
      <c r="AL62" s="54" t="n"/>
      <c r="AM62" s="54" t="n"/>
      <c r="AN62" s="54" t="n">
        <v>4</v>
      </c>
    </row>
    <row r="63" ht="15" customHeight="1">
      <c r="A63" s="48" t="n"/>
      <c r="B63" s="49">
        <f>IF(A63="","",EOMONTH(A63,0))</f>
        <v/>
      </c>
      <c r="C63" s="50">
        <f>"Production"</f>
        <v/>
      </c>
      <c r="D63" s="51" t="inlineStr">
        <is>
          <t>PRODUCTION</t>
        </is>
      </c>
      <c r="E63" s="51" t="inlineStr">
        <is>
          <t>Elkeim</t>
        </is>
      </c>
      <c r="F63" s="51" t="inlineStr">
        <is>
          <t>2609801</t>
        </is>
      </c>
      <c r="G63" s="50">
        <f>IF(F63="","",IF(COUNTIF(lst_Jobs,F63&amp;"")&gt;0,"OK","CHECK"))</f>
        <v/>
      </c>
      <c r="H63" s="51" t="inlineStr">
        <is>
          <t>Elkiem Studio Support 16.9.26</t>
        </is>
      </c>
      <c r="I63" s="51" t="inlineStr">
        <is>
          <t>Project</t>
        </is>
      </c>
      <c r="J63" s="51" t="n"/>
      <c r="K63" s="51" t="inlineStr">
        <is>
          <t>GST 10%</t>
        </is>
      </c>
      <c r="L63" s="52" t="n">
        <v>380</v>
      </c>
      <c r="M63" s="53">
        <f>IF(L63="","",IF(K63="GST 10%",ROUND(L63*0.1,2),0))</f>
        <v/>
      </c>
      <c r="N63" s="53">
        <f>IF(L63="","",L63+M63)</f>
        <v/>
      </c>
      <c r="O63" s="51" t="inlineStr">
        <is>
          <t>42100</t>
        </is>
      </c>
      <c r="P63" s="51" t="inlineStr">
        <is>
          <t>Y</t>
        </is>
      </c>
      <c r="Q63" s="51" t="inlineStr">
        <is>
          <t>N</t>
        </is>
      </c>
      <c r="R63" s="51" t="inlineStr">
        <is>
          <t>To Invoice</t>
        </is>
      </c>
      <c r="S63" s="51" t="n"/>
      <c r="T63" s="52" t="n"/>
      <c r="U63" s="53">
        <f>IF(L63="","",L63-N(T63))</f>
        <v/>
      </c>
      <c r="V63" s="50">
        <f>IF(L63="","",IF(SIGN(N(T63))*SIGN(L63)=-1,"CHECK - video sign",IF(ABS(N(T63))&gt;ABS(L63),"CHECK - video exceeds invoice",IF(AND(D63="VIDEO",ROUND(N(T63),2)&lt;&gt;ROUND(L63,2)),"CHECK - VIDEO job not fully split",IF(N(T63)=0,"All production",IF(ROUND(N(T63),2)=ROUND(L63,2),"All video","Split"))))))</f>
        <v/>
      </c>
      <c r="W63" s="53">
        <f>IF(L63="","",IF(N(T63)=0,0,ROUND(M63*N(T63)/L63,2)))</f>
        <v/>
      </c>
      <c r="X63" s="51" t="inlineStr">
        <is>
          <t>ben.woodlock@elkiem.com</t>
        </is>
      </c>
      <c r="Y63" s="48" t="n">
        <v>46281</v>
      </c>
      <c r="Z63" s="51" t="inlineStr">
        <is>
          <t>6175</t>
        </is>
      </c>
      <c r="AA63" s="51" t="inlineStr">
        <is>
          <t>2609801</t>
        </is>
      </c>
      <c r="AB63" s="51" t="inlineStr">
        <is>
          <t>Y</t>
        </is>
      </c>
      <c r="AC63" s="52" t="n"/>
      <c r="AD63" s="55">
        <f>IFERROR(AC63/AG63,"")</f>
        <v/>
      </c>
      <c r="AE63" s="52" t="n"/>
      <c r="AF63" s="52" t="n"/>
      <c r="AG63" s="53">
        <f>IF(L63="","",L63-N(AC63))</f>
        <v/>
      </c>
      <c r="AH63" s="53">
        <f>IF(L63="","",L63-N(AE63)-N(AF63))</f>
        <v/>
      </c>
      <c r="AI63" s="55">
        <f>IFERROR(AH63/L63,"")</f>
        <v/>
      </c>
      <c r="AJ63" s="54" t="n"/>
      <c r="AK63" s="54" t="n"/>
      <c r="AL63" s="54" t="n"/>
      <c r="AM63" s="54" t="n"/>
      <c r="AN63" s="54" t="n">
        <v>4</v>
      </c>
    </row>
    <row r="64" ht="15" customHeight="1">
      <c r="A64" s="48" t="n"/>
      <c r="B64" s="49">
        <f>IF(A64="","",EOMONTH(A64,0))</f>
        <v/>
      </c>
      <c r="C64" s="50">
        <f>"Production"</f>
        <v/>
      </c>
      <c r="D64" s="51" t="inlineStr">
        <is>
          <t>PRODUCTION</t>
        </is>
      </c>
      <c r="E64" s="51" t="inlineStr">
        <is>
          <t>ICC</t>
        </is>
      </c>
      <c r="F64" s="51" t="inlineStr">
        <is>
          <t>26082502</t>
        </is>
      </c>
      <c r="G64" s="50">
        <f>IF(F64="","",IF(COUNTIF(lst_Jobs,F64&amp;"")&gt;0,"OK","CHECK"))</f>
        <v/>
      </c>
      <c r="H64" s="51" t="inlineStr">
        <is>
          <t>ICC - September Presenter Support Presentations - ISE</t>
        </is>
      </c>
      <c r="I64" s="51" t="inlineStr">
        <is>
          <t>Project</t>
        </is>
      </c>
      <c r="J64" s="51" t="n"/>
      <c r="K64" s="51" t="inlineStr">
        <is>
          <t>GST 10%</t>
        </is>
      </c>
      <c r="L64" s="52" t="n">
        <v>4729</v>
      </c>
      <c r="M64" s="53">
        <f>IF(L64="","",IF(K64="GST 10%",ROUND(L64*0.1,2),0))</f>
        <v/>
      </c>
      <c r="N64" s="53">
        <f>IF(L64="","",L64+M64)</f>
        <v/>
      </c>
      <c r="O64" s="51" t="inlineStr">
        <is>
          <t>42100</t>
        </is>
      </c>
      <c r="P64" s="51" t="inlineStr">
        <is>
          <t>Y</t>
        </is>
      </c>
      <c r="Q64" s="51" t="inlineStr">
        <is>
          <t>N</t>
        </is>
      </c>
      <c r="R64" s="51" t="inlineStr">
        <is>
          <t>To Invoice</t>
        </is>
      </c>
      <c r="S64" s="51" t="n"/>
      <c r="T64" s="52" t="n"/>
      <c r="U64" s="53">
        <f>IF(L64="","",L64-N(T64))</f>
        <v/>
      </c>
      <c r="V64" s="50">
        <f>IF(L64="","",IF(SIGN(N(T64))*SIGN(L64)=-1,"CHECK - video sign",IF(ABS(N(T64))&gt;ABS(L64),"CHECK - video exceeds invoice",IF(AND(D64="VIDEO",ROUND(N(T64),2)&lt;&gt;ROUND(L64,2)),"CHECK - VIDEO job not fully split",IF(N(T64)=0,"All production",IF(ROUND(N(T64),2)=ROUND(L64,2),"All video","Split"))))))</f>
        <v/>
      </c>
      <c r="W64" s="53">
        <f>IF(L64="","",IF(N(T64)=0,0,ROUND(M64*N(T64)/L64,2)))</f>
        <v/>
      </c>
      <c r="X64" s="51" t="inlineStr">
        <is>
          <t>jbell@iccsydney.com</t>
        </is>
      </c>
      <c r="Y64" s="48" t="n">
        <v>46271</v>
      </c>
      <c r="Z64" s="51" t="inlineStr">
        <is>
          <t>6186</t>
        </is>
      </c>
      <c r="AA64" s="51" t="inlineStr">
        <is>
          <t>26082502</t>
        </is>
      </c>
      <c r="AB64" s="51" t="inlineStr">
        <is>
          <t>Y</t>
        </is>
      </c>
      <c r="AC64" s="52" t="n"/>
      <c r="AD64" s="55">
        <f>IFERROR(AC64/AG64,"")</f>
        <v/>
      </c>
      <c r="AE64" s="52" t="n"/>
      <c r="AF64" s="52" t="n"/>
      <c r="AG64" s="53">
        <f>IF(L64="","",L64-N(AC64))</f>
        <v/>
      </c>
      <c r="AH64" s="53">
        <f>IF(L64="","",L64-N(AE64)-N(AF64))</f>
        <v/>
      </c>
      <c r="AI64" s="55">
        <f>IFERROR(AH64/L64,"")</f>
        <v/>
      </c>
      <c r="AJ64" s="54" t="n"/>
      <c r="AK64" s="54" t="n"/>
      <c r="AL64" s="54" t="n"/>
      <c r="AM64" s="54" t="n"/>
      <c r="AN64" s="54" t="n">
        <v>55</v>
      </c>
    </row>
    <row r="65" ht="15" customHeight="1">
      <c r="A65" s="48" t="n"/>
      <c r="B65" s="49">
        <f>IF(A65="","",EOMONTH(A65,0))</f>
        <v/>
      </c>
      <c r="C65" s="50">
        <f>"Production"</f>
        <v/>
      </c>
      <c r="D65" s="51" t="inlineStr">
        <is>
          <t>PRODUCTION</t>
        </is>
      </c>
      <c r="E65" s="51" t="inlineStr">
        <is>
          <t>ICC</t>
        </is>
      </c>
      <c r="F65" s="51" t="inlineStr">
        <is>
          <t>26082503</t>
        </is>
      </c>
      <c r="G65" s="50">
        <f>IF(F65="","",IF(COUNTIF(lst_Jobs,F65&amp;"")&gt;0,"OK","CHECK"))</f>
        <v/>
      </c>
      <c r="H65" s="51" t="inlineStr">
        <is>
          <t>ICC - September Presenter Support Presentations - ICAS</t>
        </is>
      </c>
      <c r="I65" s="51" t="inlineStr">
        <is>
          <t>Project</t>
        </is>
      </c>
      <c r="J65" s="51" t="n"/>
      <c r="K65" s="51" t="inlineStr">
        <is>
          <t>GST 10%</t>
        </is>
      </c>
      <c r="L65" s="52" t="n">
        <v>946</v>
      </c>
      <c r="M65" s="53">
        <f>IF(L65="","",IF(K65="GST 10%",ROUND(L65*0.1,2),0))</f>
        <v/>
      </c>
      <c r="N65" s="53">
        <f>IF(L65="","",L65+M65)</f>
        <v/>
      </c>
      <c r="O65" s="51" t="inlineStr">
        <is>
          <t>42100</t>
        </is>
      </c>
      <c r="P65" s="51" t="inlineStr">
        <is>
          <t>Y</t>
        </is>
      </c>
      <c r="Q65" s="51" t="inlineStr">
        <is>
          <t>N</t>
        </is>
      </c>
      <c r="R65" s="51" t="inlineStr">
        <is>
          <t>To Invoice</t>
        </is>
      </c>
      <c r="S65" s="51" t="n"/>
      <c r="T65" s="52" t="n"/>
      <c r="U65" s="53">
        <f>IF(L65="","",L65-N(T65))</f>
        <v/>
      </c>
      <c r="V65" s="50">
        <f>IF(L65="","",IF(SIGN(N(T65))*SIGN(L65)=-1,"CHECK - video sign",IF(ABS(N(T65))&gt;ABS(L65),"CHECK - video exceeds invoice",IF(AND(D65="VIDEO",ROUND(N(T65),2)&lt;&gt;ROUND(L65,2)),"CHECK - VIDEO job not fully split",IF(N(T65)=0,"All production",IF(ROUND(N(T65),2)=ROUND(L65,2),"All video","Split"))))))</f>
        <v/>
      </c>
      <c r="W65" s="53">
        <f>IF(L65="","",IF(N(T65)=0,0,ROUND(M65*N(T65)/L65,2)))</f>
        <v/>
      </c>
      <c r="X65" s="51" t="inlineStr">
        <is>
          <t>jbell@iccsydney.com</t>
        </is>
      </c>
      <c r="Y65" s="48" t="n">
        <v>46279</v>
      </c>
      <c r="Z65" s="51" t="inlineStr">
        <is>
          <t>6187</t>
        </is>
      </c>
      <c r="AA65" s="51" t="inlineStr">
        <is>
          <t>26082502</t>
        </is>
      </c>
      <c r="AB65" s="51" t="inlineStr">
        <is>
          <t>Y</t>
        </is>
      </c>
      <c r="AC65" s="52" t="n"/>
      <c r="AD65" s="55">
        <f>IFERROR(AC65/AG65,"")</f>
        <v/>
      </c>
      <c r="AE65" s="52" t="n"/>
      <c r="AF65" s="52" t="n"/>
      <c r="AG65" s="53">
        <f>IF(L65="","",L65-N(AC65))</f>
        <v/>
      </c>
      <c r="AH65" s="53">
        <f>IF(L65="","",L65-N(AE65)-N(AF65))</f>
        <v/>
      </c>
      <c r="AI65" s="55">
        <f>IFERROR(AH65/L65,"")</f>
        <v/>
      </c>
      <c r="AJ65" s="54" t="n"/>
      <c r="AK65" s="54" t="n"/>
      <c r="AL65" s="54" t="n"/>
      <c r="AM65" s="54" t="n"/>
      <c r="AN65" s="54" t="n">
        <v>10.5</v>
      </c>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conditionalFormatting sqref="V5:V5000">
    <cfRule type="expression" priority="3" dxfId="0" stopIfTrue="0">
      <formula>LEFT(V5,5)="CHECK"</formula>
    </cfRule>
    <cfRule type="expression" priority="4" dxfId="2" stopIfTrue="0">
      <formula>V5="Split"</formula>
    </cfRule>
  </conditionalFormatting>
  <dataValidations count="8">
    <dataValidation sqref="D5:D20000" showDropDown="0" showInputMessage="0" showErrorMessage="1" allowBlank="1" errorTitle="Not on the list" error="&quot;Cost Centre&quot; is not on the list in the Lists sheet. Add it there if it is genuinely new." type="list" errorStyle="warning">
      <formula1>lst_CostCentrePrd</formula1>
    </dataValidation>
    <dataValidation sqref="I5:I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R5:R20000" showDropDown="0" showInputMessage="0" showErrorMessage="1" allowBlank="1" errorTitle="Not on the list" error="&quot;Status&quot; is not on the list in the Lists sheet. Add it there if it is genuinely new." type="list" errorStyle="warning">
      <formula1>lst_Status</formula1>
    </dataValidation>
    <dataValidation sqref="AB5:AB20000" showDropDown="0" showInputMessage="0" showErrorMessage="1" allowBlank="1" errorTitle="Not on the list" error="&quot;Job Closed&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5B708A"/>
    <outlinePr summaryBelow="1" summaryRight="1"/>
    <pageSetUpPr/>
  </sheetPr>
  <dimension ref="A1:AE38"/>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 width="46" customWidth="1" min="20" max="20"/>
    <col width="15" customWidth="1" min="21" max="21"/>
    <col width="15" customWidth="1" min="22" max="22"/>
    <col width="17" customWidth="1" min="23" max="23"/>
    <col width="19" customWidth="1" min="24" max="24"/>
    <col width="22" customWidth="1" min="25" max="25"/>
    <col width="26" customWidth="1" min="26" max="26"/>
    <col width="28" customWidth="1" min="27" max="27"/>
    <col width="14" customWidth="1" min="28" max="28"/>
    <col width="14" customWidth="1" min="29" max="29"/>
    <col width="10" customWidth="1" min="30" max="30"/>
    <col width="18" customWidth="1" min="31" max="31"/>
  </cols>
  <sheetData>
    <row r="1" ht="24" customHeight="1">
      <c r="A1" s="12" t="inlineStr">
        <is>
          <t>Consulting - Revenue Entry</t>
        </is>
      </c>
    </row>
    <row r="2" ht="16" customHeight="1">
      <c r="A2" s="2" t="inlineStr">
        <is>
          <t>Consulting &amp; Integration invoicing (ACC005 s.3). One row per Xero invoice. Split the revenue across Labour / Equipment / Subscription - the split check flags any mismatch.</t>
        </is>
      </c>
    </row>
    <row r="3" ht="6" customHeight="1"/>
    <row r="4" ht="34" customHeight="1">
      <c r="A4" s="19" t="inlineStr">
        <is>
          <t>Date</t>
        </is>
      </c>
      <c r="B4" s="47" t="inlineStr">
        <is>
          <t>Month</t>
        </is>
      </c>
      <c r="C4" s="47" t="inlineStr">
        <is>
          <t>Team</t>
        </is>
      </c>
      <c r="D4" s="19" t="inlineStr">
        <is>
          <t>Cost Centre</t>
        </is>
      </c>
      <c r="E4" s="19" t="inlineStr">
        <is>
          <t>Client</t>
        </is>
      </c>
      <c r="F4" s="19" t="inlineStr">
        <is>
          <t>Job Number</t>
        </is>
      </c>
      <c r="G4" s="47" t="inlineStr">
        <is>
          <t>Job in Xero?</t>
        </is>
      </c>
      <c r="H4" s="19" t="inlineStr">
        <is>
          <t>Description</t>
        </is>
      </c>
      <c r="I4" s="19" t="inlineStr">
        <is>
          <t>Invoice Type</t>
        </is>
      </c>
      <c r="J4" s="19" t="inlineStr">
        <is>
          <t>Xero Invoice No</t>
        </is>
      </c>
      <c r="K4" s="19" t="inlineStr">
        <is>
          <t>Tax Code</t>
        </is>
      </c>
      <c r="L4" s="19" t="inlineStr">
        <is>
          <t>Ex GST</t>
        </is>
      </c>
      <c r="M4" s="47" t="inlineStr">
        <is>
          <t>GST</t>
        </is>
      </c>
      <c r="N4" s="47" t="inlineStr">
        <is>
          <t>Inc GST</t>
        </is>
      </c>
      <c r="O4" s="19" t="inlineStr">
        <is>
          <t>Revenue GL</t>
        </is>
      </c>
      <c r="P4" s="19" t="inlineStr">
        <is>
          <t>Posted to Xero</t>
        </is>
      </c>
      <c r="Q4" s="19" t="inlineStr">
        <is>
          <t>To WIP</t>
        </is>
      </c>
      <c r="R4" s="19" t="inlineStr">
        <is>
          <t>Status</t>
        </is>
      </c>
      <c r="S4" s="19" t="inlineStr">
        <is>
          <t>Notes</t>
        </is>
      </c>
      <c r="T4" s="19" t="inlineStr">
        <is>
          <t>Qwilr Link</t>
        </is>
      </c>
      <c r="U4" s="19" t="inlineStr">
        <is>
          <t>Opportunity No</t>
        </is>
      </c>
      <c r="V4" s="19" t="inlineStr">
        <is>
          <t>Labour Revenue</t>
        </is>
      </c>
      <c r="W4" s="19" t="inlineStr">
        <is>
          <t>Equipment Revenue</t>
        </is>
      </c>
      <c r="X4" s="19" t="inlineStr">
        <is>
          <t>Subscription Revenue</t>
        </is>
      </c>
      <c r="Y4" s="19" t="inlineStr">
        <is>
          <t>Labour Expense (External)</t>
        </is>
      </c>
      <c r="Z4" s="19" t="inlineStr">
        <is>
          <t>Equipment Expense (Internal)</t>
        </is>
      </c>
      <c r="AA4" s="19" t="inlineStr">
        <is>
          <t>Subscription &amp; Licences Expense</t>
        </is>
      </c>
      <c r="AB4" s="47" t="inlineStr">
        <is>
          <t>Total Expense</t>
        </is>
      </c>
      <c r="AC4" s="47" t="inlineStr">
        <is>
          <t>Margin</t>
        </is>
      </c>
      <c r="AD4" s="47" t="inlineStr">
        <is>
          <t>Margin %</t>
        </is>
      </c>
      <c r="AE4" s="47" t="inlineStr">
        <is>
          <t>Revenue Split Check</t>
        </is>
      </c>
    </row>
    <row r="5" ht="15" customHeight="1">
      <c r="A5" s="48" t="n">
        <v>45805</v>
      </c>
      <c r="B5" s="49">
        <f>IF(A5="","",EOMONTH(A5,0))</f>
        <v/>
      </c>
      <c r="C5" s="50">
        <f>"Consulting"</f>
        <v/>
      </c>
      <c r="D5" s="51" t="inlineStr">
        <is>
          <t>CONSULTING</t>
        </is>
      </c>
      <c r="E5" s="51" t="inlineStr">
        <is>
          <t>DAFF</t>
        </is>
      </c>
      <c r="F5" s="51" t="inlineStr">
        <is>
          <t>25021901</t>
        </is>
      </c>
      <c r="G5" s="50">
        <f>IF(F5="","",IF(COUNTIF(lst_Jobs,F5&amp;"")&gt;0,"OK","CHECK"))</f>
        <v/>
      </c>
      <c r="H5" s="51" t="inlineStr">
        <is>
          <t>Technology Standards Evaluation</t>
        </is>
      </c>
      <c r="I5" s="51" t="inlineStr">
        <is>
          <t>Project</t>
        </is>
      </c>
      <c r="J5" s="51" t="inlineStr">
        <is>
          <t>INV-9860</t>
        </is>
      </c>
      <c r="K5" s="51" t="inlineStr">
        <is>
          <t>GST 10%</t>
        </is>
      </c>
      <c r="L5" s="52" t="n">
        <v>9875</v>
      </c>
      <c r="M5" s="53">
        <f>IF(L5="","",IF(K5="GST 10%",ROUND(L5*0.1,2),0))</f>
        <v/>
      </c>
      <c r="N5" s="53">
        <f>IF(L5="","",L5+M5)</f>
        <v/>
      </c>
      <c r="O5" s="51" t="inlineStr">
        <is>
          <t>42800</t>
        </is>
      </c>
      <c r="P5" s="51" t="inlineStr">
        <is>
          <t>Y</t>
        </is>
      </c>
      <c r="Q5" s="51" t="inlineStr">
        <is>
          <t>N</t>
        </is>
      </c>
      <c r="R5" s="51" t="inlineStr">
        <is>
          <t>Invoiced</t>
        </is>
      </c>
      <c r="S5" s="51" t="inlineStr">
        <is>
          <t>Revenue still in WIP</t>
        </is>
      </c>
      <c r="T5" s="51" t="inlineStr">
        <is>
          <t>https://cts.qwilr.com/25021901-DAFF-Technology-Standards-Evaluation-A7PRmNNwQ5Wn</t>
        </is>
      </c>
      <c r="U5" s="51" t="n"/>
      <c r="V5" s="52" t="n">
        <v>9875</v>
      </c>
      <c r="W5" s="52" t="n"/>
      <c r="X5" s="52" t="n"/>
      <c r="Y5" s="52" t="n"/>
      <c r="Z5" s="52" t="n"/>
      <c r="AA5" s="52" t="n"/>
      <c r="AB5" s="53">
        <f>IF(L5="","",N(Y5)+N(Z5)+N(AA5))</f>
        <v/>
      </c>
      <c r="AC5" s="53">
        <f>IF(L5="","",L5-AB5)</f>
        <v/>
      </c>
      <c r="AD5" s="55">
        <f>IFERROR(AC5/L5,"")</f>
        <v/>
      </c>
      <c r="AE5" s="50">
        <f>IF(L5="","",IF(N(V5)+N(W5)+N(X5)=0,"Not split",IF(ROUND(N(V5)+N(W5)+N(X5),2)=ROUND(L5,2),"OK","MISMATCH")))</f>
        <v/>
      </c>
    </row>
    <row r="6" ht="15" customHeight="1">
      <c r="A6" s="48" t="n">
        <v>46101</v>
      </c>
      <c r="B6" s="49">
        <f>IF(A6="","",EOMONTH(A6,0))</f>
        <v/>
      </c>
      <c r="C6" s="50">
        <f>"Consulting"</f>
        <v/>
      </c>
      <c r="D6" s="51" t="inlineStr">
        <is>
          <t>CONSULTING</t>
        </is>
      </c>
      <c r="E6" s="51" t="inlineStr">
        <is>
          <t>DEWR</t>
        </is>
      </c>
      <c r="F6" s="51" t="inlineStr">
        <is>
          <t>25102701</t>
        </is>
      </c>
      <c r="G6" s="50">
        <f>IF(F6="","",IF(COUNTIF(lst_Jobs,F6&amp;"")&gt;0,"OK","CHECK"))</f>
        <v/>
      </c>
      <c r="H6" s="51" t="inlineStr">
        <is>
          <t>DEWR Studio Upgrade</t>
        </is>
      </c>
      <c r="I6" s="51" t="inlineStr">
        <is>
          <t>Project</t>
        </is>
      </c>
      <c r="J6" s="51" t="inlineStr">
        <is>
          <t>INV-10319</t>
        </is>
      </c>
      <c r="K6" s="51" t="inlineStr">
        <is>
          <t>GST 10%</t>
        </is>
      </c>
      <c r="L6" s="52" t="n">
        <v>23050</v>
      </c>
      <c r="M6" s="53">
        <f>IF(L6="","",IF(K6="GST 10%",ROUND(L6*0.1,2),0))</f>
        <v/>
      </c>
      <c r="N6" s="53">
        <f>IF(L6="","",L6+M6)</f>
        <v/>
      </c>
      <c r="O6" s="51" t="inlineStr">
        <is>
          <t>42800</t>
        </is>
      </c>
      <c r="P6" s="51" t="inlineStr">
        <is>
          <t>Y</t>
        </is>
      </c>
      <c r="Q6" s="51" t="inlineStr">
        <is>
          <t>N</t>
        </is>
      </c>
      <c r="R6" s="51" t="inlineStr">
        <is>
          <t>To Invoice</t>
        </is>
      </c>
      <c r="S6" s="51" t="inlineStr">
        <is>
          <t>Progress Claim 01</t>
        </is>
      </c>
      <c r="T6" s="51" t="inlineStr">
        <is>
          <t>https://cts.qwilr.com/25102701-DEWR-Studio-Upgrade-ESE25-143997-Rev-4-KTqWXx2QQz6f</t>
        </is>
      </c>
      <c r="U6" s="51" t="n"/>
      <c r="V6" s="52" t="n">
        <v>23050</v>
      </c>
      <c r="W6" s="52" t="n"/>
      <c r="X6" s="52" t="n"/>
      <c r="Y6" s="52" t="n"/>
      <c r="Z6" s="52" t="n"/>
      <c r="AA6" s="52" t="n"/>
      <c r="AB6" s="53">
        <f>IF(L6="","",N(Y6)+N(Z6)+N(AA6))</f>
        <v/>
      </c>
      <c r="AC6" s="53">
        <f>IF(L6="","",L6-AB6)</f>
        <v/>
      </c>
      <c r="AD6" s="55">
        <f>IFERROR(AC6/L6,"")</f>
        <v/>
      </c>
      <c r="AE6" s="50">
        <f>IF(L6="","",IF(N(V6)+N(W6)+N(X6)=0,"Not split",IF(ROUND(N(V6)+N(W6)+N(X6),2)=ROUND(L6,2),"OK","MISMATCH")))</f>
        <v/>
      </c>
    </row>
    <row r="7" ht="15" customHeight="1">
      <c r="A7" s="48" t="n">
        <v>46104</v>
      </c>
      <c r="B7" s="49">
        <f>IF(A7="","",EOMONTH(A7,0))</f>
        <v/>
      </c>
      <c r="C7" s="50">
        <f>"Consulting"</f>
        <v/>
      </c>
      <c r="D7" s="51" t="inlineStr">
        <is>
          <t>CONSULTING</t>
        </is>
      </c>
      <c r="E7" s="51" t="inlineStr">
        <is>
          <t>DEWR</t>
        </is>
      </c>
      <c r="F7" s="51" t="inlineStr">
        <is>
          <t>25102701</t>
        </is>
      </c>
      <c r="G7" s="50">
        <f>IF(F7="","",IF(COUNTIF(lst_Jobs,F7&amp;"")&gt;0,"OK","CHECK"))</f>
        <v/>
      </c>
      <c r="H7" s="51" t="inlineStr">
        <is>
          <t>DEWR Studio Upgrade</t>
        </is>
      </c>
      <c r="I7" s="51" t="inlineStr">
        <is>
          <t>Project</t>
        </is>
      </c>
      <c r="J7" s="51" t="inlineStr">
        <is>
          <t>INV-10320</t>
        </is>
      </c>
      <c r="K7" s="51" t="inlineStr">
        <is>
          <t>GST 10%</t>
        </is>
      </c>
      <c r="L7" s="52" t="n">
        <v>13250</v>
      </c>
      <c r="M7" s="53">
        <f>IF(L7="","",IF(K7="GST 10%",ROUND(L7*0.1,2),0))</f>
        <v/>
      </c>
      <c r="N7" s="53">
        <f>IF(L7="","",L7+M7)</f>
        <v/>
      </c>
      <c r="O7" s="51" t="inlineStr">
        <is>
          <t>42800</t>
        </is>
      </c>
      <c r="P7" s="51" t="inlineStr">
        <is>
          <t>Y</t>
        </is>
      </c>
      <c r="Q7" s="51" t="inlineStr">
        <is>
          <t>N</t>
        </is>
      </c>
      <c r="R7" s="51" t="inlineStr">
        <is>
          <t>To Invoice</t>
        </is>
      </c>
      <c r="S7" s="51" t="inlineStr">
        <is>
          <t>Progress Claim 02</t>
        </is>
      </c>
      <c r="T7" s="51" t="inlineStr">
        <is>
          <t>https://cts.qwilr.com/25102701-DEWR-Studio-Upgrade-ESE25-143997-Rev-4-KTqWXx2QQz6f</t>
        </is>
      </c>
      <c r="U7" s="51" t="n"/>
      <c r="V7" s="52" t="n">
        <v>13250</v>
      </c>
      <c r="W7" s="52" t="n"/>
      <c r="X7" s="52" t="n"/>
      <c r="Y7" s="52" t="n"/>
      <c r="Z7" s="52" t="n"/>
      <c r="AA7" s="52" t="n"/>
      <c r="AB7" s="53">
        <f>IF(L7="","",N(Y7)+N(Z7)+N(AA7))</f>
        <v/>
      </c>
      <c r="AC7" s="53">
        <f>IF(L7="","",L7-AB7)</f>
        <v/>
      </c>
      <c r="AD7" s="55">
        <f>IFERROR(AC7/L7,"")</f>
        <v/>
      </c>
      <c r="AE7" s="50">
        <f>IF(L7="","",IF(N(V7)+N(W7)+N(X7)=0,"Not split",IF(ROUND(N(V7)+N(W7)+N(X7),2)=ROUND(L7,2),"OK","MISMATCH")))</f>
        <v/>
      </c>
    </row>
    <row r="8" ht="15" customHeight="1">
      <c r="A8" s="48" t="n">
        <v>46128</v>
      </c>
      <c r="B8" s="49">
        <f>IF(A8="","",EOMONTH(A8,0))</f>
        <v/>
      </c>
      <c r="C8" s="50">
        <f>"Consulting"</f>
        <v/>
      </c>
      <c r="D8" s="51" t="inlineStr">
        <is>
          <t>CONSULTING</t>
        </is>
      </c>
      <c r="E8" s="51" t="inlineStr">
        <is>
          <t>DEWR</t>
        </is>
      </c>
      <c r="F8" s="51" t="inlineStr">
        <is>
          <t>25102701</t>
        </is>
      </c>
      <c r="G8" s="50">
        <f>IF(F8="","",IF(COUNTIF(lst_Jobs,F8&amp;"")&gt;0,"OK","CHECK"))</f>
        <v/>
      </c>
      <c r="H8" s="51" t="inlineStr">
        <is>
          <t>DEWR Studio Upgrade</t>
        </is>
      </c>
      <c r="I8" s="51" t="inlineStr">
        <is>
          <t>Project</t>
        </is>
      </c>
      <c r="J8" s="51" t="inlineStr">
        <is>
          <t>INV-10353</t>
        </is>
      </c>
      <c r="K8" s="51" t="inlineStr">
        <is>
          <t>GST 10%</t>
        </is>
      </c>
      <c r="L8" s="52" t="n">
        <v>24410</v>
      </c>
      <c r="M8" s="53">
        <f>IF(L8="","",IF(K8="GST 10%",ROUND(L8*0.1,2),0))</f>
        <v/>
      </c>
      <c r="N8" s="53">
        <f>IF(L8="","",L8+M8)</f>
        <v/>
      </c>
      <c r="O8" s="51" t="inlineStr">
        <is>
          <t>42800</t>
        </is>
      </c>
      <c r="P8" s="51" t="inlineStr">
        <is>
          <t>Y</t>
        </is>
      </c>
      <c r="Q8" s="51" t="inlineStr">
        <is>
          <t>N</t>
        </is>
      </c>
      <c r="R8" s="51" t="inlineStr">
        <is>
          <t>To Invoice</t>
        </is>
      </c>
      <c r="S8" s="51" t="inlineStr">
        <is>
          <t>Progress Claim 03</t>
        </is>
      </c>
      <c r="T8" s="51" t="inlineStr">
        <is>
          <t>https://cts.qwilr.com/25102701-DEWR-Studio-Upgrade-ESE25-143997-Rev-4-KTqWXx2QQz6f</t>
        </is>
      </c>
      <c r="U8" s="51" t="n"/>
      <c r="V8" s="52" t="n">
        <v>24410</v>
      </c>
      <c r="W8" s="52" t="n"/>
      <c r="X8" s="52" t="n"/>
      <c r="Y8" s="52" t="n"/>
      <c r="Z8" s="52" t="n"/>
      <c r="AA8" s="52" t="n"/>
      <c r="AB8" s="53">
        <f>IF(L8="","",N(Y8)+N(Z8)+N(AA8))</f>
        <v/>
      </c>
      <c r="AC8" s="53">
        <f>IF(L8="","",L8-AB8)</f>
        <v/>
      </c>
      <c r="AD8" s="55">
        <f>IFERROR(AC8/L8,"")</f>
        <v/>
      </c>
      <c r="AE8" s="50">
        <f>IF(L8="","",IF(N(V8)+N(W8)+N(X8)=0,"Not split",IF(ROUND(N(V8)+N(W8)+N(X8),2)=ROUND(L8,2),"OK","MISMATCH")))</f>
        <v/>
      </c>
    </row>
    <row r="9" ht="15" customHeight="1">
      <c r="A9" s="48" t="n">
        <v>46162</v>
      </c>
      <c r="B9" s="49">
        <f>IF(A9="","",EOMONTH(A9,0))</f>
        <v/>
      </c>
      <c r="C9" s="50">
        <f>"Consulting"</f>
        <v/>
      </c>
      <c r="D9" s="51" t="inlineStr">
        <is>
          <t>INTEGRATION</t>
        </is>
      </c>
      <c r="E9" s="51" t="inlineStr">
        <is>
          <t>DTTL</t>
        </is>
      </c>
      <c r="F9" s="51" t="inlineStr">
        <is>
          <t>26052002</t>
        </is>
      </c>
      <c r="G9" s="50">
        <f>IF(F9="","",IF(COUNTIF(lst_Jobs,F9&amp;"")&gt;0,"OK","CHECK"))</f>
        <v/>
      </c>
      <c r="H9" s="51" t="inlineStr">
        <is>
          <t>BNE ​L23 Training Rooms Upgrade</t>
        </is>
      </c>
      <c r="I9" s="51" t="inlineStr">
        <is>
          <t>Project</t>
        </is>
      </c>
      <c r="J9" s="51" t="inlineStr">
        <is>
          <t>INV-10425</t>
        </is>
      </c>
      <c r="K9" s="51" t="inlineStr">
        <is>
          <t>GST 10%</t>
        </is>
      </c>
      <c r="L9" s="52" t="n">
        <v>57706</v>
      </c>
      <c r="M9" s="53">
        <f>IF(L9="","",IF(K9="GST 10%",ROUND(L9*0.1,2),0))</f>
        <v/>
      </c>
      <c r="N9" s="53">
        <f>IF(L9="","",L9+M9)</f>
        <v/>
      </c>
      <c r="O9" s="51" t="inlineStr">
        <is>
          <t>42300</t>
        </is>
      </c>
      <c r="P9" s="51" t="inlineStr">
        <is>
          <t>Y</t>
        </is>
      </c>
      <c r="Q9" s="51" t="inlineStr">
        <is>
          <t>N</t>
        </is>
      </c>
      <c r="R9" s="51" t="inlineStr">
        <is>
          <t>To Invoice</t>
        </is>
      </c>
      <c r="S9" s="51" t="n"/>
      <c r="T9" s="51" t="inlineStr">
        <is>
          <t>https://cts.qwilr.com/26052002-DeloitteBNE-Proposal-v1-0-Agx8wV5qTcax</t>
        </is>
      </c>
      <c r="U9" s="51" t="n"/>
      <c r="V9" s="52" t="n">
        <v>18262</v>
      </c>
      <c r="W9" s="52" t="n">
        <v>39444</v>
      </c>
      <c r="X9" s="52" t="n"/>
      <c r="Y9" s="52" t="n">
        <v>15600</v>
      </c>
      <c r="Z9" s="52" t="n">
        <v>36400</v>
      </c>
      <c r="AA9" s="52" t="n"/>
      <c r="AB9" s="53">
        <f>IF(L9="","",N(Y9)+N(Z9)+N(AA9))</f>
        <v/>
      </c>
      <c r="AC9" s="53">
        <f>IF(L9="","",L9-AB9)</f>
        <v/>
      </c>
      <c r="AD9" s="55">
        <f>IFERROR(AC9/L9,"")</f>
        <v/>
      </c>
      <c r="AE9" s="50">
        <f>IF(L9="","",IF(N(V9)+N(W9)+N(X9)=0,"Not split",IF(ROUND(N(V9)+N(W9)+N(X9),2)=ROUND(L9,2),"OK","MISMATCH")))</f>
        <v/>
      </c>
    </row>
    <row r="10" ht="15" customHeight="1">
      <c r="A10" s="48" t="n">
        <v>46163</v>
      </c>
      <c r="B10" s="49">
        <f>IF(A10="","",EOMONTH(A10,0))</f>
        <v/>
      </c>
      <c r="C10" s="50">
        <f>"Consulting"</f>
        <v/>
      </c>
      <c r="D10" s="51" t="inlineStr">
        <is>
          <t>INTEGRATION</t>
        </is>
      </c>
      <c r="E10" s="51" t="inlineStr">
        <is>
          <t>DTTL</t>
        </is>
      </c>
      <c r="F10" s="51" t="inlineStr">
        <is>
          <t>26052003</t>
        </is>
      </c>
      <c r="G10" s="50">
        <f>IF(F10="","",IF(COUNTIF(lst_Jobs,F10&amp;"")&gt;0,"OK","CHECK"))</f>
        <v/>
      </c>
      <c r="H10" s="51" t="inlineStr">
        <is>
          <t>SYD Mobile Display Supply</t>
        </is>
      </c>
      <c r="I10" s="51" t="inlineStr">
        <is>
          <t>Project</t>
        </is>
      </c>
      <c r="J10" s="51" t="inlineStr">
        <is>
          <t>INV-10426</t>
        </is>
      </c>
      <c r="K10" s="51" t="inlineStr">
        <is>
          <t>GST 10%</t>
        </is>
      </c>
      <c r="L10" s="52" t="n">
        <v>26234</v>
      </c>
      <c r="M10" s="53">
        <f>IF(L10="","",IF(K10="GST 10%",ROUND(L10*0.1,2),0))</f>
        <v/>
      </c>
      <c r="N10" s="53">
        <f>IF(L10="","",L10+M10)</f>
        <v/>
      </c>
      <c r="O10" s="51" t="inlineStr">
        <is>
          <t>42300</t>
        </is>
      </c>
      <c r="P10" s="51" t="inlineStr">
        <is>
          <t>Y</t>
        </is>
      </c>
      <c r="Q10" s="51" t="inlineStr">
        <is>
          <t>N</t>
        </is>
      </c>
      <c r="R10" s="51" t="inlineStr">
        <is>
          <t>Paid</t>
        </is>
      </c>
      <c r="S10" s="51" t="n"/>
      <c r="T10" s="51" t="inlineStr">
        <is>
          <t>https://cts.qwilr.com/26052003-DTTL-Costing-v1-0-0mJlWQroQJWo</t>
        </is>
      </c>
      <c r="U10" s="51" t="n"/>
      <c r="V10" s="52" t="n">
        <v>2984</v>
      </c>
      <c r="W10" s="52" t="n">
        <v>23250</v>
      </c>
      <c r="X10" s="52" t="n"/>
      <c r="Y10" s="52" t="n">
        <v>602</v>
      </c>
      <c r="Z10" s="52" t="n">
        <v>19094.31</v>
      </c>
      <c r="AA10" s="52" t="n"/>
      <c r="AB10" s="53">
        <f>IF(L10="","",N(Y10)+N(Z10)+N(AA10))</f>
        <v/>
      </c>
      <c r="AC10" s="53">
        <f>IF(L10="","",L10-AB10)</f>
        <v/>
      </c>
      <c r="AD10" s="55">
        <f>IFERROR(AC10/L10,"")</f>
        <v/>
      </c>
      <c r="AE10" s="50">
        <f>IF(L10="","",IF(N(V10)+N(W10)+N(X10)=0,"Not split",IF(ROUND(N(V10)+N(W10)+N(X10),2)=ROUND(L10,2),"OK","MISMATCH")))</f>
        <v/>
      </c>
    </row>
    <row r="11" ht="15" customHeight="1">
      <c r="A11" s="48" t="n">
        <v>46171</v>
      </c>
      <c r="B11" s="49">
        <f>IF(A11="","",EOMONTH(A11,0))</f>
        <v/>
      </c>
      <c r="C11" s="50">
        <f>"Consulting"</f>
        <v/>
      </c>
      <c r="D11" s="51" t="inlineStr">
        <is>
          <t>CONSULTING</t>
        </is>
      </c>
      <c r="E11" s="51" t="inlineStr">
        <is>
          <t>DEWR</t>
        </is>
      </c>
      <c r="F11" s="51" t="inlineStr">
        <is>
          <t>25102701</t>
        </is>
      </c>
      <c r="G11" s="50">
        <f>IF(F11="","",IF(COUNTIF(lst_Jobs,F11&amp;"")&gt;0,"OK","CHECK"))</f>
        <v/>
      </c>
      <c r="H11" s="51" t="inlineStr">
        <is>
          <t>DEWR Studio Upgrade</t>
        </is>
      </c>
      <c r="I11" s="51" t="inlineStr">
        <is>
          <t>Project</t>
        </is>
      </c>
      <c r="J11" s="51" t="inlineStr">
        <is>
          <t>INV-10442</t>
        </is>
      </c>
      <c r="K11" s="51" t="inlineStr">
        <is>
          <t>GST 10%</t>
        </is>
      </c>
      <c r="L11" s="52" t="n">
        <v>7563</v>
      </c>
      <c r="M11" s="53">
        <f>IF(L11="","",IF(K11="GST 10%",ROUND(L11*0.1,2),0))</f>
        <v/>
      </c>
      <c r="N11" s="53">
        <f>IF(L11="","",L11+M11)</f>
        <v/>
      </c>
      <c r="O11" s="51" t="inlineStr">
        <is>
          <t>42800</t>
        </is>
      </c>
      <c r="P11" s="51" t="inlineStr">
        <is>
          <t>Y</t>
        </is>
      </c>
      <c r="Q11" s="51" t="inlineStr">
        <is>
          <t>N</t>
        </is>
      </c>
      <c r="R11" s="51" t="inlineStr">
        <is>
          <t>To Invoice</t>
        </is>
      </c>
      <c r="S11" s="51" t="inlineStr">
        <is>
          <t>Progress Claim 04</t>
        </is>
      </c>
      <c r="T11" s="51" t="inlineStr">
        <is>
          <t>https://cts.qwilr.com/25102701-DEWR-Studio-Upgrade-ESE25-143997-Rev-4-KTqWXx2QQz6f</t>
        </is>
      </c>
      <c r="U11" s="51" t="n"/>
      <c r="V11" s="52" t="n">
        <v>7563</v>
      </c>
      <c r="W11" s="52" t="n"/>
      <c r="X11" s="52" t="n"/>
      <c r="Y11" s="52" t="n"/>
      <c r="Z11" s="52" t="n">
        <v>149604.26</v>
      </c>
      <c r="AA11" s="52" t="n"/>
      <c r="AB11" s="53">
        <f>IF(L11="","",N(Y11)+N(Z11)+N(AA11))</f>
        <v/>
      </c>
      <c r="AC11" s="53">
        <f>IF(L11="","",L11-AB11)</f>
        <v/>
      </c>
      <c r="AD11" s="55">
        <f>IFERROR(AC11/L11,"")</f>
        <v/>
      </c>
      <c r="AE11" s="50">
        <f>IF(L11="","",IF(N(V11)+N(W11)+N(X11)=0,"Not split",IF(ROUND(N(V11)+N(W11)+N(X11),2)=ROUND(L11,2),"OK","MISMATCH")))</f>
        <v/>
      </c>
    </row>
    <row r="12" ht="15" customHeight="1">
      <c r="A12" s="48" t="n">
        <v>46190</v>
      </c>
      <c r="B12" s="49">
        <f>IF(A12="","",EOMONTH(A12,0))</f>
        <v/>
      </c>
      <c r="C12" s="50">
        <f>"Consulting"</f>
        <v/>
      </c>
      <c r="D12" s="51" t="inlineStr">
        <is>
          <t>INTEGRATION</t>
        </is>
      </c>
      <c r="E12" s="51" t="inlineStr">
        <is>
          <t>PwC</t>
        </is>
      </c>
      <c r="F12" s="51" t="inlineStr">
        <is>
          <t>26051801</t>
        </is>
      </c>
      <c r="G12" s="50">
        <f>IF(F12="","",IF(COUNTIF(lst_Jobs,F12&amp;"")&gt;0,"OK","CHECK"))</f>
        <v/>
      </c>
      <c r="H12" s="51" t="inlineStr">
        <is>
          <t>Mel Studio Equipment</t>
        </is>
      </c>
      <c r="I12" s="51" t="inlineStr">
        <is>
          <t>Project</t>
        </is>
      </c>
      <c r="J12" s="51" t="inlineStr">
        <is>
          <t>INV-10462</t>
        </is>
      </c>
      <c r="K12" s="51" t="inlineStr">
        <is>
          <t>GST 10%</t>
        </is>
      </c>
      <c r="L12" s="52" t="n">
        <v>12039</v>
      </c>
      <c r="M12" s="53">
        <f>IF(L12="","",IF(K12="GST 10%",ROUND(L12*0.1,2),0))</f>
        <v/>
      </c>
      <c r="N12" s="53">
        <f>IF(L12="","",L12+M12)</f>
        <v/>
      </c>
      <c r="O12" s="51" t="inlineStr">
        <is>
          <t>42300</t>
        </is>
      </c>
      <c r="P12" s="51" t="inlineStr">
        <is>
          <t>Y</t>
        </is>
      </c>
      <c r="Q12" s="51" t="inlineStr">
        <is>
          <t>N</t>
        </is>
      </c>
      <c r="R12" s="51" t="inlineStr">
        <is>
          <t>Invoiced</t>
        </is>
      </c>
      <c r="S12" s="51" t="n"/>
      <c r="T12" s="51" t="inlineStr">
        <is>
          <t>https://cts.qwilr.com/26051801-PwC-Costing-v3-0-HUL2JaYQCO39</t>
        </is>
      </c>
      <c r="U12" s="51" t="n"/>
      <c r="V12" s="52" t="n">
        <v>289</v>
      </c>
      <c r="W12" s="52" t="n">
        <v>11750</v>
      </c>
      <c r="X12" s="52" t="n"/>
      <c r="Y12" s="52" t="n">
        <v>237</v>
      </c>
      <c r="Z12" s="52" t="n">
        <v>8810</v>
      </c>
      <c r="AA12" s="52" t="n"/>
      <c r="AB12" s="53">
        <f>IF(L12="","",N(Y12)+N(Z12)+N(AA12))</f>
        <v/>
      </c>
      <c r="AC12" s="53">
        <f>IF(L12="","",L12-AB12)</f>
        <v/>
      </c>
      <c r="AD12" s="55">
        <f>IFERROR(AC12/L12,"")</f>
        <v/>
      </c>
      <c r="AE12" s="50">
        <f>IF(L12="","",IF(N(V12)+N(W12)+N(X12)=0,"Not split",IF(ROUND(N(V12)+N(W12)+N(X12),2)=ROUND(L12,2),"OK","MISMATCH")))</f>
        <v/>
      </c>
    </row>
    <row r="13" ht="15" customHeight="1">
      <c r="A13" s="48" t="n">
        <v>46190</v>
      </c>
      <c r="B13" s="49">
        <f>IF(A13="","",EOMONTH(A13,0))</f>
        <v/>
      </c>
      <c r="C13" s="50">
        <f>"Consulting"</f>
        <v/>
      </c>
      <c r="D13" s="51" t="inlineStr">
        <is>
          <t>INTEGRATION</t>
        </is>
      </c>
      <c r="E13" s="51" t="inlineStr">
        <is>
          <t>PwC</t>
        </is>
      </c>
      <c r="F13" s="51" t="inlineStr">
        <is>
          <t>26043003</t>
        </is>
      </c>
      <c r="G13" s="50">
        <f>IF(F13="","",IF(COUNTIF(lst_Jobs,F13&amp;"")&gt;0,"OK","CHECK"))</f>
        <v/>
      </c>
      <c r="H13" s="51" t="inlineStr">
        <is>
          <t xml:space="preserve">Screen Replacements (SYD/MEL) </t>
        </is>
      </c>
      <c r="I13" s="51" t="inlineStr">
        <is>
          <t>Project</t>
        </is>
      </c>
      <c r="J13" s="51" t="inlineStr">
        <is>
          <t>INV-10461</t>
        </is>
      </c>
      <c r="K13" s="51" t="inlineStr">
        <is>
          <t>GST 10%</t>
        </is>
      </c>
      <c r="L13" s="52" t="n">
        <v>96068</v>
      </c>
      <c r="M13" s="53">
        <f>IF(L13="","",IF(K13="GST 10%",ROUND(L13*0.1,2),0))</f>
        <v/>
      </c>
      <c r="N13" s="53">
        <f>IF(L13="","",L13+M13)</f>
        <v/>
      </c>
      <c r="O13" s="51" t="inlineStr">
        <is>
          <t>42300</t>
        </is>
      </c>
      <c r="P13" s="51" t="inlineStr">
        <is>
          <t>Y</t>
        </is>
      </c>
      <c r="Q13" s="51" t="inlineStr">
        <is>
          <t>N</t>
        </is>
      </c>
      <c r="R13" s="51" t="inlineStr">
        <is>
          <t>Paid</t>
        </is>
      </c>
      <c r="S13" s="51" t="n"/>
      <c r="T13" s="51" t="inlineStr">
        <is>
          <t>https://cts.qwilr.com/26043003-PwC-Costing-v1-0-LoPgcYilSIWh</t>
        </is>
      </c>
      <c r="U13" s="51" t="n"/>
      <c r="V13" s="52" t="n">
        <v>17766</v>
      </c>
      <c r="W13" s="52" t="n">
        <v>78301</v>
      </c>
      <c r="X13" s="52" t="n"/>
      <c r="Y13" s="52" t="n">
        <v>13439</v>
      </c>
      <c r="Z13" s="52" t="n">
        <v>74537</v>
      </c>
      <c r="AA13" s="52" t="n"/>
      <c r="AB13" s="53">
        <f>IF(L13="","",N(Y13)+N(Z13)+N(AA13))</f>
        <v/>
      </c>
      <c r="AC13" s="53">
        <f>IF(L13="","",L13-AB13)</f>
        <v/>
      </c>
      <c r="AD13" s="55">
        <f>IFERROR(AC13/L13,"")</f>
        <v/>
      </c>
      <c r="AE13" s="50">
        <f>IF(L13="","",IF(N(V13)+N(W13)+N(X13)=0,"Not split",IF(ROUND(N(V13)+N(W13)+N(X13),2)=ROUND(L13,2),"OK","MISMATCH")))</f>
        <v/>
      </c>
    </row>
    <row r="14" ht="15" customHeight="1">
      <c r="A14" s="48" t="n">
        <v>46198</v>
      </c>
      <c r="B14" s="49">
        <f>IF(A14="","",EOMONTH(A14,0))</f>
        <v/>
      </c>
      <c r="C14" s="50">
        <f>"Consulting"</f>
        <v/>
      </c>
      <c r="D14" s="51" t="inlineStr">
        <is>
          <t>INTEGRATION</t>
        </is>
      </c>
      <c r="E14" s="51" t="inlineStr">
        <is>
          <t>PwC</t>
        </is>
      </c>
      <c r="F14" s="51" t="inlineStr">
        <is>
          <t>2606901</t>
        </is>
      </c>
      <c r="G14" s="50">
        <f>IF(F14="","",IF(COUNTIF(lst_Jobs,F14&amp;"")&gt;0,"OK","CHECK"))</f>
        <v/>
      </c>
      <c r="H14" s="51" t="inlineStr">
        <is>
          <t>Sydney Office box drop</t>
        </is>
      </c>
      <c r="I14" s="51" t="inlineStr">
        <is>
          <t>Project</t>
        </is>
      </c>
      <c r="J14" s="51" t="inlineStr">
        <is>
          <t>INV-10500</t>
        </is>
      </c>
      <c r="K14" s="51" t="inlineStr">
        <is>
          <t>GST 10%</t>
        </is>
      </c>
      <c r="L14" s="52" t="n">
        <v>561</v>
      </c>
      <c r="M14" s="53">
        <f>IF(L14="","",IF(K14="GST 10%",ROUND(L14*0.1,2),0))</f>
        <v/>
      </c>
      <c r="N14" s="53">
        <f>IF(L14="","",L14+M14)</f>
        <v/>
      </c>
      <c r="O14" s="51" t="inlineStr">
        <is>
          <t>42300</t>
        </is>
      </c>
      <c r="P14" s="51" t="inlineStr">
        <is>
          <t>Y</t>
        </is>
      </c>
      <c r="Q14" s="51" t="inlineStr">
        <is>
          <t>N</t>
        </is>
      </c>
      <c r="R14" s="51" t="inlineStr">
        <is>
          <t>Paid</t>
        </is>
      </c>
      <c r="S14" s="51" t="n"/>
      <c r="T14" s="51" t="inlineStr">
        <is>
          <t>https://app.qwilr.com/#/page-view/6a336995d5bfec1e1c7a08ed</t>
        </is>
      </c>
      <c r="U14" s="51" t="n"/>
      <c r="V14" s="52" t="n">
        <v>41</v>
      </c>
      <c r="W14" s="52" t="n">
        <v>520</v>
      </c>
      <c r="X14" s="52" t="n"/>
      <c r="Y14" s="52" t="n">
        <v>30.98</v>
      </c>
      <c r="Z14" s="52" t="n">
        <v>389</v>
      </c>
      <c r="AA14" s="52" t="n"/>
      <c r="AB14" s="53">
        <f>IF(L14="","",N(Y14)+N(Z14)+N(AA14))</f>
        <v/>
      </c>
      <c r="AC14" s="53">
        <f>IF(L14="","",L14-AB14)</f>
        <v/>
      </c>
      <c r="AD14" s="55">
        <f>IFERROR(AC14/L14,"")</f>
        <v/>
      </c>
      <c r="AE14" s="50">
        <f>IF(L14="","",IF(N(V14)+N(W14)+N(X14)=0,"Not split",IF(ROUND(N(V14)+N(W14)+N(X14),2)=ROUND(L14,2),"OK","MISMATCH")))</f>
        <v/>
      </c>
    </row>
    <row r="15" ht="15" customHeight="1">
      <c r="A15" s="48" t="n">
        <v>46198</v>
      </c>
      <c r="B15" s="49">
        <f>IF(A15="","",EOMONTH(A15,0))</f>
        <v/>
      </c>
      <c r="C15" s="50">
        <f>"Consulting"</f>
        <v/>
      </c>
      <c r="D15" s="51" t="inlineStr">
        <is>
          <t>CONSULTING</t>
        </is>
      </c>
      <c r="E15" s="51" t="inlineStr">
        <is>
          <t>YSG Studio</t>
        </is>
      </c>
      <c r="F15" s="51" t="inlineStr">
        <is>
          <t>2602203</t>
        </is>
      </c>
      <c r="G15" s="50">
        <f>IF(F15="","",IF(COUNTIF(lst_Jobs,F15&amp;"")&gt;0,"OK","CHECK"))</f>
        <v/>
      </c>
      <c r="H15" s="51" t="inlineStr">
        <is>
          <t xml:space="preserve">Orange Room Upgrade CONS </t>
        </is>
      </c>
      <c r="I15" s="51" t="inlineStr">
        <is>
          <t>Project</t>
        </is>
      </c>
      <c r="J15" s="51" t="inlineStr">
        <is>
          <t>INV-10499</t>
        </is>
      </c>
      <c r="K15" s="51" t="inlineStr">
        <is>
          <t>GST 10%</t>
        </is>
      </c>
      <c r="L15" s="52" t="n">
        <v>2247.5</v>
      </c>
      <c r="M15" s="53">
        <f>IF(L15="","",IF(K15="GST 10%",ROUND(L15*0.1,2),0))</f>
        <v/>
      </c>
      <c r="N15" s="53">
        <f>IF(L15="","",L15+M15)</f>
        <v/>
      </c>
      <c r="O15" s="51" t="inlineStr">
        <is>
          <t>42800</t>
        </is>
      </c>
      <c r="P15" s="51" t="inlineStr">
        <is>
          <t>Y</t>
        </is>
      </c>
      <c r="Q15" s="51" t="inlineStr">
        <is>
          <t>N</t>
        </is>
      </c>
      <c r="R15" s="51" t="inlineStr">
        <is>
          <t>To Invoice</t>
        </is>
      </c>
      <c r="S15" s="51" t="inlineStr">
        <is>
          <t>Progress Claim 03</t>
        </is>
      </c>
      <c r="T15" s="51" t="inlineStr">
        <is>
          <t>https://cts.qwilr.com/2602203-YSGStudio-Proposal-A-Yw8447MlTUK7</t>
        </is>
      </c>
      <c r="U15" s="51" t="n"/>
      <c r="V15" s="52" t="n">
        <v>2247.5</v>
      </c>
      <c r="W15" s="52" t="n"/>
      <c r="X15" s="52" t="n"/>
      <c r="Y15" s="52" t="n">
        <v>4840.96</v>
      </c>
      <c r="Z15" s="52" t="n">
        <v>17621.33</v>
      </c>
      <c r="AA15" s="52" t="n"/>
      <c r="AB15" s="53">
        <f>IF(L15="","",N(Y15)+N(Z15)+N(AA15))</f>
        <v/>
      </c>
      <c r="AC15" s="53">
        <f>IF(L15="","",L15-AB15)</f>
        <v/>
      </c>
      <c r="AD15" s="55">
        <f>IFERROR(AC15/L15,"")</f>
        <v/>
      </c>
      <c r="AE15" s="50">
        <f>IF(L15="","",IF(N(V15)+N(W15)+N(X15)=0,"Not split",IF(ROUND(N(V15)+N(W15)+N(X15),2)=ROUND(L15,2),"OK","MISMATCH")))</f>
        <v/>
      </c>
    </row>
    <row r="16" ht="15" customHeight="1">
      <c r="A16" s="48" t="n">
        <v>46203</v>
      </c>
      <c r="B16" s="49">
        <f>IF(A16="","",EOMONTH(A16,0))</f>
        <v/>
      </c>
      <c r="C16" s="50">
        <f>"Consulting"</f>
        <v/>
      </c>
      <c r="D16" s="51" t="inlineStr">
        <is>
          <t>INTEGRATION</t>
        </is>
      </c>
      <c r="E16" s="51" t="inlineStr">
        <is>
          <t>CoS</t>
        </is>
      </c>
      <c r="F16" s="51" t="inlineStr">
        <is>
          <t>25111203</t>
        </is>
      </c>
      <c r="G16" s="50">
        <f>IF(F16="","",IF(COUNTIF(lst_Jobs,F16&amp;"")&gt;0,"OK","CHECK"))</f>
        <v/>
      </c>
      <c r="H16" s="51" t="inlineStr">
        <is>
          <t>Barco E3 Sale</t>
        </is>
      </c>
      <c r="I16" s="51" t="inlineStr">
        <is>
          <t>Project</t>
        </is>
      </c>
      <c r="J16" s="51" t="inlineStr">
        <is>
          <t>INV-10510</t>
        </is>
      </c>
      <c r="K16" s="51" t="inlineStr">
        <is>
          <t>GST 10%</t>
        </is>
      </c>
      <c r="L16" s="52" t="n">
        <v>159150</v>
      </c>
      <c r="M16" s="53">
        <f>IF(L16="","",IF(K16="GST 10%",ROUND(L16*0.1,2),0))</f>
        <v/>
      </c>
      <c r="N16" s="53">
        <f>IF(L16="","",L16+M16)</f>
        <v/>
      </c>
      <c r="O16" s="51" t="inlineStr">
        <is>
          <t>42300</t>
        </is>
      </c>
      <c r="P16" s="51" t="inlineStr">
        <is>
          <t>Y</t>
        </is>
      </c>
      <c r="Q16" s="51" t="inlineStr">
        <is>
          <t>N</t>
        </is>
      </c>
      <c r="R16" s="51" t="inlineStr">
        <is>
          <t>Paid</t>
        </is>
      </c>
      <c r="S16" s="51" t="n"/>
      <c r="T16" s="51" t="inlineStr">
        <is>
          <t>https://cts.qwilr.com/25111203-CoS-Proposal-v3-0-SyP1MwQ2TcKi</t>
        </is>
      </c>
      <c r="U16" s="51" t="n"/>
      <c r="V16" s="52" t="n"/>
      <c r="W16" s="52" t="n">
        <v>159150</v>
      </c>
      <c r="X16" s="52" t="n"/>
      <c r="Y16" s="52" t="n"/>
      <c r="Z16" s="52" t="n">
        <v>149604.26</v>
      </c>
      <c r="AA16" s="52" t="n"/>
      <c r="AB16" s="53">
        <f>IF(L16="","",N(Y16)+N(Z16)+N(AA16))</f>
        <v/>
      </c>
      <c r="AC16" s="53">
        <f>IF(L16="","",L16-AB16)</f>
        <v/>
      </c>
      <c r="AD16" s="55">
        <f>IFERROR(AC16/L16,"")</f>
        <v/>
      </c>
      <c r="AE16" s="50">
        <f>IF(L16="","",IF(N(V16)+N(W16)+N(X16)=0,"Not split",IF(ROUND(N(V16)+N(W16)+N(X16),2)=ROUND(L16,2),"OK","MISMATCH")))</f>
        <v/>
      </c>
    </row>
    <row r="17" ht="15" customHeight="1">
      <c r="A17" s="48" t="n">
        <v>46203</v>
      </c>
      <c r="B17" s="49">
        <f>IF(A17="","",EOMONTH(A17,0))</f>
        <v/>
      </c>
      <c r="C17" s="50">
        <f>"Consulting"</f>
        <v/>
      </c>
      <c r="D17" s="51" t="inlineStr">
        <is>
          <t>INTEGRATION</t>
        </is>
      </c>
      <c r="E17" s="51" t="inlineStr">
        <is>
          <t>DTTL</t>
        </is>
      </c>
      <c r="F17" s="51" t="inlineStr">
        <is>
          <t>26033003</t>
        </is>
      </c>
      <c r="G17" s="50">
        <f>IF(F17="","",IF(COUNTIF(lst_Jobs,F17&amp;"")&gt;0,"OK","CHECK"))</f>
        <v/>
      </c>
      <c r="H17" s="51" t="inlineStr">
        <is>
          <t>8PSQ-Dream-Big-Microphones</t>
        </is>
      </c>
      <c r="I17" s="51" t="inlineStr">
        <is>
          <t>Project</t>
        </is>
      </c>
      <c r="J17" s="51" t="inlineStr">
        <is>
          <t>INV-10355</t>
        </is>
      </c>
      <c r="K17" s="51" t="inlineStr">
        <is>
          <t>GST 10%</t>
        </is>
      </c>
      <c r="L17" s="52" t="n">
        <v>27408</v>
      </c>
      <c r="M17" s="53">
        <f>IF(L17="","",IF(K17="GST 10%",ROUND(L17*0.1,2),0))</f>
        <v/>
      </c>
      <c r="N17" s="53">
        <f>IF(L17="","",L17+M17)</f>
        <v/>
      </c>
      <c r="O17" s="51" t="inlineStr">
        <is>
          <t>42300</t>
        </is>
      </c>
      <c r="P17" s="51" t="inlineStr">
        <is>
          <t>Y</t>
        </is>
      </c>
      <c r="Q17" s="51" t="inlineStr">
        <is>
          <t>N</t>
        </is>
      </c>
      <c r="R17" s="51" t="inlineStr">
        <is>
          <t>Paid</t>
        </is>
      </c>
      <c r="S17" s="51" t="inlineStr">
        <is>
          <t>Invoiced in DTTL Additionals</t>
        </is>
      </c>
      <c r="T17" s="51" t="inlineStr">
        <is>
          <t>26033003-Deloitte-8PSQ-Dream-Big-Microphones-v1-0-E9jd4w9T62Y1</t>
        </is>
      </c>
      <c r="U17" s="51" t="n"/>
      <c r="V17" s="52" t="n">
        <v>5904</v>
      </c>
      <c r="W17" s="52" t="n">
        <v>21504</v>
      </c>
      <c r="X17" s="52" t="n"/>
      <c r="Y17" s="52" t="n">
        <v>4840.8</v>
      </c>
      <c r="Z17" s="52" t="n">
        <v>17621.2</v>
      </c>
      <c r="AA17" s="52" t="n"/>
      <c r="AB17" s="53">
        <f>IF(L17="","",N(Y17)+N(Z17)+N(AA17))</f>
        <v/>
      </c>
      <c r="AC17" s="53">
        <f>IF(L17="","",L17-AB17)</f>
        <v/>
      </c>
      <c r="AD17" s="55">
        <f>IFERROR(AC17/L17,"")</f>
        <v/>
      </c>
      <c r="AE17" s="50">
        <f>IF(L17="","",IF(N(V17)+N(W17)+N(X17)=0,"Not split",IF(ROUND(N(V17)+N(W17)+N(X17),2)=ROUND(L17,2),"OK","MISMATCH")))</f>
        <v/>
      </c>
    </row>
    <row r="18" ht="15" customHeight="1">
      <c r="A18" s="48" t="n">
        <v>46203</v>
      </c>
      <c r="B18" s="49">
        <f>IF(A18="","",EOMONTH(A18,0))</f>
        <v/>
      </c>
      <c r="C18" s="50">
        <f>"Consulting"</f>
        <v/>
      </c>
      <c r="D18" s="51" t="inlineStr">
        <is>
          <t>INTEGRATION</t>
        </is>
      </c>
      <c r="E18" s="51" t="inlineStr">
        <is>
          <t>DTTL</t>
        </is>
      </c>
      <c r="F18" s="51" t="inlineStr">
        <is>
          <t>26033005</t>
        </is>
      </c>
      <c r="G18" s="50">
        <f>IF(F18="","",IF(COUNTIF(lst_Jobs,F18&amp;"")&gt;0,"OK","CHECK"))</f>
        <v/>
      </c>
      <c r="H18" s="51" t="inlineStr">
        <is>
          <t>QQT &amp; 8PSQ_Crestron Connect Adaptor</t>
        </is>
      </c>
      <c r="I18" s="51" t="inlineStr">
        <is>
          <t>Project</t>
        </is>
      </c>
      <c r="J18" s="51" t="inlineStr">
        <is>
          <t>INV-10355</t>
        </is>
      </c>
      <c r="K18" s="51" t="inlineStr">
        <is>
          <t>GST 10%</t>
        </is>
      </c>
      <c r="L18" s="52" t="n">
        <v>20128</v>
      </c>
      <c r="M18" s="53">
        <f>IF(L18="","",IF(K18="GST 10%",ROUND(L18*0.1,2),0))</f>
        <v/>
      </c>
      <c r="N18" s="53">
        <f>IF(L18="","",L18+M18)</f>
        <v/>
      </c>
      <c r="O18" s="51" t="inlineStr">
        <is>
          <t>42300</t>
        </is>
      </c>
      <c r="P18" s="51" t="inlineStr">
        <is>
          <t>Y</t>
        </is>
      </c>
      <c r="Q18" s="51" t="inlineStr">
        <is>
          <t>N</t>
        </is>
      </c>
      <c r="R18" s="51" t="inlineStr">
        <is>
          <t>To Invoice</t>
        </is>
      </c>
      <c r="S18" s="51" t="n"/>
      <c r="T18" s="51" t="inlineStr">
        <is>
          <t>26033005_Deloitte QQT &amp; 8PSQ_Crestron Connect Adaptor_v1.0</t>
        </is>
      </c>
      <c r="U18" s="51" t="n"/>
      <c r="V18" s="52" t="n">
        <v>4105</v>
      </c>
      <c r="W18" s="52" t="n">
        <v>16023</v>
      </c>
      <c r="X18" s="52" t="n"/>
      <c r="Y18" s="52" t="n">
        <v>3013.72</v>
      </c>
      <c r="Z18" s="52" t="n">
        <v>13493.15</v>
      </c>
      <c r="AA18" s="52" t="n"/>
      <c r="AB18" s="53">
        <f>IF(L18="","",N(Y18)+N(Z18)+N(AA18))</f>
        <v/>
      </c>
      <c r="AC18" s="53">
        <f>IF(L18="","",L18-AB18)</f>
        <v/>
      </c>
      <c r="AD18" s="55">
        <f>IFERROR(AC18/L18,"")</f>
        <v/>
      </c>
      <c r="AE18" s="50">
        <f>IF(L18="","",IF(N(V18)+N(W18)+N(X18)=0,"Not split",IF(ROUND(N(V18)+N(W18)+N(X18),2)=ROUND(L18,2),"OK","MISMATCH")))</f>
        <v/>
      </c>
    </row>
    <row r="19" ht="15" customHeight="1">
      <c r="A19" s="48" t="n">
        <v>46203</v>
      </c>
      <c r="B19" s="49">
        <f>IF(A19="","",EOMONTH(A19,0))</f>
        <v/>
      </c>
      <c r="C19" s="50">
        <f>"Consulting"</f>
        <v/>
      </c>
      <c r="D19" s="51" t="inlineStr">
        <is>
          <t>INTEGRATION</t>
        </is>
      </c>
      <c r="E19" s="51" t="inlineStr">
        <is>
          <t>DTTL</t>
        </is>
      </c>
      <c r="F19" s="51" t="inlineStr">
        <is>
          <t>26033006</t>
        </is>
      </c>
      <c r="G19" s="50">
        <f>IF(F19="","",IF(COUNTIF(lst_Jobs,F19&amp;"")&gt;0,"OK","CHECK"))</f>
        <v/>
      </c>
      <c r="H19" s="51" t="inlineStr">
        <is>
          <t>8PSQ_Bluetooth Audio</t>
        </is>
      </c>
      <c r="I19" s="51" t="inlineStr">
        <is>
          <t>Project</t>
        </is>
      </c>
      <c r="J19" s="51" t="inlineStr">
        <is>
          <t>INV-10355</t>
        </is>
      </c>
      <c r="K19" s="51" t="inlineStr">
        <is>
          <t>GST 10%</t>
        </is>
      </c>
      <c r="L19" s="52" t="n">
        <v>5065</v>
      </c>
      <c r="M19" s="53">
        <f>IF(L19="","",IF(K19="GST 10%",ROUND(L19*0.1,2),0))</f>
        <v/>
      </c>
      <c r="N19" s="53">
        <f>IF(L19="","",L19+M19)</f>
        <v/>
      </c>
      <c r="O19" s="51" t="inlineStr">
        <is>
          <t>42300</t>
        </is>
      </c>
      <c r="P19" s="51" t="inlineStr">
        <is>
          <t>Y</t>
        </is>
      </c>
      <c r="Q19" s="51" t="inlineStr">
        <is>
          <t>N</t>
        </is>
      </c>
      <c r="R19" s="51" t="inlineStr">
        <is>
          <t>To Invoice</t>
        </is>
      </c>
      <c r="S19" s="51" t="n"/>
      <c r="T19" s="51" t="inlineStr">
        <is>
          <t>26033006_Deloitte 8PSQ_Bluetooth Audio_v1.0</t>
        </is>
      </c>
      <c r="U19" s="51" t="n"/>
      <c r="V19" s="52" t="n">
        <v>2578</v>
      </c>
      <c r="W19" s="52" t="n">
        <v>2487</v>
      </c>
      <c r="X19" s="52" t="n"/>
      <c r="Y19" s="52" t="n">
        <v>2114</v>
      </c>
      <c r="Z19" s="52" t="n">
        <v>2110</v>
      </c>
      <c r="AA19" s="52" t="n"/>
      <c r="AB19" s="53">
        <f>IF(L19="","",N(Y19)+N(Z19)+N(AA19))</f>
        <v/>
      </c>
      <c r="AC19" s="53">
        <f>IF(L19="","",L19-AB19)</f>
        <v/>
      </c>
      <c r="AD19" s="55">
        <f>IFERROR(AC19/L19,"")</f>
        <v/>
      </c>
      <c r="AE19" s="50">
        <f>IF(L19="","",IF(N(V19)+N(W19)+N(X19)=0,"Not split",IF(ROUND(N(V19)+N(W19)+N(X19),2)=ROUND(L19,2),"OK","MISMATCH")))</f>
        <v/>
      </c>
    </row>
    <row r="20" ht="15" customHeight="1">
      <c r="A20" s="48" t="n">
        <v>46203</v>
      </c>
      <c r="B20" s="49">
        <f>IF(A20="","",EOMONTH(A20,0))</f>
        <v/>
      </c>
      <c r="C20" s="50">
        <f>"Consulting"</f>
        <v/>
      </c>
      <c r="D20" s="51" t="inlineStr">
        <is>
          <t>INTEGRATION</t>
        </is>
      </c>
      <c r="E20" s="51" t="inlineStr">
        <is>
          <t>DTTL</t>
        </is>
      </c>
      <c r="F20" s="51" t="inlineStr">
        <is>
          <t>26033007</t>
        </is>
      </c>
      <c r="G20" s="50">
        <f>IF(F20="","",IF(COUNTIF(lst_Jobs,F20&amp;"")&gt;0,"OK","CHECK"))</f>
        <v/>
      </c>
      <c r="H20" s="51" t="inlineStr">
        <is>
          <t>QQT_Lv45 Seminar-Wheels repair</t>
        </is>
      </c>
      <c r="I20" s="51" t="inlineStr">
        <is>
          <t>Project</t>
        </is>
      </c>
      <c r="J20" s="51" t="inlineStr">
        <is>
          <t>INV-10355</t>
        </is>
      </c>
      <c r="K20" s="51" t="inlineStr">
        <is>
          <t>GST 10%</t>
        </is>
      </c>
      <c r="L20" s="52" t="n">
        <v>354</v>
      </c>
      <c r="M20" s="53">
        <f>IF(L20="","",IF(K20="GST 10%",ROUND(L20*0.1,2),0))</f>
        <v/>
      </c>
      <c r="N20" s="53">
        <f>IF(L20="","",L20+M20)</f>
        <v/>
      </c>
      <c r="O20" s="51" t="inlineStr">
        <is>
          <t>42300</t>
        </is>
      </c>
      <c r="P20" s="51" t="inlineStr">
        <is>
          <t>Y</t>
        </is>
      </c>
      <c r="Q20" s="51" t="inlineStr">
        <is>
          <t>N</t>
        </is>
      </c>
      <c r="R20" s="51" t="inlineStr">
        <is>
          <t>To Invoice</t>
        </is>
      </c>
      <c r="S20" s="51" t="n"/>
      <c r="T20" s="51" t="inlineStr">
        <is>
          <t>26033007_Deloitte QQT_Lv45 Seminar-Wheels repair_v1.0</t>
        </is>
      </c>
      <c r="U20" s="51" t="n"/>
      <c r="V20" s="52" t="n"/>
      <c r="W20" s="52" t="n">
        <v>354</v>
      </c>
      <c r="X20" s="52" t="n"/>
      <c r="Y20" s="52" t="n"/>
      <c r="Z20" s="52" t="n">
        <v>289.42</v>
      </c>
      <c r="AA20" s="52" t="n"/>
      <c r="AB20" s="53">
        <f>IF(L20="","",N(Y20)+N(Z20)+N(AA20))</f>
        <v/>
      </c>
      <c r="AC20" s="53">
        <f>IF(L20="","",L20-AB20)</f>
        <v/>
      </c>
      <c r="AD20" s="55">
        <f>IFERROR(AC20/L20,"")</f>
        <v/>
      </c>
      <c r="AE20" s="50">
        <f>IF(L20="","",IF(N(V20)+N(W20)+N(X20)=0,"Not split",IF(ROUND(N(V20)+N(W20)+N(X20),2)=ROUND(L20,2),"OK","MISMATCH")))</f>
        <v/>
      </c>
    </row>
    <row r="21" ht="15" customHeight="1">
      <c r="A21" s="48" t="n">
        <v>46209</v>
      </c>
      <c r="B21" s="49">
        <f>IF(A21="","",EOMONTH(A21,0))</f>
        <v/>
      </c>
      <c r="C21" s="50">
        <f>"Consulting"</f>
        <v/>
      </c>
      <c r="D21" s="51" t="inlineStr">
        <is>
          <t>INTEGRATION</t>
        </is>
      </c>
      <c r="E21" s="51" t="inlineStr">
        <is>
          <t>HP Poly - BAE</t>
        </is>
      </c>
      <c r="F21" s="51" t="inlineStr">
        <is>
          <t>26051301</t>
        </is>
      </c>
      <c r="G21" s="50">
        <f>IF(F21="","",IF(COUNTIF(lst_Jobs,F21&amp;"")&gt;0,"OK","CHECK"))</f>
        <v/>
      </c>
      <c r="H21" s="51" t="inlineStr">
        <is>
          <t>Phone Mod</t>
        </is>
      </c>
      <c r="I21" s="51" t="inlineStr">
        <is>
          <t>Project</t>
        </is>
      </c>
      <c r="J21" s="51" t="inlineStr">
        <is>
          <t>INV-10516</t>
        </is>
      </c>
      <c r="K21" s="51" t="inlineStr">
        <is>
          <t>GST 10%</t>
        </is>
      </c>
      <c r="L21" s="52" t="n">
        <v>1161</v>
      </c>
      <c r="M21" s="53">
        <f>IF(L21="","",IF(K21="GST 10%",ROUND(L21*0.1,2),0))</f>
        <v/>
      </c>
      <c r="N21" s="53">
        <f>IF(L21="","",L21+M21)</f>
        <v/>
      </c>
      <c r="O21" s="51" t="inlineStr">
        <is>
          <t>42300</t>
        </is>
      </c>
      <c r="P21" s="51" t="inlineStr">
        <is>
          <t>Y</t>
        </is>
      </c>
      <c r="Q21" s="51" t="inlineStr">
        <is>
          <t>N</t>
        </is>
      </c>
      <c r="R21" s="51" t="inlineStr">
        <is>
          <t>Paid</t>
        </is>
      </c>
      <c r="S21" s="51" t="n"/>
      <c r="T21" s="51" t="inlineStr">
        <is>
          <t>https://cts.qwilr.com/26051301-HP-BAE-PhoneMod-v1-0-nL48O1eQt25h</t>
        </is>
      </c>
      <c r="U21" s="51" t="n"/>
      <c r="V21" s="52" t="n">
        <v>552</v>
      </c>
      <c r="W21" s="52" t="n">
        <v>609</v>
      </c>
      <c r="X21" s="52" t="n"/>
      <c r="Y21" s="52" t="n">
        <v>486</v>
      </c>
      <c r="Z21" s="52" t="n">
        <v>402</v>
      </c>
      <c r="AA21" s="52" t="n"/>
      <c r="AB21" s="53">
        <f>IF(L21="","",N(Y21)+N(Z21)+N(AA21))</f>
        <v/>
      </c>
      <c r="AC21" s="53">
        <f>IF(L21="","",L21-AB21)</f>
        <v/>
      </c>
      <c r="AD21" s="55">
        <f>IFERROR(AC21/L21,"")</f>
        <v/>
      </c>
      <c r="AE21" s="50">
        <f>IF(L21="","",IF(N(V21)+N(W21)+N(X21)=0,"Not split",IF(ROUND(N(V21)+N(W21)+N(X21),2)=ROUND(L21,2),"OK","MISMATCH")))</f>
        <v/>
      </c>
    </row>
    <row r="22" ht="15" customHeight="1">
      <c r="A22" s="48" t="n">
        <v>46233</v>
      </c>
      <c r="B22" s="49">
        <f>IF(A22="","",EOMONTH(A22,0))</f>
        <v/>
      </c>
      <c r="C22" s="50">
        <f>"Consulting"</f>
        <v/>
      </c>
      <c r="D22" s="51" t="inlineStr">
        <is>
          <t>INTEGRATION</t>
        </is>
      </c>
      <c r="E22" s="51" t="inlineStr">
        <is>
          <t>DTTL</t>
        </is>
      </c>
      <c r="F22" s="51" t="inlineStr">
        <is>
          <t>26061501</t>
        </is>
      </c>
      <c r="G22" s="50">
        <f>IF(F22="","",IF(COUNTIF(lst_Jobs,F22&amp;"")&gt;0,"OK","CHECK"))</f>
        <v/>
      </c>
      <c r="H22" s="51" t="inlineStr">
        <is>
          <t>MEL Lv29 Display Supply</t>
        </is>
      </c>
      <c r="I22" s="51" t="inlineStr">
        <is>
          <t>Project</t>
        </is>
      </c>
      <c r="J22" s="51" t="inlineStr">
        <is>
          <t>INV-10546</t>
        </is>
      </c>
      <c r="K22" s="51" t="inlineStr">
        <is>
          <t>GST 10%</t>
        </is>
      </c>
      <c r="L22" s="52" t="n">
        <v>3890</v>
      </c>
      <c r="M22" s="53">
        <f>IF(L22="","",IF(K22="GST 10%",ROUND(L22*0.1,2),0))</f>
        <v/>
      </c>
      <c r="N22" s="53">
        <f>IF(L22="","",L22+M22)</f>
        <v/>
      </c>
      <c r="O22" s="51" t="inlineStr">
        <is>
          <t>42300</t>
        </is>
      </c>
      <c r="P22" s="51" t="inlineStr">
        <is>
          <t>Y</t>
        </is>
      </c>
      <c r="Q22" s="51" t="inlineStr">
        <is>
          <t>N</t>
        </is>
      </c>
      <c r="R22" s="51" t="inlineStr">
        <is>
          <t>Paid</t>
        </is>
      </c>
      <c r="S22" s="51" t="n"/>
      <c r="T22" s="51" t="inlineStr">
        <is>
          <t>https://cts.qwilr.com/26061501-DTTL-Costing-v1-0-3HdQMOES9eDo</t>
        </is>
      </c>
      <c r="U22" s="51" t="n"/>
      <c r="V22" s="52" t="n">
        <v>1639</v>
      </c>
      <c r="W22" s="52" t="n">
        <v>2251</v>
      </c>
      <c r="X22" s="52" t="n"/>
      <c r="Y22" s="52" t="n">
        <v>1344.2</v>
      </c>
      <c r="Z22" s="52" t="n">
        <v>1688.07</v>
      </c>
      <c r="AA22" s="52" t="n"/>
      <c r="AB22" s="53">
        <f>IF(L22="","",N(Y22)+N(Z22)+N(AA22))</f>
        <v/>
      </c>
      <c r="AC22" s="53">
        <f>IF(L22="","",L22-AB22)</f>
        <v/>
      </c>
      <c r="AD22" s="55">
        <f>IFERROR(AC22/L22,"")</f>
        <v/>
      </c>
      <c r="AE22" s="50">
        <f>IF(L22="","",IF(N(V22)+N(W22)+N(X22)=0,"Not split",IF(ROUND(N(V22)+N(W22)+N(X22),2)=ROUND(L22,2),"OK","MISMATCH")))</f>
        <v/>
      </c>
    </row>
    <row r="23" ht="15" customHeight="1">
      <c r="A23" s="48" t="n">
        <v>46233</v>
      </c>
      <c r="B23" s="49">
        <f>IF(A23="","",EOMONTH(A23,0))</f>
        <v/>
      </c>
      <c r="C23" s="50">
        <f>"Consulting"</f>
        <v/>
      </c>
      <c r="D23" s="51" t="inlineStr">
        <is>
          <t>INTEGRATION</t>
        </is>
      </c>
      <c r="E23" s="51" t="inlineStr">
        <is>
          <t>DTTL</t>
        </is>
      </c>
      <c r="F23" s="51" t="inlineStr">
        <is>
          <t>2605605</t>
        </is>
      </c>
      <c r="G23" s="50">
        <f>IF(F23="","",IF(COUNTIF(lst_Jobs,F23&amp;"")&gt;0,"OK","CHECK"))</f>
        <v/>
      </c>
      <c r="H23" s="51" t="inlineStr">
        <is>
          <t xml:space="preserve">HBA AV Fitout </t>
        </is>
      </c>
      <c r="I23" s="51" t="inlineStr">
        <is>
          <t>Project</t>
        </is>
      </c>
      <c r="J23" s="51" t="inlineStr">
        <is>
          <t>INV-10546</t>
        </is>
      </c>
      <c r="K23" s="51" t="inlineStr">
        <is>
          <t>GST 10%</t>
        </is>
      </c>
      <c r="L23" s="52" t="n">
        <v>60348</v>
      </c>
      <c r="M23" s="53">
        <f>IF(L23="","",IF(K23="GST 10%",ROUND(L23*0.1,2),0))</f>
        <v/>
      </c>
      <c r="N23" s="53">
        <f>IF(L23="","",L23+M23)</f>
        <v/>
      </c>
      <c r="O23" s="51" t="inlineStr">
        <is>
          <t>42300</t>
        </is>
      </c>
      <c r="P23" s="51" t="inlineStr">
        <is>
          <t>Y</t>
        </is>
      </c>
      <c r="Q23" s="51" t="inlineStr">
        <is>
          <t>N</t>
        </is>
      </c>
      <c r="R23" s="51" t="inlineStr">
        <is>
          <t>To Invoice</t>
        </is>
      </c>
      <c r="S23" s="51" t="n"/>
      <c r="T23" s="51" t="inlineStr">
        <is>
          <t>https://cts.qwilr.com/2605605-DTTL-Hobart-v3-2-6eP2dgISRMec</t>
        </is>
      </c>
      <c r="U23" s="51" t="n"/>
      <c r="V23" s="52" t="n">
        <v>12985</v>
      </c>
      <c r="W23" s="52" t="n">
        <v>47362</v>
      </c>
      <c r="X23" s="52" t="n"/>
      <c r="Y23" s="52" t="n">
        <v>10485</v>
      </c>
      <c r="Z23" s="52" t="n">
        <v>25392</v>
      </c>
      <c r="AA23" s="52" t="n"/>
      <c r="AB23" s="53">
        <f>IF(L23="","",N(Y23)+N(Z23)+N(AA23))</f>
        <v/>
      </c>
      <c r="AC23" s="53">
        <f>IF(L23="","",L23-AB23)</f>
        <v/>
      </c>
      <c r="AD23" s="55">
        <f>IFERROR(AC23/L23,"")</f>
        <v/>
      </c>
      <c r="AE23" s="50">
        <f>IF(L23="","",IF(N(V23)+N(W23)+N(X23)=0,"Not split",IF(ROUND(N(V23)+N(W23)+N(X23),2)=ROUND(L23,2),"OK","MISMATCH")))</f>
        <v/>
      </c>
    </row>
    <row r="24" ht="15" customHeight="1">
      <c r="A24" s="48" t="n">
        <v>46233</v>
      </c>
      <c r="B24" s="49">
        <f>IF(A24="","",EOMONTH(A24,0))</f>
        <v/>
      </c>
      <c r="C24" s="50">
        <f>"Consulting"</f>
        <v/>
      </c>
      <c r="D24" s="51" t="inlineStr">
        <is>
          <t>INTEGRATION</t>
        </is>
      </c>
      <c r="E24" s="51" t="inlineStr">
        <is>
          <t>DTTL</t>
        </is>
      </c>
      <c r="F24" s="51" t="inlineStr">
        <is>
          <t>26052003</t>
        </is>
      </c>
      <c r="G24" s="50">
        <f>IF(F24="","",IF(COUNTIF(lst_Jobs,F24&amp;"")&gt;0,"OK","CHECK"))</f>
        <v/>
      </c>
      <c r="H24" s="51" t="inlineStr">
        <is>
          <t>SYD Mobile Display Supply</t>
        </is>
      </c>
      <c r="I24" s="51" t="inlineStr">
        <is>
          <t>Project</t>
        </is>
      </c>
      <c r="J24" s="51" t="inlineStr">
        <is>
          <t>INV-10546</t>
        </is>
      </c>
      <c r="K24" s="51" t="inlineStr">
        <is>
          <t>GST 10%</t>
        </is>
      </c>
      <c r="L24" s="52" t="n">
        <v>7705</v>
      </c>
      <c r="M24" s="53">
        <f>IF(L24="","",IF(K24="GST 10%",ROUND(L24*0.1,2),0))</f>
        <v/>
      </c>
      <c r="N24" s="53">
        <f>IF(L24="","",L24+M24)</f>
        <v/>
      </c>
      <c r="O24" s="51" t="inlineStr">
        <is>
          <t>42300</t>
        </is>
      </c>
      <c r="P24" s="51" t="inlineStr">
        <is>
          <t>Y</t>
        </is>
      </c>
      <c r="Q24" s="51" t="inlineStr">
        <is>
          <t>N</t>
        </is>
      </c>
      <c r="R24" s="51" t="inlineStr">
        <is>
          <t>Paid</t>
        </is>
      </c>
      <c r="S24" s="51" t="inlineStr">
        <is>
          <t>Variation for slot in PC's</t>
        </is>
      </c>
      <c r="T24" s="51" t="inlineStr">
        <is>
          <t>https://cts.qwilr.com/26052003-DTTL-Costing-VQ01-v1-0-jIrM6h3CT1Ws</t>
        </is>
      </c>
      <c r="U24" s="51" t="n"/>
      <c r="V24" s="52" t="n">
        <v>70</v>
      </c>
      <c r="W24" s="52" t="n">
        <v>7635</v>
      </c>
      <c r="X24" s="52" t="n"/>
      <c r="Y24" s="52" t="n">
        <v>57.27</v>
      </c>
      <c r="Z24" s="52" t="n">
        <v>5727</v>
      </c>
      <c r="AA24" s="52" t="n"/>
      <c r="AB24" s="53">
        <f>IF(L24="","",N(Y24)+N(Z24)+N(AA24))</f>
        <v/>
      </c>
      <c r="AC24" s="53">
        <f>IF(L24="","",L24-AB24)</f>
        <v/>
      </c>
      <c r="AD24" s="55">
        <f>IFERROR(AC24/L24,"")</f>
        <v/>
      </c>
      <c r="AE24" s="50">
        <f>IF(L24="","",IF(N(V24)+N(W24)+N(X24)=0,"Not split",IF(ROUND(N(V24)+N(W24)+N(X24),2)=ROUND(L24,2),"OK","MISMATCH")))</f>
        <v/>
      </c>
    </row>
    <row r="25" ht="15" customHeight="1">
      <c r="A25" s="48" t="n">
        <v>46234</v>
      </c>
      <c r="B25" s="49">
        <f>IF(A25="","",EOMONTH(A25,0))</f>
        <v/>
      </c>
      <c r="C25" s="50">
        <f>"Consulting"</f>
        <v/>
      </c>
      <c r="D25" s="51" t="inlineStr">
        <is>
          <t>INTEGRATION</t>
        </is>
      </c>
      <c r="E25" s="51" t="inlineStr">
        <is>
          <t>Aware Super</t>
        </is>
      </c>
      <c r="F25" s="51" t="inlineStr">
        <is>
          <t>26072101</t>
        </is>
      </c>
      <c r="G25" s="50">
        <f>IF(F25="","",IF(COUNTIF(lst_Jobs,F25&amp;"")&gt;0,"OK","CHECK"))</f>
        <v/>
      </c>
      <c r="H25" s="51" t="inlineStr">
        <is>
          <t>MEL 17.02 Amp Replacement</t>
        </is>
      </c>
      <c r="I25" s="51" t="inlineStr">
        <is>
          <t>Project</t>
        </is>
      </c>
      <c r="J25" s="51" t="inlineStr">
        <is>
          <t>INV-10549</t>
        </is>
      </c>
      <c r="K25" s="51" t="inlineStr">
        <is>
          <t>GST 10%</t>
        </is>
      </c>
      <c r="L25" s="52" t="n">
        <v>6137</v>
      </c>
      <c r="M25" s="53">
        <f>IF(L25="","",IF(K25="GST 10%",ROUND(L25*0.1,2),0))</f>
        <v/>
      </c>
      <c r="N25" s="53">
        <f>IF(L25="","",L25+M25)</f>
        <v/>
      </c>
      <c r="O25" s="51" t="inlineStr">
        <is>
          <t>42300</t>
        </is>
      </c>
      <c r="P25" s="51" t="inlineStr">
        <is>
          <t>Y</t>
        </is>
      </c>
      <c r="Q25" s="51" t="inlineStr">
        <is>
          <t>N</t>
        </is>
      </c>
      <c r="R25" s="51" t="inlineStr">
        <is>
          <t>Paid</t>
        </is>
      </c>
      <c r="S25" s="51" t="n"/>
      <c r="T25" s="51" t="inlineStr">
        <is>
          <t>https://corptechservices.sharepoint.com/:b:/s/TeamIntegration/IQBagqp7IMy9QaQ1UUIv4eRPASus3A84m0lYjrSHFwHEyt0?e=9PLTPA</t>
        </is>
      </c>
      <c r="U25" s="51" t="n"/>
      <c r="V25" s="52" t="n">
        <v>920</v>
      </c>
      <c r="W25" s="52" t="n">
        <v>5217</v>
      </c>
      <c r="X25" s="52" t="n"/>
      <c r="Y25" s="52" t="n">
        <v>549</v>
      </c>
      <c r="Z25" s="52" t="n">
        <v>3913</v>
      </c>
      <c r="AA25" s="52" t="n"/>
      <c r="AB25" s="53">
        <f>IF(L25="","",N(Y25)+N(Z25)+N(AA25))</f>
        <v/>
      </c>
      <c r="AC25" s="53">
        <f>IF(L25="","",L25-AB25)</f>
        <v/>
      </c>
      <c r="AD25" s="55">
        <f>IFERROR(AC25/L25,"")</f>
        <v/>
      </c>
      <c r="AE25" s="50">
        <f>IF(L25="","",IF(N(V25)+N(W25)+N(X25)=0,"Not split",IF(ROUND(N(V25)+N(W25)+N(X25),2)=ROUND(L25,2),"OK","MISMATCH")))</f>
        <v/>
      </c>
    </row>
    <row r="26" ht="15" customHeight="1">
      <c r="A26" s="48" t="n">
        <v>46234</v>
      </c>
      <c r="B26" s="49">
        <f>IF(A26="","",EOMONTH(A26,0))</f>
        <v/>
      </c>
      <c r="C26" s="50">
        <f>"Consulting"</f>
        <v/>
      </c>
      <c r="D26" s="51" t="inlineStr">
        <is>
          <t>INTEGRATION</t>
        </is>
      </c>
      <c r="E26" s="51" t="inlineStr">
        <is>
          <t>APA</t>
        </is>
      </c>
      <c r="F26" s="51" t="inlineStr">
        <is>
          <t>2606101</t>
        </is>
      </c>
      <c r="G26" s="50">
        <f>IF(F26="","",IF(COUNTIF(lst_Jobs,F26&amp;"")&gt;0,"OK","CHECK"))</f>
        <v/>
      </c>
      <c r="H26" s="51" t="inlineStr">
        <is>
          <t>Young Eptura Proxyclick Licence Renewal</t>
        </is>
      </c>
      <c r="I26" s="51" t="inlineStr">
        <is>
          <t>Project</t>
        </is>
      </c>
      <c r="J26" s="51" t="inlineStr">
        <is>
          <t>INV-10548</t>
        </is>
      </c>
      <c r="K26" s="51" t="inlineStr">
        <is>
          <t>GST 10%</t>
        </is>
      </c>
      <c r="L26" s="52" t="n">
        <v>4205</v>
      </c>
      <c r="M26" s="53">
        <f>IF(L26="","",IF(K26="GST 10%",ROUND(L26*0.1,2),0))</f>
        <v/>
      </c>
      <c r="N26" s="53">
        <f>IF(L26="","",L26+M26)</f>
        <v/>
      </c>
      <c r="O26" s="51" t="inlineStr">
        <is>
          <t>42300</t>
        </is>
      </c>
      <c r="P26" s="51" t="inlineStr">
        <is>
          <t>Y</t>
        </is>
      </c>
      <c r="Q26" s="51" t="inlineStr">
        <is>
          <t>N</t>
        </is>
      </c>
      <c r="R26" s="51" t="inlineStr">
        <is>
          <t>Paid</t>
        </is>
      </c>
      <c r="S26" s="51" t="inlineStr">
        <is>
          <t>01/03/2027 to 29/02/2028</t>
        </is>
      </c>
      <c r="T26" s="51" t="inlineStr">
        <is>
          <t>https://cts.qwilr.com/2606101-APA-Quotation-v1-0-QyyRipuR5uzy</t>
        </is>
      </c>
      <c r="U26" s="51" t="n"/>
      <c r="V26" s="52" t="n"/>
      <c r="W26" s="52" t="n"/>
      <c r="X26" s="52" t="n">
        <v>4205</v>
      </c>
      <c r="Y26" s="52" t="n"/>
      <c r="Z26" s="52" t="n"/>
      <c r="AA26" s="52" t="n">
        <v>3364</v>
      </c>
      <c r="AB26" s="53">
        <f>IF(L26="","",N(Y26)+N(Z26)+N(AA26))</f>
        <v/>
      </c>
      <c r="AC26" s="53">
        <f>IF(L26="","",L26-AB26)</f>
        <v/>
      </c>
      <c r="AD26" s="55">
        <f>IFERROR(AC26/L26,"")</f>
        <v/>
      </c>
      <c r="AE26" s="50">
        <f>IF(L26="","",IF(N(V26)+N(W26)+N(X26)=0,"Not split",IF(ROUND(N(V26)+N(W26)+N(X26),2)=ROUND(L26,2),"OK","MISMATCH")))</f>
        <v/>
      </c>
    </row>
    <row r="27" ht="15" customHeight="1">
      <c r="A27" s="48" t="n">
        <v>46234</v>
      </c>
      <c r="B27" s="49">
        <f>IF(A27="","",EOMONTH(A27,0))</f>
        <v/>
      </c>
      <c r="C27" s="50">
        <f>"Consulting"</f>
        <v/>
      </c>
      <c r="D27" s="51" t="inlineStr">
        <is>
          <t>INTEGRATION</t>
        </is>
      </c>
      <c r="E27" s="51" t="inlineStr">
        <is>
          <t>YSG Studio</t>
        </is>
      </c>
      <c r="F27" s="51" t="inlineStr">
        <is>
          <t>26071304</t>
        </is>
      </c>
      <c r="G27" s="50">
        <f>IF(F27="","",IF(COUNTIF(lst_Jobs,F27&amp;"")&gt;0,"OK","CHECK"))</f>
        <v/>
      </c>
      <c r="H27" s="51" t="inlineStr">
        <is>
          <t>Orange Room Upgrade INT</t>
        </is>
      </c>
      <c r="I27" s="51" t="inlineStr">
        <is>
          <t>Project</t>
        </is>
      </c>
      <c r="J27" s="51" t="inlineStr">
        <is>
          <t>INV-10547</t>
        </is>
      </c>
      <c r="K27" s="51" t="inlineStr">
        <is>
          <t>GST 10%</t>
        </is>
      </c>
      <c r="L27" s="52" t="n">
        <v>4702</v>
      </c>
      <c r="M27" s="53">
        <f>IF(L27="","",IF(K27="GST 10%",ROUND(L27*0.1,2),0))</f>
        <v/>
      </c>
      <c r="N27" s="53">
        <f>IF(L27="","",L27+M27)</f>
        <v/>
      </c>
      <c r="O27" s="51" t="inlineStr">
        <is>
          <t>42300</t>
        </is>
      </c>
      <c r="P27" s="51" t="inlineStr">
        <is>
          <t>Y</t>
        </is>
      </c>
      <c r="Q27" s="51" t="inlineStr">
        <is>
          <t>N</t>
        </is>
      </c>
      <c r="R27" s="51" t="inlineStr">
        <is>
          <t>Paid</t>
        </is>
      </c>
      <c r="S27" s="51" t="inlineStr">
        <is>
          <t>Invoice 1/2 Equipment only</t>
        </is>
      </c>
      <c r="T27" s="51" t="inlineStr">
        <is>
          <t>https://cts.qwilr.com/26071304-YSG-Costing-v1-0-FTAgpF5RoWQK</t>
        </is>
      </c>
      <c r="U27" s="51" t="n"/>
      <c r="V27" s="52" t="n"/>
      <c r="W27" s="52" t="n">
        <v>4702</v>
      </c>
      <c r="X27" s="52" t="n"/>
      <c r="Y27" s="52" t="n"/>
      <c r="Z27" s="52" t="n">
        <v>3327.49</v>
      </c>
      <c r="AA27" s="52" t="n"/>
      <c r="AB27" s="53">
        <f>IF(L27="","",N(Y27)+N(Z27)+N(AA27))</f>
        <v/>
      </c>
      <c r="AC27" s="53">
        <f>IF(L27="","",L27-AB27)</f>
        <v/>
      </c>
      <c r="AD27" s="55">
        <f>IFERROR(AC27/L27,"")</f>
        <v/>
      </c>
      <c r="AE27" s="50">
        <f>IF(L27="","",IF(N(V27)+N(W27)+N(X27)=0,"Not split",IF(ROUND(N(V27)+N(W27)+N(X27),2)=ROUND(L27,2),"OK","MISMATCH")))</f>
        <v/>
      </c>
    </row>
    <row r="28" ht="15" customHeight="1">
      <c r="A28" s="48" t="n">
        <v>46274</v>
      </c>
      <c r="B28" s="49">
        <f>IF(A28="","",EOMONTH(A28,0))</f>
        <v/>
      </c>
      <c r="C28" s="50">
        <f>"Consulting"</f>
        <v/>
      </c>
      <c r="D28" s="51" t="inlineStr">
        <is>
          <t>INTEGRATION</t>
        </is>
      </c>
      <c r="E28" s="51" t="inlineStr">
        <is>
          <t>Aware Super</t>
        </is>
      </c>
      <c r="F28" s="51" t="inlineStr">
        <is>
          <t>2604704</t>
        </is>
      </c>
      <c r="G28" s="50">
        <f>IF(F28="","",IF(COUNTIF(lst_Jobs,F28&amp;"")&gt;0,"OK","CHECK"))</f>
        <v/>
      </c>
      <c r="H28" s="51" t="inlineStr">
        <is>
          <t>SYD Seminar Room Audio Upgrade</t>
        </is>
      </c>
      <c r="I28" s="51" t="inlineStr">
        <is>
          <t>Project</t>
        </is>
      </c>
      <c r="J28" s="51" t="inlineStr">
        <is>
          <t>To be invoiced 9th Sept 26</t>
        </is>
      </c>
      <c r="K28" s="51" t="inlineStr">
        <is>
          <t>GST 10%</t>
        </is>
      </c>
      <c r="L28" s="52" t="n">
        <v>202647</v>
      </c>
      <c r="M28" s="53">
        <f>IF(L28="","",IF(K28="GST 10%",ROUND(L28*0.1,2),0))</f>
        <v/>
      </c>
      <c r="N28" s="53">
        <f>IF(L28="","",L28+M28)</f>
        <v/>
      </c>
      <c r="O28" s="51" t="inlineStr">
        <is>
          <t>42300</t>
        </is>
      </c>
      <c r="P28" s="51" t="inlineStr">
        <is>
          <t>Y</t>
        </is>
      </c>
      <c r="Q28" s="51" t="inlineStr">
        <is>
          <t>N</t>
        </is>
      </c>
      <c r="R28" s="51" t="inlineStr">
        <is>
          <t>Invoiced</t>
        </is>
      </c>
      <c r="S28" s="51" t="n"/>
      <c r="T28" s="51" t="inlineStr">
        <is>
          <t>https://cts.qwilr.com/2604704-AwareSuper-Proposal-v4-0-ilNUnNxKQIui</t>
        </is>
      </c>
      <c r="U28" s="51" t="n"/>
      <c r="V28" s="52" t="n"/>
      <c r="W28" s="52" t="n"/>
      <c r="X28" s="52" t="n"/>
      <c r="Y28" s="52" t="n"/>
      <c r="Z28" s="52" t="n">
        <v>177457.98</v>
      </c>
      <c r="AA28" s="52" t="n"/>
      <c r="AB28" s="53">
        <f>IF(L28="","",N(Y28)+N(Z28)+N(AA28))</f>
        <v/>
      </c>
      <c r="AC28" s="53">
        <f>IF(L28="","",L28-AB28)</f>
        <v/>
      </c>
      <c r="AD28" s="55">
        <f>IFERROR(AC28/L28,"")</f>
        <v/>
      </c>
      <c r="AE28" s="50">
        <f>IF(L28="","",IF(N(V28)+N(W28)+N(X28)=0,"Not split",IF(ROUND(N(V28)+N(W28)+N(X28),2)=ROUND(L28,2),"OK","MISMATCH")))</f>
        <v/>
      </c>
    </row>
    <row r="29" ht="15" customHeight="1">
      <c r="A29" s="48" t="n">
        <v>46254</v>
      </c>
      <c r="B29" s="49">
        <f>IF(A29="","",EOMONTH(A29,0))</f>
        <v/>
      </c>
      <c r="C29" s="50">
        <f>"Consulting"</f>
        <v/>
      </c>
      <c r="D29" s="51" t="inlineStr">
        <is>
          <t>INTEGRATION</t>
        </is>
      </c>
      <c r="E29" s="51" t="inlineStr">
        <is>
          <t>HP Poly - Data#3</t>
        </is>
      </c>
      <c r="F29" s="51" t="inlineStr">
        <is>
          <t>26052102</t>
        </is>
      </c>
      <c r="G29" s="50">
        <f>IF(F29="","",IF(COUNTIF(lst_Jobs,F29&amp;"")&gt;0,"OK","CHECK"))</f>
        <v/>
      </c>
      <c r="H29" s="51" t="inlineStr">
        <is>
          <t>AUSTRAC Phone Mods</t>
        </is>
      </c>
      <c r="I29" s="51" t="inlineStr">
        <is>
          <t>Project</t>
        </is>
      </c>
      <c r="J29" s="51" t="inlineStr">
        <is>
          <t>INV-10575</t>
        </is>
      </c>
      <c r="K29" s="51" t="inlineStr">
        <is>
          <t>GST 10%</t>
        </is>
      </c>
      <c r="L29" s="52" t="n">
        <v>45909</v>
      </c>
      <c r="M29" s="53">
        <f>IF(L29="","",IF(K29="GST 10%",ROUND(L29*0.1,2),0))</f>
        <v/>
      </c>
      <c r="N29" s="53">
        <f>IF(L29="","",L29+M29)</f>
        <v/>
      </c>
      <c r="O29" s="51" t="inlineStr">
        <is>
          <t>42300</t>
        </is>
      </c>
      <c r="P29" s="51" t="inlineStr">
        <is>
          <t>Y</t>
        </is>
      </c>
      <c r="Q29" s="51" t="inlineStr">
        <is>
          <t>N</t>
        </is>
      </c>
      <c r="R29" s="51" t="inlineStr">
        <is>
          <t>Paid</t>
        </is>
      </c>
      <c r="S29" s="51" t="n"/>
      <c r="T29" s="51" t="inlineStr">
        <is>
          <t>https://cts.qwilr.com/26052102-HP-D3-AustracPhoneMod-v3-0-PO-Received-4b9uvVwXSiqQ</t>
        </is>
      </c>
      <c r="U29" s="51" t="n"/>
      <c r="V29" s="52" t="n">
        <v>8009</v>
      </c>
      <c r="W29" s="52" t="n">
        <v>37900</v>
      </c>
      <c r="X29" s="52" t="n"/>
      <c r="Y29" s="52" t="n">
        <v>6567</v>
      </c>
      <c r="Z29" s="52" t="n">
        <v>28409</v>
      </c>
      <c r="AA29" s="52" t="n"/>
      <c r="AB29" s="53">
        <f>IF(L29="","",N(Y29)+N(Z29)+N(AA29))</f>
        <v/>
      </c>
      <c r="AC29" s="53">
        <f>IF(L29="","",L29-AB29)</f>
        <v/>
      </c>
      <c r="AD29" s="55">
        <f>IFERROR(AC29/L29,"")</f>
        <v/>
      </c>
      <c r="AE29" s="50">
        <f>IF(L29="","",IF(N(V29)+N(W29)+N(X29)=0,"Not split",IF(ROUND(N(V29)+N(W29)+N(X29),2)=ROUND(L29,2),"OK","MISMATCH")))</f>
        <v/>
      </c>
    </row>
    <row r="30" ht="15" customHeight="1">
      <c r="A30" s="48" t="n">
        <v>46237</v>
      </c>
      <c r="B30" s="49">
        <f>IF(A30="","",EOMONTH(A30,0))</f>
        <v/>
      </c>
      <c r="C30" s="50">
        <f>"Consulting"</f>
        <v/>
      </c>
      <c r="D30" s="51" t="inlineStr">
        <is>
          <t>INTEGRATION</t>
        </is>
      </c>
      <c r="E30" s="51" t="inlineStr">
        <is>
          <t>Aware Super</t>
        </is>
      </c>
      <c r="F30" s="51" t="inlineStr">
        <is>
          <t>26052701</t>
        </is>
      </c>
      <c r="G30" s="50">
        <f>IF(F30="","",IF(COUNTIF(lst_Jobs,F30&amp;"")&gt;0,"OK","CHECK"))</f>
        <v/>
      </c>
      <c r="H30" s="51" t="inlineStr">
        <is>
          <t>SYD 28.06 Equipment</t>
        </is>
      </c>
      <c r="I30" s="51" t="inlineStr">
        <is>
          <t>Project</t>
        </is>
      </c>
      <c r="J30" s="51" t="inlineStr">
        <is>
          <t>INV-10553</t>
        </is>
      </c>
      <c r="K30" s="51" t="inlineStr">
        <is>
          <t>GST 10%</t>
        </is>
      </c>
      <c r="L30" s="52" t="n">
        <v>12271</v>
      </c>
      <c r="M30" s="53">
        <f>IF(L30="","",IF(K30="GST 10%",ROUND(L30*0.1,2),0))</f>
        <v/>
      </c>
      <c r="N30" s="53">
        <f>IF(L30="","",L30+M30)</f>
        <v/>
      </c>
      <c r="O30" s="51" t="inlineStr">
        <is>
          <t>42300</t>
        </is>
      </c>
      <c r="P30" s="51" t="inlineStr">
        <is>
          <t>Y</t>
        </is>
      </c>
      <c r="Q30" s="51" t="inlineStr">
        <is>
          <t>N</t>
        </is>
      </c>
      <c r="R30" s="51" t="inlineStr">
        <is>
          <t>Invoiced</t>
        </is>
      </c>
      <c r="S30" s="51" t="n"/>
      <c r="T30" s="51" t="inlineStr">
        <is>
          <t>https://cts.qwilr.com/26052701-Aware-Costing-v5-0-CGHaKT8iSxmf</t>
        </is>
      </c>
      <c r="U30" s="51" t="n"/>
      <c r="V30" s="52" t="n"/>
      <c r="W30" s="52" t="n"/>
      <c r="X30" s="52" t="n"/>
      <c r="Y30" s="52" t="n"/>
      <c r="Z30" s="52" t="n">
        <v>8184.26</v>
      </c>
      <c r="AA30" s="52" t="n"/>
      <c r="AB30" s="53">
        <f>IF(L30="","",N(Y30)+N(Z30)+N(AA30))</f>
        <v/>
      </c>
      <c r="AC30" s="53">
        <f>IF(L30="","",L30-AB30)</f>
        <v/>
      </c>
      <c r="AD30" s="55">
        <f>IFERROR(AC30/L30,"")</f>
        <v/>
      </c>
      <c r="AE30" s="50">
        <f>IF(L30="","",IF(N(V30)+N(W30)+N(X30)=0,"Not split",IF(ROUND(N(V30)+N(W30)+N(X30),2)=ROUND(L30,2),"OK","MISMATCH")))</f>
        <v/>
      </c>
    </row>
    <row r="31" ht="15" customHeight="1">
      <c r="A31" s="48" t="n">
        <v>46261</v>
      </c>
      <c r="B31" s="49">
        <f>IF(A31="","",EOMONTH(A31,0))</f>
        <v/>
      </c>
      <c r="C31" s="50">
        <f>"Consulting"</f>
        <v/>
      </c>
      <c r="D31" s="51" t="inlineStr">
        <is>
          <t>INTEGRATION</t>
        </is>
      </c>
      <c r="E31" s="51" t="inlineStr">
        <is>
          <t>YSG Studio</t>
        </is>
      </c>
      <c r="F31" s="51" t="inlineStr">
        <is>
          <t>26071304</t>
        </is>
      </c>
      <c r="G31" s="50">
        <f>IF(F31="","",IF(COUNTIF(lst_Jobs,F31&amp;"")&gt;0,"OK","CHECK"))</f>
        <v/>
      </c>
      <c r="H31" s="51" t="inlineStr">
        <is>
          <t>Orange Room Upgrade INT</t>
        </is>
      </c>
      <c r="I31" s="51" t="inlineStr">
        <is>
          <t>Project</t>
        </is>
      </c>
      <c r="J31" s="51" t="inlineStr">
        <is>
          <t>INV-10601</t>
        </is>
      </c>
      <c r="K31" s="51" t="inlineStr">
        <is>
          <t>GST 10%</t>
        </is>
      </c>
      <c r="L31" s="52" t="n">
        <v>4462</v>
      </c>
      <c r="M31" s="53">
        <f>IF(L31="","",IF(K31="GST 10%",ROUND(L31*0.1,2),0))</f>
        <v/>
      </c>
      <c r="N31" s="53">
        <f>IF(L31="","",L31+M31)</f>
        <v/>
      </c>
      <c r="O31" s="51" t="inlineStr">
        <is>
          <t>42300</t>
        </is>
      </c>
      <c r="P31" s="51" t="inlineStr">
        <is>
          <t>Y</t>
        </is>
      </c>
      <c r="Q31" s="51" t="inlineStr">
        <is>
          <t>N</t>
        </is>
      </c>
      <c r="R31" s="51" t="inlineStr">
        <is>
          <t>Paid</t>
        </is>
      </c>
      <c r="S31" s="51" t="inlineStr">
        <is>
          <t>2/2 Labour only</t>
        </is>
      </c>
      <c r="T31" s="51" t="inlineStr">
        <is>
          <t>https://cts.qwilr.com/26071304-YSG-Costing-v1-0-FTAgpF5RoWQK</t>
        </is>
      </c>
      <c r="U31" s="51" t="n"/>
      <c r="V31" s="52" t="n">
        <v>4462</v>
      </c>
      <c r="W31" s="52" t="n"/>
      <c r="X31" s="52" t="n"/>
      <c r="Y31" s="52" t="n">
        <v>3659</v>
      </c>
      <c r="Z31" s="52" t="n"/>
      <c r="AA31" s="52" t="n"/>
      <c r="AB31" s="53">
        <f>IF(L31="","",N(Y31)+N(Z31)+N(AA31))</f>
        <v/>
      </c>
      <c r="AC31" s="53">
        <f>IF(L31="","",L31-AB31)</f>
        <v/>
      </c>
      <c r="AD31" s="55">
        <f>IFERROR(AC31/L31,"")</f>
        <v/>
      </c>
      <c r="AE31" s="50">
        <f>IF(L31="","",IF(N(V31)+N(W31)+N(X31)=0,"Not split",IF(ROUND(N(V31)+N(W31)+N(X31),2)=ROUND(L31,2),"OK","MISMATCH")))</f>
        <v/>
      </c>
    </row>
    <row r="32" ht="15" customHeight="1">
      <c r="A32" s="48" t="n">
        <v>46253</v>
      </c>
      <c r="B32" s="49">
        <f>IF(A32="","",EOMONTH(A32,0))</f>
        <v/>
      </c>
      <c r="C32" s="50">
        <f>"Consulting"</f>
        <v/>
      </c>
      <c r="D32" s="51" t="inlineStr">
        <is>
          <t>INTEGRATION</t>
        </is>
      </c>
      <c r="E32" s="51" t="inlineStr">
        <is>
          <t>Aware Super</t>
        </is>
      </c>
      <c r="F32" s="51" t="inlineStr">
        <is>
          <t>26062902</t>
        </is>
      </c>
      <c r="G32" s="50">
        <f>IF(F32="","",IF(COUNTIF(lst_Jobs,F32&amp;"")&gt;0,"OK","CHECK"))</f>
        <v/>
      </c>
      <c r="H32" s="51" t="inlineStr">
        <is>
          <t>SYD Occupancy Sensors</t>
        </is>
      </c>
      <c r="I32" s="51" t="inlineStr">
        <is>
          <t>Project</t>
        </is>
      </c>
      <c r="J32" s="51" t="inlineStr">
        <is>
          <t>INV-10564</t>
        </is>
      </c>
      <c r="K32" s="51" t="inlineStr">
        <is>
          <t>GST 10%</t>
        </is>
      </c>
      <c r="L32" s="52" t="n">
        <v>3489</v>
      </c>
      <c r="M32" s="53">
        <f>IF(L32="","",IF(K32="GST 10%",ROUND(L32*0.1,2),0))</f>
        <v/>
      </c>
      <c r="N32" s="53">
        <f>IF(L32="","",L32+M32)</f>
        <v/>
      </c>
      <c r="O32" s="51" t="inlineStr">
        <is>
          <t>42300</t>
        </is>
      </c>
      <c r="P32" s="51" t="inlineStr">
        <is>
          <t>Y</t>
        </is>
      </c>
      <c r="Q32" s="51" t="inlineStr">
        <is>
          <t>N</t>
        </is>
      </c>
      <c r="R32" s="51" t="inlineStr">
        <is>
          <t>Paid</t>
        </is>
      </c>
      <c r="S32" s="51" t="inlineStr">
        <is>
          <t>Invoice 1/2 Equipment only</t>
        </is>
      </c>
      <c r="T32" s="51" t="inlineStr">
        <is>
          <t>https://cts.qwilr.com/26062902-Aware-Costing-v2-0-Accepted-PDF-wrF7KzoUT8OK</t>
        </is>
      </c>
      <c r="U32" s="51" t="n"/>
      <c r="V32" s="52" t="n"/>
      <c r="W32" s="52" t="n">
        <v>3489</v>
      </c>
      <c r="X32" s="52" t="n"/>
      <c r="Y32" s="52" t="n"/>
      <c r="Z32" s="52" t="n">
        <v>2525.5</v>
      </c>
      <c r="AA32" s="52" t="n"/>
      <c r="AB32" s="53">
        <f>IF(L32="","",N(Y32)+N(Z32)+N(AA32))</f>
        <v/>
      </c>
      <c r="AC32" s="53">
        <f>IF(L32="","",L32-AB32)</f>
        <v/>
      </c>
      <c r="AD32" s="55">
        <f>IFERROR(AC32/L32,"")</f>
        <v/>
      </c>
      <c r="AE32" s="50">
        <f>IF(L32="","",IF(N(V32)+N(W32)+N(X32)=0,"Not split",IF(ROUND(N(V32)+N(W32)+N(X32),2)=ROUND(L32,2),"OK","MISMATCH")))</f>
        <v/>
      </c>
    </row>
    <row r="33" ht="15" customHeight="1">
      <c r="A33" s="48" t="n"/>
      <c r="B33" s="49">
        <f>IF(A33="","",EOMONTH(A33,0))</f>
        <v/>
      </c>
      <c r="C33" s="50">
        <f>"Consulting"</f>
        <v/>
      </c>
      <c r="D33" s="51" t="inlineStr">
        <is>
          <t>INTEGRATION</t>
        </is>
      </c>
      <c r="E33" s="51" t="inlineStr">
        <is>
          <t>Aware Super</t>
        </is>
      </c>
      <c r="F33" s="51" t="inlineStr">
        <is>
          <t>26062902</t>
        </is>
      </c>
      <c r="G33" s="50">
        <f>IF(F33="","",IF(COUNTIF(lst_Jobs,F33&amp;"")&gt;0,"OK","CHECK"))</f>
        <v/>
      </c>
      <c r="H33" s="51" t="inlineStr">
        <is>
          <t>SYD Occupancy Sensors</t>
        </is>
      </c>
      <c r="I33" s="51" t="inlineStr">
        <is>
          <t>Project</t>
        </is>
      </c>
      <c r="J33" s="51" t="n"/>
      <c r="K33" s="51" t="inlineStr">
        <is>
          <t>GST 10%</t>
        </is>
      </c>
      <c r="L33" s="52" t="n">
        <v>2707</v>
      </c>
      <c r="M33" s="53">
        <f>IF(L33="","",IF(K33="GST 10%",ROUND(L33*0.1,2),0))</f>
        <v/>
      </c>
      <c r="N33" s="53">
        <f>IF(L33="","",L33+M33)</f>
        <v/>
      </c>
      <c r="O33" s="51" t="inlineStr">
        <is>
          <t>42300</t>
        </is>
      </c>
      <c r="P33" s="51" t="inlineStr">
        <is>
          <t>N</t>
        </is>
      </c>
      <c r="Q33" s="51" t="inlineStr">
        <is>
          <t>N</t>
        </is>
      </c>
      <c r="R33" s="51" t="inlineStr">
        <is>
          <t>To Invoice</t>
        </is>
      </c>
      <c r="S33" s="51" t="inlineStr">
        <is>
          <t>2/2 Labour only; Not invoiced yet</t>
        </is>
      </c>
      <c r="T33" s="51" t="inlineStr">
        <is>
          <t>https://cts.qwilr.com/26062902-Aware-Costing-v2-0-Accepted-PDF-wrF7KzoUT8OK</t>
        </is>
      </c>
      <c r="U33" s="51" t="n"/>
      <c r="V33" s="52" t="n">
        <v>2707</v>
      </c>
      <c r="W33" s="52" t="n"/>
      <c r="X33" s="52" t="n"/>
      <c r="Y33" s="52" t="n">
        <v>2140</v>
      </c>
      <c r="Z33" s="52" t="n">
        <v>79.40000000000001</v>
      </c>
      <c r="AA33" s="52" t="n"/>
      <c r="AB33" s="53">
        <f>IF(L33="","",N(Y33)+N(Z33)+N(AA33))</f>
        <v/>
      </c>
      <c r="AC33" s="53">
        <f>IF(L33="","",L33-AB33)</f>
        <v/>
      </c>
      <c r="AD33" s="55">
        <f>IFERROR(AC33/L33,"")</f>
        <v/>
      </c>
      <c r="AE33" s="50">
        <f>IF(L33="","",IF(N(V33)+N(W33)+N(X33)=0,"Not split",IF(ROUND(N(V33)+N(W33)+N(X33),2)=ROUND(L33,2),"OK","MISMATCH")))</f>
        <v/>
      </c>
    </row>
    <row r="34" ht="15" customHeight="1">
      <c r="A34" s="48" t="n"/>
      <c r="B34" s="49">
        <f>IF(A34="","",EOMONTH(A34,0))</f>
        <v/>
      </c>
      <c r="C34" s="50">
        <f>"Consulting"</f>
        <v/>
      </c>
      <c r="D34" s="51" t="inlineStr">
        <is>
          <t>INTEGRATION</t>
        </is>
      </c>
      <c r="E34" s="51" t="inlineStr">
        <is>
          <t>Aware Super</t>
        </is>
      </c>
      <c r="F34" s="51" t="inlineStr">
        <is>
          <t>26062901</t>
        </is>
      </c>
      <c r="G34" s="50">
        <f>IF(F34="","",IF(COUNTIF(lst_Jobs,F34&amp;"")&gt;0,"OK","CHECK"))</f>
        <v/>
      </c>
      <c r="H34" s="51" t="inlineStr">
        <is>
          <t>Aware | SYD 28.06 Services</t>
        </is>
      </c>
      <c r="I34" s="51" t="inlineStr">
        <is>
          <t>Project</t>
        </is>
      </c>
      <c r="J34" s="51" t="n"/>
      <c r="K34" s="51" t="inlineStr">
        <is>
          <t>GST 10%</t>
        </is>
      </c>
      <c r="L34" s="52" t="n">
        <v>4631</v>
      </c>
      <c r="M34" s="53">
        <f>IF(L34="","",IF(K34="GST 10%",ROUND(L34*0.1,2),0))</f>
        <v/>
      </c>
      <c r="N34" s="53">
        <f>IF(L34="","",L34+M34)</f>
        <v/>
      </c>
      <c r="O34" s="51" t="inlineStr">
        <is>
          <t>42300</t>
        </is>
      </c>
      <c r="P34" s="51" t="inlineStr">
        <is>
          <t>N</t>
        </is>
      </c>
      <c r="Q34" s="51" t="inlineStr">
        <is>
          <t>N</t>
        </is>
      </c>
      <c r="R34" s="51" t="inlineStr">
        <is>
          <t>To Invoice</t>
        </is>
      </c>
      <c r="S34" s="51" t="n"/>
      <c r="T34" s="51" t="inlineStr">
        <is>
          <t>https://corptechservices.sharepoint.com/:b:/s/TeamIntegration/IQAz4MvaxJkBRIexJJi1p2LTAVDk9PznGqnT-q1tS0i5o00?e=BH3DeT</t>
        </is>
      </c>
      <c r="U34" s="51" t="n"/>
      <c r="V34" s="52" t="n">
        <v>4631</v>
      </c>
      <c r="W34" s="52" t="n"/>
      <c r="X34" s="52" t="n"/>
      <c r="Y34" s="52" t="n">
        <v>3775.2</v>
      </c>
      <c r="Z34" s="52" t="n"/>
      <c r="AA34" s="52" t="n"/>
      <c r="AB34" s="53">
        <f>IF(L34="","",N(Y34)+N(Z34)+N(AA34))</f>
        <v/>
      </c>
      <c r="AC34" s="53">
        <f>IF(L34="","",L34-AB34)</f>
        <v/>
      </c>
      <c r="AD34" s="55">
        <f>IFERROR(AC34/L34,"")</f>
        <v/>
      </c>
      <c r="AE34" s="50">
        <f>IF(L34="","",IF(N(V34)+N(W34)+N(X34)=0,"Not split",IF(ROUND(N(V34)+N(W34)+N(X34),2)=ROUND(L34,2),"OK","MISMATCH")))</f>
        <v/>
      </c>
    </row>
    <row r="35" ht="15" customHeight="1">
      <c r="A35" s="48" t="n">
        <v>46254</v>
      </c>
      <c r="B35" s="49">
        <f>IF(A35="","",EOMONTH(A35,0))</f>
        <v/>
      </c>
      <c r="C35" s="50">
        <f>"Consulting"</f>
        <v/>
      </c>
      <c r="D35" s="51" t="inlineStr">
        <is>
          <t>INTEGRATION</t>
        </is>
      </c>
      <c r="E35" s="51" t="inlineStr">
        <is>
          <t>AusPayNet</t>
        </is>
      </c>
      <c r="F35" s="51" t="inlineStr">
        <is>
          <t>26081901</t>
        </is>
      </c>
      <c r="G35" s="50">
        <f>IF(F35="","",IF(COUNTIF(lst_Jobs,F35&amp;"")&gt;0,"OK","CHECK"))</f>
        <v/>
      </c>
      <c r="H35" s="51" t="inlineStr">
        <is>
          <t>Logi Subscription</t>
        </is>
      </c>
      <c r="I35" s="51" t="inlineStr">
        <is>
          <t>Project</t>
        </is>
      </c>
      <c r="J35" s="51" t="inlineStr">
        <is>
          <t>INV-10574</t>
        </is>
      </c>
      <c r="K35" s="51" t="inlineStr">
        <is>
          <t>GST 10%</t>
        </is>
      </c>
      <c r="L35" s="52" t="n">
        <v>993</v>
      </c>
      <c r="M35" s="53">
        <f>IF(L35="","",IF(K35="GST 10%",ROUND(L35*0.1,2),0))</f>
        <v/>
      </c>
      <c r="N35" s="53">
        <f>IF(L35="","",L35+M35)</f>
        <v/>
      </c>
      <c r="O35" s="51" t="inlineStr">
        <is>
          <t>42300</t>
        </is>
      </c>
      <c r="P35" s="51" t="inlineStr">
        <is>
          <t>Y</t>
        </is>
      </c>
      <c r="Q35" s="51" t="inlineStr">
        <is>
          <t>N</t>
        </is>
      </c>
      <c r="R35" s="51" t="inlineStr">
        <is>
          <t>Paid</t>
        </is>
      </c>
      <c r="S35" s="51" t="n"/>
      <c r="T35" s="51" t="inlineStr">
        <is>
          <t>https://cts.qwilr.com/26081901-AusPayNet-Quotation-v1-0-3RSgmysoSnit</t>
        </is>
      </c>
      <c r="U35" s="51" t="n"/>
      <c r="V35" s="52" t="n"/>
      <c r="W35" s="52" t="n"/>
      <c r="X35" s="52" t="n">
        <v>993</v>
      </c>
      <c r="Y35" s="52" t="n"/>
      <c r="Z35" s="52" t="n">
        <v>745</v>
      </c>
      <c r="AA35" s="52" t="n"/>
      <c r="AB35" s="53">
        <f>IF(L35="","",N(Y35)+N(Z35)+N(AA35))</f>
        <v/>
      </c>
      <c r="AC35" s="53">
        <f>IF(L35="","",L35-AB35)</f>
        <v/>
      </c>
      <c r="AD35" s="55">
        <f>IFERROR(AC35/L35,"")</f>
        <v/>
      </c>
      <c r="AE35" s="50">
        <f>IF(L35="","",IF(N(V35)+N(W35)+N(X35)=0,"Not split",IF(ROUND(N(V35)+N(W35)+N(X35),2)=ROUND(L35,2),"OK","MISMATCH")))</f>
        <v/>
      </c>
    </row>
    <row r="36" ht="15" customHeight="1">
      <c r="A36" s="48" t="n"/>
      <c r="B36" s="49">
        <f>IF(A36="","",EOMONTH(A36,0))</f>
        <v/>
      </c>
      <c r="C36" s="50">
        <f>"Consulting"</f>
        <v/>
      </c>
      <c r="D36" s="51" t="inlineStr">
        <is>
          <t>INTEGRATION</t>
        </is>
      </c>
      <c r="E36" s="51" t="inlineStr">
        <is>
          <t>Aware Super</t>
        </is>
      </c>
      <c r="F36" s="51" t="inlineStr">
        <is>
          <t>26071601</t>
        </is>
      </c>
      <c r="G36" s="50">
        <f>IF(F36="","",IF(COUNTIF(lst_Jobs,F36&amp;"")&gt;0,"OK","CHECK"))</f>
        <v/>
      </c>
      <c r="H36" s="51" t="inlineStr">
        <is>
          <t>PER USB-C Cable Replacement</t>
        </is>
      </c>
      <c r="I36" s="51" t="inlineStr">
        <is>
          <t>Project</t>
        </is>
      </c>
      <c r="J36" s="51" t="n"/>
      <c r="K36" s="51" t="inlineStr">
        <is>
          <t>GST 10%</t>
        </is>
      </c>
      <c r="L36" s="52" t="n">
        <v>2957</v>
      </c>
      <c r="M36" s="53">
        <f>IF(L36="","",IF(K36="GST 10%",ROUND(L36*0.1,2),0))</f>
        <v/>
      </c>
      <c r="N36" s="53">
        <f>IF(L36="","",L36+M36)</f>
        <v/>
      </c>
      <c r="O36" s="51" t="inlineStr">
        <is>
          <t>42300</t>
        </is>
      </c>
      <c r="P36" s="51" t="inlineStr">
        <is>
          <t>N</t>
        </is>
      </c>
      <c r="Q36" s="51" t="inlineStr">
        <is>
          <t>N</t>
        </is>
      </c>
      <c r="R36" s="51" t="inlineStr">
        <is>
          <t>To Invoice</t>
        </is>
      </c>
      <c r="S36" s="51" t="n"/>
      <c r="T36" s="51" t="inlineStr">
        <is>
          <t>https://cts.qwilr.com/26071601-Aware-Costing-v1-0-bOvhpPx4TTut</t>
        </is>
      </c>
      <c r="U36" s="51" t="n"/>
      <c r="V36" s="52" t="n">
        <v>903</v>
      </c>
      <c r="W36" s="52" t="n">
        <v>2054</v>
      </c>
      <c r="X36" s="52" t="n"/>
      <c r="Y36" s="52" t="n">
        <v>740</v>
      </c>
      <c r="Z36" s="52" t="n">
        <v>1540</v>
      </c>
      <c r="AA36" s="52" t="n"/>
      <c r="AB36" s="53">
        <f>IF(L36="","",N(Y36)+N(Z36)+N(AA36))</f>
        <v/>
      </c>
      <c r="AC36" s="53">
        <f>IF(L36="","",L36-AB36)</f>
        <v/>
      </c>
      <c r="AD36" s="55">
        <f>IFERROR(AC36/L36,"")</f>
        <v/>
      </c>
      <c r="AE36" s="50">
        <f>IF(L36="","",IF(N(V36)+N(W36)+N(X36)=0,"Not split",IF(ROUND(N(V36)+N(W36)+N(X36),2)=ROUND(L36,2),"OK","MISMATCH")))</f>
        <v/>
      </c>
    </row>
    <row r="37" ht="15" customHeight="1">
      <c r="A37" s="48" t="n">
        <v>46267</v>
      </c>
      <c r="B37" s="49">
        <f>IF(A37="","",EOMONTH(A37,0))</f>
        <v/>
      </c>
      <c r="C37" s="50">
        <f>"Consulting"</f>
        <v/>
      </c>
      <c r="D37" s="51" t="inlineStr">
        <is>
          <t>INTEGRATION</t>
        </is>
      </c>
      <c r="E37" s="51" t="inlineStr">
        <is>
          <t>Aware Super</t>
        </is>
      </c>
      <c r="F37" s="51" t="inlineStr">
        <is>
          <t>26062503</t>
        </is>
      </c>
      <c r="G37" s="50">
        <f>IF(F37="","",IF(COUNTIF(lst_Jobs,F37&amp;"")&gt;0,"OK","CHECK"))</f>
        <v/>
      </c>
      <c r="H37" s="51" t="inlineStr">
        <is>
          <t>24.16 UC Engine Reimaging</t>
        </is>
      </c>
      <c r="I37" s="51" t="inlineStr">
        <is>
          <t>Project</t>
        </is>
      </c>
      <c r="J37" s="51" t="inlineStr">
        <is>
          <t>INV-10619</t>
        </is>
      </c>
      <c r="K37" s="51" t="inlineStr">
        <is>
          <t>GST 10%</t>
        </is>
      </c>
      <c r="L37" s="52" t="n">
        <v>671</v>
      </c>
      <c r="M37" s="53">
        <f>IF(L37="","",IF(K37="GST 10%",ROUND(L37*0.1,2),0))</f>
        <v/>
      </c>
      <c r="N37" s="53">
        <f>IF(L37="","",L37+M37)</f>
        <v/>
      </c>
      <c r="O37" s="51" t="inlineStr">
        <is>
          <t>42300</t>
        </is>
      </c>
      <c r="P37" s="51" t="inlineStr">
        <is>
          <t>Y</t>
        </is>
      </c>
      <c r="Q37" s="51" t="inlineStr">
        <is>
          <t>N</t>
        </is>
      </c>
      <c r="R37" s="51" t="inlineStr">
        <is>
          <t>To Invoice</t>
        </is>
      </c>
      <c r="S37" s="51" t="n"/>
      <c r="T37" s="51" t="inlineStr">
        <is>
          <t>CTS order form - 24.16 UC Engine Reimaging</t>
        </is>
      </c>
      <c r="U37" s="51" t="n"/>
      <c r="V37" s="52" t="n">
        <v>500</v>
      </c>
      <c r="W37" s="52" t="n"/>
      <c r="X37" s="52" t="n"/>
      <c r="Y37" s="52" t="n"/>
      <c r="Z37" s="52" t="n"/>
      <c r="AA37" s="52" t="n"/>
      <c r="AB37" s="53">
        <f>IF(L37="","",N(Y37)+N(Z37)+N(AA37))</f>
        <v/>
      </c>
      <c r="AC37" s="53">
        <f>IF(L37="","",L37-AB37)</f>
        <v/>
      </c>
      <c r="AD37" s="55">
        <f>IFERROR(AC37/L37,"")</f>
        <v/>
      </c>
      <c r="AE37" s="50">
        <f>IF(L37="","",IF(N(V37)+N(W37)+N(X37)=0,"Not split",IF(ROUND(N(V37)+N(W37)+N(X37),2)=ROUND(L37,2),"OK","MISMATCH")))</f>
        <v/>
      </c>
    </row>
    <row r="38" ht="15" customHeight="1">
      <c r="A38" s="48" t="n">
        <v>46275</v>
      </c>
      <c r="B38" s="49">
        <f>IF(A38="","",EOMONTH(A38,0))</f>
        <v/>
      </c>
      <c r="C38" s="50">
        <f>"Consulting"</f>
        <v/>
      </c>
      <c r="D38" s="51" t="inlineStr">
        <is>
          <t>INTEGRATION</t>
        </is>
      </c>
      <c r="E38" s="51" t="inlineStr">
        <is>
          <t>APA</t>
        </is>
      </c>
      <c r="F38" s="51" t="inlineStr">
        <is>
          <t>25070702</t>
        </is>
      </c>
      <c r="G38" s="50">
        <f>IF(F38="","",IF(COUNTIF(lst_Jobs,F38&amp;"")&gt;0,"OK","CHECK"))</f>
        <v/>
      </c>
      <c r="H38" s="51" t="inlineStr">
        <is>
          <t>APA BNE &amp; NT Year 2 license</t>
        </is>
      </c>
      <c r="I38" s="51" t="inlineStr">
        <is>
          <t>Project</t>
        </is>
      </c>
      <c r="J38" s="51" t="inlineStr">
        <is>
          <t>INV-10622</t>
        </is>
      </c>
      <c r="K38" s="51" t="inlineStr">
        <is>
          <t>GST 10%</t>
        </is>
      </c>
      <c r="L38" s="52" t="n">
        <v>3956.77</v>
      </c>
      <c r="M38" s="53">
        <f>IF(L38="","",IF(K38="GST 10%",ROUND(L38*0.1,2),0))</f>
        <v/>
      </c>
      <c r="N38" s="53">
        <f>IF(L38="","",L38+M38)</f>
        <v/>
      </c>
      <c r="O38" s="51" t="inlineStr">
        <is>
          <t>42300</t>
        </is>
      </c>
      <c r="P38" s="51" t="inlineStr">
        <is>
          <t>Y</t>
        </is>
      </c>
      <c r="Q38" s="51" t="inlineStr">
        <is>
          <t>N</t>
        </is>
      </c>
      <c r="R38" s="51" t="inlineStr">
        <is>
          <t>Paid</t>
        </is>
      </c>
      <c r="S38" s="51" t="n"/>
      <c r="T38" s="51" t="inlineStr">
        <is>
          <t>https://corptechservices.sharepoint.com/sites/TeamIntegration/Shared%20Documents/Forms/AllItems.aspx?id=%2Fsites%2FTeamIntegration%2FShared%20Documents%2FBox%20Migration%2F%23Projects%2F%232025%20Projects%2F25070702%20APA%20Proxyclick%20VMS%20Renewal%20%2D%20Brisbane%20and%20Darwin%2FIN%2FQwilrAcceptedQuote%2F25070702%2DAPA%2DProxyclick%2DVMS%2DRenewal%2D%2D%2DBrisbane%2Dand%2DDarwin%2Epdf&amp;parent=%2Fsites%2FTeamIntegration%2FShared%20Documents%2FBox%20Migration%2F%23Projects%2F%232025%20Projects%2F25070702%20APA%20Proxyclick%20VMS%20Renewal%20%2D%20Brisbane%20and%20Darwin%2FIN%2FQwilrAcceptedQuote&amp;p=true&amp;ct=1789522581237&amp;or=Teams%2DHL&amp;ga=1&amp;LOF=1</t>
        </is>
      </c>
      <c r="U38" s="51" t="n"/>
      <c r="V38" s="52" t="n"/>
      <c r="W38" s="52" t="n"/>
      <c r="X38" s="52" t="n"/>
      <c r="Y38" s="52" t="n"/>
      <c r="Z38" s="52" t="n">
        <v>3297.31</v>
      </c>
      <c r="AA38" s="52" t="n"/>
      <c r="AB38" s="53">
        <f>IF(L38="","",N(Y38)+N(Z38)+N(AA38))</f>
        <v/>
      </c>
      <c r="AC38" s="53">
        <f>IF(L38="","",L38-AB38)</f>
        <v/>
      </c>
      <c r="AD38" s="55">
        <f>IFERROR(AC38/L38,"")</f>
        <v/>
      </c>
      <c r="AE38" s="50">
        <f>IF(L38="","",IF(N(V38)+N(W38)+N(X38)=0,"Not split",IF(ROUND(N(V38)+N(W38)+N(X38),2)=ROUND(L38,2),"OK","MISMATCH")))</f>
        <v/>
      </c>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conditionalFormatting sqref="AE5:AE5000">
    <cfRule type="expression" priority="3" dxfId="0" stopIfTrue="0">
      <formula>AE5="MISMATCH"</formula>
    </cfRule>
  </conditionalFormatting>
  <dataValidations count="7">
    <dataValidation sqref="D5:D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R5:R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B708A"/>
    <outlinePr summaryBelow="1" summaryRight="1"/>
    <pageSetUpPr/>
  </sheetPr>
  <dimension ref="A1:S5"/>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s>
  <sheetData>
    <row r="1" ht="24" customHeight="1">
      <c r="A1" s="12" t="inlineStr">
        <is>
          <t>Other - Revenue Entry</t>
        </is>
      </c>
    </row>
    <row r="2" ht="16" customHeight="1">
      <c r="A2" s="2" t="inlineStr">
        <is>
          <t>Anything that is not Onsite, Production or Consulting - CTS internal recharges, miscellaneous income, credit notes that do not belong to a department.</t>
        </is>
      </c>
    </row>
    <row r="3" ht="6" customHeight="1"/>
    <row r="4" ht="34" customHeight="1">
      <c r="A4" s="19" t="inlineStr">
        <is>
          <t>Date</t>
        </is>
      </c>
      <c r="B4" s="47" t="inlineStr">
        <is>
          <t>Month</t>
        </is>
      </c>
      <c r="C4" s="47" t="inlineStr">
        <is>
          <t>Team</t>
        </is>
      </c>
      <c r="D4" s="19" t="inlineStr">
        <is>
          <t>Cost Centre</t>
        </is>
      </c>
      <c r="E4" s="19" t="inlineStr">
        <is>
          <t>Client</t>
        </is>
      </c>
      <c r="F4" s="19" t="inlineStr">
        <is>
          <t>Job Number</t>
        </is>
      </c>
      <c r="G4" s="47" t="inlineStr">
        <is>
          <t>Job in Xero?</t>
        </is>
      </c>
      <c r="H4" s="19" t="inlineStr">
        <is>
          <t>Description</t>
        </is>
      </c>
      <c r="I4" s="19" t="inlineStr">
        <is>
          <t>Invoice Type</t>
        </is>
      </c>
      <c r="J4" s="19" t="inlineStr">
        <is>
          <t>Xero Invoice No</t>
        </is>
      </c>
      <c r="K4" s="19" t="inlineStr">
        <is>
          <t>Tax Code</t>
        </is>
      </c>
      <c r="L4" s="19" t="inlineStr">
        <is>
          <t>Ex GST</t>
        </is>
      </c>
      <c r="M4" s="47" t="inlineStr">
        <is>
          <t>GST</t>
        </is>
      </c>
      <c r="N4" s="47" t="inlineStr">
        <is>
          <t>Inc GST</t>
        </is>
      </c>
      <c r="O4" s="19" t="inlineStr">
        <is>
          <t>Revenue GL</t>
        </is>
      </c>
      <c r="P4" s="19" t="inlineStr">
        <is>
          <t>Posted to Xero</t>
        </is>
      </c>
      <c r="Q4" s="19" t="inlineStr">
        <is>
          <t>To WIP</t>
        </is>
      </c>
      <c r="R4" s="19" t="inlineStr">
        <is>
          <t>Status</t>
        </is>
      </c>
      <c r="S4" s="19" t="inlineStr">
        <is>
          <t>Notes</t>
        </is>
      </c>
    </row>
    <row r="5" ht="15" customHeight="1">
      <c r="A5" s="48" t="n"/>
      <c r="B5" s="49">
        <f>IF(A5="","",EOMONTH(A5,0))</f>
        <v/>
      </c>
      <c r="C5" s="50">
        <f>"Other"</f>
        <v/>
      </c>
      <c r="D5" s="51" t="n"/>
      <c r="E5" s="51" t="n"/>
      <c r="F5" s="51" t="n"/>
      <c r="G5" s="50">
        <f>IF(F5="","",IF(COUNTIF(lst_Jobs,F5&amp;"")&gt;0,"OK","CHECK"))</f>
        <v/>
      </c>
      <c r="H5" s="51" t="n"/>
      <c r="I5" s="51" t="n"/>
      <c r="J5" s="51" t="n"/>
      <c r="K5" s="51" t="n"/>
      <c r="L5" s="52" t="n"/>
      <c r="M5" s="53">
        <f>IF(L5="","",IF(K5="GST 10%",ROUND(L5*0.1,2),0))</f>
        <v/>
      </c>
      <c r="N5" s="53">
        <f>IF(L5="","",L5+M5)</f>
        <v/>
      </c>
      <c r="O5" s="51" t="n"/>
      <c r="P5" s="51" t="n"/>
      <c r="Q5" s="51" t="n"/>
      <c r="R5" s="51" t="n"/>
      <c r="S5" s="51" t="n"/>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dataValidations count="7">
    <dataValidation sqref="D5:D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R5:R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8B6A2B"/>
    <outlinePr summaryBelow="1" summaryRight="1"/>
    <pageSetUpPr/>
  </sheetPr>
  <dimension ref="A1:M130"/>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2" customWidth="1" min="3" max="3"/>
    <col width="26" customWidth="1" min="4" max="4"/>
    <col width="14" customWidth="1" min="5" max="5"/>
    <col width="52" customWidth="1" min="6" max="6"/>
    <col width="26" customWidth="1" min="7" max="7"/>
    <col width="16" customWidth="1" min="8" max="8"/>
    <col width="15" customWidth="1" min="9" max="9"/>
    <col width="11" customWidth="1" min="10" max="10"/>
    <col width="14" customWidth="1" min="11" max="11"/>
    <col width="14" customWidth="1" min="12" max="12"/>
    <col width="42" customWidth="1" min="13" max="13"/>
  </cols>
  <sheetData>
    <row r="1" ht="24" customHeight="1">
      <c r="A1" s="12" t="inlineStr">
        <is>
          <t>WIP Movements</t>
        </is>
      </c>
    </row>
    <row r="2" ht="16" customHeight="1">
      <c r="A2" s="2" t="inlineStr">
        <is>
          <t>Every journal that moves revenue between the P&amp;L and GL 11300 Work in Progress. SIGN RULE: + = revenue recognised this month (WIP balance up). - = revenue deferred out of this month (WIP balance down). One row per job per month.</t>
        </is>
      </c>
    </row>
    <row r="3" ht="6" customHeight="1"/>
    <row r="4" ht="34" customHeight="1">
      <c r="A4" s="19" t="inlineStr">
        <is>
          <t>Month</t>
        </is>
      </c>
      <c r="B4" s="19" t="inlineStr">
        <is>
          <t>Job Number</t>
        </is>
      </c>
      <c r="C4" s="47" t="inlineStr">
        <is>
          <t>Job in Xero?</t>
        </is>
      </c>
      <c r="D4" s="19" t="inlineStr">
        <is>
          <t>Client</t>
        </is>
      </c>
      <c r="E4" s="19" t="inlineStr">
        <is>
          <t>Cost Centre</t>
        </is>
      </c>
      <c r="F4" s="19" t="inlineStr">
        <is>
          <t>Description</t>
        </is>
      </c>
      <c r="G4" s="19" t="inlineStr">
        <is>
          <t>Type</t>
        </is>
      </c>
      <c r="H4" s="19" t="inlineStr">
        <is>
          <t>Xero Invoice No</t>
        </is>
      </c>
      <c r="I4" s="19" t="inlineStr">
        <is>
          <t>Amount</t>
        </is>
      </c>
      <c r="J4" s="19" t="inlineStr">
        <is>
          <t>GL Code</t>
        </is>
      </c>
      <c r="K4" s="19" t="inlineStr">
        <is>
          <t>Journal Ref</t>
        </is>
      </c>
      <c r="L4" s="19" t="inlineStr">
        <is>
          <t>Posted to Xero</t>
        </is>
      </c>
      <c r="M4" s="19" t="inlineStr">
        <is>
          <t>Notes</t>
        </is>
      </c>
    </row>
    <row r="5" ht="15" customHeight="1">
      <c r="A5" s="56" t="n">
        <v>46234</v>
      </c>
      <c r="B5" s="51" t="inlineStr">
        <is>
          <t>2506208</t>
        </is>
      </c>
      <c r="C5" s="50">
        <f>IF(B5="","",IF(COUNTIF(lst_Jobs,B5&amp;"")&gt;0,"OK","CHECK"))</f>
        <v/>
      </c>
      <c r="D5" s="51" t="inlineStr">
        <is>
          <t>CBA</t>
        </is>
      </c>
      <c r="E5" s="51" t="inlineStr">
        <is>
          <t>PRODUCTION</t>
        </is>
      </c>
      <c r="F5" s="51" t="inlineStr">
        <is>
          <t>CBA AGM 2026 Pre-production work at $130ph</t>
        </is>
      </c>
      <c r="G5" s="51" t="inlineStr">
        <is>
          <t>Accrual - unbilled work</t>
        </is>
      </c>
      <c r="H5" s="51" t="n"/>
      <c r="I5" s="52" t="n">
        <v>2535</v>
      </c>
      <c r="J5" s="51" t="inlineStr">
        <is>
          <t>11300</t>
        </is>
      </c>
      <c r="K5" s="51" t="n"/>
      <c r="L5" s="51" t="inlineStr">
        <is>
          <t>Y</t>
        </is>
      </c>
      <c r="M5" s="51" t="inlineStr">
        <is>
          <t>Migrated from FY27 Revenue Tracker v2 - confirm type/sign</t>
        </is>
      </c>
    </row>
    <row r="6" ht="15" customHeight="1">
      <c r="A6" s="56" t="n">
        <v>46234</v>
      </c>
      <c r="B6" s="51" t="inlineStr">
        <is>
          <t>25070702</t>
        </is>
      </c>
      <c r="C6" s="50">
        <f>IF(B6="","",IF(COUNTIF(lst_Jobs,B6&amp;"")&gt;0,"OK","CHECK"))</f>
        <v/>
      </c>
      <c r="D6" s="51" t="inlineStr">
        <is>
          <t>APA</t>
        </is>
      </c>
      <c r="E6" s="51" t="inlineStr">
        <is>
          <t>INTEGRATION</t>
        </is>
      </c>
      <c r="F6" s="51" t="inlineStr">
        <is>
          <t>APA BNE &amp; NT Year 1/3 Inv9988 (Revenue) Sep 2025 - Aug 2026</t>
        </is>
      </c>
      <c r="G6" s="51" t="inlineStr">
        <is>
          <t>Accrual - unbilled work</t>
        </is>
      </c>
      <c r="H6" s="51" t="n"/>
      <c r="I6" s="52" t="n">
        <v>308.16</v>
      </c>
      <c r="J6" s="51" t="inlineStr">
        <is>
          <t>11300</t>
        </is>
      </c>
      <c r="K6" s="51" t="n"/>
      <c r="L6" s="51" t="inlineStr">
        <is>
          <t>Y</t>
        </is>
      </c>
      <c r="M6" s="51" t="inlineStr">
        <is>
          <t>Migrated from FY27 Revenue Tracker v2 - confirm type/sign</t>
        </is>
      </c>
    </row>
    <row r="7" ht="15" customHeight="1">
      <c r="A7" s="56" t="n">
        <v>46234</v>
      </c>
      <c r="B7" s="51" t="inlineStr">
        <is>
          <t>3072</t>
        </is>
      </c>
      <c r="C7" s="50">
        <f>IF(B7="","",IF(COUNTIF(lst_Jobs,B7&amp;"")&gt;0,"OK","CHECK"))</f>
        <v/>
      </c>
      <c r="D7" s="51" t="inlineStr">
        <is>
          <t>APA Thomastown</t>
        </is>
      </c>
      <c r="E7" s="51" t="inlineStr">
        <is>
          <t>INTEGRATION</t>
        </is>
      </c>
      <c r="F7" s="51" t="inlineStr">
        <is>
          <t>APA Thomastown INV-10133 Year 3 Licence (January - December 2026)</t>
        </is>
      </c>
      <c r="G7" s="51" t="inlineStr">
        <is>
          <t>Accrual - unbilled work</t>
        </is>
      </c>
      <c r="H7" s="51" t="n"/>
      <c r="I7" s="52" t="n">
        <v>1033.06</v>
      </c>
      <c r="J7" s="51" t="inlineStr">
        <is>
          <t>11300</t>
        </is>
      </c>
      <c r="K7" s="51" t="n"/>
      <c r="L7" s="51" t="inlineStr">
        <is>
          <t>Y</t>
        </is>
      </c>
      <c r="M7" s="51" t="inlineStr">
        <is>
          <t>Migrated from FY27 Revenue Tracker v2 - confirm type/sign</t>
        </is>
      </c>
    </row>
    <row r="8" ht="15" customHeight="1">
      <c r="A8" s="56" t="n">
        <v>46234</v>
      </c>
      <c r="B8" s="51" t="inlineStr">
        <is>
          <t>2519</t>
        </is>
      </c>
      <c r="C8" s="50">
        <f>IF(B8="","",IF(COUNTIF(lst_Jobs,B8&amp;"")&gt;0,"OK","CHECK"))</f>
        <v/>
      </c>
      <c r="D8" s="51" t="inlineStr">
        <is>
          <t>NSW Property</t>
        </is>
      </c>
      <c r="E8" s="51" t="inlineStr">
        <is>
          <t>INTEGRATION</t>
        </is>
      </c>
      <c r="F8" s="51" t="inlineStr">
        <is>
          <t>NSW Property 6PSQ Multi-Tennant Year 4 INV 10162 Revenue (November - October 2026)</t>
        </is>
      </c>
      <c r="G8" s="51" t="inlineStr">
        <is>
          <t>Accrual - unbilled work</t>
        </is>
      </c>
      <c r="H8" s="51" t="n"/>
      <c r="I8" s="52" t="n">
        <v>929.33</v>
      </c>
      <c r="J8" s="51" t="inlineStr">
        <is>
          <t>11300</t>
        </is>
      </c>
      <c r="K8" s="51" t="n"/>
      <c r="L8" s="51" t="inlineStr">
        <is>
          <t>Y</t>
        </is>
      </c>
      <c r="M8" s="51" t="inlineStr">
        <is>
          <t>Migrated from FY27 Revenue Tracker v2 - confirm type/sign</t>
        </is>
      </c>
    </row>
    <row r="9" ht="15" customHeight="1">
      <c r="A9" s="56" t="n">
        <v>46234</v>
      </c>
      <c r="B9" s="51" t="inlineStr">
        <is>
          <t>2510804</t>
        </is>
      </c>
      <c r="C9" s="50">
        <f>IF(B9="","",IF(COUNTIF(lst_Jobs,B9&amp;"")&gt;0,"OK","CHECK"))</f>
        <v/>
      </c>
      <c r="D9" s="51" t="inlineStr">
        <is>
          <t>Presynct</t>
        </is>
      </c>
      <c r="E9" s="51" t="inlineStr">
        <is>
          <t>INTEGRATION</t>
        </is>
      </c>
      <c r="F9" s="51" t="inlineStr">
        <is>
          <t xml:space="preserve">Presynct - QLD - Condeco Desk Booking System INV 10199 Revenue (Nov 2025 - Oct 2025) </t>
        </is>
      </c>
      <c r="G9" s="51" t="inlineStr">
        <is>
          <t>Accrual - unbilled work</t>
        </is>
      </c>
      <c r="H9" s="51" t="n"/>
      <c r="I9" s="52" t="n">
        <v>439.33</v>
      </c>
      <c r="J9" s="51" t="inlineStr">
        <is>
          <t>11300</t>
        </is>
      </c>
      <c r="K9" s="51" t="n"/>
      <c r="L9" s="51" t="inlineStr">
        <is>
          <t>Y</t>
        </is>
      </c>
      <c r="M9" s="51" t="inlineStr">
        <is>
          <t>Migrated from FY27 Revenue Tracker v2 - confirm type/sign</t>
        </is>
      </c>
    </row>
    <row r="10" ht="15" customHeight="1">
      <c r="A10" s="56" t="n">
        <v>46234</v>
      </c>
      <c r="B10" s="51" t="inlineStr">
        <is>
          <t>2719</t>
        </is>
      </c>
      <c r="C10" s="50">
        <f>IF(B10="","",IF(COUNTIF(lst_Jobs,B10&amp;"")&gt;0,"OK","CHECK"))</f>
        <v/>
      </c>
      <c r="D10" s="51" t="inlineStr">
        <is>
          <t>NSW Property</t>
        </is>
      </c>
      <c r="E10" s="51" t="inlineStr">
        <is>
          <t>INTEGRATION</t>
        </is>
      </c>
      <c r="F10" s="51" t="inlineStr">
        <is>
          <t>NSW Property GSP Proxyclick INV 10176 Revenue (Dec 2025 - Nov 2026)</t>
        </is>
      </c>
      <c r="G10" s="51" t="inlineStr">
        <is>
          <t>Accrual - unbilled work</t>
        </is>
      </c>
      <c r="H10" s="51" t="n"/>
      <c r="I10" s="52" t="n">
        <v>381.15</v>
      </c>
      <c r="J10" s="51" t="inlineStr">
        <is>
          <t>11300</t>
        </is>
      </c>
      <c r="K10" s="51" t="n"/>
      <c r="L10" s="51" t="inlineStr">
        <is>
          <t>Y</t>
        </is>
      </c>
      <c r="M10" s="51" t="inlineStr">
        <is>
          <t>Migrated from FY27 Revenue Tracker v2 - confirm type/sign</t>
        </is>
      </c>
    </row>
    <row r="11" ht="15" customHeight="1">
      <c r="A11" s="56" t="n">
        <v>46234</v>
      </c>
      <c r="B11" s="51" t="inlineStr">
        <is>
          <t>2834</t>
        </is>
      </c>
      <c r="C11" s="50">
        <f>IF(B11="","",IF(COUNTIF(lst_Jobs,B11&amp;"")&gt;0,"OK","CHECK"))</f>
        <v/>
      </c>
      <c r="D11" s="51" t="inlineStr">
        <is>
          <t>APA</t>
        </is>
      </c>
      <c r="E11" s="51" t="inlineStr">
        <is>
          <t>INTEGRATION</t>
        </is>
      </c>
      <c r="F11" s="51" t="inlineStr">
        <is>
          <t>APA Young Year 4 INV-10280 Revenue (Mar 2026 - Feb 2027)</t>
        </is>
      </c>
      <c r="G11" s="51" t="inlineStr">
        <is>
          <t>Accrual - unbilled work</t>
        </is>
      </c>
      <c r="H11" s="51" t="n"/>
      <c r="I11" s="52" t="n">
        <v>312.9</v>
      </c>
      <c r="J11" s="51" t="inlineStr">
        <is>
          <t>11300</t>
        </is>
      </c>
      <c r="K11" s="51" t="n"/>
      <c r="L11" s="51" t="inlineStr">
        <is>
          <t>Y</t>
        </is>
      </c>
      <c r="M11" s="51" t="inlineStr">
        <is>
          <t>Migrated from FY27 Revenue Tracker v2 - confirm type/sign</t>
        </is>
      </c>
    </row>
    <row r="12" ht="15" customHeight="1">
      <c r="A12" s="56" t="n">
        <v>46234</v>
      </c>
      <c r="B12" s="51" t="inlineStr">
        <is>
          <t>3027</t>
        </is>
      </c>
      <c r="C12" s="50">
        <f>IF(B12="","",IF(COUNTIF(lst_Jobs,B12&amp;"")&gt;0,"OK","CHECK"))</f>
        <v/>
      </c>
      <c r="D12" s="51" t="inlineStr">
        <is>
          <t>NSW Property</t>
        </is>
      </c>
      <c r="E12" s="51" t="inlineStr">
        <is>
          <t>INTEGRATION</t>
        </is>
      </c>
      <c r="F12" s="51" t="inlineStr">
        <is>
          <t>NSW Property  - 231 Eliz L13 Touchdown - Condeco Desk Booking System (INV10391 Revenue)</t>
        </is>
      </c>
      <c r="G12" s="51" t="inlineStr">
        <is>
          <t>Accrual - unbilled work</t>
        </is>
      </c>
      <c r="H12" s="51" t="n"/>
      <c r="I12" s="52" t="n">
        <v>721.7</v>
      </c>
      <c r="J12" s="51" t="inlineStr">
        <is>
          <t>11300</t>
        </is>
      </c>
      <c r="K12" s="51" t="n"/>
      <c r="L12" s="51" t="inlineStr">
        <is>
          <t>Y</t>
        </is>
      </c>
      <c r="M12" s="51" t="inlineStr">
        <is>
          <t>Migrated from FY27 Revenue Tracker v2 - confirm type/sign</t>
        </is>
      </c>
    </row>
    <row r="13" ht="15" customHeight="1">
      <c r="A13" s="56" t="n">
        <v>46234</v>
      </c>
      <c r="B13" s="51" t="inlineStr">
        <is>
          <t>3027</t>
        </is>
      </c>
      <c r="C13" s="50">
        <f>IF(B13="","",IF(COUNTIF(lst_Jobs,B13&amp;"")&gt;0,"OK","CHECK"))</f>
        <v/>
      </c>
      <c r="D13" s="51" t="inlineStr">
        <is>
          <t>NSW Property</t>
        </is>
      </c>
      <c r="E13" s="51" t="inlineStr">
        <is>
          <t>INTEGRATION</t>
        </is>
      </c>
      <c r="F13" s="51" t="inlineStr">
        <is>
          <t>NSW Property - 231 Eliz Workplace L1 (INV10392 Revenue)</t>
        </is>
      </c>
      <c r="G13" s="51" t="inlineStr">
        <is>
          <t>Accrual - unbilled work</t>
        </is>
      </c>
      <c r="H13" s="51" t="n"/>
      <c r="I13" s="52" t="n">
        <v>876.35</v>
      </c>
      <c r="J13" s="51" t="inlineStr">
        <is>
          <t>11300</t>
        </is>
      </c>
      <c r="K13" s="51" t="n"/>
      <c r="L13" s="51" t="inlineStr">
        <is>
          <t>Y</t>
        </is>
      </c>
      <c r="M13" s="51" t="inlineStr">
        <is>
          <t>Migrated from FY27 Revenue Tracker v2 - confirm type/sign</t>
        </is>
      </c>
    </row>
    <row r="14" ht="15" customHeight="1">
      <c r="A14" s="56" t="n">
        <v>46234</v>
      </c>
      <c r="B14" s="51" t="inlineStr">
        <is>
          <t>25060301</t>
        </is>
      </c>
      <c r="C14" s="50">
        <f>IF(B14="","",IF(COUNTIF(lst_Jobs,B14&amp;"")&gt;0,"OK","CHECK"))</f>
        <v/>
      </c>
      <c r="D14" s="51" t="inlineStr">
        <is>
          <t>NSW Property</t>
        </is>
      </c>
      <c r="E14" s="51" t="inlineStr">
        <is>
          <t>INTEGRATION</t>
        </is>
      </c>
      <c r="F14" s="51" t="inlineStr">
        <is>
          <t>NSW Property - 6PSQ Workplace L12 Hub (INV10393 Revenue)</t>
        </is>
      </c>
      <c r="G14" s="51" t="inlineStr">
        <is>
          <t>Accrual - unbilled work</t>
        </is>
      </c>
      <c r="H14" s="51" t="n"/>
      <c r="I14" s="52" t="n">
        <v>2964.14</v>
      </c>
      <c r="J14" s="51" t="inlineStr">
        <is>
          <t>11300</t>
        </is>
      </c>
      <c r="K14" s="51" t="n"/>
      <c r="L14" s="51" t="inlineStr">
        <is>
          <t>Y</t>
        </is>
      </c>
      <c r="M14" s="51" t="inlineStr">
        <is>
          <t>Migrated from FY27 Revenue Tracker v2 - confirm type/sign</t>
        </is>
      </c>
    </row>
    <row r="15" ht="15" customHeight="1">
      <c r="A15" s="56" t="n">
        <v>46234</v>
      </c>
      <c r="B15" s="51" t="inlineStr">
        <is>
          <t>2519</t>
        </is>
      </c>
      <c r="C15" s="50">
        <f>IF(B15="","",IF(COUNTIF(lst_Jobs,B15&amp;"")&gt;0,"OK","CHECK"))</f>
        <v/>
      </c>
      <c r="D15" s="51" t="inlineStr">
        <is>
          <t>NSW Property</t>
        </is>
      </c>
      <c r="E15" s="51" t="inlineStr">
        <is>
          <t>INTEGRATION</t>
        </is>
      </c>
      <c r="F15" s="51" t="inlineStr">
        <is>
          <t>NSW Property - 6PSQ L11 Touchdown (INV10394 Revenue)</t>
        </is>
      </c>
      <c r="G15" s="51" t="inlineStr">
        <is>
          <t>Accrual - unbilled work</t>
        </is>
      </c>
      <c r="H15" s="51" t="n"/>
      <c r="I15" s="52" t="n">
        <v>799.03</v>
      </c>
      <c r="J15" s="51" t="inlineStr">
        <is>
          <t>11300</t>
        </is>
      </c>
      <c r="K15" s="51" t="n"/>
      <c r="L15" s="51" t="inlineStr">
        <is>
          <t>Y</t>
        </is>
      </c>
      <c r="M15" s="51" t="inlineStr">
        <is>
          <t>Migrated from FY27 Revenue Tracker v2 - confirm type/sign</t>
        </is>
      </c>
    </row>
    <row r="16" ht="15" customHeight="1">
      <c r="A16" s="56" t="n">
        <v>46234</v>
      </c>
      <c r="B16" s="51" t="inlineStr">
        <is>
          <t>3068</t>
        </is>
      </c>
      <c r="C16" s="50">
        <f>IF(B16="","",IF(COUNTIF(lst_Jobs,B16&amp;"")&gt;0,"OK","CHECK"))</f>
        <v/>
      </c>
      <c r="D16" s="51" t="inlineStr">
        <is>
          <t>NSW Property</t>
        </is>
      </c>
      <c r="E16" s="51" t="inlineStr">
        <is>
          <t>INTEGRATION</t>
        </is>
      </c>
      <c r="F16" s="51" t="inlineStr">
        <is>
          <t>NSW Property  – Penrith 50 Belmore St – Workplace Hub (INV10395 Revenue)</t>
        </is>
      </c>
      <c r="G16" s="51" t="inlineStr">
        <is>
          <t>Accrual - unbilled work</t>
        </is>
      </c>
      <c r="H16" s="51" t="n"/>
      <c r="I16" s="52" t="n">
        <v>154.65</v>
      </c>
      <c r="J16" s="51" t="inlineStr">
        <is>
          <t>11300</t>
        </is>
      </c>
      <c r="K16" s="51" t="n"/>
      <c r="L16" s="51" t="inlineStr">
        <is>
          <t>Y</t>
        </is>
      </c>
      <c r="M16" s="51" t="inlineStr">
        <is>
          <t>Migrated from FY27 Revenue Tracker v2 - confirm type/sign</t>
        </is>
      </c>
    </row>
    <row r="17" ht="15" customHeight="1">
      <c r="A17" s="56" t="n">
        <v>46234</v>
      </c>
      <c r="B17" s="51" t="inlineStr">
        <is>
          <t>25051302</t>
        </is>
      </c>
      <c r="C17" s="50">
        <f>IF(B17="","",IF(COUNTIF(lst_Jobs,B17&amp;"")&gt;0,"OK","CHECK"))</f>
        <v/>
      </c>
      <c r="D17" s="51" t="inlineStr">
        <is>
          <t>NSW Property</t>
        </is>
      </c>
      <c r="E17" s="51" t="inlineStr">
        <is>
          <t>INTEGRATION</t>
        </is>
      </c>
      <c r="F17" s="51" t="inlineStr">
        <is>
          <t>NSW Property - Penrith BDA (INV10396)</t>
        </is>
      </c>
      <c r="G17" s="51" t="inlineStr">
        <is>
          <t>Accrual - unbilled work</t>
        </is>
      </c>
      <c r="H17" s="51" t="n"/>
      <c r="I17" s="52" t="n">
        <v>1494.96</v>
      </c>
      <c r="J17" s="51" t="inlineStr">
        <is>
          <t>11300</t>
        </is>
      </c>
      <c r="K17" s="51" t="n"/>
      <c r="L17" s="51" t="inlineStr">
        <is>
          <t>Y</t>
        </is>
      </c>
      <c r="M17" s="51" t="inlineStr">
        <is>
          <t>Migrated from FY27 Revenue Tracker v2 - confirm type/sign</t>
        </is>
      </c>
    </row>
    <row r="18" ht="15" customHeight="1">
      <c r="A18" s="56" t="n">
        <v>46234</v>
      </c>
      <c r="B18" s="51" t="inlineStr">
        <is>
          <t>25060307</t>
        </is>
      </c>
      <c r="C18" s="50">
        <f>IF(B18="","",IF(COUNTIF(lst_Jobs,B18&amp;"")&gt;0,"OK","CHECK"))</f>
        <v/>
      </c>
      <c r="D18" s="51" t="inlineStr">
        <is>
          <t>NSW Property</t>
        </is>
      </c>
      <c r="E18" s="51" t="inlineStr">
        <is>
          <t>INTEGRATION</t>
        </is>
      </c>
      <c r="F18" s="51" t="inlineStr">
        <is>
          <t>NSW Property - RA Molesworth St (INV10397 Revenue)</t>
        </is>
      </c>
      <c r="G18" s="51" t="inlineStr">
        <is>
          <t>Accrual - unbilled work</t>
        </is>
      </c>
      <c r="H18" s="51" t="n"/>
      <c r="I18" s="52" t="n">
        <v>786.14</v>
      </c>
      <c r="J18" s="51" t="inlineStr">
        <is>
          <t>11300</t>
        </is>
      </c>
      <c r="K18" s="51" t="n"/>
      <c r="L18" s="51" t="inlineStr">
        <is>
          <t>Y</t>
        </is>
      </c>
      <c r="M18" s="51" t="inlineStr">
        <is>
          <t>Migrated from FY27 Revenue Tracker v2 - confirm type/sign</t>
        </is>
      </c>
    </row>
    <row r="19" ht="15" customHeight="1">
      <c r="A19" s="56" t="n">
        <v>46234</v>
      </c>
      <c r="B19" s="51" t="inlineStr">
        <is>
          <t>2510805</t>
        </is>
      </c>
      <c r="C19" s="50">
        <f>IF(B19="","",IF(COUNTIF(lst_Jobs,B19&amp;"")&gt;0,"OK","CHECK"))</f>
        <v/>
      </c>
      <c r="D19" s="51" t="inlineStr">
        <is>
          <t>NSW Property</t>
        </is>
      </c>
      <c r="E19" s="51" t="inlineStr">
        <is>
          <t>INTEGRATION</t>
        </is>
      </c>
      <c r="F19" s="51" t="inlineStr">
        <is>
          <t>NSW Property - RA Newcastle Bellvue (INV10398 Revenue)</t>
        </is>
      </c>
      <c r="G19" s="51" t="inlineStr">
        <is>
          <t>Accrual - unbilled work</t>
        </is>
      </c>
      <c r="H19" s="51" t="n"/>
      <c r="I19" s="52" t="n">
        <v>270.64</v>
      </c>
      <c r="J19" s="51" t="inlineStr">
        <is>
          <t>11300</t>
        </is>
      </c>
      <c r="K19" s="51" t="n"/>
      <c r="L19" s="51" t="inlineStr">
        <is>
          <t>Y</t>
        </is>
      </c>
      <c r="M19" s="51" t="inlineStr">
        <is>
          <t>Migrated from FY27 Revenue Tracker v2 - confirm type/sign</t>
        </is>
      </c>
    </row>
    <row r="20" ht="15" customHeight="1">
      <c r="A20" s="56" t="n">
        <v>46234</v>
      </c>
      <c r="B20" s="51" t="inlineStr">
        <is>
          <t>2603202</t>
        </is>
      </c>
      <c r="C20" s="50">
        <f>IF(B20="","",IF(COUNTIF(lst_Jobs,B20&amp;"")&gt;0,"OK","CHECK"))</f>
        <v/>
      </c>
      <c r="D20" s="51" t="inlineStr">
        <is>
          <t>NSW Property</t>
        </is>
      </c>
      <c r="E20" s="51" t="inlineStr">
        <is>
          <t>INTEGRATION</t>
        </is>
      </c>
      <c r="F20" s="51" t="inlineStr">
        <is>
          <t>NSW Property - 5 O’Keefe Ave Nowra Workplace Hub (INV10399 Revenue)</t>
        </is>
      </c>
      <c r="G20" s="51" t="inlineStr">
        <is>
          <t>Accrual - unbilled work</t>
        </is>
      </c>
      <c r="H20" s="51" t="n"/>
      <c r="I20" s="52" t="n">
        <v>2242.44</v>
      </c>
      <c r="J20" s="51" t="inlineStr">
        <is>
          <t>11300</t>
        </is>
      </c>
      <c r="K20" s="51" t="n"/>
      <c r="L20" s="51" t="inlineStr">
        <is>
          <t>Y</t>
        </is>
      </c>
      <c r="M20" s="51" t="inlineStr">
        <is>
          <t>Migrated from FY27 Revenue Tracker v2 - confirm type/sign</t>
        </is>
      </c>
    </row>
    <row r="21" ht="15" customHeight="1">
      <c r="A21" s="56" t="n">
        <v>46234</v>
      </c>
      <c r="B21" s="51" t="inlineStr">
        <is>
          <t>25041502</t>
        </is>
      </c>
      <c r="C21" s="50">
        <f>IF(B21="","",IF(COUNTIF(lst_Jobs,B21&amp;"")&gt;0,"OK","CHECK"))</f>
        <v/>
      </c>
      <c r="D21" s="51" t="inlineStr">
        <is>
          <t>NSW Property</t>
        </is>
      </c>
      <c r="E21" s="51" t="inlineStr">
        <is>
          <t>INTEGRATION</t>
        </is>
      </c>
      <c r="F21" s="51" t="inlineStr">
        <is>
          <t>NSW Property -  Maitland 510-516 High St WP Services (INV10400 Revenue)</t>
        </is>
      </c>
      <c r="G21" s="51" t="inlineStr">
        <is>
          <t>Accrual - unbilled work</t>
        </is>
      </c>
      <c r="H21" s="51" t="n"/>
      <c r="I21" s="52" t="n">
        <v>3041.47</v>
      </c>
      <c r="J21" s="51" t="inlineStr">
        <is>
          <t>11300</t>
        </is>
      </c>
      <c r="K21" s="51" t="n"/>
      <c r="L21" s="51" t="inlineStr">
        <is>
          <t>Y</t>
        </is>
      </c>
      <c r="M21" s="51" t="inlineStr">
        <is>
          <t>Migrated from FY27 Revenue Tracker v2 - confirm type/sign</t>
        </is>
      </c>
    </row>
    <row r="22" ht="15" customHeight="1">
      <c r="A22" s="56" t="n">
        <v>46234</v>
      </c>
      <c r="B22" s="51" t="inlineStr">
        <is>
          <t>3068</t>
        </is>
      </c>
      <c r="C22" s="50">
        <f>IF(B22="","",IF(COUNTIF(lst_Jobs,B22&amp;"")&gt;0,"OK","CHECK"))</f>
        <v/>
      </c>
      <c r="D22" s="51" t="inlineStr">
        <is>
          <t>NSW Property</t>
        </is>
      </c>
      <c r="E22" s="51" t="inlineStr">
        <is>
          <t>INTEGRATION</t>
        </is>
      </c>
      <c r="F22" s="51" t="inlineStr">
        <is>
          <t>NSW Property -  252 Pitt St Parkline Workplace Hub (INV10401 Revenue)</t>
        </is>
      </c>
      <c r="G22" s="51" t="inlineStr">
        <is>
          <t>Accrual - unbilled work</t>
        </is>
      </c>
      <c r="H22" s="51" t="n"/>
      <c r="I22" s="52" t="n">
        <v>4085.36</v>
      </c>
      <c r="J22" s="51" t="inlineStr">
        <is>
          <t>11300</t>
        </is>
      </c>
      <c r="K22" s="51" t="n"/>
      <c r="L22" s="51" t="inlineStr">
        <is>
          <t>Y</t>
        </is>
      </c>
      <c r="M22" s="51" t="inlineStr">
        <is>
          <t>Migrated from FY27 Revenue Tracker v2 - confirm type/sign</t>
        </is>
      </c>
    </row>
    <row r="23" ht="15" customHeight="1">
      <c r="A23" s="56" t="n">
        <v>46234</v>
      </c>
      <c r="B23" s="51" t="inlineStr">
        <is>
          <t>2510205</t>
        </is>
      </c>
      <c r="C23" s="50">
        <f>IF(B23="","",IF(COUNTIF(lst_Jobs,B23&amp;"")&gt;0,"OK","CHECK"))</f>
        <v/>
      </c>
      <c r="D23" s="51" t="inlineStr">
        <is>
          <t>NSW Property</t>
        </is>
      </c>
      <c r="E23" s="51" t="inlineStr">
        <is>
          <t>INTEGRATION</t>
        </is>
      </c>
      <c r="F23" s="51" t="inlineStr">
        <is>
          <t>NSW Property - Sydney 1 Prince Albert Workplace Hub (INV10412 Revenue)</t>
        </is>
      </c>
      <c r="G23" s="51" t="inlineStr">
        <is>
          <t>Accrual - unbilled work</t>
        </is>
      </c>
      <c r="H23" s="51" t="n"/>
      <c r="I23" s="52" t="n">
        <v>1868.7</v>
      </c>
      <c r="J23" s="51" t="inlineStr">
        <is>
          <t>11300</t>
        </is>
      </c>
      <c r="K23" s="51" t="n"/>
      <c r="L23" s="51" t="inlineStr">
        <is>
          <t>Y</t>
        </is>
      </c>
      <c r="M23" s="51" t="inlineStr">
        <is>
          <t>Migrated from FY27 Revenue Tracker v2 - confirm type/sign</t>
        </is>
      </c>
    </row>
    <row r="24" ht="15" customHeight="1">
      <c r="A24" s="56" t="n">
        <v>46234</v>
      </c>
      <c r="B24" s="51" t="inlineStr">
        <is>
          <t>26043001</t>
        </is>
      </c>
      <c r="C24" s="50">
        <f>IF(B24="","",IF(COUNTIF(lst_Jobs,B24&amp;"")&gt;0,"OK","CHECK"))</f>
        <v/>
      </c>
      <c r="D24" s="51" t="inlineStr">
        <is>
          <t>CBA</t>
        </is>
      </c>
      <c r="E24" s="51" t="inlineStr">
        <is>
          <t>ONSITE</t>
        </is>
      </c>
      <c r="F24" s="51" t="inlineStr">
        <is>
          <t>CBA Melbourne Half of May 2026 not invoiced yet (Invoiced in June)</t>
        </is>
      </c>
      <c r="G24" s="51" t="inlineStr">
        <is>
          <t>Deferral - invoiced in advance</t>
        </is>
      </c>
      <c r="H24" s="51" t="n"/>
      <c r="I24" s="52" t="n">
        <v>-5950</v>
      </c>
      <c r="J24" s="51" t="inlineStr">
        <is>
          <t>11300</t>
        </is>
      </c>
      <c r="K24" s="51" t="n"/>
      <c r="L24" s="51" t="inlineStr">
        <is>
          <t>Y</t>
        </is>
      </c>
      <c r="M24" s="51" t="inlineStr">
        <is>
          <t>Migrated from FY27 Revenue Tracker v2 - confirm type/sign</t>
        </is>
      </c>
    </row>
    <row r="25" ht="15" customHeight="1">
      <c r="A25" s="56" t="n">
        <v>46234</v>
      </c>
      <c r="B25" s="51" t="inlineStr">
        <is>
          <t>2604704</t>
        </is>
      </c>
      <c r="C25" s="50">
        <f>IF(B25="","",IF(COUNTIF(lst_Jobs,B25&amp;"")&gt;0,"OK","CHECK"))</f>
        <v/>
      </c>
      <c r="D25" s="51" t="inlineStr">
        <is>
          <t>Aware Super</t>
        </is>
      </c>
      <c r="E25" s="51" t="inlineStr">
        <is>
          <t>INTEGRATION</t>
        </is>
      </c>
      <c r="F25" s="51" t="inlineStr">
        <is>
          <t>Aware Super Seminar Room Audio Upgrade [INT] Revenue</t>
        </is>
      </c>
      <c r="G25" s="51" t="inlineStr">
        <is>
          <t>Accrual - unbilled work</t>
        </is>
      </c>
      <c r="H25" s="51" t="n"/>
      <c r="I25" s="52" t="n">
        <v>1821.25</v>
      </c>
      <c r="J25" s="51" t="inlineStr">
        <is>
          <t>11300</t>
        </is>
      </c>
      <c r="K25" s="51" t="n"/>
      <c r="L25" s="51" t="inlineStr">
        <is>
          <t>Y</t>
        </is>
      </c>
      <c r="M25" s="51" t="inlineStr">
        <is>
          <t>Migrated from FY27 Revenue Tracker v2 - confirm type/sign</t>
        </is>
      </c>
    </row>
    <row r="26" ht="15" customHeight="1">
      <c r="A26" s="56" t="n">
        <v>46234</v>
      </c>
      <c r="B26" s="51" t="inlineStr">
        <is>
          <t>3028</t>
        </is>
      </c>
      <c r="C26" s="50">
        <f>IF(B26="","",IF(COUNTIF(lst_Jobs,B26&amp;"")&gt;0,"OK","CHECK"))</f>
        <v/>
      </c>
      <c r="D26" s="51" t="inlineStr">
        <is>
          <t>APA</t>
        </is>
      </c>
      <c r="E26" s="51" t="inlineStr">
        <is>
          <t>INTEGRATION</t>
        </is>
      </c>
      <c r="F26" s="51" t="inlineStr">
        <is>
          <t>APA Kidman Proxyclick Term 3 Jun26-Dec26 INV-10477 (Revenue)</t>
        </is>
      </c>
      <c r="G26" s="51" t="inlineStr">
        <is>
          <t>Accrual - unbilled work</t>
        </is>
      </c>
      <c r="H26" s="51" t="n"/>
      <c r="I26" s="52" t="n">
        <v>996.74</v>
      </c>
      <c r="J26" s="51" t="inlineStr">
        <is>
          <t>11300</t>
        </is>
      </c>
      <c r="K26" s="51" t="n"/>
      <c r="L26" s="51" t="inlineStr">
        <is>
          <t>Y</t>
        </is>
      </c>
      <c r="M26" s="51" t="inlineStr">
        <is>
          <t>Migrated from FY27 Revenue Tracker v2 - confirm type/sign</t>
        </is>
      </c>
    </row>
    <row r="27" ht="15" customHeight="1">
      <c r="A27" s="56" t="n">
        <v>46234</v>
      </c>
      <c r="B27" s="51" t="inlineStr">
        <is>
          <t>2855</t>
        </is>
      </c>
      <c r="C27" s="50">
        <f>IF(B27="","",IF(COUNTIF(lst_Jobs,B27&amp;"")&gt;0,"OK","CHECK"))</f>
        <v/>
      </c>
      <c r="D27" s="51" t="inlineStr">
        <is>
          <t>APA</t>
        </is>
      </c>
      <c r="E27" s="51" t="inlineStr">
        <is>
          <t>INTEGRATION</t>
        </is>
      </c>
      <c r="F27" s="51" t="inlineStr">
        <is>
          <t>APA Melbourne Proxyclick Jul26-Jun27 INV-10501(Revenue)</t>
        </is>
      </c>
      <c r="G27" s="51" t="inlineStr">
        <is>
          <t>Accrual - unbilled work</t>
        </is>
      </c>
      <c r="H27" s="51" t="n"/>
      <c r="I27" s="52" t="n">
        <v>1357.33</v>
      </c>
      <c r="J27" s="51" t="inlineStr">
        <is>
          <t>11300</t>
        </is>
      </c>
      <c r="K27" s="51" t="n"/>
      <c r="L27" s="51" t="inlineStr">
        <is>
          <t>Y</t>
        </is>
      </c>
      <c r="M27" s="51" t="inlineStr">
        <is>
          <t>Migrated from FY27 Revenue Tracker v2 - confirm type/sign</t>
        </is>
      </c>
    </row>
    <row r="28" ht="15" customHeight="1">
      <c r="A28" s="56" t="n">
        <v>46234</v>
      </c>
      <c r="B28" s="51" t="inlineStr">
        <is>
          <t>2857</t>
        </is>
      </c>
      <c r="C28" s="50">
        <f>IF(B28="","",IF(COUNTIF(lst_Jobs,B28&amp;"")&gt;0,"OK","CHECK"))</f>
        <v/>
      </c>
      <c r="D28" s="51" t="inlineStr">
        <is>
          <t>APA</t>
        </is>
      </c>
      <c r="E28" s="51" t="inlineStr">
        <is>
          <t>INTEGRATION</t>
        </is>
      </c>
      <c r="F28" s="51" t="inlineStr">
        <is>
          <t>APA Sydney Proxyclick Jul26-Jun27 INV-10502(Revenue)</t>
        </is>
      </c>
      <c r="G28" s="51" t="inlineStr">
        <is>
          <t>Accrual - unbilled work</t>
        </is>
      </c>
      <c r="H28" s="51" t="n"/>
      <c r="I28" s="52" t="n">
        <v>1357.33</v>
      </c>
      <c r="J28" s="51" t="inlineStr">
        <is>
          <t>11300</t>
        </is>
      </c>
      <c r="K28" s="51" t="n"/>
      <c r="L28" s="51" t="inlineStr">
        <is>
          <t>Y</t>
        </is>
      </c>
      <c r="M28" s="51" t="inlineStr">
        <is>
          <t>Migrated from FY27 Revenue Tracker v2 - confirm type/sign</t>
        </is>
      </c>
    </row>
    <row r="29" ht="15" customHeight="1">
      <c r="A29" s="56" t="n">
        <v>46234</v>
      </c>
      <c r="B29" s="51" t="inlineStr">
        <is>
          <t>2848</t>
        </is>
      </c>
      <c r="C29" s="50">
        <f>IF(B29="","",IF(COUNTIF(lst_Jobs,B29&amp;"")&gt;0,"OK","CHECK"))</f>
        <v/>
      </c>
      <c r="D29" s="51" t="inlineStr">
        <is>
          <t>APA</t>
        </is>
      </c>
      <c r="E29" s="51" t="inlineStr">
        <is>
          <t>INTEGRATION</t>
        </is>
      </c>
      <c r="F29" s="51" t="inlineStr">
        <is>
          <t>APA Adelaide Proxyclick INV-10514 Renewal Jul26-Jun27 (Revenue)</t>
        </is>
      </c>
      <c r="G29" s="51" t="inlineStr">
        <is>
          <t>Accrual - unbilled work</t>
        </is>
      </c>
      <c r="H29" s="51" t="n"/>
      <c r="I29" s="52" t="n">
        <v>618.08</v>
      </c>
      <c r="J29" s="51" t="inlineStr">
        <is>
          <t>11300</t>
        </is>
      </c>
      <c r="K29" s="51" t="n"/>
      <c r="L29" s="51" t="inlineStr">
        <is>
          <t>Y</t>
        </is>
      </c>
      <c r="M29" s="51" t="inlineStr">
        <is>
          <t>Migrated from FY27 Revenue Tracker v2 - confirm type/sign</t>
        </is>
      </c>
    </row>
    <row r="30" ht="15" customHeight="1">
      <c r="A30" s="56" t="n">
        <v>46234</v>
      </c>
      <c r="B30" s="51" t="inlineStr">
        <is>
          <t>2606101</t>
        </is>
      </c>
      <c r="C30" s="50">
        <f>IF(B30="","",IF(COUNTIF(lst_Jobs,B30&amp;"")&gt;0,"OK","CHECK"))</f>
        <v/>
      </c>
      <c r="D30" s="51" t="inlineStr">
        <is>
          <t>APA</t>
        </is>
      </c>
      <c r="E30" s="51" t="inlineStr">
        <is>
          <t>INTEGRATION</t>
        </is>
      </c>
      <c r="F30" s="51" t="inlineStr">
        <is>
          <t>APA | Young Eptura Proxyclick Licence Renewal Mar27-Feb28 INV-10548 (Revenue)</t>
        </is>
      </c>
      <c r="G30" s="51" t="inlineStr">
        <is>
          <t>Deferral - invoiced in advance</t>
        </is>
      </c>
      <c r="H30" s="51" t="n"/>
      <c r="I30" s="52" t="n">
        <v>-4205</v>
      </c>
      <c r="J30" s="51" t="inlineStr">
        <is>
          <t>11300</t>
        </is>
      </c>
      <c r="K30" s="51" t="n"/>
      <c r="L30" s="51" t="inlineStr">
        <is>
          <t>Y</t>
        </is>
      </c>
      <c r="M30" s="51" t="inlineStr">
        <is>
          <t>Migrated from FY27 Revenue Tracker v2 - confirm type/sign</t>
        </is>
      </c>
    </row>
    <row r="31" ht="15" customHeight="1">
      <c r="A31" s="56" t="n">
        <v>46234</v>
      </c>
      <c r="B31" s="51" t="inlineStr">
        <is>
          <t xml:space="preserve">2605402 </t>
        </is>
      </c>
      <c r="C31" s="50">
        <f>IF(B31="","",IF(COUNTIF(lst_Jobs,B31&amp;"")&gt;0,"OK","CHECK"))</f>
        <v/>
      </c>
      <c r="D31" s="51" t="inlineStr">
        <is>
          <t>AGL</t>
        </is>
      </c>
      <c r="E31" s="51" t="inlineStr">
        <is>
          <t>PRODUCTION</t>
        </is>
      </c>
      <c r="F31" s="51" t="inlineStr">
        <is>
          <t>AGL FYR - Employee Town Hall [PRD] pre-prod work</t>
        </is>
      </c>
      <c r="G31" s="51" t="inlineStr">
        <is>
          <t>Accrual - unbilled work</t>
        </is>
      </c>
      <c r="H31" s="51" t="n"/>
      <c r="I31" s="52" t="n">
        <v>1322.5</v>
      </c>
      <c r="J31" s="51" t="inlineStr">
        <is>
          <t>11300</t>
        </is>
      </c>
      <c r="K31" s="51" t="n"/>
      <c r="L31" s="51" t="inlineStr">
        <is>
          <t>Y</t>
        </is>
      </c>
      <c r="M31" s="51" t="inlineStr">
        <is>
          <t>Migrated from FY27 Revenue Tracker v2 - confirm type/sign</t>
        </is>
      </c>
    </row>
    <row r="32" ht="15" customHeight="1">
      <c r="A32" s="56" t="n">
        <v>46234</v>
      </c>
      <c r="B32" s="51" t="inlineStr">
        <is>
          <t xml:space="preserve">26061105 </t>
        </is>
      </c>
      <c r="C32" s="50">
        <f>IF(B32="","",IF(COUNTIF(lst_Jobs,B32&amp;"")&gt;0,"OK","CHECK"))</f>
        <v/>
      </c>
      <c r="D32" s="51" t="inlineStr">
        <is>
          <t>CBA</t>
        </is>
      </c>
      <c r="E32" s="51" t="inlineStr">
        <is>
          <t>PRODUCTION</t>
        </is>
      </c>
      <c r="F32" s="51" t="inlineStr">
        <is>
          <t>CBA - FYR 2026 - 12.8.26 [PRD] pre-prod work</t>
        </is>
      </c>
      <c r="G32" s="51" t="inlineStr">
        <is>
          <t>Accrual - unbilled work</t>
        </is>
      </c>
      <c r="H32" s="51" t="n"/>
      <c r="I32" s="52" t="n">
        <v>417.5</v>
      </c>
      <c r="J32" s="51" t="inlineStr">
        <is>
          <t>11300</t>
        </is>
      </c>
      <c r="K32" s="51" t="n"/>
      <c r="L32" s="51" t="inlineStr">
        <is>
          <t>Y</t>
        </is>
      </c>
      <c r="M32" s="51" t="inlineStr">
        <is>
          <t>Migrated from FY27 Revenue Tracker v2 - confirm type/sign</t>
        </is>
      </c>
    </row>
    <row r="33" ht="15" customHeight="1">
      <c r="A33" s="56" t="n">
        <v>46234</v>
      </c>
      <c r="B33" s="51" t="inlineStr">
        <is>
          <t xml:space="preserve">2606903 </t>
        </is>
      </c>
      <c r="C33" s="50">
        <f>IF(B33="","",IF(COUNTIF(lst_Jobs,B33&amp;"")&gt;0,"OK","CHECK"))</f>
        <v/>
      </c>
      <c r="D33" s="51" t="inlineStr">
        <is>
          <t>Virgin</t>
        </is>
      </c>
      <c r="E33" s="51" t="inlineStr">
        <is>
          <t>PRODUCTION</t>
        </is>
      </c>
      <c r="F33" s="51" t="inlineStr">
        <is>
          <t>Virgin FY26 Results [PRD] pre-prod work</t>
        </is>
      </c>
      <c r="G33" s="51" t="inlineStr">
        <is>
          <t>Accrual - unbilled work</t>
        </is>
      </c>
      <c r="H33" s="51" t="n"/>
      <c r="I33" s="52" t="n">
        <v>57.5</v>
      </c>
      <c r="J33" s="51" t="inlineStr">
        <is>
          <t>11300</t>
        </is>
      </c>
      <c r="K33" s="51" t="n"/>
      <c r="L33" s="51" t="inlineStr">
        <is>
          <t>Y</t>
        </is>
      </c>
      <c r="M33" s="51" t="inlineStr">
        <is>
          <t>Migrated from FY27 Revenue Tracker v2 - confirm type/sign</t>
        </is>
      </c>
    </row>
    <row r="34" ht="15" customHeight="1">
      <c r="A34" s="56" t="n">
        <v>46234</v>
      </c>
      <c r="B34" s="51" t="inlineStr">
        <is>
          <t xml:space="preserve">26061109 </t>
        </is>
      </c>
      <c r="C34" s="50">
        <f>IF(B34="","",IF(COUNTIF(lst_Jobs,B34&amp;"")&gt;0,"OK","CHECK"))</f>
        <v/>
      </c>
      <c r="D34" s="51" t="inlineStr">
        <is>
          <t>Ventia</t>
        </is>
      </c>
      <c r="E34" s="51" t="inlineStr">
        <is>
          <t>PRODUCTION</t>
        </is>
      </c>
      <c r="F34" s="51" t="inlineStr">
        <is>
          <t>Ventia - FYR26 - 24.8.26 [PRD] pre-prod work</t>
        </is>
      </c>
      <c r="G34" s="51" t="inlineStr">
        <is>
          <t>Accrual - unbilled work</t>
        </is>
      </c>
      <c r="H34" s="51" t="n"/>
      <c r="I34" s="52" t="n">
        <v>862.5</v>
      </c>
      <c r="J34" s="51" t="inlineStr">
        <is>
          <t>11300</t>
        </is>
      </c>
      <c r="K34" s="51" t="n"/>
      <c r="L34" s="51" t="inlineStr">
        <is>
          <t>Y</t>
        </is>
      </c>
      <c r="M34" s="51" t="inlineStr">
        <is>
          <t>Migrated from FY27 Revenue Tracker v2 - confirm type/sign</t>
        </is>
      </c>
    </row>
    <row r="35" ht="15" customHeight="1">
      <c r="A35" s="56" t="n">
        <v>46234</v>
      </c>
      <c r="B35" s="51" t="inlineStr">
        <is>
          <t xml:space="preserve">26061107 </t>
        </is>
      </c>
      <c r="C35" s="50">
        <f>IF(B35="","",IF(COUNTIF(lst_Jobs,B35&amp;"")&gt;0,"OK","CHECK"))</f>
        <v/>
      </c>
      <c r="D35" s="51" t="inlineStr">
        <is>
          <t>Downer</t>
        </is>
      </c>
      <c r="E35" s="51" t="inlineStr">
        <is>
          <t>PRODUCTION</t>
        </is>
      </c>
      <c r="F35" s="51" t="inlineStr">
        <is>
          <t>Downer - FYR 2026 - 19.8.26 [PRD] pre-prod work</t>
        </is>
      </c>
      <c r="G35" s="51" t="inlineStr">
        <is>
          <t>Accrual - unbilled work</t>
        </is>
      </c>
      <c r="H35" s="51" t="n"/>
      <c r="I35" s="52" t="n">
        <v>115</v>
      </c>
      <c r="J35" s="51" t="inlineStr">
        <is>
          <t>11300</t>
        </is>
      </c>
      <c r="K35" s="51" t="n"/>
      <c r="L35" s="51" t="inlineStr">
        <is>
          <t>Y</t>
        </is>
      </c>
      <c r="M35" s="51" t="inlineStr">
        <is>
          <t>Migrated from FY27 Revenue Tracker v2 - confirm type/sign</t>
        </is>
      </c>
    </row>
    <row r="36" ht="15" customHeight="1">
      <c r="A36" s="56" t="n">
        <v>46234</v>
      </c>
      <c r="B36" s="51" t="inlineStr">
        <is>
          <t>26061108</t>
        </is>
      </c>
      <c r="C36" s="50">
        <f>IF(B36="","",IF(COUNTIF(lst_Jobs,B36&amp;"")&gt;0,"OK","CHECK"))</f>
        <v/>
      </c>
      <c r="D36" s="51" t="inlineStr">
        <is>
          <t>APA</t>
        </is>
      </c>
      <c r="E36" s="51" t="inlineStr">
        <is>
          <t>PRODUCTION</t>
        </is>
      </c>
      <c r="F36" s="51" t="inlineStr">
        <is>
          <t>APA FYR All Hands August 2026 Package - Conf Call (Revenue) INV-10521</t>
        </is>
      </c>
      <c r="G36" s="51" t="inlineStr">
        <is>
          <t>Deferral - invoiced in advance</t>
        </is>
      </c>
      <c r="H36" s="51" t="n"/>
      <c r="I36" s="52" t="n">
        <v>-600</v>
      </c>
      <c r="J36" s="51" t="inlineStr">
        <is>
          <t>11300</t>
        </is>
      </c>
      <c r="K36" s="51" t="n"/>
      <c r="L36" s="51" t="inlineStr">
        <is>
          <t>Y</t>
        </is>
      </c>
      <c r="M36" s="51" t="inlineStr">
        <is>
          <t>Migrated from FY27 Revenue Tracker v2 - confirm type/sign</t>
        </is>
      </c>
    </row>
    <row r="37" ht="15" customHeight="1">
      <c r="A37" s="56" t="n">
        <v>46234</v>
      </c>
      <c r="B37" s="51" t="inlineStr">
        <is>
          <t>26061108</t>
        </is>
      </c>
      <c r="C37" s="50">
        <f>IF(B37="","",IF(COUNTIF(lst_Jobs,B37&amp;"")&gt;0,"OK","CHECK"))</f>
        <v/>
      </c>
      <c r="D37" s="51" t="inlineStr">
        <is>
          <t>APA</t>
        </is>
      </c>
      <c r="E37" s="51" t="inlineStr">
        <is>
          <t>PRODUCTION</t>
        </is>
      </c>
      <c r="F37" s="51" t="inlineStr">
        <is>
          <t>APA FYR 20.7.26 [PRD]</t>
        </is>
      </c>
      <c r="G37" s="51" t="inlineStr">
        <is>
          <t>Deferral - invoiced in advance</t>
        </is>
      </c>
      <c r="H37" s="51" t="n"/>
      <c r="I37" s="52" t="n">
        <v>-237.5</v>
      </c>
      <c r="J37" s="51" t="inlineStr">
        <is>
          <t>11300</t>
        </is>
      </c>
      <c r="K37" s="51" t="n"/>
      <c r="L37" s="51" t="inlineStr">
        <is>
          <t>Y</t>
        </is>
      </c>
      <c r="M37" s="51" t="inlineStr">
        <is>
          <t>Migrated from FY27 Revenue Tracker v2 - confirm type/sign</t>
        </is>
      </c>
    </row>
    <row r="38" ht="15" customHeight="1">
      <c r="A38" s="56" t="n">
        <v>46234</v>
      </c>
      <c r="B38" s="51" t="inlineStr">
        <is>
          <t>26061108</t>
        </is>
      </c>
      <c r="C38" s="50">
        <f>IF(B38="","",IF(COUNTIF(lst_Jobs,B38&amp;"")&gt;0,"OK","CHECK"))</f>
        <v/>
      </c>
      <c r="D38" s="51" t="inlineStr">
        <is>
          <t>APA</t>
        </is>
      </c>
      <c r="E38" s="51" t="inlineStr">
        <is>
          <t>PRODUCTION</t>
        </is>
      </c>
      <c r="F38" s="51" t="inlineStr">
        <is>
          <t>APA FYR All Hands August 2026 Package - Prd Equipment Hire (Revenue) INV-10521</t>
        </is>
      </c>
      <c r="G38" s="51" t="inlineStr">
        <is>
          <t>Deferral - invoiced in advance</t>
        </is>
      </c>
      <c r="H38" s="51" t="n"/>
      <c r="I38" s="52" t="n">
        <v>-5413.6</v>
      </c>
      <c r="J38" s="51" t="inlineStr">
        <is>
          <t>11300</t>
        </is>
      </c>
      <c r="K38" s="51" t="n"/>
      <c r="L38" s="51" t="inlineStr">
        <is>
          <t>Y</t>
        </is>
      </c>
      <c r="M38" s="51" t="inlineStr">
        <is>
          <t>Migrated from FY27 Revenue Tracker v2 - confirm type/sign</t>
        </is>
      </c>
    </row>
    <row r="39" ht="15" customHeight="1">
      <c r="A39" s="56" t="n">
        <v>46234</v>
      </c>
      <c r="B39" s="51" t="inlineStr">
        <is>
          <t xml:space="preserve">26061108V </t>
        </is>
      </c>
      <c r="C39" s="50">
        <f>IF(B39="","",IF(COUNTIF(lst_Jobs,B39&amp;"")&gt;0,"OK","CHECK"))</f>
        <v/>
      </c>
      <c r="D39" s="51" t="inlineStr">
        <is>
          <t>APA</t>
        </is>
      </c>
      <c r="E39" s="51" t="inlineStr">
        <is>
          <t>VIDEO</t>
        </is>
      </c>
      <c r="F39" s="51" t="inlineStr">
        <is>
          <t>APA FYR All Hands August 2026 Package - Vid Equipment Hire (Revenue) INV-10521</t>
        </is>
      </c>
      <c r="G39" s="51" t="inlineStr">
        <is>
          <t>Deferral - invoiced in advance</t>
        </is>
      </c>
      <c r="H39" s="51" t="n"/>
      <c r="I39" s="52" t="n">
        <v>-592</v>
      </c>
      <c r="J39" s="51" t="inlineStr">
        <is>
          <t>11300</t>
        </is>
      </c>
      <c r="K39" s="51" t="n"/>
      <c r="L39" s="51" t="inlineStr">
        <is>
          <t>Y</t>
        </is>
      </c>
      <c r="M39" s="51" t="inlineStr">
        <is>
          <t>Migrated from FY27 Revenue Tracker v2 - confirm type/sign</t>
        </is>
      </c>
    </row>
    <row r="40" ht="15" customHeight="1">
      <c r="A40" s="56" t="n">
        <v>46234</v>
      </c>
      <c r="B40" s="51" t="inlineStr">
        <is>
          <t>26061108</t>
        </is>
      </c>
      <c r="C40" s="50">
        <f>IF(B40="","",IF(COUNTIF(lst_Jobs,B40&amp;"")&gt;0,"OK","CHECK"))</f>
        <v/>
      </c>
      <c r="D40" s="51" t="inlineStr">
        <is>
          <t>APA</t>
        </is>
      </c>
      <c r="E40" s="51" t="inlineStr">
        <is>
          <t>PRODUCTION</t>
        </is>
      </c>
      <c r="F40" s="51" t="inlineStr">
        <is>
          <t>APA FYR All Hands August 2026 Package - Prd Labour (Revenue) INV-10521</t>
        </is>
      </c>
      <c r="G40" s="51" t="inlineStr">
        <is>
          <t>Deferral - invoiced in advance</t>
        </is>
      </c>
      <c r="H40" s="51" t="n"/>
      <c r="I40" s="52" t="n">
        <v>-4520</v>
      </c>
      <c r="J40" s="51" t="inlineStr">
        <is>
          <t>11300</t>
        </is>
      </c>
      <c r="K40" s="51" t="n"/>
      <c r="L40" s="51" t="inlineStr">
        <is>
          <t>Y</t>
        </is>
      </c>
      <c r="M40" s="51" t="inlineStr">
        <is>
          <t>Migrated from FY27 Revenue Tracker v2 - confirm type/sign</t>
        </is>
      </c>
    </row>
    <row r="41" ht="15" customHeight="1">
      <c r="A41" s="56" t="n">
        <v>46234</v>
      </c>
      <c r="B41" s="51" t="inlineStr">
        <is>
          <t xml:space="preserve">26061108V </t>
        </is>
      </c>
      <c r="C41" s="50">
        <f>IF(B41="","",IF(COUNTIF(lst_Jobs,B41&amp;"")&gt;0,"OK","CHECK"))</f>
        <v/>
      </c>
      <c r="D41" s="51" t="inlineStr">
        <is>
          <t>APA</t>
        </is>
      </c>
      <c r="E41" s="51" t="inlineStr">
        <is>
          <t>VIDEO</t>
        </is>
      </c>
      <c r="F41" s="51" t="inlineStr">
        <is>
          <t>APA FYR All Hands August 2026 Package - Vid Labour (Revenue) INV-10521</t>
        </is>
      </c>
      <c r="G41" s="51" t="inlineStr">
        <is>
          <t>Deferral - invoiced in advance</t>
        </is>
      </c>
      <c r="H41" s="51" t="n"/>
      <c r="I41" s="52" t="n">
        <v>-485</v>
      </c>
      <c r="J41" s="51" t="inlineStr">
        <is>
          <t>11300</t>
        </is>
      </c>
      <c r="K41" s="51" t="n"/>
      <c r="L41" s="51" t="inlineStr">
        <is>
          <t>Y</t>
        </is>
      </c>
      <c r="M41" s="51" t="inlineStr">
        <is>
          <t>Migrated from FY27 Revenue Tracker v2 - confirm type/sign</t>
        </is>
      </c>
    </row>
    <row r="42" ht="15" customHeight="1">
      <c r="A42" s="56" t="n">
        <v>46234</v>
      </c>
      <c r="B42" s="51" t="inlineStr">
        <is>
          <t>26061108</t>
        </is>
      </c>
      <c r="C42" s="50">
        <f>IF(B42="","",IF(COUNTIF(lst_Jobs,B42&amp;"")&gt;0,"OK","CHECK"))</f>
        <v/>
      </c>
      <c r="D42" s="51" t="inlineStr">
        <is>
          <t>APA</t>
        </is>
      </c>
      <c r="E42" s="51" t="inlineStr">
        <is>
          <t>PRODUCTION</t>
        </is>
      </c>
      <c r="F42" s="51" t="inlineStr">
        <is>
          <t>APA FYR All Hands August 2026 Package - Transport (Revenue) INV-10521</t>
        </is>
      </c>
      <c r="G42" s="51" t="inlineStr">
        <is>
          <t>Deferral - invoiced in advance</t>
        </is>
      </c>
      <c r="H42" s="51" t="n"/>
      <c r="I42" s="52" t="n">
        <v>-300</v>
      </c>
      <c r="J42" s="51" t="inlineStr">
        <is>
          <t>11300</t>
        </is>
      </c>
      <c r="K42" s="51" t="n"/>
      <c r="L42" s="51" t="inlineStr">
        <is>
          <t>Y</t>
        </is>
      </c>
      <c r="M42" s="51" t="inlineStr">
        <is>
          <t>Migrated from FY27 Revenue Tracker v2 - confirm type/sign</t>
        </is>
      </c>
    </row>
    <row r="43" ht="15" customHeight="1">
      <c r="A43" s="56" t="n">
        <v>46234</v>
      </c>
      <c r="B43" s="51" t="inlineStr">
        <is>
          <t>26061108</t>
        </is>
      </c>
      <c r="C43" s="50">
        <f>IF(B43="","",IF(COUNTIF(lst_Jobs,B43&amp;"")&gt;0,"OK","CHECK"))</f>
        <v/>
      </c>
      <c r="D43" s="51" t="inlineStr">
        <is>
          <t>APA</t>
        </is>
      </c>
      <c r="E43" s="51" t="inlineStr">
        <is>
          <t>PRODUCTION</t>
        </is>
      </c>
      <c r="F43" s="51" t="inlineStr">
        <is>
          <t>APA FYR All Hands August 2026 Package - Tech  Event Mgmt (Revenue) INV-10521</t>
        </is>
      </c>
      <c r="G43" s="51" t="inlineStr">
        <is>
          <t>Deferral - invoiced in advance</t>
        </is>
      </c>
      <c r="H43" s="51" t="n"/>
      <c r="I43" s="52" t="n">
        <v>-690</v>
      </c>
      <c r="J43" s="51" t="inlineStr">
        <is>
          <t>11300</t>
        </is>
      </c>
      <c r="K43" s="51" t="n"/>
      <c r="L43" s="51" t="inlineStr">
        <is>
          <t>Y</t>
        </is>
      </c>
      <c r="M43" s="51" t="inlineStr">
        <is>
          <t>Migrated from FY27 Revenue Tracker v2 - confirm type/sign</t>
        </is>
      </c>
    </row>
    <row r="44" ht="15" customHeight="1">
      <c r="A44" s="56" t="n">
        <v>46234</v>
      </c>
      <c r="B44" s="51" t="inlineStr">
        <is>
          <t>26061607</t>
        </is>
      </c>
      <c r="C44" s="50">
        <f>IF(B44="","",IF(COUNTIF(lst_Jobs,B44&amp;"")&gt;0,"OK","CHECK"))</f>
        <v/>
      </c>
      <c r="D44" s="51" t="inlineStr">
        <is>
          <t>APA</t>
        </is>
      </c>
      <c r="E44" s="51" t="inlineStr">
        <is>
          <t>PRODUCTION</t>
        </is>
      </c>
      <c r="F44" s="51" t="inlineStr">
        <is>
          <t>APA Qtrly All Hands Nov 2026 Package - Prd Equipment Hire (Revenue) INV-10521</t>
        </is>
      </c>
      <c r="G44" s="51" t="inlineStr">
        <is>
          <t>Deferral - invoiced in advance</t>
        </is>
      </c>
      <c r="H44" s="51" t="n"/>
      <c r="I44" s="52" t="n">
        <v>-5269.6</v>
      </c>
      <c r="J44" s="51" t="inlineStr">
        <is>
          <t>11300</t>
        </is>
      </c>
      <c r="K44" s="51" t="n"/>
      <c r="L44" s="51" t="inlineStr">
        <is>
          <t>Y</t>
        </is>
      </c>
      <c r="M44" s="51" t="inlineStr">
        <is>
          <t>Migrated from FY27 Revenue Tracker v2 - confirm type/sign</t>
        </is>
      </c>
    </row>
    <row r="45" ht="15" customHeight="1">
      <c r="A45" s="56" t="n">
        <v>46234</v>
      </c>
      <c r="B45" s="51" t="inlineStr">
        <is>
          <t>26061607V</t>
        </is>
      </c>
      <c r="C45" s="50">
        <f>IF(B45="","",IF(COUNTIF(lst_Jobs,B45&amp;"")&gt;0,"OK","CHECK"))</f>
        <v/>
      </c>
      <c r="D45" s="51" t="inlineStr">
        <is>
          <t>APA</t>
        </is>
      </c>
      <c r="E45" s="51" t="inlineStr">
        <is>
          <t>VIDEO</t>
        </is>
      </c>
      <c r="F45" s="51" t="inlineStr">
        <is>
          <t>APA Qtrly All Hands Nov 2026 Package - Vid Equipment Hire (Revenue) INV-10521</t>
        </is>
      </c>
      <c r="G45" s="51" t="inlineStr">
        <is>
          <t>Deferral - invoiced in advance</t>
        </is>
      </c>
      <c r="H45" s="51" t="n"/>
      <c r="I45" s="52" t="n">
        <v>-592</v>
      </c>
      <c r="J45" s="51" t="inlineStr">
        <is>
          <t>11300</t>
        </is>
      </c>
      <c r="K45" s="51" t="n"/>
      <c r="L45" s="51" t="inlineStr">
        <is>
          <t>Y</t>
        </is>
      </c>
      <c r="M45" s="51" t="inlineStr">
        <is>
          <t>Migrated from FY27 Revenue Tracker v2 - confirm type/sign</t>
        </is>
      </c>
    </row>
    <row r="46" ht="15" customHeight="1">
      <c r="A46" s="56" t="n">
        <v>46234</v>
      </c>
      <c r="B46" s="51" t="inlineStr">
        <is>
          <t>26061607</t>
        </is>
      </c>
      <c r="C46" s="50">
        <f>IF(B46="","",IF(COUNTIF(lst_Jobs,B46&amp;"")&gt;0,"OK","CHECK"))</f>
        <v/>
      </c>
      <c r="D46" s="51" t="inlineStr">
        <is>
          <t>APA</t>
        </is>
      </c>
      <c r="E46" s="51" t="inlineStr">
        <is>
          <t>PRODUCTION</t>
        </is>
      </c>
      <c r="F46" s="51" t="inlineStr">
        <is>
          <t>APA Qtrly All Hands Nov 2026 Package - Prd Labour (Revenue) INV-10521</t>
        </is>
      </c>
      <c r="G46" s="51" t="inlineStr">
        <is>
          <t>Deferral - invoiced in advance</t>
        </is>
      </c>
      <c r="H46" s="51" t="n"/>
      <c r="I46" s="52" t="n">
        <v>-4869</v>
      </c>
      <c r="J46" s="51" t="inlineStr">
        <is>
          <t>11300</t>
        </is>
      </c>
      <c r="K46" s="51" t="n"/>
      <c r="L46" s="51" t="inlineStr">
        <is>
          <t>Y</t>
        </is>
      </c>
      <c r="M46" s="51" t="inlineStr">
        <is>
          <t>Migrated from FY27 Revenue Tracker v2 - confirm type/sign</t>
        </is>
      </c>
    </row>
    <row r="47" ht="15" customHeight="1">
      <c r="A47" s="56" t="n">
        <v>46234</v>
      </c>
      <c r="B47" s="51" t="inlineStr">
        <is>
          <t>26061607V</t>
        </is>
      </c>
      <c r="C47" s="50">
        <f>IF(B47="","",IF(COUNTIF(lst_Jobs,B47&amp;"")&gt;0,"OK","CHECK"))</f>
        <v/>
      </c>
      <c r="D47" s="51" t="inlineStr">
        <is>
          <t>APA</t>
        </is>
      </c>
      <c r="E47" s="51" t="inlineStr">
        <is>
          <t>VIDEO</t>
        </is>
      </c>
      <c r="F47" s="51" t="inlineStr">
        <is>
          <t>APA Qtrly All Hands Nov 2026 Package - Vid Labour (Revenue) INV-10521</t>
        </is>
      </c>
      <c r="G47" s="51" t="inlineStr">
        <is>
          <t>Deferral - invoiced in advance</t>
        </is>
      </c>
      <c r="H47" s="51" t="n"/>
      <c r="I47" s="52" t="n">
        <v>-485</v>
      </c>
      <c r="J47" s="51" t="inlineStr">
        <is>
          <t>11300</t>
        </is>
      </c>
      <c r="K47" s="51" t="n"/>
      <c r="L47" s="51" t="inlineStr">
        <is>
          <t>Y</t>
        </is>
      </c>
      <c r="M47" s="51" t="inlineStr">
        <is>
          <t>Migrated from FY27 Revenue Tracker v2 - confirm type/sign</t>
        </is>
      </c>
    </row>
    <row r="48" ht="15" customHeight="1">
      <c r="A48" s="56" t="n">
        <v>46234</v>
      </c>
      <c r="B48" s="51" t="inlineStr">
        <is>
          <t>26061607</t>
        </is>
      </c>
      <c r="C48" s="50">
        <f>IF(B48="","",IF(COUNTIF(lst_Jobs,B48&amp;"")&gt;0,"OK","CHECK"))</f>
        <v/>
      </c>
      <c r="D48" s="51" t="inlineStr">
        <is>
          <t>APA</t>
        </is>
      </c>
      <c r="E48" s="51" t="inlineStr">
        <is>
          <t>PRODUCTION</t>
        </is>
      </c>
      <c r="F48" s="51" t="inlineStr">
        <is>
          <t>APA Qtrly All Hands Nov 2026 Package - Conf Call (Revenue) INV-10521</t>
        </is>
      </c>
      <c r="G48" s="51" t="inlineStr">
        <is>
          <t>Deferral - invoiced in advance</t>
        </is>
      </c>
      <c r="H48" s="51" t="n"/>
      <c r="I48" s="52" t="n">
        <v>-750</v>
      </c>
      <c r="J48" s="51" t="inlineStr">
        <is>
          <t>11300</t>
        </is>
      </c>
      <c r="K48" s="51" t="n"/>
      <c r="L48" s="51" t="inlineStr">
        <is>
          <t>Y</t>
        </is>
      </c>
      <c r="M48" s="51" t="inlineStr">
        <is>
          <t>Migrated from FY27 Revenue Tracker v2 - confirm type/sign</t>
        </is>
      </c>
    </row>
    <row r="49" ht="15" customHeight="1">
      <c r="A49" s="56" t="n">
        <v>46234</v>
      </c>
      <c r="B49" s="51" t="inlineStr">
        <is>
          <t>26061607</t>
        </is>
      </c>
      <c r="C49" s="50">
        <f>IF(B49="","",IF(COUNTIF(lst_Jobs,B49&amp;"")&gt;0,"OK","CHECK"))</f>
        <v/>
      </c>
      <c r="D49" s="51" t="inlineStr">
        <is>
          <t>APA</t>
        </is>
      </c>
      <c r="E49" s="51" t="inlineStr">
        <is>
          <t>PRODUCTION</t>
        </is>
      </c>
      <c r="F49" s="51" t="inlineStr">
        <is>
          <t>APA Qtrly All Hands Nov 2026 Package - Transport (Revenue) INV-10521</t>
        </is>
      </c>
      <c r="G49" s="51" t="inlineStr">
        <is>
          <t>Deferral - invoiced in advance</t>
        </is>
      </c>
      <c r="H49" s="51" t="n"/>
      <c r="I49" s="52" t="n">
        <v>-300</v>
      </c>
      <c r="J49" s="51" t="inlineStr">
        <is>
          <t>11300</t>
        </is>
      </c>
      <c r="K49" s="51" t="n"/>
      <c r="L49" s="51" t="inlineStr">
        <is>
          <t>Y</t>
        </is>
      </c>
      <c r="M49" s="51" t="inlineStr">
        <is>
          <t>Migrated from FY27 Revenue Tracker v2 - confirm type/sign</t>
        </is>
      </c>
    </row>
    <row r="50" ht="15" customHeight="1">
      <c r="A50" s="56" t="n">
        <v>46234</v>
      </c>
      <c r="B50" s="51" t="inlineStr">
        <is>
          <t>26061607</t>
        </is>
      </c>
      <c r="C50" s="50">
        <f>IF(B50="","",IF(COUNTIF(lst_Jobs,B50&amp;"")&gt;0,"OK","CHECK"))</f>
        <v/>
      </c>
      <c r="D50" s="51" t="inlineStr">
        <is>
          <t>APA</t>
        </is>
      </c>
      <c r="E50" s="51" t="inlineStr">
        <is>
          <t>PRODUCTION</t>
        </is>
      </c>
      <c r="F50" s="51" t="inlineStr">
        <is>
          <t>APA Qtrly All Hands Nov 2026 Package - Tech  Event Mgmt (Revenue) INV-10521</t>
        </is>
      </c>
      <c r="G50" s="51" t="inlineStr">
        <is>
          <t>Deferral - invoiced in advance</t>
        </is>
      </c>
      <c r="H50" s="51" t="n"/>
      <c r="I50" s="52" t="n">
        <v>-690</v>
      </c>
      <c r="J50" s="51" t="inlineStr">
        <is>
          <t>11300</t>
        </is>
      </c>
      <c r="K50" s="51" t="n"/>
      <c r="L50" s="51" t="inlineStr">
        <is>
          <t>Y</t>
        </is>
      </c>
      <c r="M50" s="51" t="inlineStr">
        <is>
          <t>Migrated from FY27 Revenue Tracker v2 - confirm type/sign</t>
        </is>
      </c>
    </row>
    <row r="51" ht="15" customHeight="1">
      <c r="A51" s="56" t="n">
        <v>46234</v>
      </c>
      <c r="B51" s="51" t="inlineStr">
        <is>
          <t>26061607</t>
        </is>
      </c>
      <c r="C51" s="50">
        <f>IF(B51="","",IF(COUNTIF(lst_Jobs,B51&amp;"")&gt;0,"OK","CHECK"))</f>
        <v/>
      </c>
      <c r="D51" s="51" t="inlineStr">
        <is>
          <t>APA</t>
        </is>
      </c>
      <c r="E51" s="51" t="inlineStr">
        <is>
          <t>PRODUCTION</t>
        </is>
      </c>
      <c r="F51" s="51" t="inlineStr">
        <is>
          <t>APA Qtrly All Hands Nov 2026 Package - Travel (Revenue) INV-10521</t>
        </is>
      </c>
      <c r="G51" s="51" t="inlineStr">
        <is>
          <t>Deferral - invoiced in advance</t>
        </is>
      </c>
      <c r="H51" s="51" t="n"/>
      <c r="I51" s="52" t="n">
        <v>-1025</v>
      </c>
      <c r="J51" s="51" t="inlineStr">
        <is>
          <t>11300</t>
        </is>
      </c>
      <c r="K51" s="51" t="n"/>
      <c r="L51" s="51" t="inlineStr">
        <is>
          <t>Y</t>
        </is>
      </c>
      <c r="M51" s="51" t="inlineStr">
        <is>
          <t>Migrated from FY27 Revenue Tracker v2 - confirm type/sign</t>
        </is>
      </c>
    </row>
    <row r="52" ht="15" customHeight="1">
      <c r="A52" s="56" t="n">
        <v>46234</v>
      </c>
      <c r="B52" s="51" t="inlineStr">
        <is>
          <t>26061608</t>
        </is>
      </c>
      <c r="C52" s="50">
        <f>IF(B52="","",IF(COUNTIF(lst_Jobs,B52&amp;"")&gt;0,"OK","CHECK"))</f>
        <v/>
      </c>
      <c r="D52" s="51" t="inlineStr">
        <is>
          <t>APA</t>
        </is>
      </c>
      <c r="E52" s="51" t="inlineStr">
        <is>
          <t>PRODUCTION</t>
        </is>
      </c>
      <c r="F52" s="51" t="inlineStr">
        <is>
          <t>APA Qtrly All Hands Feb 2027 Package - Prd Equipment Hire (Revenue) INV-10521</t>
        </is>
      </c>
      <c r="G52" s="51" t="inlineStr">
        <is>
          <t>Deferral - invoiced in advance</t>
        </is>
      </c>
      <c r="H52" s="51" t="n"/>
      <c r="I52" s="52" t="n">
        <v>-5857.6</v>
      </c>
      <c r="J52" s="51" t="inlineStr">
        <is>
          <t>11300</t>
        </is>
      </c>
      <c r="K52" s="51" t="n"/>
      <c r="L52" s="51" t="inlineStr">
        <is>
          <t>Y</t>
        </is>
      </c>
      <c r="M52" s="51" t="inlineStr">
        <is>
          <t>Migrated from FY27 Revenue Tracker v2 - confirm type/sign</t>
        </is>
      </c>
    </row>
    <row r="53" ht="15" customHeight="1">
      <c r="A53" s="56" t="n">
        <v>46234</v>
      </c>
      <c r="B53" s="51" t="inlineStr">
        <is>
          <t>26061608V</t>
        </is>
      </c>
      <c r="C53" s="50">
        <f>IF(B53="","",IF(COUNTIF(lst_Jobs,B53&amp;"")&gt;0,"OK","CHECK"))</f>
        <v/>
      </c>
      <c r="D53" s="51" t="inlineStr">
        <is>
          <t>APA</t>
        </is>
      </c>
      <c r="E53" s="51" t="inlineStr">
        <is>
          <t>VIDEO</t>
        </is>
      </c>
      <c r="F53" s="51" t="inlineStr">
        <is>
          <t>APA Qtrly All Hands Feb 2027 Package - Vid Equipment Hire (Revenue) INV-10521</t>
        </is>
      </c>
      <c r="G53" s="51" t="inlineStr">
        <is>
          <t>Deferral - invoiced in advance</t>
        </is>
      </c>
      <c r="H53" s="51" t="n"/>
      <c r="I53" s="52" t="n">
        <v>-592</v>
      </c>
      <c r="J53" s="51" t="inlineStr">
        <is>
          <t>11300</t>
        </is>
      </c>
      <c r="K53" s="51" t="n"/>
      <c r="L53" s="51" t="inlineStr">
        <is>
          <t>Y</t>
        </is>
      </c>
      <c r="M53" s="51" t="inlineStr">
        <is>
          <t>Migrated from FY27 Revenue Tracker v2 - confirm type/sign</t>
        </is>
      </c>
    </row>
    <row r="54" ht="15" customHeight="1">
      <c r="A54" s="56" t="n">
        <v>46234</v>
      </c>
      <c r="B54" s="51" t="inlineStr">
        <is>
          <t>26061608</t>
        </is>
      </c>
      <c r="C54" s="50">
        <f>IF(B54="","",IF(COUNTIF(lst_Jobs,B54&amp;"")&gt;0,"OK","CHECK"))</f>
        <v/>
      </c>
      <c r="D54" s="51" t="inlineStr">
        <is>
          <t>APA</t>
        </is>
      </c>
      <c r="E54" s="51" t="inlineStr">
        <is>
          <t>PRODUCTION</t>
        </is>
      </c>
      <c r="F54" s="51" t="inlineStr">
        <is>
          <t>APA Qtrly All Hands Feb 2027 Package - Prd Labour (Revenue) INV-10521</t>
        </is>
      </c>
      <c r="G54" s="51" t="inlineStr">
        <is>
          <t>Deferral - invoiced in advance</t>
        </is>
      </c>
      <c r="H54" s="51" t="n"/>
      <c r="I54" s="52" t="n">
        <v>-4076</v>
      </c>
      <c r="J54" s="51" t="inlineStr">
        <is>
          <t>11300</t>
        </is>
      </c>
      <c r="K54" s="51" t="n"/>
      <c r="L54" s="51" t="inlineStr">
        <is>
          <t>Y</t>
        </is>
      </c>
      <c r="M54" s="51" t="inlineStr">
        <is>
          <t>Migrated from FY27 Revenue Tracker v2 - confirm type/sign</t>
        </is>
      </c>
    </row>
    <row r="55" ht="15" customHeight="1">
      <c r="A55" s="56" t="n">
        <v>46234</v>
      </c>
      <c r="B55" s="51" t="inlineStr">
        <is>
          <t>26061608V</t>
        </is>
      </c>
      <c r="C55" s="50">
        <f>IF(B55="","",IF(COUNTIF(lst_Jobs,B55&amp;"")&gt;0,"OK","CHECK"))</f>
        <v/>
      </c>
      <c r="D55" s="51" t="inlineStr">
        <is>
          <t>APA</t>
        </is>
      </c>
      <c r="E55" s="51" t="inlineStr">
        <is>
          <t>VIDEO</t>
        </is>
      </c>
      <c r="F55" s="51" t="inlineStr">
        <is>
          <t>APA Qtrly All Hands Feb 2027 Package - Vid Labour (Revenue) INV-10521</t>
        </is>
      </c>
      <c r="G55" s="51" t="inlineStr">
        <is>
          <t>Deferral - invoiced in advance</t>
        </is>
      </c>
      <c r="H55" s="51" t="n"/>
      <c r="I55" s="52" t="n">
        <v>-485</v>
      </c>
      <c r="J55" s="51" t="inlineStr">
        <is>
          <t>11300</t>
        </is>
      </c>
      <c r="K55" s="51" t="n"/>
      <c r="L55" s="51" t="inlineStr">
        <is>
          <t>Y</t>
        </is>
      </c>
      <c r="M55" s="51" t="inlineStr">
        <is>
          <t>Migrated from FY27 Revenue Tracker v2 - confirm type/sign</t>
        </is>
      </c>
    </row>
    <row r="56" ht="15" customHeight="1">
      <c r="A56" s="56" t="n">
        <v>46234</v>
      </c>
      <c r="B56" s="51" t="inlineStr">
        <is>
          <t>26061608</t>
        </is>
      </c>
      <c r="C56" s="50">
        <f>IF(B56="","",IF(COUNTIF(lst_Jobs,B56&amp;"")&gt;0,"OK","CHECK"))</f>
        <v/>
      </c>
      <c r="D56" s="51" t="inlineStr">
        <is>
          <t>APA</t>
        </is>
      </c>
      <c r="E56" s="51" t="inlineStr">
        <is>
          <t>PRODUCTION</t>
        </is>
      </c>
      <c r="F56" s="51" t="inlineStr">
        <is>
          <t>APA Qtrly All Hands Feb 2027 Package - Conf Call (Revenue) INV-10521</t>
        </is>
      </c>
      <c r="G56" s="51" t="inlineStr">
        <is>
          <t>Deferral - invoiced in advance</t>
        </is>
      </c>
      <c r="H56" s="51" t="n"/>
      <c r="I56" s="52" t="n">
        <v>-600</v>
      </c>
      <c r="J56" s="51" t="inlineStr">
        <is>
          <t>11300</t>
        </is>
      </c>
      <c r="K56" s="51" t="n"/>
      <c r="L56" s="51" t="inlineStr">
        <is>
          <t>Y</t>
        </is>
      </c>
      <c r="M56" s="51" t="inlineStr">
        <is>
          <t>Migrated from FY27 Revenue Tracker v2 - confirm type/sign</t>
        </is>
      </c>
    </row>
    <row r="57" ht="15" customHeight="1">
      <c r="A57" s="56" t="n">
        <v>46234</v>
      </c>
      <c r="B57" s="51" t="inlineStr">
        <is>
          <t>26061608</t>
        </is>
      </c>
      <c r="C57" s="50">
        <f>IF(B57="","",IF(COUNTIF(lst_Jobs,B57&amp;"")&gt;0,"OK","CHECK"))</f>
        <v/>
      </c>
      <c r="D57" s="51" t="inlineStr">
        <is>
          <t>APA</t>
        </is>
      </c>
      <c r="E57" s="51" t="inlineStr">
        <is>
          <t>PRODUCTION</t>
        </is>
      </c>
      <c r="F57" s="51" t="inlineStr">
        <is>
          <t>APA Qtrly All Hands Feb 2027 Package - Transport (Revenue) INV-10521</t>
        </is>
      </c>
      <c r="G57" s="51" t="inlineStr">
        <is>
          <t>Deferral - invoiced in advance</t>
        </is>
      </c>
      <c r="H57" s="51" t="n"/>
      <c r="I57" s="52" t="n">
        <v>-300</v>
      </c>
      <c r="J57" s="51" t="inlineStr">
        <is>
          <t>11300</t>
        </is>
      </c>
      <c r="K57" s="51" t="n"/>
      <c r="L57" s="51" t="inlineStr">
        <is>
          <t>Y</t>
        </is>
      </c>
      <c r="M57" s="51" t="inlineStr">
        <is>
          <t>Migrated from FY27 Revenue Tracker v2 - confirm type/sign</t>
        </is>
      </c>
    </row>
    <row r="58" ht="15" customHeight="1">
      <c r="A58" s="56" t="n">
        <v>46234</v>
      </c>
      <c r="B58" s="51" t="inlineStr">
        <is>
          <t>26061608</t>
        </is>
      </c>
      <c r="C58" s="50">
        <f>IF(B58="","",IF(COUNTIF(lst_Jobs,B58&amp;"")&gt;0,"OK","CHECK"))</f>
        <v/>
      </c>
      <c r="D58" s="51" t="inlineStr">
        <is>
          <t>APA</t>
        </is>
      </c>
      <c r="E58" s="51" t="inlineStr">
        <is>
          <t>PRODUCTION</t>
        </is>
      </c>
      <c r="F58" s="51" t="inlineStr">
        <is>
          <t>APA Qtrly All Hands Feb 2027 Package - Tech  Event Mgmt (Revenue) INV-10521</t>
        </is>
      </c>
      <c r="G58" s="51" t="inlineStr">
        <is>
          <t>Deferral - invoiced in advance</t>
        </is>
      </c>
      <c r="H58" s="51" t="n"/>
      <c r="I58" s="52" t="n">
        <v>-690</v>
      </c>
      <c r="J58" s="51" t="inlineStr">
        <is>
          <t>11300</t>
        </is>
      </c>
      <c r="K58" s="51" t="n"/>
      <c r="L58" s="51" t="inlineStr">
        <is>
          <t>Y</t>
        </is>
      </c>
      <c r="M58" s="51" t="inlineStr">
        <is>
          <t>Migrated from FY27 Revenue Tracker v2 - confirm type/sign</t>
        </is>
      </c>
    </row>
    <row r="59" ht="15" customHeight="1">
      <c r="A59" s="56" t="n">
        <v>46234</v>
      </c>
      <c r="B59" s="51" t="inlineStr">
        <is>
          <t>26061609</t>
        </is>
      </c>
      <c r="C59" s="50">
        <f>IF(B59="","",IF(COUNTIF(lst_Jobs,B59&amp;"")&gt;0,"OK","CHECK"))</f>
        <v/>
      </c>
      <c r="D59" s="51" t="inlineStr">
        <is>
          <t>APA</t>
        </is>
      </c>
      <c r="E59" s="51" t="inlineStr">
        <is>
          <t>PRODUCTION</t>
        </is>
      </c>
      <c r="F59" s="51" t="inlineStr">
        <is>
          <t>APA Qtrly All Hands May 2027 Package - Prd Equipment Hire (Revenue) INV-10521</t>
        </is>
      </c>
      <c r="G59" s="51" t="inlineStr">
        <is>
          <t>Deferral - invoiced in advance</t>
        </is>
      </c>
      <c r="H59" s="51" t="n"/>
      <c r="I59" s="52" t="n">
        <v>-5857.6</v>
      </c>
      <c r="J59" s="51" t="inlineStr">
        <is>
          <t>11300</t>
        </is>
      </c>
      <c r="K59" s="51" t="n"/>
      <c r="L59" s="51" t="inlineStr">
        <is>
          <t>Y</t>
        </is>
      </c>
      <c r="M59" s="51" t="inlineStr">
        <is>
          <t>Migrated from FY27 Revenue Tracker v2 - confirm type/sign</t>
        </is>
      </c>
    </row>
    <row r="60" ht="15" customHeight="1">
      <c r="A60" s="56" t="n">
        <v>46234</v>
      </c>
      <c r="B60" s="51" t="inlineStr">
        <is>
          <t>26061609V</t>
        </is>
      </c>
      <c r="C60" s="50">
        <f>IF(B60="","",IF(COUNTIF(lst_Jobs,B60&amp;"")&gt;0,"OK","CHECK"))</f>
        <v/>
      </c>
      <c r="D60" s="51" t="inlineStr">
        <is>
          <t>APA</t>
        </is>
      </c>
      <c r="E60" s="51" t="inlineStr">
        <is>
          <t>VIDEO</t>
        </is>
      </c>
      <c r="F60" s="51" t="inlineStr">
        <is>
          <t>APA Qtrly All Hands May 2027 Package - Vid Equipment Hire (Revenue) INV-10521</t>
        </is>
      </c>
      <c r="G60" s="51" t="inlineStr">
        <is>
          <t>Deferral - invoiced in advance</t>
        </is>
      </c>
      <c r="H60" s="51" t="n"/>
      <c r="I60" s="52" t="n">
        <v>-592</v>
      </c>
      <c r="J60" s="51" t="inlineStr">
        <is>
          <t>11300</t>
        </is>
      </c>
      <c r="K60" s="51" t="n"/>
      <c r="L60" s="51" t="inlineStr">
        <is>
          <t>Y</t>
        </is>
      </c>
      <c r="M60" s="51" t="inlineStr">
        <is>
          <t>Migrated from FY27 Revenue Tracker v2 - confirm type/sign</t>
        </is>
      </c>
    </row>
    <row r="61" ht="15" customHeight="1">
      <c r="A61" s="56" t="n">
        <v>46234</v>
      </c>
      <c r="B61" s="51" t="inlineStr">
        <is>
          <t>26061609</t>
        </is>
      </c>
      <c r="C61" s="50">
        <f>IF(B61="","",IF(COUNTIF(lst_Jobs,B61&amp;"")&gt;0,"OK","CHECK"))</f>
        <v/>
      </c>
      <c r="D61" s="51" t="inlineStr">
        <is>
          <t>APA</t>
        </is>
      </c>
      <c r="E61" s="51" t="inlineStr">
        <is>
          <t>PRODUCTION</t>
        </is>
      </c>
      <c r="F61" s="51" t="inlineStr">
        <is>
          <t>APA Qtrly All Hands May 2027 Package - Prd Labour (Revenue) INV-10521</t>
        </is>
      </c>
      <c r="G61" s="51" t="inlineStr">
        <is>
          <t>Deferral - invoiced in advance</t>
        </is>
      </c>
      <c r="H61" s="51" t="n"/>
      <c r="I61" s="52" t="n">
        <v>-4995</v>
      </c>
      <c r="J61" s="51" t="inlineStr">
        <is>
          <t>11300</t>
        </is>
      </c>
      <c r="K61" s="51" t="n"/>
      <c r="L61" s="51" t="inlineStr">
        <is>
          <t>Y</t>
        </is>
      </c>
      <c r="M61" s="51" t="inlineStr">
        <is>
          <t>Migrated from FY27 Revenue Tracker v2 - confirm type/sign</t>
        </is>
      </c>
    </row>
    <row r="62" ht="15" customHeight="1">
      <c r="A62" s="56" t="n">
        <v>46234</v>
      </c>
      <c r="B62" s="51" t="inlineStr">
        <is>
          <t>26061609V</t>
        </is>
      </c>
      <c r="C62" s="50">
        <f>IF(B62="","",IF(COUNTIF(lst_Jobs,B62&amp;"")&gt;0,"OK","CHECK"))</f>
        <v/>
      </c>
      <c r="D62" s="51" t="inlineStr">
        <is>
          <t>APA</t>
        </is>
      </c>
      <c r="E62" s="51" t="inlineStr">
        <is>
          <t>VIDEO</t>
        </is>
      </c>
      <c r="F62" s="51" t="inlineStr">
        <is>
          <t>APA Qtrly All Hands May 2027 Package - Vid Labour (Revenue) INV-10521</t>
        </is>
      </c>
      <c r="G62" s="51" t="inlineStr">
        <is>
          <t>Deferral - invoiced in advance</t>
        </is>
      </c>
      <c r="H62" s="51" t="n"/>
      <c r="I62" s="52" t="n">
        <v>-485</v>
      </c>
      <c r="J62" s="51" t="inlineStr">
        <is>
          <t>11300</t>
        </is>
      </c>
      <c r="K62" s="51" t="n"/>
      <c r="L62" s="51" t="inlineStr">
        <is>
          <t>Y</t>
        </is>
      </c>
      <c r="M62" s="51" t="inlineStr">
        <is>
          <t>Migrated from FY27 Revenue Tracker v2 - confirm type/sign</t>
        </is>
      </c>
    </row>
    <row r="63" ht="15" customHeight="1">
      <c r="A63" s="56" t="n">
        <v>46234</v>
      </c>
      <c r="B63" s="51" t="inlineStr">
        <is>
          <t>26061609</t>
        </is>
      </c>
      <c r="C63" s="50">
        <f>IF(B63="","",IF(COUNTIF(lst_Jobs,B63&amp;"")&gt;0,"OK","CHECK"))</f>
        <v/>
      </c>
      <c r="D63" s="51" t="inlineStr">
        <is>
          <t>APA</t>
        </is>
      </c>
      <c r="E63" s="51" t="inlineStr">
        <is>
          <t>PRODUCTION</t>
        </is>
      </c>
      <c r="F63" s="51" t="inlineStr">
        <is>
          <t>APA Qtrly All Hands May 2027 Package - Conf Call (Revenue) INV-10521</t>
        </is>
      </c>
      <c r="G63" s="51" t="inlineStr">
        <is>
          <t>Deferral - invoiced in advance</t>
        </is>
      </c>
      <c r="H63" s="51" t="n"/>
      <c r="I63" s="52" t="n">
        <v>-750</v>
      </c>
      <c r="J63" s="51" t="inlineStr">
        <is>
          <t>11300</t>
        </is>
      </c>
      <c r="K63" s="51" t="n"/>
      <c r="L63" s="51" t="inlineStr">
        <is>
          <t>Y</t>
        </is>
      </c>
      <c r="M63" s="51" t="inlineStr">
        <is>
          <t>Migrated from FY27 Revenue Tracker v2 - confirm type/sign</t>
        </is>
      </c>
    </row>
    <row r="64" ht="15" customHeight="1">
      <c r="A64" s="56" t="n">
        <v>46234</v>
      </c>
      <c r="B64" s="51" t="inlineStr">
        <is>
          <t>26061609</t>
        </is>
      </c>
      <c r="C64" s="50">
        <f>IF(B64="","",IF(COUNTIF(lst_Jobs,B64&amp;"")&gt;0,"OK","CHECK"))</f>
        <v/>
      </c>
      <c r="D64" s="51" t="inlineStr">
        <is>
          <t>APA</t>
        </is>
      </c>
      <c r="E64" s="51" t="inlineStr">
        <is>
          <t>PRODUCTION</t>
        </is>
      </c>
      <c r="F64" s="51" t="inlineStr">
        <is>
          <t>APA Qtrly All Hands May 2027 Package - Transport (Revenue) INV-10521</t>
        </is>
      </c>
      <c r="G64" s="51" t="inlineStr">
        <is>
          <t>Deferral - invoiced in advance</t>
        </is>
      </c>
      <c r="H64" s="51" t="n"/>
      <c r="I64" s="52" t="n">
        <v>-300</v>
      </c>
      <c r="J64" s="51" t="inlineStr">
        <is>
          <t>11300</t>
        </is>
      </c>
      <c r="K64" s="51" t="n"/>
      <c r="L64" s="51" t="inlineStr">
        <is>
          <t>Y</t>
        </is>
      </c>
      <c r="M64" s="51" t="inlineStr">
        <is>
          <t>Migrated from FY27 Revenue Tracker v2 - confirm type/sign</t>
        </is>
      </c>
    </row>
    <row r="65" ht="15" customHeight="1">
      <c r="A65" s="56" t="n">
        <v>46234</v>
      </c>
      <c r="B65" s="51" t="inlineStr">
        <is>
          <t>26061609</t>
        </is>
      </c>
      <c r="C65" s="50">
        <f>IF(B65="","",IF(COUNTIF(lst_Jobs,B65&amp;"")&gt;0,"OK","CHECK"))</f>
        <v/>
      </c>
      <c r="D65" s="51" t="inlineStr">
        <is>
          <t>APA</t>
        </is>
      </c>
      <c r="E65" s="51" t="inlineStr">
        <is>
          <t>PRODUCTION</t>
        </is>
      </c>
      <c r="F65" s="51" t="inlineStr">
        <is>
          <t>APA Qtrly All Hands May 2027 Package - Tech  Event Mgmt (Revenue) INV-10521</t>
        </is>
      </c>
      <c r="G65" s="51" t="inlineStr">
        <is>
          <t>Deferral - invoiced in advance</t>
        </is>
      </c>
      <c r="H65" s="51" t="n"/>
      <c r="I65" s="52" t="n">
        <v>-690</v>
      </c>
      <c r="J65" s="51" t="inlineStr">
        <is>
          <t>11300</t>
        </is>
      </c>
      <c r="K65" s="51" t="n"/>
      <c r="L65" s="51" t="inlineStr">
        <is>
          <t>Y</t>
        </is>
      </c>
      <c r="M65" s="51" t="inlineStr">
        <is>
          <t>Migrated from FY27 Revenue Tracker v2 - confirm type/sign</t>
        </is>
      </c>
    </row>
    <row r="66" ht="15" customHeight="1">
      <c r="A66" s="56" t="n">
        <v>46234</v>
      </c>
      <c r="B66" s="51" t="inlineStr">
        <is>
          <t>26061609</t>
        </is>
      </c>
      <c r="C66" s="50">
        <f>IF(B66="","",IF(COUNTIF(lst_Jobs,B66&amp;"")&gt;0,"OK","CHECK"))</f>
        <v/>
      </c>
      <c r="D66" s="51" t="inlineStr">
        <is>
          <t>APA</t>
        </is>
      </c>
      <c r="E66" s="51" t="inlineStr">
        <is>
          <t>PRODUCTION</t>
        </is>
      </c>
      <c r="F66" s="51" t="inlineStr">
        <is>
          <t>APA Qtrly All Hands May 2027 Package - Travel (Revenue) INV-10521</t>
        </is>
      </c>
      <c r="G66" s="51" t="inlineStr">
        <is>
          <t>Deferral - invoiced in advance</t>
        </is>
      </c>
      <c r="H66" s="51" t="n"/>
      <c r="I66" s="52" t="n">
        <v>-1200</v>
      </c>
      <c r="J66" s="51" t="inlineStr">
        <is>
          <t>11300</t>
        </is>
      </c>
      <c r="K66" s="51" t="n"/>
      <c r="L66" s="51" t="inlineStr">
        <is>
          <t>Y</t>
        </is>
      </c>
      <c r="M66" s="51" t="inlineStr">
        <is>
          <t>Migrated from FY27 Revenue Tracker v2 - confirm type/sign</t>
        </is>
      </c>
    </row>
    <row r="67" ht="15" customHeight="1">
      <c r="A67" s="56" t="n">
        <v>46234</v>
      </c>
      <c r="B67" s="51" t="inlineStr">
        <is>
          <t>2603104</t>
        </is>
      </c>
      <c r="C67" s="50">
        <f>IF(B67="","",IF(COUNTIF(lst_Jobs,B67&amp;"")&gt;0,"OK","CHECK"))</f>
        <v/>
      </c>
      <c r="D67" s="51" t="inlineStr">
        <is>
          <t>Cochlear</t>
        </is>
      </c>
      <c r="E67" s="51" t="inlineStr">
        <is>
          <t>PRODUCTION</t>
        </is>
      </c>
      <c r="F67" s="51" t="inlineStr">
        <is>
          <t>Cochlear FY26 Results 18.8.26 [PRD] pre-prod work</t>
        </is>
      </c>
      <c r="G67" s="51" t="inlineStr">
        <is>
          <t>Accrual - unbilled work</t>
        </is>
      </c>
      <c r="H67" s="51" t="n"/>
      <c r="I67" s="52" t="n">
        <v>172.5</v>
      </c>
      <c r="J67" s="51" t="inlineStr">
        <is>
          <t>11300</t>
        </is>
      </c>
      <c r="K67" s="51" t="n"/>
      <c r="L67" s="51" t="inlineStr">
        <is>
          <t>Y</t>
        </is>
      </c>
      <c r="M67" s="51" t="inlineStr">
        <is>
          <t>Migrated from FY27 Revenue Tracker v2 - confirm type/sign</t>
        </is>
      </c>
    </row>
    <row r="68" ht="15" customHeight="1">
      <c r="A68" s="56" t="n">
        <v>46234</v>
      </c>
      <c r="B68" s="51" t="inlineStr">
        <is>
          <t>2512804</t>
        </is>
      </c>
      <c r="C68" s="50">
        <f>IF(B68="","",IF(COUNTIF(lst_Jobs,B68&amp;"")&gt;0,"OK","CHECK"))</f>
        <v/>
      </c>
      <c r="D68" s="51" t="inlineStr">
        <is>
          <t>RSNSW</t>
        </is>
      </c>
      <c r="E68" s="51" t="inlineStr">
        <is>
          <t>PRODUCTION</t>
        </is>
      </c>
      <c r="F68" s="51" t="inlineStr">
        <is>
          <t>RSNSW Ordinary General Meeting 5.8.26 [PRD] pre-prod work</t>
        </is>
      </c>
      <c r="G68" s="51" t="inlineStr">
        <is>
          <t>Accrual - unbilled work</t>
        </is>
      </c>
      <c r="H68" s="51" t="n"/>
      <c r="I68" s="52" t="n">
        <v>115</v>
      </c>
      <c r="J68" s="51" t="inlineStr">
        <is>
          <t>11300</t>
        </is>
      </c>
      <c r="K68" s="51" t="n"/>
      <c r="L68" s="51" t="inlineStr">
        <is>
          <t>Y</t>
        </is>
      </c>
      <c r="M68" s="51" t="inlineStr">
        <is>
          <t>Migrated from FY27 Revenue Tracker v2 - confirm type/sign</t>
        </is>
      </c>
    </row>
    <row r="69" ht="15" customHeight="1">
      <c r="A69" s="56" t="n">
        <v>46234</v>
      </c>
      <c r="B69" s="51" t="inlineStr">
        <is>
          <t>26061108</t>
        </is>
      </c>
      <c r="C69" s="50">
        <f>IF(B69="","",IF(COUNTIF(lst_Jobs,B69&amp;"")&gt;0,"OK","CHECK"))</f>
        <v/>
      </c>
      <c r="D69" s="51" t="inlineStr">
        <is>
          <t>APA</t>
        </is>
      </c>
      <c r="E69" s="51" t="inlineStr">
        <is>
          <t>PRODUCTION</t>
        </is>
      </c>
      <c r="F69" s="51" t="inlineStr">
        <is>
          <t>APA - Qtly All Hands FYR26 - 20.8.26 [PRD] pre-prod work</t>
        </is>
      </c>
      <c r="G69" s="51" t="inlineStr">
        <is>
          <t>Accrual - unbilled work</t>
        </is>
      </c>
      <c r="H69" s="51" t="n"/>
      <c r="I69" s="52" t="n">
        <v>172.5</v>
      </c>
      <c r="J69" s="51" t="inlineStr">
        <is>
          <t>11300</t>
        </is>
      </c>
      <c r="K69" s="51" t="n"/>
      <c r="L69" s="51" t="inlineStr">
        <is>
          <t>Y</t>
        </is>
      </c>
      <c r="M69" s="51" t="inlineStr">
        <is>
          <t>Migrated from FY27 Revenue Tracker v2 - confirm type/sign</t>
        </is>
      </c>
    </row>
    <row r="70" ht="15" customHeight="1">
      <c r="A70" s="56" t="n">
        <v>46265</v>
      </c>
      <c r="B70" s="51" t="inlineStr">
        <is>
          <t>26062503</t>
        </is>
      </c>
      <c r="C70" s="50">
        <f>IF(B70="","",IF(COUNTIF(lst_Jobs,B70&amp;"")&gt;0,"OK","CHECK"))</f>
        <v/>
      </c>
      <c r="D70" s="51" t="inlineStr">
        <is>
          <t>Aware Super</t>
        </is>
      </c>
      <c r="E70" s="51" t="n"/>
      <c r="F70" s="51" t="inlineStr">
        <is>
          <t>Aware Super 24.16 UC Engine Replacement [INT] Labour Revenue INV-10619 | Pre work</t>
        </is>
      </c>
      <c r="G70" s="51" t="inlineStr">
        <is>
          <t>Accrual - unbilled work</t>
        </is>
      </c>
      <c r="H70" s="51" t="n"/>
      <c r="I70" s="52" t="n">
        <v>671</v>
      </c>
      <c r="J70" s="51" t="inlineStr">
        <is>
          <t>11300</t>
        </is>
      </c>
      <c r="K70" s="51" t="n"/>
      <c r="L70" s="51" t="inlineStr">
        <is>
          <t>Y</t>
        </is>
      </c>
      <c r="M70" s="51" t="inlineStr">
        <is>
          <t>Migrated from FY27 Revenue Tracker v2 - confirm type/sign</t>
        </is>
      </c>
    </row>
    <row r="71" ht="15" customHeight="1">
      <c r="A71" s="56" t="n">
        <v>46265</v>
      </c>
      <c r="B71" s="51" t="inlineStr">
        <is>
          <t>26062901</t>
        </is>
      </c>
      <c r="C71" s="50">
        <f>IF(B71="","",IF(COUNTIF(lst_Jobs,B71&amp;"")&gt;0,"OK","CHECK"))</f>
        <v/>
      </c>
      <c r="D71" s="51" t="inlineStr">
        <is>
          <t>Aware Super</t>
        </is>
      </c>
      <c r="E71" s="51" t="n"/>
      <c r="F71" s="51" t="inlineStr">
        <is>
          <t>Aware | SYD 28.06 Services [INT] Labour Revenue Pre work</t>
        </is>
      </c>
      <c r="G71" s="51" t="inlineStr">
        <is>
          <t>Deferral - invoiced in advance</t>
        </is>
      </c>
      <c r="H71" s="51" t="n"/>
      <c r="I71" s="52" t="n">
        <v>-1450</v>
      </c>
      <c r="J71" s="51" t="inlineStr">
        <is>
          <t>11300</t>
        </is>
      </c>
      <c r="K71" s="51" t="n"/>
      <c r="L71" s="51" t="inlineStr">
        <is>
          <t>Y</t>
        </is>
      </c>
      <c r="M71" s="51" t="inlineStr">
        <is>
          <t>Migrated from FY27 Revenue Tracker v2 - confirm type/sign</t>
        </is>
      </c>
    </row>
    <row r="72" ht="15" customHeight="1">
      <c r="A72" s="56" t="n"/>
      <c r="B72" s="51" t="inlineStr">
        <is>
          <t>2604704</t>
        </is>
      </c>
      <c r="C72" s="50">
        <f>IF(B72="","",IF(COUNTIF(lst_Jobs,B72&amp;"")&gt;0,"OK","CHECK"))</f>
        <v/>
      </c>
      <c r="D72" s="51" t="inlineStr">
        <is>
          <t>Aware Super</t>
        </is>
      </c>
      <c r="E72" s="51" t="n"/>
      <c r="F72" s="51" t="inlineStr">
        <is>
          <t>Aware Super Seminar Room Audio Upgrade [INT] Labour Revenue INV-10596 | Pre work</t>
        </is>
      </c>
      <c r="G72" s="51" t="inlineStr">
        <is>
          <t>Accrual - unbilled work</t>
        </is>
      </c>
      <c r="H72" s="51" t="n"/>
      <c r="I72" s="52" t="n"/>
      <c r="J72" s="51" t="inlineStr">
        <is>
          <t>11300</t>
        </is>
      </c>
      <c r="K72" s="51" t="n"/>
      <c r="L72" s="51" t="inlineStr">
        <is>
          <t>Y</t>
        </is>
      </c>
      <c r="M72" s="51" t="inlineStr">
        <is>
          <t>Migrated from FY27 Revenue Tracker v2 - confirm type/sign</t>
        </is>
      </c>
    </row>
    <row r="73" ht="15" customHeight="1">
      <c r="A73" s="56" t="n">
        <v>46265</v>
      </c>
      <c r="B73" s="51" t="inlineStr">
        <is>
          <t>26061602</t>
        </is>
      </c>
      <c r="C73" s="50">
        <f>IF(B73="","",IF(COUNTIF(lst_Jobs,B73&amp;"")&gt;0,"OK","CHECK"))</f>
        <v/>
      </c>
      <c r="D73" s="51" t="inlineStr">
        <is>
          <t>ASX</t>
        </is>
      </c>
      <c r="E73" s="51" t="n"/>
      <c r="F73" s="51" t="inlineStr">
        <is>
          <t>ASX CEO Connect (Extended Results) 1.9.26 [PRD] Pre-prod labour</t>
        </is>
      </c>
      <c r="G73" s="51" t="inlineStr">
        <is>
          <t>Accrual - unbilled work</t>
        </is>
      </c>
      <c r="H73" s="51" t="n"/>
      <c r="I73" s="52" t="n">
        <v>1852.5</v>
      </c>
      <c r="J73" s="51" t="inlineStr">
        <is>
          <t>11300</t>
        </is>
      </c>
      <c r="K73" s="51" t="n"/>
      <c r="L73" s="51" t="inlineStr">
        <is>
          <t>Y</t>
        </is>
      </c>
      <c r="M73" s="51" t="inlineStr">
        <is>
          <t>Migrated from FY27 Revenue Tracker v2 - confirm type/sign</t>
        </is>
      </c>
    </row>
    <row r="74" ht="15" customHeight="1">
      <c r="A74" s="56" t="n">
        <v>46265</v>
      </c>
      <c r="B74" s="51" t="inlineStr">
        <is>
          <t>26071701</t>
        </is>
      </c>
      <c r="C74" s="50">
        <f>IF(B74="","",IF(COUNTIF(lst_Jobs,B74&amp;"")&gt;0,"OK","CHECK"))</f>
        <v/>
      </c>
      <c r="D74" s="51" t="inlineStr">
        <is>
          <t>ASX</t>
        </is>
      </c>
      <c r="E74" s="51" t="n"/>
      <c r="F74" s="51" t="inlineStr">
        <is>
          <t>ASX Live - 9.9.26 [PRD] Pre-prod labour</t>
        </is>
      </c>
      <c r="G74" s="51" t="inlineStr">
        <is>
          <t>Accrual - unbilled work</t>
        </is>
      </c>
      <c r="H74" s="51" t="n"/>
      <c r="I74" s="52" t="n">
        <v>1885</v>
      </c>
      <c r="J74" s="51" t="inlineStr">
        <is>
          <t>11300</t>
        </is>
      </c>
      <c r="K74" s="51" t="n"/>
      <c r="L74" s="51" t="inlineStr">
        <is>
          <t>Y</t>
        </is>
      </c>
      <c r="M74" s="51" t="inlineStr">
        <is>
          <t>Migrated from FY27 Revenue Tracker v2 - confirm type/sign</t>
        </is>
      </c>
    </row>
    <row r="75" ht="15" customHeight="1">
      <c r="A75" s="56" t="n">
        <v>46265</v>
      </c>
      <c r="B75" s="51" t="inlineStr">
        <is>
          <t>26072102</t>
        </is>
      </c>
      <c r="C75" s="50">
        <f>IF(B75="","",IF(COUNTIF(lst_Jobs,B75&amp;"")&gt;0,"OK","CHECK"))</f>
        <v/>
      </c>
      <c r="D75" s="51" t="inlineStr">
        <is>
          <t>Ventia</t>
        </is>
      </c>
      <c r="E75" s="51" t="n"/>
      <c r="F75" s="51" t="inlineStr">
        <is>
          <t>Ventia - RUOK? Day - 10.09.2026 [PRD] pre-prd labour</t>
        </is>
      </c>
      <c r="G75" s="51" t="inlineStr">
        <is>
          <t>Accrual - unbilled work</t>
        </is>
      </c>
      <c r="H75" s="51" t="n"/>
      <c r="I75" s="52" t="n">
        <v>585</v>
      </c>
      <c r="J75" s="51" t="inlineStr">
        <is>
          <t>11300</t>
        </is>
      </c>
      <c r="K75" s="51" t="n"/>
      <c r="L75" s="51" t="inlineStr">
        <is>
          <t>Y</t>
        </is>
      </c>
      <c r="M75" s="51" t="inlineStr">
        <is>
          <t>Migrated from FY27 Revenue Tracker v2 - confirm type/sign</t>
        </is>
      </c>
    </row>
    <row r="76" ht="15" customHeight="1">
      <c r="A76" s="56" t="n">
        <v>46265</v>
      </c>
      <c r="B76" s="51" t="inlineStr">
        <is>
          <t>26082502</t>
        </is>
      </c>
      <c r="C76" s="50">
        <f>IF(B76="","",IF(COUNTIF(lst_Jobs,B76&amp;"")&gt;0,"OK","CHECK"))</f>
        <v/>
      </c>
      <c r="D76" s="51" t="inlineStr">
        <is>
          <t>ICC</t>
        </is>
      </c>
      <c r="E76" s="51" t="n"/>
      <c r="F76" s="51" t="inlineStr">
        <is>
          <t>ICC - Presenter &amp; Speaker Preparation - September 2026 [PRD] pre-prod labour</t>
        </is>
      </c>
      <c r="G76" s="51" t="inlineStr">
        <is>
          <t>Accrual - unbilled work</t>
        </is>
      </c>
      <c r="H76" s="51" t="n"/>
      <c r="I76" s="52" t="n">
        <v>292.5</v>
      </c>
      <c r="J76" s="51" t="inlineStr">
        <is>
          <t>11300</t>
        </is>
      </c>
      <c r="K76" s="51" t="n"/>
      <c r="L76" s="51" t="inlineStr">
        <is>
          <t>Y</t>
        </is>
      </c>
      <c r="M76" s="51" t="inlineStr">
        <is>
          <t>Migrated from FY27 Revenue Tracker v2 - confirm type/sign</t>
        </is>
      </c>
    </row>
    <row r="77" ht="15" customHeight="1">
      <c r="A77" s="56" t="n">
        <v>46265</v>
      </c>
      <c r="B77" s="51" t="inlineStr">
        <is>
          <t>26032302</t>
        </is>
      </c>
      <c r="C77" s="50">
        <f>IF(B77="","",IF(COUNTIF(lst_Jobs,B77&amp;"")&gt;0,"OK","CHECK"))</f>
        <v/>
      </c>
      <c r="D77" s="51" t="inlineStr">
        <is>
          <t>RSNSW</t>
        </is>
      </c>
      <c r="E77" s="51" t="n"/>
      <c r="F77" s="51" t="inlineStr">
        <is>
          <t>RSNSW - OGM - 2.9.2026 [PRD] pre-prod labour</t>
        </is>
      </c>
      <c r="G77" s="51" t="inlineStr">
        <is>
          <t>Accrual - unbilled work</t>
        </is>
      </c>
      <c r="H77" s="51" t="n"/>
      <c r="I77" s="52" t="n">
        <v>260</v>
      </c>
      <c r="J77" s="51" t="inlineStr">
        <is>
          <t>11300</t>
        </is>
      </c>
      <c r="K77" s="51" t="n"/>
      <c r="L77" s="51" t="inlineStr">
        <is>
          <t>Y</t>
        </is>
      </c>
      <c r="M77" s="51" t="inlineStr">
        <is>
          <t>Migrated from FY27 Revenue Tracker v2 - confirm type/sign</t>
        </is>
      </c>
    </row>
    <row r="78" ht="15" customHeight="1">
      <c r="A78" s="56" t="n">
        <v>46265</v>
      </c>
      <c r="B78" s="51" t="inlineStr">
        <is>
          <t>26061602V</t>
        </is>
      </c>
      <c r="C78" s="50">
        <f>IF(B78="","",IF(COUNTIF(lst_Jobs,B78&amp;"")&gt;0,"OK","CHECK"))</f>
        <v/>
      </c>
      <c r="D78" s="51" t="inlineStr">
        <is>
          <t>ASX</t>
        </is>
      </c>
      <c r="E78" s="51" t="n"/>
      <c r="F78" s="51" t="inlineStr">
        <is>
          <t>ASX CEO Connect (Extended Results) 1.9.26 [VID] pre-vid labour</t>
        </is>
      </c>
      <c r="G78" s="51" t="inlineStr">
        <is>
          <t>Accrual - unbilled work</t>
        </is>
      </c>
      <c r="H78" s="51" t="n"/>
      <c r="I78" s="52" t="n">
        <v>190</v>
      </c>
      <c r="J78" s="51" t="inlineStr">
        <is>
          <t>11300</t>
        </is>
      </c>
      <c r="K78" s="51" t="n"/>
      <c r="L78" s="51" t="inlineStr">
        <is>
          <t>Y</t>
        </is>
      </c>
      <c r="M78" s="51" t="inlineStr">
        <is>
          <t>Migrated from FY27 Revenue Tracker v2 - confirm type/sign</t>
        </is>
      </c>
    </row>
    <row r="79" ht="15" customHeight="1">
      <c r="A79" s="56" t="n">
        <v>46265</v>
      </c>
      <c r="B79" s="51" t="inlineStr">
        <is>
          <t>2591012C</t>
        </is>
      </c>
      <c r="C79" s="50">
        <f>IF(B79="","",IF(COUNTIF(lst_Jobs,B79&amp;"")&gt;0,"OK","CHECK"))</f>
        <v/>
      </c>
      <c r="D79" s="51" t="inlineStr">
        <is>
          <t>St Luke</t>
        </is>
      </c>
      <c r="E79" s="51" t="n"/>
      <c r="F79" s="51" t="inlineStr">
        <is>
          <t>St Luke Equipment Sale | DL to advise to invoice in SEPT26 | Indicative Revenue</t>
        </is>
      </c>
      <c r="G79" s="51" t="inlineStr">
        <is>
          <t>Deferral - invoiced in advance</t>
        </is>
      </c>
      <c r="H79" s="51" t="n"/>
      <c r="I79" s="52" t="n">
        <v>-4227.27</v>
      </c>
      <c r="J79" s="51" t="inlineStr">
        <is>
          <t>11300</t>
        </is>
      </c>
      <c r="K79" s="51" t="n"/>
      <c r="L79" s="51" t="inlineStr">
        <is>
          <t>Y</t>
        </is>
      </c>
      <c r="M79" s="51" t="inlineStr">
        <is>
          <t>Migrated from FY27 Revenue Tracker v2 - confirm type/sign</t>
        </is>
      </c>
    </row>
    <row r="80" ht="15" customHeight="1">
      <c r="A80" s="56" t="n">
        <v>46265</v>
      </c>
      <c r="B80" s="51" t="inlineStr">
        <is>
          <t>26061108</t>
        </is>
      </c>
      <c r="C80" s="50">
        <f>IF(B80="","",IF(COUNTIF(lst_Jobs,B80&amp;"")&gt;0,"OK","CHECK"))</f>
        <v/>
      </c>
      <c r="D80" s="51" t="inlineStr">
        <is>
          <t>APA</t>
        </is>
      </c>
      <c r="E80" s="51" t="inlineStr">
        <is>
          <t>PRODUCTION</t>
        </is>
      </c>
      <c r="F80" s="51" t="inlineStr">
        <is>
          <t>APA FYR All Hands August 2026 Package - Prd Equipment Hire (Revenue) INV-10521</t>
        </is>
      </c>
      <c r="G80" s="51" t="inlineStr">
        <is>
          <t>Accrual - unbilled work</t>
        </is>
      </c>
      <c r="H80" s="51" t="n"/>
      <c r="I80" s="52" t="n">
        <v>5413.6</v>
      </c>
      <c r="J80" s="51" t="inlineStr">
        <is>
          <t>11300</t>
        </is>
      </c>
      <c r="K80" s="51" t="n"/>
      <c r="L80" s="51" t="inlineStr">
        <is>
          <t>Y</t>
        </is>
      </c>
      <c r="M80" s="51" t="inlineStr">
        <is>
          <t>Migrated from FY27 Revenue Tracker v2 - confirm type/sign</t>
        </is>
      </c>
    </row>
    <row r="81" ht="15" customHeight="1">
      <c r="A81" s="56" t="n">
        <v>46265</v>
      </c>
      <c r="B81" s="51" t="inlineStr">
        <is>
          <t xml:space="preserve">26061108V </t>
        </is>
      </c>
      <c r="C81" s="50">
        <f>IF(B81="","",IF(COUNTIF(lst_Jobs,B81&amp;"")&gt;0,"OK","CHECK"))</f>
        <v/>
      </c>
      <c r="D81" s="51" t="inlineStr">
        <is>
          <t>APA</t>
        </is>
      </c>
      <c r="E81" s="51" t="inlineStr">
        <is>
          <t>VIDEO</t>
        </is>
      </c>
      <c r="F81" s="51" t="inlineStr">
        <is>
          <t>APA FYR All Hands August 2026 Package - Vid Equipment Hire (Revenue) INV-10521</t>
        </is>
      </c>
      <c r="G81" s="51" t="inlineStr">
        <is>
          <t>Accrual - unbilled work</t>
        </is>
      </c>
      <c r="H81" s="51" t="n"/>
      <c r="I81" s="52" t="n">
        <v>592</v>
      </c>
      <c r="J81" s="51" t="inlineStr">
        <is>
          <t>11300</t>
        </is>
      </c>
      <c r="K81" s="51" t="n"/>
      <c r="L81" s="51" t="inlineStr">
        <is>
          <t>Y</t>
        </is>
      </c>
      <c r="M81" s="51" t="inlineStr">
        <is>
          <t>Migrated from FY27 Revenue Tracker v2 - confirm type/sign</t>
        </is>
      </c>
    </row>
    <row r="82" ht="15" customHeight="1">
      <c r="A82" s="56" t="n">
        <v>46265</v>
      </c>
      <c r="B82" s="51" t="inlineStr">
        <is>
          <t>26061108</t>
        </is>
      </c>
      <c r="C82" s="50">
        <f>IF(B82="","",IF(COUNTIF(lst_Jobs,B82&amp;"")&gt;0,"OK","CHECK"))</f>
        <v/>
      </c>
      <c r="D82" s="51" t="inlineStr">
        <is>
          <t>APA</t>
        </is>
      </c>
      <c r="E82" s="51" t="inlineStr">
        <is>
          <t>PRODUCTION</t>
        </is>
      </c>
      <c r="F82" s="51" t="inlineStr">
        <is>
          <t>APA FYR All Hands August 2026 Package - Prd Labour (Revenue) INV-10521</t>
        </is>
      </c>
      <c r="G82" s="51" t="inlineStr">
        <is>
          <t>Accrual - unbilled work</t>
        </is>
      </c>
      <c r="H82" s="51" t="n"/>
      <c r="I82" s="52" t="n">
        <v>4520</v>
      </c>
      <c r="J82" s="51" t="inlineStr">
        <is>
          <t>11300</t>
        </is>
      </c>
      <c r="K82" s="51" t="n"/>
      <c r="L82" s="51" t="inlineStr">
        <is>
          <t>Y</t>
        </is>
      </c>
      <c r="M82" s="51" t="inlineStr">
        <is>
          <t>Migrated from FY27 Revenue Tracker v2 - confirm type/sign</t>
        </is>
      </c>
    </row>
    <row r="83" ht="15" customHeight="1">
      <c r="A83" s="56" t="n">
        <v>46265</v>
      </c>
      <c r="B83" s="51" t="inlineStr">
        <is>
          <t xml:space="preserve">26061108V </t>
        </is>
      </c>
      <c r="C83" s="50">
        <f>IF(B83="","",IF(COUNTIF(lst_Jobs,B83&amp;"")&gt;0,"OK","CHECK"))</f>
        <v/>
      </c>
      <c r="D83" s="51" t="inlineStr">
        <is>
          <t>APA</t>
        </is>
      </c>
      <c r="E83" s="51" t="inlineStr">
        <is>
          <t>VIDEO</t>
        </is>
      </c>
      <c r="F83" s="51" t="inlineStr">
        <is>
          <t>APA FYR All Hands August 2026 Package - Vid Labour (Revenue) INV-10521</t>
        </is>
      </c>
      <c r="G83" s="51" t="inlineStr">
        <is>
          <t>Accrual - unbilled work</t>
        </is>
      </c>
      <c r="H83" s="51" t="n"/>
      <c r="I83" s="52" t="n">
        <v>485</v>
      </c>
      <c r="J83" s="51" t="inlineStr">
        <is>
          <t>11300</t>
        </is>
      </c>
      <c r="K83" s="51" t="n"/>
      <c r="L83" s="51" t="inlineStr">
        <is>
          <t>Y</t>
        </is>
      </c>
      <c r="M83" s="51" t="inlineStr">
        <is>
          <t>Migrated from FY27 Revenue Tracker v2 - confirm type/sign</t>
        </is>
      </c>
    </row>
    <row r="84" ht="15" customHeight="1">
      <c r="A84" s="56" t="n">
        <v>46265</v>
      </c>
      <c r="B84" s="51" t="inlineStr">
        <is>
          <t>26061108</t>
        </is>
      </c>
      <c r="C84" s="50">
        <f>IF(B84="","",IF(COUNTIF(lst_Jobs,B84&amp;"")&gt;0,"OK","CHECK"))</f>
        <v/>
      </c>
      <c r="D84" s="51" t="inlineStr">
        <is>
          <t>APA</t>
        </is>
      </c>
      <c r="E84" s="51" t="inlineStr">
        <is>
          <t>PRODUCTION</t>
        </is>
      </c>
      <c r="F84" s="51" t="inlineStr">
        <is>
          <t>APA FYR All Hands August 2026 Package - Conf Call (Revenue) INV-10521</t>
        </is>
      </c>
      <c r="G84" s="51" t="inlineStr">
        <is>
          <t>Accrual - unbilled work</t>
        </is>
      </c>
      <c r="H84" s="51" t="n"/>
      <c r="I84" s="52" t="n">
        <v>600</v>
      </c>
      <c r="J84" s="51" t="inlineStr">
        <is>
          <t>11300</t>
        </is>
      </c>
      <c r="K84" s="51" t="n"/>
      <c r="L84" s="51" t="inlineStr">
        <is>
          <t>Y</t>
        </is>
      </c>
      <c r="M84" s="51" t="inlineStr">
        <is>
          <t>Migrated from FY27 Revenue Tracker v2 - confirm type/sign</t>
        </is>
      </c>
    </row>
    <row r="85" ht="15" customHeight="1">
      <c r="A85" s="56" t="n">
        <v>46265</v>
      </c>
      <c r="B85" s="51" t="inlineStr">
        <is>
          <t>26061108</t>
        </is>
      </c>
      <c r="C85" s="50">
        <f>IF(B85="","",IF(COUNTIF(lst_Jobs,B85&amp;"")&gt;0,"OK","CHECK"))</f>
        <v/>
      </c>
      <c r="D85" s="51" t="inlineStr">
        <is>
          <t>APA</t>
        </is>
      </c>
      <c r="E85" s="51" t="inlineStr">
        <is>
          <t>PRODUCTION</t>
        </is>
      </c>
      <c r="F85" s="51" t="inlineStr">
        <is>
          <t>APA FYR All Hands August 2026 Package - Transport (Revenue) INV-10521</t>
        </is>
      </c>
      <c r="G85" s="51" t="inlineStr">
        <is>
          <t>Accrual - unbilled work</t>
        </is>
      </c>
      <c r="H85" s="51" t="n"/>
      <c r="I85" s="52" t="n">
        <v>300</v>
      </c>
      <c r="J85" s="51" t="inlineStr">
        <is>
          <t>11300</t>
        </is>
      </c>
      <c r="K85" s="51" t="n"/>
      <c r="L85" s="51" t="inlineStr">
        <is>
          <t>Y</t>
        </is>
      </c>
      <c r="M85" s="51" t="inlineStr">
        <is>
          <t>Migrated from FY27 Revenue Tracker v2 - confirm type/sign</t>
        </is>
      </c>
    </row>
    <row r="86" ht="15" customHeight="1">
      <c r="A86" s="56" t="n">
        <v>46265</v>
      </c>
      <c r="B86" s="51" t="inlineStr">
        <is>
          <t>26061108</t>
        </is>
      </c>
      <c r="C86" s="50">
        <f>IF(B86="","",IF(COUNTIF(lst_Jobs,B86&amp;"")&gt;0,"OK","CHECK"))</f>
        <v/>
      </c>
      <c r="D86" s="51" t="inlineStr">
        <is>
          <t>APA</t>
        </is>
      </c>
      <c r="E86" s="51" t="inlineStr">
        <is>
          <t>PRODUCTION</t>
        </is>
      </c>
      <c r="F86" s="51" t="inlineStr">
        <is>
          <t>APA FYR All Hands August 2026 Package - Tech  Event Mgmt (Revenue) INV-10521</t>
        </is>
      </c>
      <c r="G86" s="51" t="inlineStr">
        <is>
          <t>Accrual - unbilled work</t>
        </is>
      </c>
      <c r="H86" s="51" t="n"/>
      <c r="I86" s="52" t="n">
        <v>690</v>
      </c>
      <c r="J86" s="51" t="inlineStr">
        <is>
          <t>11300</t>
        </is>
      </c>
      <c r="K86" s="51" t="n"/>
      <c r="L86" s="51" t="inlineStr">
        <is>
          <t>Y</t>
        </is>
      </c>
      <c r="M86" s="51" t="inlineStr">
        <is>
          <t>Migrated from FY27 Revenue Tracker v2 - confirm type/sign</t>
        </is>
      </c>
    </row>
    <row r="87" ht="15" customHeight="1">
      <c r="A87" s="56" t="n">
        <v>46265</v>
      </c>
      <c r="B87" s="51" t="inlineStr">
        <is>
          <t xml:space="preserve">2605402 </t>
        </is>
      </c>
      <c r="C87" s="50">
        <f>IF(B87="","",IF(COUNTIF(lst_Jobs,B87&amp;"")&gt;0,"OK","CHECK"))</f>
        <v/>
      </c>
      <c r="D87" s="51" t="inlineStr">
        <is>
          <t>AGL</t>
        </is>
      </c>
      <c r="E87" s="51" t="inlineStr">
        <is>
          <t>PRODUCTION</t>
        </is>
      </c>
      <c r="F87" s="51" t="inlineStr">
        <is>
          <t>AGL FYR - Employee Town Hall [PRD] pre-prod work</t>
        </is>
      </c>
      <c r="G87" s="51" t="inlineStr">
        <is>
          <t>Deferral - invoiced in advance</t>
        </is>
      </c>
      <c r="H87" s="51" t="n"/>
      <c r="I87" s="52" t="n">
        <v>-1322.5</v>
      </c>
      <c r="J87" s="51" t="inlineStr">
        <is>
          <t>11300</t>
        </is>
      </c>
      <c r="K87" s="51" t="n"/>
      <c r="L87" s="51" t="inlineStr">
        <is>
          <t>Y</t>
        </is>
      </c>
      <c r="M87" s="51" t="inlineStr">
        <is>
          <t>Migrated from FY27 Revenue Tracker v2 - confirm type/sign</t>
        </is>
      </c>
    </row>
    <row r="88" ht="15" customHeight="1">
      <c r="A88" s="56" t="n">
        <v>46265</v>
      </c>
      <c r="B88" s="51" t="inlineStr">
        <is>
          <t xml:space="preserve">26061105 </t>
        </is>
      </c>
      <c r="C88" s="50">
        <f>IF(B88="","",IF(COUNTIF(lst_Jobs,B88&amp;"")&gt;0,"OK","CHECK"))</f>
        <v/>
      </c>
      <c r="D88" s="51" t="inlineStr">
        <is>
          <t>CBA</t>
        </is>
      </c>
      <c r="E88" s="51" t="inlineStr">
        <is>
          <t>PRODUCTION</t>
        </is>
      </c>
      <c r="F88" s="51" t="inlineStr">
        <is>
          <t>CBA - FYR 2026 - 12.8.26 [PRD] pre-prod work</t>
        </is>
      </c>
      <c r="G88" s="51" t="inlineStr">
        <is>
          <t>Deferral - invoiced in advance</t>
        </is>
      </c>
      <c r="H88" s="51" t="n"/>
      <c r="I88" s="52" t="n">
        <v>-417.5</v>
      </c>
      <c r="J88" s="51" t="inlineStr">
        <is>
          <t>11300</t>
        </is>
      </c>
      <c r="K88" s="51" t="n"/>
      <c r="L88" s="51" t="inlineStr">
        <is>
          <t>Y</t>
        </is>
      </c>
      <c r="M88" s="51" t="inlineStr">
        <is>
          <t>Migrated from FY27 Revenue Tracker v2 - confirm type/sign</t>
        </is>
      </c>
    </row>
    <row r="89" ht="15" customHeight="1">
      <c r="A89" s="56" t="n">
        <v>46265</v>
      </c>
      <c r="B89" s="51" t="inlineStr">
        <is>
          <t xml:space="preserve">2606903 </t>
        </is>
      </c>
      <c r="C89" s="50">
        <f>IF(B89="","",IF(COUNTIF(lst_Jobs,B89&amp;"")&gt;0,"OK","CHECK"))</f>
        <v/>
      </c>
      <c r="D89" s="51" t="inlineStr">
        <is>
          <t>Virgin</t>
        </is>
      </c>
      <c r="E89" s="51" t="inlineStr">
        <is>
          <t>PRODUCTION</t>
        </is>
      </c>
      <c r="F89" s="51" t="inlineStr">
        <is>
          <t>Virgin FY26 Results [PRD] pre-prod work</t>
        </is>
      </c>
      <c r="G89" s="51" t="inlineStr">
        <is>
          <t>Deferral - invoiced in advance</t>
        </is>
      </c>
      <c r="H89" s="51" t="n"/>
      <c r="I89" s="52" t="n">
        <v>-57.5</v>
      </c>
      <c r="J89" s="51" t="inlineStr">
        <is>
          <t>11300</t>
        </is>
      </c>
      <c r="K89" s="51" t="n"/>
      <c r="L89" s="51" t="inlineStr">
        <is>
          <t>Y</t>
        </is>
      </c>
      <c r="M89" s="51" t="inlineStr">
        <is>
          <t>Migrated from FY27 Revenue Tracker v2 - confirm type/sign</t>
        </is>
      </c>
    </row>
    <row r="90" ht="15" customHeight="1">
      <c r="A90" s="56" t="n">
        <v>46265</v>
      </c>
      <c r="B90" s="51" t="inlineStr">
        <is>
          <t xml:space="preserve">26061109 </t>
        </is>
      </c>
      <c r="C90" s="50">
        <f>IF(B90="","",IF(COUNTIF(lst_Jobs,B90&amp;"")&gt;0,"OK","CHECK"))</f>
        <v/>
      </c>
      <c r="D90" s="51" t="inlineStr">
        <is>
          <t>Ventia</t>
        </is>
      </c>
      <c r="E90" s="51" t="inlineStr">
        <is>
          <t>PRODUCTION</t>
        </is>
      </c>
      <c r="F90" s="51" t="inlineStr">
        <is>
          <t>Ventia - FYR26 - 24.8.26 [PRD] pre-prod work</t>
        </is>
      </c>
      <c r="G90" s="51" t="inlineStr">
        <is>
          <t>Deferral - invoiced in advance</t>
        </is>
      </c>
      <c r="H90" s="51" t="n"/>
      <c r="I90" s="52" t="n">
        <v>-862.5</v>
      </c>
      <c r="J90" s="51" t="inlineStr">
        <is>
          <t>11300</t>
        </is>
      </c>
      <c r="K90" s="51" t="n"/>
      <c r="L90" s="51" t="inlineStr">
        <is>
          <t>Y</t>
        </is>
      </c>
      <c r="M90" s="51" t="inlineStr">
        <is>
          <t>Migrated from FY27 Revenue Tracker v2 - confirm type/sign</t>
        </is>
      </c>
    </row>
    <row r="91" ht="15" customHeight="1">
      <c r="A91" s="56" t="n">
        <v>46265</v>
      </c>
      <c r="B91" s="51" t="inlineStr">
        <is>
          <t xml:space="preserve">26061107 </t>
        </is>
      </c>
      <c r="C91" s="50">
        <f>IF(B91="","",IF(COUNTIF(lst_Jobs,B91&amp;"")&gt;0,"OK","CHECK"))</f>
        <v/>
      </c>
      <c r="D91" s="51" t="inlineStr">
        <is>
          <t>Downer</t>
        </is>
      </c>
      <c r="E91" s="51" t="inlineStr">
        <is>
          <t>PRODUCTION</t>
        </is>
      </c>
      <c r="F91" s="51" t="inlineStr">
        <is>
          <t>Downer - FYR 2026 - 19.8.26 [PRD] pre-prod work</t>
        </is>
      </c>
      <c r="G91" s="51" t="inlineStr">
        <is>
          <t>Deferral - invoiced in advance</t>
        </is>
      </c>
      <c r="H91" s="51" t="n"/>
      <c r="I91" s="52" t="n">
        <v>-115</v>
      </c>
      <c r="J91" s="51" t="inlineStr">
        <is>
          <t>11300</t>
        </is>
      </c>
      <c r="K91" s="51" t="n"/>
      <c r="L91" s="51" t="inlineStr">
        <is>
          <t>Y</t>
        </is>
      </c>
      <c r="M91" s="51" t="inlineStr">
        <is>
          <t>Migrated from FY27 Revenue Tracker v2 - confirm type/sign</t>
        </is>
      </c>
    </row>
    <row r="92" ht="15" customHeight="1">
      <c r="A92" s="56" t="n">
        <v>46265</v>
      </c>
      <c r="B92" s="51" t="inlineStr">
        <is>
          <t>2603104</t>
        </is>
      </c>
      <c r="C92" s="50">
        <f>IF(B92="","",IF(COUNTIF(lst_Jobs,B92&amp;"")&gt;0,"OK","CHECK"))</f>
        <v/>
      </c>
      <c r="D92" s="51" t="inlineStr">
        <is>
          <t>Cochlear</t>
        </is>
      </c>
      <c r="E92" s="51" t="inlineStr">
        <is>
          <t>PRODUCTION</t>
        </is>
      </c>
      <c r="F92" s="51" t="inlineStr">
        <is>
          <t>Cochlear FY26 Results 18.8.26 [PRD] pre-prod work</t>
        </is>
      </c>
      <c r="G92" s="51" t="inlineStr">
        <is>
          <t>Deferral - invoiced in advance</t>
        </is>
      </c>
      <c r="H92" s="51" t="n"/>
      <c r="I92" s="52" t="n">
        <v>-172.5</v>
      </c>
      <c r="J92" s="51" t="inlineStr">
        <is>
          <t>11300</t>
        </is>
      </c>
      <c r="K92" s="51" t="n"/>
      <c r="L92" s="51" t="inlineStr">
        <is>
          <t>Y</t>
        </is>
      </c>
      <c r="M92" s="51" t="inlineStr">
        <is>
          <t>Migrated from FY27 Revenue Tracker v2 - confirm type/sign</t>
        </is>
      </c>
    </row>
    <row r="93" ht="15" customHeight="1">
      <c r="A93" s="56" t="n">
        <v>46265</v>
      </c>
      <c r="B93" s="51" t="inlineStr">
        <is>
          <t>2512804</t>
        </is>
      </c>
      <c r="C93" s="50">
        <f>IF(B93="","",IF(COUNTIF(lst_Jobs,B93&amp;"")&gt;0,"OK","CHECK"))</f>
        <v/>
      </c>
      <c r="D93" s="51" t="inlineStr">
        <is>
          <t>RSNSW</t>
        </is>
      </c>
      <c r="E93" s="51" t="inlineStr">
        <is>
          <t>PRODUCTION</t>
        </is>
      </c>
      <c r="F93" s="51" t="inlineStr">
        <is>
          <t>RSNSW Ordinary General Meeting 5.8.26 [PRD] pre-prod work</t>
        </is>
      </c>
      <c r="G93" s="51" t="inlineStr">
        <is>
          <t>Deferral - invoiced in advance</t>
        </is>
      </c>
      <c r="H93" s="51" t="n"/>
      <c r="I93" s="52" t="n">
        <v>-115</v>
      </c>
      <c r="J93" s="51" t="inlineStr">
        <is>
          <t>11300</t>
        </is>
      </c>
      <c r="K93" s="51" t="n"/>
      <c r="L93" s="51" t="inlineStr">
        <is>
          <t>Y</t>
        </is>
      </c>
      <c r="M93" s="51" t="inlineStr">
        <is>
          <t>Migrated from FY27 Revenue Tracker v2 - confirm type/sign</t>
        </is>
      </c>
    </row>
    <row r="94" ht="15" customHeight="1">
      <c r="A94" s="56" t="n">
        <v>46265</v>
      </c>
      <c r="B94" s="51" t="inlineStr">
        <is>
          <t>26061108</t>
        </is>
      </c>
      <c r="C94" s="50">
        <f>IF(B94="","",IF(COUNTIF(lst_Jobs,B94&amp;"")&gt;0,"OK","CHECK"))</f>
        <v/>
      </c>
      <c r="D94" s="51" t="inlineStr">
        <is>
          <t>APA</t>
        </is>
      </c>
      <c r="E94" s="51" t="inlineStr">
        <is>
          <t>PRODUCTION</t>
        </is>
      </c>
      <c r="F94" s="51" t="inlineStr">
        <is>
          <t>APA - Qtly All Hands FYR26 - 20.8.26 [PRD] pre-prod work</t>
        </is>
      </c>
      <c r="G94" s="51" t="inlineStr">
        <is>
          <t>Deferral - invoiced in advance</t>
        </is>
      </c>
      <c r="H94" s="51" t="n"/>
      <c r="I94" s="52" t="n">
        <v>-172.5</v>
      </c>
      <c r="J94" s="51" t="inlineStr">
        <is>
          <t>11300</t>
        </is>
      </c>
      <c r="K94" s="51" t="n"/>
      <c r="L94" s="51" t="inlineStr">
        <is>
          <t>Y</t>
        </is>
      </c>
      <c r="M94" s="51" t="inlineStr">
        <is>
          <t>Migrated from FY27 Revenue Tracker v2 - confirm type/sign</t>
        </is>
      </c>
    </row>
    <row r="95" ht="15" customHeight="1">
      <c r="A95" s="56" t="n">
        <v>46265</v>
      </c>
      <c r="B95" s="51" t="inlineStr">
        <is>
          <t>2606101</t>
        </is>
      </c>
      <c r="C95" s="50">
        <f>IF(B95="","",IF(COUNTIF(lst_Jobs,B95&amp;"")&gt;0,"OK","CHECK"))</f>
        <v/>
      </c>
      <c r="D95" s="51" t="inlineStr">
        <is>
          <t>APA</t>
        </is>
      </c>
      <c r="E95" s="51" t="inlineStr">
        <is>
          <t>INTEGRATION</t>
        </is>
      </c>
      <c r="F95" s="51" t="inlineStr">
        <is>
          <t>APA | Young Eptura Proxyclick Licence Renewal Mar27-Feb28 INV-10548 (Revenue)</t>
        </is>
      </c>
      <c r="G95" s="51" t="inlineStr">
        <is>
          <t>Accrual - unbilled work</t>
        </is>
      </c>
      <c r="H95" s="51" t="n"/>
      <c r="I95" s="52" t="n">
        <v>0</v>
      </c>
      <c r="J95" s="51" t="inlineStr">
        <is>
          <t>11300</t>
        </is>
      </c>
      <c r="K95" s="51" t="n"/>
      <c r="L95" s="51" t="inlineStr">
        <is>
          <t>Y</t>
        </is>
      </c>
      <c r="M95" s="51" t="inlineStr">
        <is>
          <t>Migrated from FY27 Revenue Tracker v2 - confirm type/sign</t>
        </is>
      </c>
    </row>
    <row r="96" ht="15" customHeight="1">
      <c r="A96" s="56" t="n">
        <v>46265</v>
      </c>
      <c r="B96" s="51" t="inlineStr">
        <is>
          <t>3028</t>
        </is>
      </c>
      <c r="C96" s="50">
        <f>IF(B96="","",IF(COUNTIF(lst_Jobs,B96&amp;"")&gt;0,"OK","CHECK"))</f>
        <v/>
      </c>
      <c r="D96" s="51" t="inlineStr">
        <is>
          <t>APA</t>
        </is>
      </c>
      <c r="E96" s="51" t="inlineStr">
        <is>
          <t>INTEGRATION</t>
        </is>
      </c>
      <c r="F96" s="51" t="inlineStr">
        <is>
          <t>APA Kidman Proxyclick Term 3 Jun26-Dec26 INV-10477 (Revenue)</t>
        </is>
      </c>
      <c r="G96" s="51" t="inlineStr">
        <is>
          <t>Accrual - unbilled work</t>
        </is>
      </c>
      <c r="H96" s="51" t="n"/>
      <c r="I96" s="52" t="n">
        <v>996.74</v>
      </c>
      <c r="J96" s="51" t="inlineStr">
        <is>
          <t>11300</t>
        </is>
      </c>
      <c r="K96" s="51" t="n"/>
      <c r="L96" s="51" t="inlineStr">
        <is>
          <t>Y</t>
        </is>
      </c>
      <c r="M96" s="51" t="inlineStr">
        <is>
          <t>Migrated from FY27 Revenue Tracker v2 - confirm type/sign</t>
        </is>
      </c>
    </row>
    <row r="97" ht="15" customHeight="1">
      <c r="A97" s="56" t="n">
        <v>46265</v>
      </c>
      <c r="B97" s="51" t="inlineStr">
        <is>
          <t>2855</t>
        </is>
      </c>
      <c r="C97" s="50">
        <f>IF(B97="","",IF(COUNTIF(lst_Jobs,B97&amp;"")&gt;0,"OK","CHECK"))</f>
        <v/>
      </c>
      <c r="D97" s="51" t="inlineStr">
        <is>
          <t>APA</t>
        </is>
      </c>
      <c r="E97" s="51" t="inlineStr">
        <is>
          <t>INTEGRATION</t>
        </is>
      </c>
      <c r="F97" s="51" t="inlineStr">
        <is>
          <t>APA Melbourne Proxyclick Jul26-Jun27 INV-10501(Revenue)</t>
        </is>
      </c>
      <c r="G97" s="51" t="inlineStr">
        <is>
          <t>Accrual - unbilled work</t>
        </is>
      </c>
      <c r="H97" s="51" t="n"/>
      <c r="I97" s="52" t="n">
        <v>1357.33</v>
      </c>
      <c r="J97" s="51" t="inlineStr">
        <is>
          <t>11300</t>
        </is>
      </c>
      <c r="K97" s="51" t="n"/>
      <c r="L97" s="51" t="inlineStr">
        <is>
          <t>Y</t>
        </is>
      </c>
      <c r="M97" s="51" t="inlineStr">
        <is>
          <t>Migrated from FY27 Revenue Tracker v2 - confirm type/sign</t>
        </is>
      </c>
    </row>
    <row r="98" ht="15" customHeight="1">
      <c r="A98" s="56" t="n">
        <v>46265</v>
      </c>
      <c r="B98" s="51" t="inlineStr">
        <is>
          <t>2857</t>
        </is>
      </c>
      <c r="C98" s="50">
        <f>IF(B98="","",IF(COUNTIF(lst_Jobs,B98&amp;"")&gt;0,"OK","CHECK"))</f>
        <v/>
      </c>
      <c r="D98" s="51" t="inlineStr">
        <is>
          <t>APA</t>
        </is>
      </c>
      <c r="E98" s="51" t="inlineStr">
        <is>
          <t>INTEGRATION</t>
        </is>
      </c>
      <c r="F98" s="51" t="inlineStr">
        <is>
          <t>APA Sydney Proxyclick Jul26-Jun27 INV-10502(Revenue)</t>
        </is>
      </c>
      <c r="G98" s="51" t="inlineStr">
        <is>
          <t>Accrual - unbilled work</t>
        </is>
      </c>
      <c r="H98" s="51" t="n"/>
      <c r="I98" s="52" t="n">
        <v>1357.33</v>
      </c>
      <c r="J98" s="51" t="inlineStr">
        <is>
          <t>11300</t>
        </is>
      </c>
      <c r="K98" s="51" t="n"/>
      <c r="L98" s="51" t="inlineStr">
        <is>
          <t>Y</t>
        </is>
      </c>
      <c r="M98" s="51" t="inlineStr">
        <is>
          <t>Migrated from FY27 Revenue Tracker v2 - confirm type/sign</t>
        </is>
      </c>
    </row>
    <row r="99" ht="15" customHeight="1">
      <c r="A99" s="56" t="n">
        <v>46265</v>
      </c>
      <c r="B99" s="51" t="inlineStr">
        <is>
          <t>2848</t>
        </is>
      </c>
      <c r="C99" s="50">
        <f>IF(B99="","",IF(COUNTIF(lst_Jobs,B99&amp;"")&gt;0,"OK","CHECK"))</f>
        <v/>
      </c>
      <c r="D99" s="51" t="inlineStr">
        <is>
          <t>APA</t>
        </is>
      </c>
      <c r="E99" s="51" t="inlineStr">
        <is>
          <t>INTEGRATION</t>
        </is>
      </c>
      <c r="F99" s="51" t="inlineStr">
        <is>
          <t>APA Adelaide Proxyclick INV-10514 Renewal Jul26-Jun27 (Revenue)</t>
        </is>
      </c>
      <c r="G99" s="51" t="inlineStr">
        <is>
          <t>Accrual - unbilled work</t>
        </is>
      </c>
      <c r="H99" s="51" t="n"/>
      <c r="I99" s="52" t="n">
        <v>618.08</v>
      </c>
      <c r="J99" s="51" t="inlineStr">
        <is>
          <t>11300</t>
        </is>
      </c>
      <c r="K99" s="51" t="n"/>
      <c r="L99" s="51" t="inlineStr">
        <is>
          <t>Y</t>
        </is>
      </c>
      <c r="M99" s="51" t="inlineStr">
        <is>
          <t>Migrated from FY27 Revenue Tracker v2 - confirm type/sign</t>
        </is>
      </c>
    </row>
    <row r="100" ht="15" customHeight="1">
      <c r="A100" s="56" t="n">
        <v>46265</v>
      </c>
      <c r="B100" s="51" t="inlineStr">
        <is>
          <t>2604704</t>
        </is>
      </c>
      <c r="C100" s="50">
        <f>IF(B100="","",IF(COUNTIF(lst_Jobs,B100&amp;"")&gt;0,"OK","CHECK"))</f>
        <v/>
      </c>
      <c r="D100" s="51" t="inlineStr">
        <is>
          <t>Aware Super</t>
        </is>
      </c>
      <c r="E100" s="51" t="inlineStr">
        <is>
          <t>INTEGRATION</t>
        </is>
      </c>
      <c r="F100" s="51" t="inlineStr">
        <is>
          <t>Aware Super Seminar Room Audio Upgrade [INT] Revenue</t>
        </is>
      </c>
      <c r="G100" s="51" t="inlineStr">
        <is>
          <t>Accrual - unbilled work</t>
        </is>
      </c>
      <c r="H100" s="51" t="n"/>
      <c r="I100" s="52" t="n">
        <v>1361.25</v>
      </c>
      <c r="J100" s="51" t="inlineStr">
        <is>
          <t>11300</t>
        </is>
      </c>
      <c r="K100" s="51" t="n"/>
      <c r="L100" s="51" t="inlineStr">
        <is>
          <t>Y</t>
        </is>
      </c>
      <c r="M100" s="51" t="inlineStr">
        <is>
          <t>Migrated from FY27 Revenue Tracker v2 - confirm type/sign</t>
        </is>
      </c>
    </row>
    <row r="101" ht="15" customHeight="1">
      <c r="A101" s="56" t="n">
        <v>46265</v>
      </c>
      <c r="B101" s="51" t="inlineStr">
        <is>
          <t>26061105</t>
        </is>
      </c>
      <c r="C101" s="50">
        <f>IF(B101="","",IF(COUNTIF(lst_Jobs,B101&amp;"")&gt;0,"OK","CHECK"))</f>
        <v/>
      </c>
      <c r="D101" s="51" t="inlineStr">
        <is>
          <t>CBA</t>
        </is>
      </c>
      <c r="E101" s="51" t="inlineStr">
        <is>
          <t>PRODUCTION</t>
        </is>
      </c>
      <c r="F101" s="51" t="inlineStr">
        <is>
          <t>CBA - FYR 2026 - 12.8.26 [PRD] pre-prod work</t>
        </is>
      </c>
      <c r="G101" s="51" t="inlineStr">
        <is>
          <t>Deferral - invoiced in advance</t>
        </is>
      </c>
      <c r="H101" s="51" t="n"/>
      <c r="I101" s="52" t="n">
        <v>-285</v>
      </c>
      <c r="J101" s="51" t="inlineStr">
        <is>
          <t>11300</t>
        </is>
      </c>
      <c r="K101" s="51" t="n"/>
      <c r="L101" s="51" t="inlineStr">
        <is>
          <t>Y</t>
        </is>
      </c>
      <c r="M101" s="51" t="inlineStr">
        <is>
          <t>Migrated from FY27 Revenue Tracker v2 - confirm type/sign</t>
        </is>
      </c>
    </row>
    <row r="102" ht="15" customHeight="1">
      <c r="A102" s="56" t="n">
        <v>46265</v>
      </c>
      <c r="B102" s="51" t="inlineStr">
        <is>
          <t>2603104</t>
        </is>
      </c>
      <c r="C102" s="50">
        <f>IF(B102="","",IF(COUNTIF(lst_Jobs,B102&amp;"")&gt;0,"OK","CHECK"))</f>
        <v/>
      </c>
      <c r="D102" s="51" t="inlineStr">
        <is>
          <t>Cochlear</t>
        </is>
      </c>
      <c r="E102" s="51" t="inlineStr">
        <is>
          <t>PRODUCTION</t>
        </is>
      </c>
      <c r="F102" s="51" t="inlineStr">
        <is>
          <t>Cochlear FY26 Results 18.8.26 [PRD] pre-prod work</t>
        </is>
      </c>
      <c r="G102" s="51" t="inlineStr">
        <is>
          <t>Deferral - invoiced in advance</t>
        </is>
      </c>
      <c r="H102" s="51" t="n"/>
      <c r="I102" s="52" t="n">
        <v>-95</v>
      </c>
      <c r="J102" s="51" t="inlineStr">
        <is>
          <t>11300</t>
        </is>
      </c>
      <c r="K102" s="51" t="n"/>
      <c r="L102" s="51" t="inlineStr">
        <is>
          <t>Y</t>
        </is>
      </c>
      <c r="M102" s="51" t="inlineStr">
        <is>
          <t>Migrated from FY27 Revenue Tracker v2 - confirm type/sign</t>
        </is>
      </c>
    </row>
    <row r="103" ht="15" customHeight="1">
      <c r="A103" s="56" t="n">
        <v>46265</v>
      </c>
      <c r="B103" s="51" t="inlineStr">
        <is>
          <t>26052702</t>
        </is>
      </c>
      <c r="C103" s="50">
        <f>IF(B103="","",IF(COUNTIF(lst_Jobs,B103&amp;"")&gt;0,"OK","CHECK"))</f>
        <v/>
      </c>
      <c r="D103" s="51" t="inlineStr">
        <is>
          <t>ASX</t>
        </is>
      </c>
      <c r="E103" s="51" t="inlineStr">
        <is>
          <t>PRODUCTION</t>
        </is>
      </c>
      <c r="F103" s="51" t="inlineStr">
        <is>
          <t>ASX - FYR - 13.8.26 [PRD]</t>
        </is>
      </c>
      <c r="G103" s="51" t="inlineStr">
        <is>
          <t>Deferral - invoiced in advance</t>
        </is>
      </c>
      <c r="H103" s="51" t="n"/>
      <c r="I103" s="52" t="n">
        <v>-95</v>
      </c>
      <c r="J103" s="51" t="inlineStr">
        <is>
          <t>11300</t>
        </is>
      </c>
      <c r="K103" s="51" t="n"/>
      <c r="L103" s="51" t="inlineStr">
        <is>
          <t>Y</t>
        </is>
      </c>
      <c r="M103" s="51" t="inlineStr">
        <is>
          <t>Migrated from FY27 Revenue Tracker v2 - confirm type/sign</t>
        </is>
      </c>
    </row>
    <row r="104" ht="15" customHeight="1">
      <c r="A104" s="56" t="n">
        <v>46265</v>
      </c>
      <c r="B104" s="51" t="inlineStr">
        <is>
          <t>2606904</t>
        </is>
      </c>
      <c r="C104" s="50">
        <f>IF(B104="","",IF(COUNTIF(lst_Jobs,B104&amp;"")&gt;0,"OK","CHECK"))</f>
        <v/>
      </c>
      <c r="D104" s="51" t="inlineStr">
        <is>
          <t>Symal</t>
        </is>
      </c>
      <c r="E104" s="51" t="inlineStr">
        <is>
          <t>PRODUCTION</t>
        </is>
      </c>
      <c r="F104" s="51" t="inlineStr">
        <is>
          <t>Symal - FYR26 (Melb) - 24.8.26 [PRD]</t>
        </is>
      </c>
      <c r="G104" s="51" t="inlineStr">
        <is>
          <t>Deferral - invoiced in advance</t>
        </is>
      </c>
      <c r="H104" s="51" t="n"/>
      <c r="I104" s="52" t="n">
        <v>-71.25</v>
      </c>
      <c r="J104" s="51" t="inlineStr">
        <is>
          <t>11300</t>
        </is>
      </c>
      <c r="K104" s="51" t="n"/>
      <c r="L104" s="51" t="inlineStr">
        <is>
          <t>Y</t>
        </is>
      </c>
      <c r="M104" s="51" t="inlineStr">
        <is>
          <t>Migrated from FY27 Revenue Tracker v2 - confirm type/sign</t>
        </is>
      </c>
    </row>
    <row r="105" ht="15" customHeight="1">
      <c r="A105" s="56" t="n">
        <v>46265</v>
      </c>
      <c r="B105" s="51" t="inlineStr">
        <is>
          <t>3027</t>
        </is>
      </c>
      <c r="C105" s="50">
        <f>IF(B105="","",IF(COUNTIF(lst_Jobs,B105&amp;"")&gt;0,"OK","CHECK"))</f>
        <v/>
      </c>
      <c r="D105" s="51" t="inlineStr">
        <is>
          <t>NSW Property</t>
        </is>
      </c>
      <c r="E105" s="51" t="inlineStr">
        <is>
          <t>INTEGRATION</t>
        </is>
      </c>
      <c r="F105" s="51" t="inlineStr">
        <is>
          <t>NSW Property  - 231 Eliz L13 Touchdown - Condeco Desk Booking System (INV10391 Revenue)</t>
        </is>
      </c>
      <c r="G105" s="51" t="inlineStr">
        <is>
          <t>Accrual - unbilled work</t>
        </is>
      </c>
      <c r="H105" s="51" t="n"/>
      <c r="I105" s="52" t="n">
        <v>721.7</v>
      </c>
      <c r="J105" s="51" t="inlineStr">
        <is>
          <t>11300</t>
        </is>
      </c>
      <c r="K105" s="51" t="n"/>
      <c r="L105" s="51" t="inlineStr">
        <is>
          <t>Y</t>
        </is>
      </c>
      <c r="M105" s="51" t="inlineStr">
        <is>
          <t>Migrated from FY27 Revenue Tracker v2 - confirm type/sign</t>
        </is>
      </c>
    </row>
    <row r="106" ht="15" customHeight="1">
      <c r="A106" s="56" t="n">
        <v>46265</v>
      </c>
      <c r="B106" s="51" t="inlineStr">
        <is>
          <t>3027</t>
        </is>
      </c>
      <c r="C106" s="50">
        <f>IF(B106="","",IF(COUNTIF(lst_Jobs,B106&amp;"")&gt;0,"OK","CHECK"))</f>
        <v/>
      </c>
      <c r="D106" s="51" t="inlineStr">
        <is>
          <t>NSW Property</t>
        </is>
      </c>
      <c r="E106" s="51" t="inlineStr">
        <is>
          <t>INTEGRATION</t>
        </is>
      </c>
      <c r="F106" s="51" t="inlineStr">
        <is>
          <t>NSW Property - 231 Eliz Workplace L1 (INV10392 Revenue)</t>
        </is>
      </c>
      <c r="G106" s="51" t="inlineStr">
        <is>
          <t>Accrual - unbilled work</t>
        </is>
      </c>
      <c r="H106" s="51" t="n"/>
      <c r="I106" s="52" t="n">
        <v>876.35</v>
      </c>
      <c r="J106" s="51" t="inlineStr">
        <is>
          <t>11300</t>
        </is>
      </c>
      <c r="K106" s="51" t="n"/>
      <c r="L106" s="51" t="inlineStr">
        <is>
          <t>Y</t>
        </is>
      </c>
      <c r="M106" s="51" t="inlineStr">
        <is>
          <t>Migrated from FY27 Revenue Tracker v2 - confirm type/sign</t>
        </is>
      </c>
    </row>
    <row r="107" ht="15" customHeight="1">
      <c r="A107" s="56" t="n">
        <v>46265</v>
      </c>
      <c r="B107" s="51" t="inlineStr">
        <is>
          <t>25060301</t>
        </is>
      </c>
      <c r="C107" s="50">
        <f>IF(B107="","",IF(COUNTIF(lst_Jobs,B107&amp;"")&gt;0,"OK","CHECK"))</f>
        <v/>
      </c>
      <c r="D107" s="51" t="inlineStr">
        <is>
          <t>NSW Property</t>
        </is>
      </c>
      <c r="E107" s="51" t="inlineStr">
        <is>
          <t>INTEGRATION</t>
        </is>
      </c>
      <c r="F107" s="51" t="inlineStr">
        <is>
          <t>NSW Property - 6PSQ Workplace L12 Hub (INV10393 Revenue)</t>
        </is>
      </c>
      <c r="G107" s="51" t="inlineStr">
        <is>
          <t>Accrual - unbilled work</t>
        </is>
      </c>
      <c r="H107" s="51" t="n"/>
      <c r="I107" s="52" t="n">
        <v>2964.14</v>
      </c>
      <c r="J107" s="51" t="inlineStr">
        <is>
          <t>11300</t>
        </is>
      </c>
      <c r="K107" s="51" t="n"/>
      <c r="L107" s="51" t="inlineStr">
        <is>
          <t>Y</t>
        </is>
      </c>
      <c r="M107" s="51" t="inlineStr">
        <is>
          <t>Migrated from FY27 Revenue Tracker v2 - confirm type/sign</t>
        </is>
      </c>
    </row>
    <row r="108" ht="15" customHeight="1">
      <c r="A108" s="56" t="n">
        <v>46265</v>
      </c>
      <c r="B108" s="51" t="inlineStr">
        <is>
          <t>2519</t>
        </is>
      </c>
      <c r="C108" s="50">
        <f>IF(B108="","",IF(COUNTIF(lst_Jobs,B108&amp;"")&gt;0,"OK","CHECK"))</f>
        <v/>
      </c>
      <c r="D108" s="51" t="inlineStr">
        <is>
          <t>NSW Property</t>
        </is>
      </c>
      <c r="E108" s="51" t="inlineStr">
        <is>
          <t>INTEGRATION</t>
        </is>
      </c>
      <c r="F108" s="51" t="inlineStr">
        <is>
          <t>NSW Property - 6PSQ L11 Touchdown (INV10394 Revenue)</t>
        </is>
      </c>
      <c r="G108" s="51" t="inlineStr">
        <is>
          <t>Accrual - unbilled work</t>
        </is>
      </c>
      <c r="H108" s="51" t="n"/>
      <c r="I108" s="52" t="n">
        <v>799.03</v>
      </c>
      <c r="J108" s="51" t="inlineStr">
        <is>
          <t>11300</t>
        </is>
      </c>
      <c r="K108" s="51" t="n"/>
      <c r="L108" s="51" t="inlineStr">
        <is>
          <t>Y</t>
        </is>
      </c>
      <c r="M108" s="51" t="inlineStr">
        <is>
          <t>Migrated from FY27 Revenue Tracker v2 - confirm type/sign</t>
        </is>
      </c>
    </row>
    <row r="109" ht="15" customHeight="1">
      <c r="A109" s="56" t="n">
        <v>46265</v>
      </c>
      <c r="B109" s="51" t="inlineStr">
        <is>
          <t>3068</t>
        </is>
      </c>
      <c r="C109" s="50">
        <f>IF(B109="","",IF(COUNTIF(lst_Jobs,B109&amp;"")&gt;0,"OK","CHECK"))</f>
        <v/>
      </c>
      <c r="D109" s="51" t="inlineStr">
        <is>
          <t>NSW Property</t>
        </is>
      </c>
      <c r="E109" s="51" t="inlineStr">
        <is>
          <t>INTEGRATION</t>
        </is>
      </c>
      <c r="F109" s="51" t="inlineStr">
        <is>
          <t>NSW Property  – Penrith 50 Belmore St – Workplace Hub (INV10395 Revenue)</t>
        </is>
      </c>
      <c r="G109" s="51" t="inlineStr">
        <is>
          <t>Accrual - unbilled work</t>
        </is>
      </c>
      <c r="H109" s="51" t="n"/>
      <c r="I109" s="52" t="n">
        <v>154.65</v>
      </c>
      <c r="J109" s="51" t="inlineStr">
        <is>
          <t>11300</t>
        </is>
      </c>
      <c r="K109" s="51" t="n"/>
      <c r="L109" s="51" t="inlineStr">
        <is>
          <t>Y</t>
        </is>
      </c>
      <c r="M109" s="51" t="inlineStr">
        <is>
          <t>Migrated from FY27 Revenue Tracker v2 - confirm type/sign</t>
        </is>
      </c>
    </row>
    <row r="110" ht="15" customHeight="1">
      <c r="A110" s="56" t="n">
        <v>46265</v>
      </c>
      <c r="B110" s="51" t="inlineStr">
        <is>
          <t>25051302</t>
        </is>
      </c>
      <c r="C110" s="50">
        <f>IF(B110="","",IF(COUNTIF(lst_Jobs,B110&amp;"")&gt;0,"OK","CHECK"))</f>
        <v/>
      </c>
      <c r="D110" s="51" t="inlineStr">
        <is>
          <t>NSW Property</t>
        </is>
      </c>
      <c r="E110" s="51" t="inlineStr">
        <is>
          <t>INTEGRATION</t>
        </is>
      </c>
      <c r="F110" s="51" t="inlineStr">
        <is>
          <t>NSW Property - Penrith BDA (INV10396)</t>
        </is>
      </c>
      <c r="G110" s="51" t="inlineStr">
        <is>
          <t>Accrual - unbilled work</t>
        </is>
      </c>
      <c r="H110" s="51" t="n"/>
      <c r="I110" s="52" t="n">
        <v>1494.96</v>
      </c>
      <c r="J110" s="51" t="inlineStr">
        <is>
          <t>11300</t>
        </is>
      </c>
      <c r="K110" s="51" t="n"/>
      <c r="L110" s="51" t="inlineStr">
        <is>
          <t>Y</t>
        </is>
      </c>
      <c r="M110" s="51" t="inlineStr">
        <is>
          <t>Migrated from FY27 Revenue Tracker v2 - confirm type/sign</t>
        </is>
      </c>
    </row>
    <row r="111" ht="15" customHeight="1">
      <c r="A111" s="56" t="n">
        <v>46265</v>
      </c>
      <c r="B111" s="51" t="inlineStr">
        <is>
          <t>25051302</t>
        </is>
      </c>
      <c r="C111" s="50">
        <f>IF(B111="","",IF(COUNTIF(lst_Jobs,B111&amp;"")&gt;0,"OK","CHECK"))</f>
        <v/>
      </c>
      <c r="D111" s="51" t="inlineStr">
        <is>
          <t>NSW Property</t>
        </is>
      </c>
      <c r="E111" s="51" t="inlineStr">
        <is>
          <t>INTEGRATION</t>
        </is>
      </c>
      <c r="F111" s="51" t="inlineStr">
        <is>
          <t>NSW Property - RA Molesworth St (INV10397 Revenue)</t>
        </is>
      </c>
      <c r="G111" s="51" t="inlineStr">
        <is>
          <t>Accrual - unbilled work</t>
        </is>
      </c>
      <c r="H111" s="51" t="n"/>
      <c r="I111" s="52" t="n">
        <v>786.14</v>
      </c>
      <c r="J111" s="51" t="inlineStr">
        <is>
          <t>11300</t>
        </is>
      </c>
      <c r="K111" s="51" t="n"/>
      <c r="L111" s="51" t="inlineStr">
        <is>
          <t>Y</t>
        </is>
      </c>
      <c r="M111" s="51" t="inlineStr">
        <is>
          <t>Migrated from FY27 Revenue Tracker v2 - confirm type/sign</t>
        </is>
      </c>
    </row>
    <row r="112" ht="15" customHeight="1">
      <c r="A112" s="56" t="n">
        <v>46265</v>
      </c>
      <c r="B112" s="51" t="inlineStr">
        <is>
          <t>25060307</t>
        </is>
      </c>
      <c r="C112" s="50">
        <f>IF(B112="","",IF(COUNTIF(lst_Jobs,B112&amp;"")&gt;0,"OK","CHECK"))</f>
        <v/>
      </c>
      <c r="D112" s="51" t="inlineStr">
        <is>
          <t>NSW Property</t>
        </is>
      </c>
      <c r="E112" s="51" t="inlineStr">
        <is>
          <t>INTEGRATION</t>
        </is>
      </c>
      <c r="F112" s="51" t="inlineStr">
        <is>
          <t>NSW Property - RA Newcastle Bellvue (INV10398 Revenue)</t>
        </is>
      </c>
      <c r="G112" s="51" t="inlineStr">
        <is>
          <t>Accrual - unbilled work</t>
        </is>
      </c>
      <c r="H112" s="51" t="n"/>
      <c r="I112" s="52" t="n">
        <v>270.64</v>
      </c>
      <c r="J112" s="51" t="inlineStr">
        <is>
          <t>11300</t>
        </is>
      </c>
      <c r="K112" s="51" t="n"/>
      <c r="L112" s="51" t="inlineStr">
        <is>
          <t>Y</t>
        </is>
      </c>
      <c r="M112" s="51" t="inlineStr">
        <is>
          <t>Migrated from FY27 Revenue Tracker v2 - confirm type/sign</t>
        </is>
      </c>
    </row>
    <row r="113" ht="15" customHeight="1">
      <c r="A113" s="56" t="n">
        <v>46265</v>
      </c>
      <c r="B113" s="51" t="inlineStr">
        <is>
          <t>2510805</t>
        </is>
      </c>
      <c r="C113" s="50">
        <f>IF(B113="","",IF(COUNTIF(lst_Jobs,B113&amp;"")&gt;0,"OK","CHECK"))</f>
        <v/>
      </c>
      <c r="D113" s="51" t="inlineStr">
        <is>
          <t>NSW Property</t>
        </is>
      </c>
      <c r="E113" s="51" t="inlineStr">
        <is>
          <t>INTEGRATION</t>
        </is>
      </c>
      <c r="F113" s="51" t="inlineStr">
        <is>
          <t>NSW Property - 5 O’Keefe Ave Nowra Workplace Hub (INV10399 Revenue)</t>
        </is>
      </c>
      <c r="G113" s="51" t="inlineStr">
        <is>
          <t>Accrual - unbilled work</t>
        </is>
      </c>
      <c r="H113" s="51" t="n"/>
      <c r="I113" s="52" t="n">
        <v>2242.44</v>
      </c>
      <c r="J113" s="51" t="inlineStr">
        <is>
          <t>11300</t>
        </is>
      </c>
      <c r="K113" s="51" t="n"/>
      <c r="L113" s="51" t="inlineStr">
        <is>
          <t>Y</t>
        </is>
      </c>
      <c r="M113" s="51" t="inlineStr">
        <is>
          <t>Migrated from FY27 Revenue Tracker v2 - confirm type/sign</t>
        </is>
      </c>
    </row>
    <row r="114" ht="15" customHeight="1">
      <c r="A114" s="56" t="n">
        <v>46265</v>
      </c>
      <c r="B114" s="51" t="inlineStr">
        <is>
          <t>2603202</t>
        </is>
      </c>
      <c r="C114" s="50">
        <f>IF(B114="","",IF(COUNTIF(lst_Jobs,B114&amp;"")&gt;0,"OK","CHECK"))</f>
        <v/>
      </c>
      <c r="D114" s="51" t="inlineStr">
        <is>
          <t>NSW Property</t>
        </is>
      </c>
      <c r="E114" s="51" t="inlineStr">
        <is>
          <t>INTEGRATION</t>
        </is>
      </c>
      <c r="F114" s="51" t="inlineStr">
        <is>
          <t>NSW Property -  Maitland 510-516 High St WP Services (INV10400 Revenue)</t>
        </is>
      </c>
      <c r="G114" s="51" t="inlineStr">
        <is>
          <t>Accrual - unbilled work</t>
        </is>
      </c>
      <c r="H114" s="51" t="n"/>
      <c r="I114" s="52" t="n">
        <v>3041.47</v>
      </c>
      <c r="J114" s="51" t="inlineStr">
        <is>
          <t>11300</t>
        </is>
      </c>
      <c r="K114" s="51" t="n"/>
      <c r="L114" s="51" t="inlineStr">
        <is>
          <t>Y</t>
        </is>
      </c>
      <c r="M114" s="51" t="inlineStr">
        <is>
          <t>Migrated from FY27 Revenue Tracker v2 - confirm type/sign</t>
        </is>
      </c>
    </row>
    <row r="115" ht="15" customHeight="1">
      <c r="A115" s="56" t="n">
        <v>46265</v>
      </c>
      <c r="B115" s="51" t="inlineStr">
        <is>
          <t>25041502</t>
        </is>
      </c>
      <c r="C115" s="50">
        <f>IF(B115="","",IF(COUNTIF(lst_Jobs,B115&amp;"")&gt;0,"OK","CHECK"))</f>
        <v/>
      </c>
      <c r="D115" s="51" t="inlineStr">
        <is>
          <t>NSW Property</t>
        </is>
      </c>
      <c r="E115" s="51" t="inlineStr">
        <is>
          <t>INTEGRATION</t>
        </is>
      </c>
      <c r="F115" s="51" t="inlineStr">
        <is>
          <t>NSW Property -  252 Pitt St Parkline Workplace Hub (INV10401 Revenue)</t>
        </is>
      </c>
      <c r="G115" s="51" t="inlineStr">
        <is>
          <t>Accrual - unbilled work</t>
        </is>
      </c>
      <c r="H115" s="51" t="n"/>
      <c r="I115" s="52" t="n">
        <v>4085.36</v>
      </c>
      <c r="J115" s="51" t="inlineStr">
        <is>
          <t>11300</t>
        </is>
      </c>
      <c r="K115" s="51" t="n"/>
      <c r="L115" s="51" t="inlineStr">
        <is>
          <t>Y</t>
        </is>
      </c>
      <c r="M115" s="51" t="inlineStr">
        <is>
          <t>Migrated from FY27 Revenue Tracker v2 - confirm type/sign</t>
        </is>
      </c>
    </row>
    <row r="116" ht="15" customHeight="1">
      <c r="A116" s="56" t="n">
        <v>46265</v>
      </c>
      <c r="B116" s="51" t="inlineStr">
        <is>
          <t>3068</t>
        </is>
      </c>
      <c r="C116" s="50">
        <f>IF(B116="","",IF(COUNTIF(lst_Jobs,B116&amp;"")&gt;0,"OK","CHECK"))</f>
        <v/>
      </c>
      <c r="D116" s="51" t="inlineStr">
        <is>
          <t>NSW Property</t>
        </is>
      </c>
      <c r="E116" s="51" t="inlineStr">
        <is>
          <t>INTEGRATION</t>
        </is>
      </c>
      <c r="F116" s="51" t="inlineStr">
        <is>
          <t>NSW Property - Sydney 1 Prince Albert Workplace Hub (INV10412 Revenue)</t>
        </is>
      </c>
      <c r="G116" s="51" t="inlineStr">
        <is>
          <t>Accrual - unbilled work</t>
        </is>
      </c>
      <c r="H116" s="51" t="n"/>
      <c r="I116" s="52" t="n">
        <v>1868.7</v>
      </c>
      <c r="J116" s="51" t="inlineStr">
        <is>
          <t>11300</t>
        </is>
      </c>
      <c r="K116" s="51" t="n"/>
      <c r="L116" s="51" t="inlineStr">
        <is>
          <t>Y</t>
        </is>
      </c>
      <c r="M116" s="51" t="inlineStr">
        <is>
          <t>Migrated from FY27 Revenue Tracker v2 - confirm type/sign</t>
        </is>
      </c>
    </row>
    <row r="117" ht="15" customHeight="1">
      <c r="A117" s="56" t="n">
        <v>46265</v>
      </c>
      <c r="B117" s="51" t="inlineStr">
        <is>
          <t>25121208</t>
        </is>
      </c>
      <c r="C117" s="50">
        <f>IF(B117="","",IF(COUNTIF(lst_Jobs,B117&amp;"")&gt;0,"OK","CHECK"))</f>
        <v/>
      </c>
      <c r="D117" s="51" t="inlineStr">
        <is>
          <t>APA</t>
        </is>
      </c>
      <c r="E117" s="51" t="inlineStr">
        <is>
          <t>PRODUCTION</t>
        </is>
      </c>
      <c r="F117" s="51" t="inlineStr">
        <is>
          <t>APA FYR August 2026 Package - Equipment Hire (Revenue)</t>
        </is>
      </c>
      <c r="G117" s="51" t="inlineStr">
        <is>
          <t>Accrual - unbilled work</t>
        </is>
      </c>
      <c r="H117" s="51" t="n"/>
      <c r="I117" s="52" t="n">
        <v>2737.5</v>
      </c>
      <c r="J117" s="51" t="inlineStr">
        <is>
          <t>11300</t>
        </is>
      </c>
      <c r="K117" s="51" t="n"/>
      <c r="L117" s="51" t="inlineStr">
        <is>
          <t>Y</t>
        </is>
      </c>
      <c r="M117" s="51" t="inlineStr">
        <is>
          <t>Migrated from FY27 Revenue Tracker v2 - confirm type/sign</t>
        </is>
      </c>
    </row>
    <row r="118" ht="15" customHeight="1">
      <c r="A118" s="56" t="n">
        <v>46265</v>
      </c>
      <c r="B118" s="51" t="inlineStr">
        <is>
          <t>25121208</t>
        </is>
      </c>
      <c r="C118" s="50">
        <f>IF(B118="","",IF(COUNTIF(lst_Jobs,B118&amp;"")&gt;0,"OK","CHECK"))</f>
        <v/>
      </c>
      <c r="D118" s="51" t="inlineStr">
        <is>
          <t>APA</t>
        </is>
      </c>
      <c r="E118" s="51" t="inlineStr">
        <is>
          <t>PRODUCTION</t>
        </is>
      </c>
      <c r="F118" s="51" t="inlineStr">
        <is>
          <t>APA FYR August 2026 Package - Prod Labour (Revenue)</t>
        </is>
      </c>
      <c r="G118" s="51" t="inlineStr">
        <is>
          <t>Accrual - unbilled work</t>
        </is>
      </c>
      <c r="H118" s="51" t="n"/>
      <c r="I118" s="52" t="n">
        <v>1900</v>
      </c>
      <c r="J118" s="51" t="inlineStr">
        <is>
          <t>11300</t>
        </is>
      </c>
      <c r="K118" s="51" t="n"/>
      <c r="L118" s="51" t="inlineStr">
        <is>
          <t>Y</t>
        </is>
      </c>
      <c r="M118" s="51" t="inlineStr">
        <is>
          <t>Migrated from FY27 Revenue Tracker v2 - confirm type/sign</t>
        </is>
      </c>
    </row>
    <row r="119" ht="15" customHeight="1">
      <c r="A119" s="56" t="n">
        <v>46265</v>
      </c>
      <c r="B119" s="51" t="inlineStr">
        <is>
          <t>25121208</t>
        </is>
      </c>
      <c r="C119" s="50">
        <f>IF(B119="","",IF(COUNTIF(lst_Jobs,B119&amp;"")&gt;0,"OK","CHECK"))</f>
        <v/>
      </c>
      <c r="D119" s="51" t="inlineStr">
        <is>
          <t>APA</t>
        </is>
      </c>
      <c r="E119" s="51" t="inlineStr">
        <is>
          <t>PRODUCTION</t>
        </is>
      </c>
      <c r="F119" s="51" t="inlineStr">
        <is>
          <t>APA FYR August 2026 Package - Conference Call (Revenue)</t>
        </is>
      </c>
      <c r="G119" s="51" t="inlineStr">
        <is>
          <t>Accrual - unbilled work</t>
        </is>
      </c>
      <c r="H119" s="51" t="n"/>
      <c r="I119" s="52" t="n">
        <v>3575</v>
      </c>
      <c r="J119" s="51" t="inlineStr">
        <is>
          <t>11300</t>
        </is>
      </c>
      <c r="K119" s="51" t="n"/>
      <c r="L119" s="51" t="inlineStr">
        <is>
          <t>Y</t>
        </is>
      </c>
      <c r="M119" s="51" t="inlineStr">
        <is>
          <t>Migrated from FY27 Revenue Tracker v2 - confirm type/sign</t>
        </is>
      </c>
    </row>
    <row r="120" ht="15" customHeight="1">
      <c r="A120" s="56" t="n">
        <v>46265</v>
      </c>
      <c r="B120" s="51" t="inlineStr">
        <is>
          <t>25121208</t>
        </is>
      </c>
      <c r="C120" s="50">
        <f>IF(B120="","",IF(COUNTIF(lst_Jobs,B120&amp;"")&gt;0,"OK","CHECK"))</f>
        <v/>
      </c>
      <c r="D120" s="51" t="inlineStr">
        <is>
          <t>APA</t>
        </is>
      </c>
      <c r="E120" s="51" t="inlineStr">
        <is>
          <t>PRODUCTION</t>
        </is>
      </c>
      <c r="F120" s="51" t="inlineStr">
        <is>
          <t>APA FYR August 2026 Package - Tech Event Mgmt (Revenue)</t>
        </is>
      </c>
      <c r="G120" s="51" t="inlineStr">
        <is>
          <t>Accrual - unbilled work</t>
        </is>
      </c>
      <c r="H120" s="51" t="n"/>
      <c r="I120" s="52" t="n">
        <v>230</v>
      </c>
      <c r="J120" s="51" t="inlineStr">
        <is>
          <t>11300</t>
        </is>
      </c>
      <c r="K120" s="51" t="n"/>
      <c r="L120" s="51" t="inlineStr">
        <is>
          <t>Y</t>
        </is>
      </c>
      <c r="M120" s="51" t="inlineStr">
        <is>
          <t>Migrated from FY27 Revenue Tracker v2 - confirm type/sign</t>
        </is>
      </c>
    </row>
    <row r="121" ht="15" customHeight="1">
      <c r="A121" s="56" t="n">
        <v>46265</v>
      </c>
      <c r="B121" s="51" t="inlineStr">
        <is>
          <t>25121208</t>
        </is>
      </c>
      <c r="C121" s="50">
        <f>IF(B121="","",IF(COUNTIF(lst_Jobs,B121&amp;"")&gt;0,"OK","CHECK"))</f>
        <v/>
      </c>
      <c r="D121" s="51" t="inlineStr">
        <is>
          <t>APA</t>
        </is>
      </c>
      <c r="E121" s="51" t="inlineStr">
        <is>
          <t>PRODUCTION</t>
        </is>
      </c>
      <c r="F121" s="51" t="inlineStr">
        <is>
          <t>APA FYR August 2026 Package - Freight (Revenue)</t>
        </is>
      </c>
      <c r="G121" s="51" t="inlineStr">
        <is>
          <t>Accrual - unbilled work</t>
        </is>
      </c>
      <c r="H121" s="51" t="n"/>
      <c r="I121" s="52" t="n">
        <v>300</v>
      </c>
      <c r="J121" s="51" t="inlineStr">
        <is>
          <t>11300</t>
        </is>
      </c>
      <c r="K121" s="51" t="n"/>
      <c r="L121" s="51" t="inlineStr">
        <is>
          <t>Y</t>
        </is>
      </c>
      <c r="M121" s="51" t="inlineStr">
        <is>
          <t>Migrated from FY27 Revenue Tracker v2 - confirm type/sign</t>
        </is>
      </c>
    </row>
    <row r="122" ht="15" customHeight="1">
      <c r="A122" s="56" t="n">
        <v>46265</v>
      </c>
      <c r="B122" s="51" t="inlineStr">
        <is>
          <t>2506208</t>
        </is>
      </c>
      <c r="C122" s="50">
        <f>IF(B122="","",IF(COUNTIF(lst_Jobs,B122&amp;"")&gt;0,"OK","CHECK"))</f>
        <v/>
      </c>
      <c r="D122" s="51" t="inlineStr">
        <is>
          <t>CBA</t>
        </is>
      </c>
      <c r="E122" s="51" t="inlineStr">
        <is>
          <t>PRODUCTION</t>
        </is>
      </c>
      <c r="F122" s="51" t="inlineStr">
        <is>
          <t>CBA AGM 2026 Pre-production work at $130ph</t>
        </is>
      </c>
      <c r="G122" s="51" t="inlineStr">
        <is>
          <t>Accrual - unbilled work</t>
        </is>
      </c>
      <c r="H122" s="51" t="n"/>
      <c r="I122" s="52" t="n">
        <v>1787.5</v>
      </c>
      <c r="J122" s="51" t="inlineStr">
        <is>
          <t>11300</t>
        </is>
      </c>
      <c r="K122" s="51" t="n"/>
      <c r="L122" s="51" t="inlineStr">
        <is>
          <t>Y</t>
        </is>
      </c>
      <c r="M122" s="51" t="inlineStr">
        <is>
          <t>Migrated from FY27 Revenue Tracker v2 - confirm type/sign</t>
        </is>
      </c>
    </row>
    <row r="123" ht="15" customHeight="1">
      <c r="A123" s="56" t="n">
        <v>46265</v>
      </c>
      <c r="B123" s="51" t="inlineStr">
        <is>
          <t>25070702</t>
        </is>
      </c>
      <c r="C123" s="50">
        <f>IF(B123="","",IF(COUNTIF(lst_Jobs,B123&amp;"")&gt;0,"OK","CHECK"))</f>
        <v/>
      </c>
      <c r="D123" s="51" t="inlineStr">
        <is>
          <t>APA</t>
        </is>
      </c>
      <c r="E123" s="51" t="inlineStr">
        <is>
          <t>INTEGRATION</t>
        </is>
      </c>
      <c r="F123" s="51" t="inlineStr">
        <is>
          <t>APA BNE &amp; NT Year 1/3 Inv9988 (Revenue) Sep 2025 - Aug 2026</t>
        </is>
      </c>
      <c r="G123" s="51" t="inlineStr">
        <is>
          <t>Accrual - unbilled work</t>
        </is>
      </c>
      <c r="H123" s="51" t="n"/>
      <c r="I123" s="52" t="n">
        <v>308.16</v>
      </c>
      <c r="J123" s="51" t="inlineStr">
        <is>
          <t>11300</t>
        </is>
      </c>
      <c r="K123" s="51" t="n"/>
      <c r="L123" s="51" t="inlineStr">
        <is>
          <t>Y</t>
        </is>
      </c>
      <c r="M123" s="51" t="inlineStr">
        <is>
          <t>Migrated from FY27 Revenue Tracker v2 - confirm type/sign</t>
        </is>
      </c>
    </row>
    <row r="124" ht="15" customHeight="1">
      <c r="A124" s="56" t="n">
        <v>46265</v>
      </c>
      <c r="B124" s="51" t="inlineStr">
        <is>
          <t>3072</t>
        </is>
      </c>
      <c r="C124" s="50">
        <f>IF(B124="","",IF(COUNTIF(lst_Jobs,B124&amp;"")&gt;0,"OK","CHECK"))</f>
        <v/>
      </c>
      <c r="D124" s="51" t="inlineStr">
        <is>
          <t>APA Thomastown</t>
        </is>
      </c>
      <c r="E124" s="51" t="inlineStr">
        <is>
          <t>INTEGRATION</t>
        </is>
      </c>
      <c r="F124" s="51" t="inlineStr">
        <is>
          <t>APA Thomastown INV-10133 Year 3 Licence (January - December 2026)</t>
        </is>
      </c>
      <c r="G124" s="51" t="inlineStr">
        <is>
          <t>Accrual - unbilled work</t>
        </is>
      </c>
      <c r="H124" s="51" t="n"/>
      <c r="I124" s="52" t="n">
        <v>1033.06</v>
      </c>
      <c r="J124" s="51" t="inlineStr">
        <is>
          <t>11300</t>
        </is>
      </c>
      <c r="K124" s="51" t="n"/>
      <c r="L124" s="51" t="inlineStr">
        <is>
          <t>Y</t>
        </is>
      </c>
      <c r="M124" s="51" t="inlineStr">
        <is>
          <t>Migrated from FY27 Revenue Tracker v2 - confirm type/sign</t>
        </is>
      </c>
    </row>
    <row r="125" ht="15" customHeight="1">
      <c r="A125" s="56" t="n">
        <v>46265</v>
      </c>
      <c r="B125" s="51" t="inlineStr">
        <is>
          <t>2519</t>
        </is>
      </c>
      <c r="C125" s="50">
        <f>IF(B125="","",IF(COUNTIF(lst_Jobs,B125&amp;"")&gt;0,"OK","CHECK"))</f>
        <v/>
      </c>
      <c r="D125" s="51" t="inlineStr">
        <is>
          <t>NSW Property</t>
        </is>
      </c>
      <c r="E125" s="51" t="inlineStr">
        <is>
          <t>INTEGRATION</t>
        </is>
      </c>
      <c r="F125" s="51" t="inlineStr">
        <is>
          <t>NSW Property 6PSQ Multi-Tennant Year 4 INV 10162 Revenue (November - October 2026)</t>
        </is>
      </c>
      <c r="G125" s="51" t="inlineStr">
        <is>
          <t>Accrual - unbilled work</t>
        </is>
      </c>
      <c r="H125" s="51" t="n"/>
      <c r="I125" s="52" t="n">
        <v>929.33</v>
      </c>
      <c r="J125" s="51" t="inlineStr">
        <is>
          <t>11300</t>
        </is>
      </c>
      <c r="K125" s="51" t="n"/>
      <c r="L125" s="51" t="inlineStr">
        <is>
          <t>Y</t>
        </is>
      </c>
      <c r="M125" s="51" t="inlineStr">
        <is>
          <t>Migrated from FY27 Revenue Tracker v2 - confirm type/sign</t>
        </is>
      </c>
    </row>
    <row r="126" ht="15" customHeight="1">
      <c r="A126" s="56" t="n">
        <v>46265</v>
      </c>
      <c r="B126" s="51" t="inlineStr">
        <is>
          <t>2510804</t>
        </is>
      </c>
      <c r="C126" s="50">
        <f>IF(B126="","",IF(COUNTIF(lst_Jobs,B126&amp;"")&gt;0,"OK","CHECK"))</f>
        <v/>
      </c>
      <c r="D126" s="51" t="inlineStr">
        <is>
          <t>Presynct</t>
        </is>
      </c>
      <c r="E126" s="51" t="inlineStr">
        <is>
          <t>INTEGRATION</t>
        </is>
      </c>
      <c r="F126" s="51" t="inlineStr">
        <is>
          <t xml:space="preserve">Presynct - QLD - Condeco Desk Booking System INV 10199 Revenue (Nov 2025 - Oct 2025) </t>
        </is>
      </c>
      <c r="G126" s="51" t="inlineStr">
        <is>
          <t>Accrual - unbilled work</t>
        </is>
      </c>
      <c r="H126" s="51" t="n"/>
      <c r="I126" s="52" t="n">
        <v>439.33</v>
      </c>
      <c r="J126" s="51" t="inlineStr">
        <is>
          <t>11300</t>
        </is>
      </c>
      <c r="K126" s="51" t="n"/>
      <c r="L126" s="51" t="inlineStr">
        <is>
          <t>Y</t>
        </is>
      </c>
      <c r="M126" s="51" t="inlineStr">
        <is>
          <t>Migrated from FY27 Revenue Tracker v2 - confirm type/sign</t>
        </is>
      </c>
    </row>
    <row r="127" ht="15" customHeight="1">
      <c r="A127" s="56" t="n">
        <v>46265</v>
      </c>
      <c r="B127" s="51" t="inlineStr">
        <is>
          <t>2719</t>
        </is>
      </c>
      <c r="C127" s="50">
        <f>IF(B127="","",IF(COUNTIF(lst_Jobs,B127&amp;"")&gt;0,"OK","CHECK"))</f>
        <v/>
      </c>
      <c r="D127" s="51" t="inlineStr">
        <is>
          <t>NSW Property</t>
        </is>
      </c>
      <c r="E127" s="51" t="inlineStr">
        <is>
          <t>INTEGRATION</t>
        </is>
      </c>
      <c r="F127" s="51" t="inlineStr">
        <is>
          <t>NSW Property GSP Proxyclick INV 10176 Revenue (Dec 2025 - Nov 2026)</t>
        </is>
      </c>
      <c r="G127" s="51" t="inlineStr">
        <is>
          <t>Accrual - unbilled work</t>
        </is>
      </c>
      <c r="H127" s="51" t="n"/>
      <c r="I127" s="52" t="n">
        <v>381.15</v>
      </c>
      <c r="J127" s="51" t="inlineStr">
        <is>
          <t>11300</t>
        </is>
      </c>
      <c r="K127" s="51" t="n"/>
      <c r="L127" s="51" t="inlineStr">
        <is>
          <t>Y</t>
        </is>
      </c>
      <c r="M127" s="51" t="inlineStr">
        <is>
          <t>Migrated from FY27 Revenue Tracker v2 - confirm type/sign</t>
        </is>
      </c>
    </row>
    <row r="128" ht="15" customHeight="1">
      <c r="A128" s="56" t="n">
        <v>46265</v>
      </c>
      <c r="B128" s="51" t="inlineStr">
        <is>
          <t>2834</t>
        </is>
      </c>
      <c r="C128" s="50">
        <f>IF(B128="","",IF(COUNTIF(lst_Jobs,B128&amp;"")&gt;0,"OK","CHECK"))</f>
        <v/>
      </c>
      <c r="D128" s="51" t="inlineStr">
        <is>
          <t>APA</t>
        </is>
      </c>
      <c r="E128" s="51" t="inlineStr">
        <is>
          <t>INTEGRATION</t>
        </is>
      </c>
      <c r="F128" s="51" t="inlineStr">
        <is>
          <t>APA Young Year 4 INV-10280 Revenue (Mar 2026 - Feb 2027)</t>
        </is>
      </c>
      <c r="G128" s="51" t="inlineStr">
        <is>
          <t>Accrual - unbilled work</t>
        </is>
      </c>
      <c r="H128" s="51" t="n"/>
      <c r="I128" s="52" t="n">
        <v>312.9</v>
      </c>
      <c r="J128" s="51" t="inlineStr">
        <is>
          <t>11300</t>
        </is>
      </c>
      <c r="K128" s="51" t="n"/>
      <c r="L128" s="51" t="inlineStr">
        <is>
          <t>Y</t>
        </is>
      </c>
      <c r="M128" s="51" t="inlineStr">
        <is>
          <t>Migrated from FY27 Revenue Tracker v2 - confirm type/sign</t>
        </is>
      </c>
    </row>
    <row r="129" ht="15" customHeight="1">
      <c r="A129" s="56" t="n">
        <v>46265</v>
      </c>
      <c r="B129" s="51" t="inlineStr">
        <is>
          <t>25021901</t>
        </is>
      </c>
      <c r="C129" s="50">
        <f>IF(B129="","",IF(COUNTIF(lst_Jobs,B129&amp;"")&gt;0,"OK","CHECK"))</f>
        <v/>
      </c>
      <c r="D129" s="51" t="inlineStr">
        <is>
          <t>DaFF</t>
        </is>
      </c>
      <c r="E129" s="51" t="inlineStr">
        <is>
          <t>INTEGRATION</t>
        </is>
      </c>
      <c r="F129" s="51" t="inlineStr">
        <is>
          <t>DAFF Consulting services invoiced in advance (INV9860)</t>
        </is>
      </c>
      <c r="G129" s="51" t="inlineStr">
        <is>
          <t>Accrual - unbilled work</t>
        </is>
      </c>
      <c r="H129" s="51" t="n"/>
      <c r="I129" s="52" t="n">
        <v>536.25</v>
      </c>
      <c r="J129" s="51" t="inlineStr">
        <is>
          <t>11300</t>
        </is>
      </c>
      <c r="K129" s="51" t="n"/>
      <c r="L129" s="51" t="inlineStr">
        <is>
          <t>Y</t>
        </is>
      </c>
      <c r="M129" s="51" t="inlineStr">
        <is>
          <t>Migrated from FY27 Revenue Tracker v2 - confirm type/sign</t>
        </is>
      </c>
    </row>
    <row r="130" ht="15" customHeight="1">
      <c r="A130" s="56" t="n">
        <v>46265</v>
      </c>
      <c r="B130" s="51" t="inlineStr">
        <is>
          <t>26081901</t>
        </is>
      </c>
      <c r="C130" s="50">
        <f>IF(B130="","",IF(COUNTIF(lst_Jobs,B130&amp;"")&gt;0,"OK","CHECK"))</f>
        <v/>
      </c>
      <c r="D130" s="51" t="inlineStr">
        <is>
          <t xml:space="preserve">Auspost </t>
        </is>
      </c>
      <c r="E130" s="51" t="inlineStr">
        <is>
          <t>INTEGRATION</t>
        </is>
      </c>
      <c r="F130" s="51" t="inlineStr">
        <is>
          <t xml:space="preserve">	AusPayNet | Logitech Room Essentials Subscription [INT] License Revenue INV-10574 (12 months lincense)</t>
        </is>
      </c>
      <c r="G130" s="51" t="inlineStr">
        <is>
          <t>Deferral - invoiced in advance</t>
        </is>
      </c>
      <c r="H130" s="51" t="n"/>
      <c r="I130" s="52" t="n">
        <v>-993</v>
      </c>
      <c r="J130" s="51" t="inlineStr">
        <is>
          <t>11300</t>
        </is>
      </c>
      <c r="K130" s="51" t="n"/>
      <c r="L130" s="51" t="inlineStr">
        <is>
          <t>Y</t>
        </is>
      </c>
      <c r="M130" s="51" t="inlineStr">
        <is>
          <t>Migrated from FY27 Revenue Tracker v2 - confirm type/sign</t>
        </is>
      </c>
    </row>
  </sheetData>
  <conditionalFormatting sqref="C5:C5000">
    <cfRule type="expression" priority="1" dxfId="2" stopIfTrue="0">
      <formula>C5="CHECK"</formula>
    </cfRule>
  </conditionalFormatting>
  <conditionalFormatting sqref="L5:L5000">
    <cfRule type="expression" priority="2" dxfId="0" stopIfTrue="0">
      <formula>L5="N"</formula>
    </cfRule>
  </conditionalFormatting>
  <dataValidations count="4">
    <dataValidation sqref="E5:E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G5:G20000" showDropDown="0" showInputMessage="0" showErrorMessage="1" allowBlank="1" errorTitle="Not on the list" error="&quot;Type&quot; is not on the list in the Lists sheet. Add it there if it is genuinely new." type="list" errorStyle="warning">
      <formula1>lst_WIPType</formula1>
    </dataValidation>
    <dataValidation sqref="J5:J20000" showDropDown="0" showInputMessage="0" showErrorMessage="1" allowBlank="1" errorTitle="Not on the list" error="&quot;GL Code&quot; is not on the list in the Lists sheet. Add it there if it is genuinely new." type="list" errorStyle="warning">
      <formula1>lst_WIPGL</formula1>
    </dataValidation>
    <dataValidation sqref="L5:L20000" showDropDown="0" showInputMessage="0" showErrorMessage="1" allowBlank="1" errorTitle="Not on the list" error="&quot;Posted to Xero&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A6A6A6"/>
    <outlinePr summaryBelow="1" summaryRight="1"/>
    <pageSetUpPr/>
  </sheetPr>
  <dimension ref="A1:Q427"/>
  <sheetViews>
    <sheetView showGridLines="0" tabSelected="0" zoomScale="90"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3" customWidth="1" min="7" max="7"/>
    <col width="15" customWidth="1" min="8" max="8"/>
    <col width="26" customWidth="1" min="9" max="9"/>
    <col width="13" customWidth="1" min="10" max="10"/>
    <col width="36" customWidth="1" min="11" max="11"/>
    <col width="18" customWidth="1" min="13" max="13"/>
    <col width="16" customWidth="1" min="15" max="15"/>
    <col width="48" customWidth="1" min="16" max="16"/>
    <col width="14" customWidth="1" min="17" max="17"/>
  </cols>
  <sheetData>
    <row r="1" ht="24" customHeight="1">
      <c r="A1" s="12" t="inlineStr">
        <is>
          <t>Reference Lists</t>
        </is>
      </c>
    </row>
    <row r="2" ht="16" customHeight="1">
      <c r="A2" s="2" t="inlineStr">
        <is>
          <t>Every dropdown in this workbook reads from here. Add a value to the bottom of a list and it appears in the dropdowns - no macros, nothing to re-run.</t>
        </is>
      </c>
    </row>
    <row r="3" ht="6" customHeight="1"/>
    <row r="4" ht="30" customHeight="1">
      <c r="A4" s="47" t="inlineStr">
        <is>
          <t>Cost Centre</t>
        </is>
      </c>
      <c r="B4" s="47" t="inlineStr">
        <is>
          <t>Invoice Type</t>
        </is>
      </c>
      <c r="C4" s="47" t="inlineStr">
        <is>
          <t>Tax Code</t>
        </is>
      </c>
      <c r="D4" s="47" t="inlineStr">
        <is>
          <t>Status</t>
        </is>
      </c>
      <c r="E4" s="47" t="inlineStr">
        <is>
          <t>Yes / No</t>
        </is>
      </c>
      <c r="F4" s="47" t="inlineStr">
        <is>
          <t>Ariba Status</t>
        </is>
      </c>
      <c r="G4" s="47" t="inlineStr">
        <is>
          <t>WIP Movement Type</t>
        </is>
      </c>
      <c r="H4" s="47" t="inlineStr">
        <is>
          <t>WIP GL Code</t>
        </is>
      </c>
      <c r="I4" s="47" t="inlineStr">
        <is>
          <t>Production Cost Centre</t>
        </is>
      </c>
      <c r="J4" s="47" t="inlineStr">
        <is>
          <t>Revenue GL</t>
        </is>
      </c>
      <c r="K4" s="47" t="inlineStr">
        <is>
          <t>GL Account Name (from Xero)</t>
        </is>
      </c>
      <c r="M4" s="47" t="inlineStr">
        <is>
          <t>Month (period end)</t>
        </is>
      </c>
      <c r="O4" s="47" t="inlineStr">
        <is>
          <t>Job Number</t>
        </is>
      </c>
      <c r="P4" s="47" t="inlineStr">
        <is>
          <t>Job Name (from Xero)</t>
        </is>
      </c>
      <c r="Q4" s="47" t="inlineStr">
        <is>
          <t>CC</t>
        </is>
      </c>
    </row>
    <row r="5">
      <c r="A5" s="57" t="inlineStr">
        <is>
          <t>ONSITE</t>
        </is>
      </c>
      <c r="B5" s="57" t="inlineStr">
        <is>
          <t>Contract</t>
        </is>
      </c>
      <c r="C5" s="57" t="inlineStr">
        <is>
          <t>GST 10%</t>
        </is>
      </c>
      <c r="D5" s="57" t="inlineStr">
        <is>
          <t>To Invoice</t>
        </is>
      </c>
      <c r="E5" s="57" t="inlineStr">
        <is>
          <t>Y</t>
        </is>
      </c>
      <c r="F5" s="57" t="inlineStr">
        <is>
          <t>N/A</t>
        </is>
      </c>
      <c r="G5" s="57" t="inlineStr">
        <is>
          <t>Accrual - unbilled work</t>
        </is>
      </c>
      <c r="H5" s="57" t="inlineStr">
        <is>
          <t>11300</t>
        </is>
      </c>
      <c r="I5" s="57" t="inlineStr">
        <is>
          <t>PRODUCTION</t>
        </is>
      </c>
      <c r="J5" s="57" t="inlineStr">
        <is>
          <t>41100</t>
        </is>
      </c>
      <c r="K5" s="57" t="inlineStr">
        <is>
          <t>Contract Support Staff</t>
        </is>
      </c>
      <c r="M5" s="58" t="n">
        <v>45138</v>
      </c>
      <c r="O5" s="57" t="inlineStr">
        <is>
          <t>1144</t>
        </is>
      </c>
      <c r="P5" s="57" t="inlineStr">
        <is>
          <t>Bankwest PER Half Tech</t>
        </is>
      </c>
      <c r="Q5" s="57" t="inlineStr">
        <is>
          <t>ONSITE</t>
        </is>
      </c>
    </row>
    <row r="6">
      <c r="A6" s="57" t="inlineStr">
        <is>
          <t>PRODUCTION</t>
        </is>
      </c>
      <c r="B6" s="57" t="inlineStr">
        <is>
          <t>Chargeback</t>
        </is>
      </c>
      <c r="C6" s="57" t="inlineStr">
        <is>
          <t>GST Free</t>
        </is>
      </c>
      <c r="D6" s="57" t="inlineStr">
        <is>
          <t>Draft</t>
        </is>
      </c>
      <c r="E6" s="57" t="inlineStr">
        <is>
          <t>N</t>
        </is>
      </c>
      <c r="F6" s="57" t="inlineStr">
        <is>
          <t>Awaiting PO</t>
        </is>
      </c>
      <c r="G6" s="57" t="inlineStr">
        <is>
          <t>Reversal of prior accrual</t>
        </is>
      </c>
      <c r="H6" s="57" t="inlineStr">
        <is>
          <t>44100</t>
        </is>
      </c>
      <c r="I6" s="57" t="inlineStr">
        <is>
          <t>VIDEO</t>
        </is>
      </c>
      <c r="J6" s="57" t="inlineStr">
        <is>
          <t>41150</t>
        </is>
      </c>
      <c r="K6" s="57" t="inlineStr">
        <is>
          <t>Mobile Phone Plans</t>
        </is>
      </c>
      <c r="M6" s="58" t="n">
        <v>45169</v>
      </c>
      <c r="O6" s="57" t="inlineStr">
        <is>
          <t>1350</t>
        </is>
      </c>
      <c r="P6" s="57" t="inlineStr">
        <is>
          <t>CBA Brisbane ONS</t>
        </is>
      </c>
      <c r="Q6" s="57" t="inlineStr">
        <is>
          <t>ONSITE</t>
        </is>
      </c>
    </row>
    <row r="7">
      <c r="A7" s="57" t="inlineStr">
        <is>
          <t>VIDEO</t>
        </is>
      </c>
      <c r="B7" s="57" t="inlineStr">
        <is>
          <t>Ad-hoc</t>
        </is>
      </c>
      <c r="C7" s="57" t="inlineStr">
        <is>
          <t>Export (0%)</t>
        </is>
      </c>
      <c r="D7" s="57" t="inlineStr">
        <is>
          <t>Awaiting Approval</t>
        </is>
      </c>
      <c r="E7" s="57" t="inlineStr">
        <is>
          <t>N/A</t>
        </is>
      </c>
      <c r="F7" s="57" t="inlineStr">
        <is>
          <t>To Upload</t>
        </is>
      </c>
      <c r="G7" s="57" t="inlineStr">
        <is>
          <t>Deferral - invoiced in advance</t>
        </is>
      </c>
      <c r="H7" s="57" t="inlineStr">
        <is>
          <t>44200</t>
        </is>
      </c>
      <c r="J7" s="57" t="inlineStr">
        <is>
          <t>41175</t>
        </is>
      </c>
      <c r="K7" s="57" t="inlineStr">
        <is>
          <t>Subscriptions &amp; Licences - Income</t>
        </is>
      </c>
      <c r="M7" s="58" t="n">
        <v>45199</v>
      </c>
      <c r="O7" s="57" t="inlineStr">
        <is>
          <t>1400</t>
        </is>
      </c>
      <c r="P7" s="57" t="inlineStr">
        <is>
          <t>DTTL Mel Tech FT 2</t>
        </is>
      </c>
      <c r="Q7" s="57" t="inlineStr">
        <is>
          <t>ONSITE</t>
        </is>
      </c>
    </row>
    <row r="8">
      <c r="A8" s="57" t="inlineStr">
        <is>
          <t>INTEGRATION</t>
        </is>
      </c>
      <c r="B8" s="57" t="inlineStr">
        <is>
          <t>Project</t>
        </is>
      </c>
      <c r="C8" s="57" t="inlineStr">
        <is>
          <t>BAS Excluded</t>
        </is>
      </c>
      <c r="D8" s="57" t="inlineStr">
        <is>
          <t>Invoiced</t>
        </is>
      </c>
      <c r="F8" s="57" t="inlineStr">
        <is>
          <t>Uploaded</t>
        </is>
      </c>
      <c r="G8" s="57" t="inlineStr">
        <is>
          <t>Release of deferral</t>
        </is>
      </c>
      <c r="J8" s="57" t="inlineStr">
        <is>
          <t>41200</t>
        </is>
      </c>
      <c r="K8" s="57" t="inlineStr">
        <is>
          <t>Contract Maintenance</t>
        </is>
      </c>
      <c r="M8" s="58" t="n">
        <v>45230</v>
      </c>
      <c r="O8" s="57" t="inlineStr">
        <is>
          <t>1401</t>
        </is>
      </c>
      <c r="P8" s="57" t="inlineStr">
        <is>
          <t>DTTL SYD FT Tech 2</t>
        </is>
      </c>
      <c r="Q8" s="57" t="inlineStr">
        <is>
          <t>ONSITE</t>
        </is>
      </c>
    </row>
    <row r="9">
      <c r="A9" s="57" t="inlineStr">
        <is>
          <t>CONSULTING</t>
        </is>
      </c>
      <c r="B9" s="57" t="inlineStr">
        <is>
          <t>Progress Claim</t>
        </is>
      </c>
      <c r="D9" s="57" t="inlineStr">
        <is>
          <t>Sent</t>
        </is>
      </c>
      <c r="F9" s="57" t="inlineStr">
        <is>
          <t>Approved</t>
        </is>
      </c>
      <c r="G9" s="57" t="inlineStr">
        <is>
          <t>Adjustment / correction</t>
        </is>
      </c>
      <c r="J9" s="57" t="inlineStr">
        <is>
          <t>41500</t>
        </is>
      </c>
      <c r="K9" s="57" t="inlineStr">
        <is>
          <t>Contract Help Desk</t>
        </is>
      </c>
      <c r="M9" s="58" t="n">
        <v>45260</v>
      </c>
      <c r="O9" s="57" t="inlineStr">
        <is>
          <t>1530</t>
        </is>
      </c>
      <c r="P9" s="57" t="inlineStr">
        <is>
          <t>DTTL BNE Onsite</t>
        </is>
      </c>
      <c r="Q9" s="57" t="inlineStr">
        <is>
          <t>ONSITE</t>
        </is>
      </c>
    </row>
    <row r="10">
      <c r="A10" s="57" t="inlineStr">
        <is>
          <t>CTS</t>
        </is>
      </c>
      <c r="B10" s="57" t="inlineStr">
        <is>
          <t>Milestone</t>
        </is>
      </c>
      <c r="D10" s="57" t="inlineStr">
        <is>
          <t>Paid</t>
        </is>
      </c>
      <c r="F10" s="57" t="inlineStr">
        <is>
          <t>Rejected</t>
        </is>
      </c>
      <c r="G10" s="57" t="inlineStr">
        <is>
          <t>Migrated opening balance</t>
        </is>
      </c>
      <c r="J10" s="57" t="inlineStr">
        <is>
          <t>42100</t>
        </is>
      </c>
      <c r="K10" s="57" t="inlineStr">
        <is>
          <t>Production Labour</t>
        </is>
      </c>
      <c r="M10" s="58" t="n">
        <v>45291</v>
      </c>
      <c r="O10" s="57" t="inlineStr">
        <is>
          <t>1668</t>
        </is>
      </c>
      <c r="P10" s="57" t="inlineStr">
        <is>
          <t>CBA Dedicated Tech</t>
        </is>
      </c>
      <c r="Q10" s="57" t="inlineStr">
        <is>
          <t>ONSITE</t>
        </is>
      </c>
    </row>
    <row r="11">
      <c r="B11" s="57" t="inlineStr">
        <is>
          <t>Subscription</t>
        </is>
      </c>
      <c r="D11" s="57" t="inlineStr">
        <is>
          <t>On Hold</t>
        </is>
      </c>
      <c r="J11" s="57" t="inlineStr">
        <is>
          <t>42150</t>
        </is>
      </c>
      <c r="K11" s="57" t="inlineStr">
        <is>
          <t>Video Labour</t>
        </is>
      </c>
      <c r="M11" s="58" t="n">
        <v>45322</v>
      </c>
      <c r="O11" s="57" t="inlineStr">
        <is>
          <t>1750</t>
        </is>
      </c>
      <c r="P11" s="57" t="inlineStr">
        <is>
          <t>Bankwest Spotify</t>
        </is>
      </c>
      <c r="Q11" s="57" t="inlineStr"/>
    </row>
    <row r="12">
      <c r="B12" s="57" t="inlineStr">
        <is>
          <t>Equipment Sale</t>
        </is>
      </c>
      <c r="D12" s="57" t="inlineStr">
        <is>
          <t>Cancelled</t>
        </is>
      </c>
      <c r="J12" s="57" t="inlineStr">
        <is>
          <t>42200</t>
        </is>
      </c>
      <c r="K12" s="57" t="inlineStr">
        <is>
          <t>Ad Hoc Service Labour</t>
        </is>
      </c>
      <c r="M12" s="58" t="n">
        <v>45351</v>
      </c>
      <c r="O12" s="57" t="inlineStr">
        <is>
          <t>1755</t>
        </is>
      </c>
      <c r="P12" s="57" t="inlineStr">
        <is>
          <t>CBA Spotify</t>
        </is>
      </c>
      <c r="Q12" s="57" t="inlineStr">
        <is>
          <t>ONSITE</t>
        </is>
      </c>
    </row>
    <row r="13">
      <c r="B13" s="57" t="inlineStr">
        <is>
          <t>Recharge</t>
        </is>
      </c>
      <c r="D13" s="57" t="inlineStr">
        <is>
          <t>Credited</t>
        </is>
      </c>
      <c r="J13" s="57" t="inlineStr">
        <is>
          <t>42300</t>
        </is>
      </c>
      <c r="K13" s="57" t="inlineStr">
        <is>
          <t>Installation Labour</t>
        </is>
      </c>
      <c r="M13" s="58" t="n">
        <v>45382</v>
      </c>
      <c r="O13" s="57" t="inlineStr">
        <is>
          <t>1771</t>
        </is>
      </c>
      <c r="P13" s="57" t="inlineStr">
        <is>
          <t>Integration - Training</t>
        </is>
      </c>
      <c r="Q13" s="57" t="inlineStr">
        <is>
          <t>INTEGRATION</t>
        </is>
      </c>
    </row>
    <row r="14">
      <c r="B14" s="57" t="inlineStr">
        <is>
          <t>Credit Note</t>
        </is>
      </c>
      <c r="J14" s="57" t="inlineStr">
        <is>
          <t>42500</t>
        </is>
      </c>
      <c r="K14" s="57" t="inlineStr">
        <is>
          <t>Equipment Hires</t>
        </is>
      </c>
      <c r="M14" s="58" t="n">
        <v>45412</v>
      </c>
      <c r="O14" s="57" t="inlineStr">
        <is>
          <t>1862</t>
        </is>
      </c>
      <c r="P14" s="57" t="inlineStr">
        <is>
          <t>DTTL ADL Onsite</t>
        </is>
      </c>
      <c r="Q14" s="57" t="inlineStr">
        <is>
          <t>ONSITE</t>
        </is>
      </c>
    </row>
    <row r="15">
      <c r="J15" s="57" t="inlineStr">
        <is>
          <t>42600</t>
        </is>
      </c>
      <c r="K15" s="57" t="inlineStr">
        <is>
          <t>Equipment Sales</t>
        </is>
      </c>
      <c r="M15" s="58" t="n">
        <v>45443</v>
      </c>
      <c r="O15" s="57" t="inlineStr">
        <is>
          <t>20250731</t>
        </is>
      </c>
      <c r="P15" s="57" t="inlineStr">
        <is>
          <t>PWC National Pool of Hours</t>
        </is>
      </c>
      <c r="Q15" s="57" t="inlineStr">
        <is>
          <t>ONSITE</t>
        </is>
      </c>
    </row>
    <row r="16">
      <c r="J16" s="57" t="inlineStr">
        <is>
          <t>42700</t>
        </is>
      </c>
      <c r="K16" s="57" t="inlineStr">
        <is>
          <t>Conference Call Charge</t>
        </is>
      </c>
      <c r="M16" s="58" t="n">
        <v>45473</v>
      </c>
      <c r="O16" s="57" t="inlineStr">
        <is>
          <t>2026021101</t>
        </is>
      </c>
      <c r="P16" s="57" t="inlineStr">
        <is>
          <t>AusPayNet Quarterly AV Support &amp; Maintenance 2026</t>
        </is>
      </c>
      <c r="Q16" s="57" t="inlineStr">
        <is>
          <t>ONSITE</t>
        </is>
      </c>
    </row>
    <row r="17">
      <c r="J17" s="57" t="inlineStr">
        <is>
          <t>42800</t>
        </is>
      </c>
      <c r="K17" s="57" t="inlineStr">
        <is>
          <t>Tech Consulting/Project Manage</t>
        </is>
      </c>
      <c r="M17" s="58" t="n">
        <v>45504</v>
      </c>
      <c r="O17" s="57" t="inlineStr">
        <is>
          <t>20260801</t>
        </is>
      </c>
      <c r="P17" s="57" t="inlineStr">
        <is>
          <t>CTS Day 2026</t>
        </is>
      </c>
      <c r="Q17" s="57" t="inlineStr">
        <is>
          <t>CTS</t>
        </is>
      </c>
    </row>
    <row r="18">
      <c r="J18" s="57" t="inlineStr">
        <is>
          <t>42900</t>
        </is>
      </c>
      <c r="K18" s="57" t="inlineStr">
        <is>
          <t>Tech Event Management</t>
        </is>
      </c>
      <c r="M18" s="58" t="n">
        <v>45535</v>
      </c>
      <c r="O18" s="57" t="inlineStr">
        <is>
          <t>2192</t>
        </is>
      </c>
      <c r="P18" s="57" t="inlineStr">
        <is>
          <t>Bankwest Additional Tech</t>
        </is>
      </c>
      <c r="Q18" s="57" t="inlineStr">
        <is>
          <t>ONSITE</t>
        </is>
      </c>
    </row>
    <row r="19">
      <c r="J19" s="57" t="inlineStr">
        <is>
          <t>44100</t>
        </is>
      </c>
      <c r="K19" s="57" t="inlineStr">
        <is>
          <t>Opening Work in Progress</t>
        </is>
      </c>
      <c r="M19" s="58" t="n">
        <v>45565</v>
      </c>
      <c r="O19" s="57" t="inlineStr">
        <is>
          <t>2347</t>
        </is>
      </c>
      <c r="P19" s="57" t="inlineStr">
        <is>
          <t>DTTL Dedicated Tech</t>
        </is>
      </c>
      <c r="Q19" s="57" t="inlineStr">
        <is>
          <t>ONSITE</t>
        </is>
      </c>
    </row>
    <row r="20">
      <c r="J20" s="57" t="inlineStr">
        <is>
          <t>44200</t>
        </is>
      </c>
      <c r="K20" s="57" t="inlineStr">
        <is>
          <t>Closing Work in Progress</t>
        </is>
      </c>
      <c r="M20" s="58" t="n">
        <v>45596</v>
      </c>
      <c r="O20" s="57" t="inlineStr">
        <is>
          <t>2392</t>
        </is>
      </c>
      <c r="P20" s="57" t="inlineStr">
        <is>
          <t>PWC – MEL Technician</t>
        </is>
      </c>
      <c r="Q20" s="57" t="inlineStr">
        <is>
          <t>ONSITE</t>
        </is>
      </c>
    </row>
    <row r="21">
      <c r="J21" s="57" t="inlineStr">
        <is>
          <t>45005</t>
        </is>
      </c>
      <c r="K21" s="57" t="inlineStr">
        <is>
          <t>Freight &amp; Travel - ADMIN</t>
        </is>
      </c>
      <c r="M21" s="58" t="n">
        <v>45626</v>
      </c>
      <c r="O21" s="57" t="inlineStr">
        <is>
          <t>2402</t>
        </is>
      </c>
      <c r="P21" s="57" t="inlineStr">
        <is>
          <t>DTTL SYD FT Tech 1</t>
        </is>
      </c>
      <c r="Q21" s="57" t="inlineStr">
        <is>
          <t>ONSITE</t>
        </is>
      </c>
    </row>
    <row r="22">
      <c r="J22" s="57" t="inlineStr">
        <is>
          <t>45010</t>
        </is>
      </c>
      <c r="K22" s="57" t="inlineStr">
        <is>
          <t>Freight &amp; Travel - ONS</t>
        </is>
      </c>
      <c r="M22" s="58" t="n">
        <v>45657</v>
      </c>
      <c r="O22" s="57" t="inlineStr">
        <is>
          <t>2407312</t>
        </is>
      </c>
      <c r="P22" s="57" t="inlineStr">
        <is>
          <t>Hills Performance Centre</t>
        </is>
      </c>
      <c r="Q22" s="57" t="inlineStr">
        <is>
          <t>CONSULTING</t>
        </is>
      </c>
    </row>
    <row r="23">
      <c r="J23" s="57" t="inlineStr">
        <is>
          <t>45015</t>
        </is>
      </c>
      <c r="K23" s="57" t="inlineStr">
        <is>
          <t>Freight &amp; Travel - PRD</t>
        </is>
      </c>
      <c r="M23" s="58" t="n">
        <v>45688</v>
      </c>
      <c r="O23" s="57" t="inlineStr">
        <is>
          <t>24102501</t>
        </is>
      </c>
      <c r="P23" s="57" t="inlineStr">
        <is>
          <t>PWC - MEL Tech 12Months</t>
        </is>
      </c>
      <c r="Q23" s="57" t="inlineStr">
        <is>
          <t>ONSITE</t>
        </is>
      </c>
    </row>
    <row r="24">
      <c r="J24" s="57" t="inlineStr">
        <is>
          <t>45020</t>
        </is>
      </c>
      <c r="K24" s="57" t="inlineStr">
        <is>
          <t>Freight &amp; Travel - VID</t>
        </is>
      </c>
      <c r="M24" s="58" t="n">
        <v>45716</v>
      </c>
      <c r="O24" s="57" t="inlineStr">
        <is>
          <t>24121001</t>
        </is>
      </c>
      <c r="P24" s="57" t="inlineStr">
        <is>
          <t>BW PER Studio Equipment Supply</t>
        </is>
      </c>
      <c r="Q24" s="57" t="inlineStr">
        <is>
          <t>INTEGRATION</t>
        </is>
      </c>
    </row>
    <row r="25">
      <c r="J25" s="57" t="inlineStr">
        <is>
          <t>45025</t>
        </is>
      </c>
      <c r="K25" s="57" t="inlineStr">
        <is>
          <t>Freight &amp; Travel - INTEGRATION</t>
        </is>
      </c>
      <c r="M25" s="58" t="n">
        <v>45747</v>
      </c>
      <c r="O25" s="57" t="inlineStr">
        <is>
          <t>2479</t>
        </is>
      </c>
      <c r="P25" s="57" t="inlineStr">
        <is>
          <t>CONSULTING - Quotes</t>
        </is>
      </c>
      <c r="Q25" s="57" t="inlineStr">
        <is>
          <t>CONSULTING</t>
        </is>
      </c>
    </row>
    <row r="26">
      <c r="J26" s="57" t="inlineStr">
        <is>
          <t>45030</t>
        </is>
      </c>
      <c r="K26" s="57" t="inlineStr">
        <is>
          <t>Freight &amp; Travel - CONS</t>
        </is>
      </c>
      <c r="M26" s="58" t="n">
        <v>45777</v>
      </c>
      <c r="O26" s="57" t="inlineStr">
        <is>
          <t>2480</t>
        </is>
      </c>
      <c r="P26" s="57" t="inlineStr">
        <is>
          <t>ONSITE - Quotes</t>
        </is>
      </c>
      <c r="Q26" s="57" t="inlineStr">
        <is>
          <t>ONSITE</t>
        </is>
      </c>
    </row>
    <row r="27">
      <c r="J27" s="57" t="inlineStr">
        <is>
          <t>46005</t>
        </is>
      </c>
      <c r="K27" s="57" t="inlineStr">
        <is>
          <t>Credit Card Fees - ADMIN</t>
        </is>
      </c>
      <c r="M27" s="58" t="n">
        <v>45808</v>
      </c>
      <c r="O27" s="57" t="inlineStr">
        <is>
          <t>2481</t>
        </is>
      </c>
      <c r="P27" s="57" t="inlineStr">
        <is>
          <t>Production - Quotes</t>
        </is>
      </c>
      <c r="Q27" s="57" t="inlineStr">
        <is>
          <t>PRODUCTION</t>
        </is>
      </c>
    </row>
    <row r="28">
      <c r="J28" s="57" t="inlineStr">
        <is>
          <t>46010</t>
        </is>
      </c>
      <c r="K28" s="57" t="inlineStr">
        <is>
          <t>Credit Card Collected - ONS</t>
        </is>
      </c>
      <c r="M28" s="58" t="n">
        <v>45838</v>
      </c>
      <c r="O28" s="57" t="inlineStr">
        <is>
          <t>2482</t>
        </is>
      </c>
      <c r="P28" s="57" t="inlineStr">
        <is>
          <t>VIDEO - Quotes</t>
        </is>
      </c>
      <c r="Q28" s="57" t="inlineStr">
        <is>
          <t>VIDEO</t>
        </is>
      </c>
    </row>
    <row r="29">
      <c r="J29" s="57" t="inlineStr">
        <is>
          <t>46015</t>
        </is>
      </c>
      <c r="K29" s="57" t="inlineStr">
        <is>
          <t>Credit Card Collected - PRD</t>
        </is>
      </c>
      <c r="M29" s="58" t="n">
        <v>45869</v>
      </c>
      <c r="O29" s="57" t="inlineStr">
        <is>
          <t>2488</t>
        </is>
      </c>
      <c r="P29" s="57" t="inlineStr">
        <is>
          <t>PWC IT P/T BNE</t>
        </is>
      </c>
      <c r="Q29" s="57" t="inlineStr">
        <is>
          <t>ONSITE</t>
        </is>
      </c>
    </row>
    <row r="30">
      <c r="J30" s="57" t="inlineStr">
        <is>
          <t>46020</t>
        </is>
      </c>
      <c r="K30" s="57" t="inlineStr">
        <is>
          <t>Credit Card Collected - VID</t>
        </is>
      </c>
      <c r="M30" s="58" t="n">
        <v>45900</v>
      </c>
      <c r="O30" s="57" t="inlineStr">
        <is>
          <t>25011601</t>
        </is>
      </c>
      <c r="P30" s="57" t="inlineStr">
        <is>
          <t>DTTL Hobart ITS AV Ref</t>
        </is>
      </c>
      <c r="Q30" s="57" t="inlineStr">
        <is>
          <t>INTEGRATION</t>
        </is>
      </c>
    </row>
    <row r="31">
      <c r="J31" s="57" t="inlineStr">
        <is>
          <t>46025</t>
        </is>
      </c>
      <c r="K31" s="57" t="inlineStr">
        <is>
          <t>Credit Card Collected - INTEGRATION</t>
        </is>
      </c>
      <c r="M31" s="58" t="n">
        <v>45930</v>
      </c>
      <c r="O31" s="57" t="inlineStr">
        <is>
          <t>2501738</t>
        </is>
      </c>
      <c r="P31" s="57" t="inlineStr">
        <is>
          <t>APA HYR25 &amp; FYR25</t>
        </is>
      </c>
      <c r="Q31" s="57" t="inlineStr">
        <is>
          <t>PRODUCTION</t>
        </is>
      </c>
    </row>
    <row r="32">
      <c r="J32" s="57" t="inlineStr">
        <is>
          <t>46030</t>
        </is>
      </c>
      <c r="K32" s="57" t="inlineStr">
        <is>
          <t>Credit Card Collected - CONS</t>
        </is>
      </c>
      <c r="M32" s="58" t="n">
        <v>45961</v>
      </c>
      <c r="O32" s="57" t="inlineStr">
        <is>
          <t>2502</t>
        </is>
      </c>
      <c r="P32" s="57" t="inlineStr">
        <is>
          <t>ONS CBA (non-chargeable)</t>
        </is>
      </c>
      <c r="Q32" s="57" t="inlineStr"/>
    </row>
    <row r="33">
      <c r="J33" s="57" t="inlineStr">
        <is>
          <t>47005</t>
        </is>
      </c>
      <c r="K33" s="57" t="inlineStr">
        <is>
          <t>Meal &amp; Travel - ADMIN</t>
        </is>
      </c>
      <c r="M33" s="58" t="n">
        <v>45991</v>
      </c>
      <c r="O33" s="57" t="inlineStr">
        <is>
          <t>25021901</t>
        </is>
      </c>
      <c r="P33" s="57" t="inlineStr">
        <is>
          <t>DAFF Technology Standard</t>
        </is>
      </c>
      <c r="Q33" s="57" t="inlineStr">
        <is>
          <t>CONSULTING</t>
        </is>
      </c>
    </row>
    <row r="34">
      <c r="J34" s="57" t="inlineStr">
        <is>
          <t>47010</t>
        </is>
      </c>
      <c r="K34" s="57" t="inlineStr">
        <is>
          <t>Meal &amp; Travel - ONS</t>
        </is>
      </c>
      <c r="M34" s="58" t="n">
        <v>46022</v>
      </c>
      <c r="O34" s="57" t="inlineStr">
        <is>
          <t>2503</t>
        </is>
      </c>
      <c r="P34" s="57" t="inlineStr">
        <is>
          <t>ONS DTTL (non-chargeable)</t>
        </is>
      </c>
      <c r="Q34" s="57" t="inlineStr"/>
    </row>
    <row r="35">
      <c r="J35" s="57" t="inlineStr">
        <is>
          <t>47015</t>
        </is>
      </c>
      <c r="K35" s="57" t="inlineStr">
        <is>
          <t>Meal &amp; Travel - PRD</t>
        </is>
      </c>
      <c r="M35" s="58" t="n">
        <v>46053</v>
      </c>
      <c r="O35" s="57" t="inlineStr">
        <is>
          <t>25032701</t>
        </is>
      </c>
      <c r="P35" s="57" t="inlineStr">
        <is>
          <t>St Catherines Chargeable</t>
        </is>
      </c>
      <c r="Q35" s="57" t="inlineStr">
        <is>
          <t>ONSITE</t>
        </is>
      </c>
    </row>
    <row r="36">
      <c r="J36" s="57" t="inlineStr">
        <is>
          <t>47020</t>
        </is>
      </c>
      <c r="K36" s="57" t="inlineStr">
        <is>
          <t>Meal &amp; Travel - VID</t>
        </is>
      </c>
      <c r="M36" s="58" t="n">
        <v>46081</v>
      </c>
      <c r="O36" s="57" t="inlineStr">
        <is>
          <t>25032701NC</t>
        </is>
      </c>
      <c r="P36" s="57" t="inlineStr">
        <is>
          <t>St Catherines Non-Chgble</t>
        </is>
      </c>
      <c r="Q36" s="57" t="inlineStr">
        <is>
          <t>ONSITE</t>
        </is>
      </c>
    </row>
    <row r="37">
      <c r="J37" s="57" t="inlineStr">
        <is>
          <t>47025</t>
        </is>
      </c>
      <c r="K37" s="57" t="inlineStr">
        <is>
          <t>Meal &amp; Travel - INTEGRATION</t>
        </is>
      </c>
      <c r="M37" s="58" t="n">
        <v>46112</v>
      </c>
      <c r="O37" s="57" t="inlineStr">
        <is>
          <t>2504</t>
        </is>
      </c>
      <c r="P37" s="57" t="inlineStr">
        <is>
          <t>ONS WBC (non-chargeable)</t>
        </is>
      </c>
      <c r="Q37" s="57" t="inlineStr"/>
    </row>
    <row r="38">
      <c r="J38" s="57" t="inlineStr">
        <is>
          <t>47030</t>
        </is>
      </c>
      <c r="K38" s="57" t="inlineStr">
        <is>
          <t>Meal &amp; Travel - CONS</t>
        </is>
      </c>
      <c r="M38" s="58" t="n">
        <v>46142</v>
      </c>
      <c r="O38" s="57" t="inlineStr">
        <is>
          <t>25041502</t>
        </is>
      </c>
      <c r="P38" s="57" t="inlineStr">
        <is>
          <t>PDNSW DB License Ext</t>
        </is>
      </c>
      <c r="Q38" s="57" t="inlineStr">
        <is>
          <t>INTEGRATION</t>
        </is>
      </c>
    </row>
    <row r="39">
      <c r="J39" s="57" t="inlineStr">
        <is>
          <t>48000</t>
        </is>
      </c>
      <c r="K39" s="57" t="inlineStr">
        <is>
          <t>Miscellaneous Income</t>
        </is>
      </c>
      <c r="M39" s="58" t="n">
        <v>46173</v>
      </c>
      <c r="O39" s="57" t="inlineStr">
        <is>
          <t>2505</t>
        </is>
      </c>
      <c r="P39" s="57" t="inlineStr">
        <is>
          <t>ONS PWC (non-chargeable)</t>
        </is>
      </c>
      <c r="Q39" s="57" t="inlineStr"/>
    </row>
    <row r="40">
      <c r="M40" s="58" t="n">
        <v>46203</v>
      </c>
      <c r="O40" s="57" t="inlineStr">
        <is>
          <t>25051302</t>
        </is>
      </c>
      <c r="P40" s="57" t="inlineStr">
        <is>
          <t>NSW Prop Bradfield Desk Booking + Penrith Additional</t>
        </is>
      </c>
      <c r="Q40" s="57" t="inlineStr">
        <is>
          <t>INTEGRATION</t>
        </is>
      </c>
    </row>
    <row r="41">
      <c r="M41" s="58" t="n">
        <v>46234</v>
      </c>
      <c r="O41" s="57" t="inlineStr">
        <is>
          <t>25051403</t>
        </is>
      </c>
      <c r="P41" s="57" t="inlineStr">
        <is>
          <t>DTTL SYD Tech Supp TMT AP</t>
        </is>
      </c>
      <c r="Q41" s="57" t="inlineStr">
        <is>
          <t>ONSITE</t>
        </is>
      </c>
    </row>
    <row r="42">
      <c r="M42" s="58" t="n">
        <v>46265</v>
      </c>
      <c r="O42" s="57" t="inlineStr">
        <is>
          <t>25052802</t>
        </is>
      </c>
      <c r="P42" s="57" t="inlineStr">
        <is>
          <t>Aus Retirement Trust Members Meeting 2025</t>
        </is>
      </c>
      <c r="Q42" s="57" t="inlineStr">
        <is>
          <t>PRODUCTION</t>
        </is>
      </c>
    </row>
    <row r="43">
      <c r="M43" s="58" t="n">
        <v>46295</v>
      </c>
      <c r="O43" s="57" t="inlineStr">
        <is>
          <t>2505901</t>
        </is>
      </c>
      <c r="P43" s="57" t="inlineStr">
        <is>
          <t>COS Projector Lens Supply</t>
        </is>
      </c>
      <c r="Q43" s="57" t="inlineStr">
        <is>
          <t>INTEGRATION</t>
        </is>
      </c>
    </row>
    <row r="44">
      <c r="M44" s="58" t="n">
        <v>46326</v>
      </c>
      <c r="O44" s="57" t="inlineStr">
        <is>
          <t>2506</t>
        </is>
      </c>
      <c r="P44" s="57" t="inlineStr">
        <is>
          <t>ONS BWEST (non-chargeable)</t>
        </is>
      </c>
      <c r="Q44" s="57" t="inlineStr"/>
    </row>
    <row r="45">
      <c r="M45" s="58" t="n">
        <v>46356</v>
      </c>
      <c r="O45" s="57" t="inlineStr">
        <is>
          <t>25060301</t>
        </is>
      </c>
      <c r="P45" s="57" t="inlineStr">
        <is>
          <t>6PSQ L12 Desk Booking</t>
        </is>
      </c>
      <c r="Q45" s="57" t="inlineStr">
        <is>
          <t>INTEGRATION</t>
        </is>
      </c>
    </row>
    <row r="46">
      <c r="M46" s="58" t="n">
        <v>46387</v>
      </c>
      <c r="O46" s="57" t="inlineStr">
        <is>
          <t>25060307</t>
        </is>
      </c>
      <c r="P46" s="57" t="inlineStr">
        <is>
          <t>DPIE Molesworth St D/B</t>
        </is>
      </c>
      <c r="Q46" s="57" t="inlineStr">
        <is>
          <t>INTEGRATION</t>
        </is>
      </c>
    </row>
    <row r="47">
      <c r="M47" s="58" t="n">
        <v>46418</v>
      </c>
      <c r="O47" s="57" t="inlineStr">
        <is>
          <t>2506208</t>
        </is>
      </c>
      <c r="P47" s="57" t="inlineStr">
        <is>
          <t>CBA AGM 2026</t>
        </is>
      </c>
      <c r="Q47" s="57" t="inlineStr">
        <is>
          <t>PRODUCTION</t>
        </is>
      </c>
    </row>
    <row r="48">
      <c r="M48" s="58" t="n">
        <v>46446</v>
      </c>
      <c r="O48" s="57" t="inlineStr">
        <is>
          <t>2506208V</t>
        </is>
      </c>
      <c r="P48" s="57" t="inlineStr">
        <is>
          <t>CBA AGM 2026</t>
        </is>
      </c>
      <c r="Q48" s="57" t="inlineStr">
        <is>
          <t>VIDEO</t>
        </is>
      </c>
    </row>
    <row r="49">
      <c r="M49" s="58" t="n">
        <v>46477</v>
      </c>
      <c r="O49" s="57" t="inlineStr">
        <is>
          <t>25063001V</t>
        </is>
      </c>
      <c r="P49" s="57" t="inlineStr">
        <is>
          <t>APA All Hands Staff</t>
        </is>
      </c>
      <c r="Q49" s="57" t="inlineStr">
        <is>
          <t>VIDEO</t>
        </is>
      </c>
    </row>
    <row r="50">
      <c r="M50" s="58" t="n">
        <v>46507</v>
      </c>
      <c r="O50" s="57" t="inlineStr">
        <is>
          <t>25070702</t>
        </is>
      </c>
      <c r="P50" s="57" t="inlineStr">
        <is>
          <t>APA VMS Brisbane &amp; Darwin</t>
        </is>
      </c>
      <c r="Q50" s="57" t="inlineStr">
        <is>
          <t>INTEGRATION</t>
        </is>
      </c>
    </row>
    <row r="51">
      <c r="M51" s="58" t="n">
        <v>46538</v>
      </c>
      <c r="O51" s="57" t="inlineStr">
        <is>
          <t>2507203</t>
        </is>
      </c>
      <c r="P51" s="57" t="inlineStr">
        <is>
          <t>Hills Grammar Airmedia Supply</t>
        </is>
      </c>
      <c r="Q51" s="57" t="inlineStr">
        <is>
          <t>INTEGRATION</t>
        </is>
      </c>
    </row>
    <row r="52">
      <c r="M52" s="58" t="n">
        <v>46568</v>
      </c>
      <c r="O52" s="57" t="inlineStr">
        <is>
          <t>25081402</t>
        </is>
      </c>
      <c r="P52" s="57" t="inlineStr">
        <is>
          <t>Hills Grammar Loan Airmedia Purchase</t>
        </is>
      </c>
      <c r="Q52" s="57" t="inlineStr">
        <is>
          <t>INTEGRATION</t>
        </is>
      </c>
    </row>
    <row r="53">
      <c r="M53" s="58" t="n">
        <v>46599</v>
      </c>
      <c r="O53" s="57" t="inlineStr">
        <is>
          <t>25082501</t>
        </is>
      </c>
      <c r="P53" s="57" t="inlineStr">
        <is>
          <t>APA Sydney Tablet Brackets</t>
        </is>
      </c>
      <c r="Q53" s="57" t="inlineStr">
        <is>
          <t>INTEGRATION</t>
        </is>
      </c>
    </row>
    <row r="54">
      <c r="M54" s="58" t="n">
        <v>46630</v>
      </c>
      <c r="O54" s="57" t="inlineStr">
        <is>
          <t>25091703</t>
        </is>
      </c>
      <c r="P54" s="57" t="inlineStr">
        <is>
          <t>Scentre Group Marion Superscreen (D10396) Test and Cert</t>
        </is>
      </c>
      <c r="Q54" s="57" t="inlineStr">
        <is>
          <t>CONSULTING</t>
        </is>
      </c>
    </row>
    <row r="55">
      <c r="M55" s="58" t="n">
        <v>46660</v>
      </c>
      <c r="O55" s="57" t="inlineStr">
        <is>
          <t>25101301</t>
        </is>
      </c>
      <c r="P55" s="57" t="inlineStr">
        <is>
          <t>PWC IT Support – Melbourne</t>
        </is>
      </c>
      <c r="Q55" s="57" t="inlineStr">
        <is>
          <t>ONSITE</t>
        </is>
      </c>
    </row>
    <row r="56">
      <c r="M56" s="58" t="n">
        <v>46691</v>
      </c>
      <c r="O56" s="57" t="inlineStr">
        <is>
          <t>25101301B</t>
        </is>
      </c>
      <c r="P56" s="57" t="inlineStr">
        <is>
          <t>PWC IT Support – Sydney</t>
        </is>
      </c>
      <c r="Q56" s="57" t="inlineStr">
        <is>
          <t>ONSITE</t>
        </is>
      </c>
    </row>
    <row r="57">
      <c r="M57" s="58" t="n">
        <v>46721</v>
      </c>
      <c r="O57" s="57" t="inlineStr">
        <is>
          <t>2510202</t>
        </is>
      </c>
      <c r="P57" s="57" t="inlineStr">
        <is>
          <t>HP Poly Room Assessment</t>
        </is>
      </c>
      <c r="Q57" s="57" t="inlineStr">
        <is>
          <t>CONSULTING</t>
        </is>
      </c>
    </row>
    <row r="58">
      <c r="M58" s="58" t="n">
        <v>46752</v>
      </c>
      <c r="O58" s="57" t="inlineStr">
        <is>
          <t>2510205</t>
        </is>
      </c>
      <c r="P58" s="57" t="inlineStr">
        <is>
          <t>NSW Property RGB Desk Booking</t>
        </is>
      </c>
      <c r="Q58" s="57" t="inlineStr">
        <is>
          <t>INTEGRATION</t>
        </is>
      </c>
    </row>
    <row r="59">
      <c r="M59" s="58" t="n">
        <v>46783</v>
      </c>
      <c r="O59" s="57" t="inlineStr">
        <is>
          <t>2510210</t>
        </is>
      </c>
      <c r="P59" s="57" t="inlineStr">
        <is>
          <t>Scentre Group Westfield Bondi Screen Tests</t>
        </is>
      </c>
      <c r="Q59" s="57" t="inlineStr">
        <is>
          <t>CONSULTING</t>
        </is>
      </c>
    </row>
    <row r="60">
      <c r="M60" s="58" t="n">
        <v>46812</v>
      </c>
      <c r="O60" s="57" t="inlineStr">
        <is>
          <t>25102701</t>
        </is>
      </c>
      <c r="P60" s="57" t="inlineStr">
        <is>
          <t>DEWR - Studio Upgrade - Consulting, Design</t>
        </is>
      </c>
      <c r="Q60" s="57" t="inlineStr">
        <is>
          <t>CONSULTING</t>
        </is>
      </c>
    </row>
    <row r="61">
      <c r="M61" s="58" t="n">
        <v>46843</v>
      </c>
      <c r="O61" s="57" t="inlineStr">
        <is>
          <t>25102801</t>
        </is>
      </c>
      <c r="P61" s="57" t="inlineStr">
        <is>
          <t>DTTL SYD QQT Additional Mics Install in L45 Seminar Space</t>
        </is>
      </c>
      <c r="Q61" s="57" t="inlineStr">
        <is>
          <t>INTEGRATION</t>
        </is>
      </c>
    </row>
    <row r="62">
      <c r="M62" s="58" t="n">
        <v>46873</v>
      </c>
      <c r="O62" s="57" t="inlineStr">
        <is>
          <t>25102802</t>
        </is>
      </c>
      <c r="P62" s="57" t="inlineStr">
        <is>
          <t>Novigi Meeting Space Inspection</t>
        </is>
      </c>
      <c r="Q62" s="57" t="inlineStr">
        <is>
          <t>CONSULTING</t>
        </is>
      </c>
    </row>
    <row r="63">
      <c r="M63" s="58" t="n">
        <v>46904</v>
      </c>
      <c r="O63" s="57" t="inlineStr">
        <is>
          <t>2510804</t>
        </is>
      </c>
      <c r="P63" s="57" t="inlineStr">
        <is>
          <t>CommSecurity Presynct QLD Desk Booking</t>
        </is>
      </c>
      <c r="Q63" s="57" t="inlineStr">
        <is>
          <t>INTEGRATION</t>
        </is>
      </c>
    </row>
    <row r="64">
      <c r="M64" s="58" t="n">
        <v>46934</v>
      </c>
      <c r="O64" s="57" t="inlineStr">
        <is>
          <t>2510805</t>
        </is>
      </c>
      <c r="P64" s="57" t="inlineStr">
        <is>
          <t>PNSW Reconstruction Authority Newcastle</t>
        </is>
      </c>
      <c r="Q64" s="57" t="inlineStr">
        <is>
          <t>INTEGRATION</t>
        </is>
      </c>
    </row>
    <row r="65">
      <c r="M65" s="58" t="n">
        <v>46965</v>
      </c>
      <c r="O65" s="57" t="inlineStr">
        <is>
          <t>25111203</t>
        </is>
      </c>
      <c r="P65" s="57" t="inlineStr">
        <is>
          <t>CoS | Barco E3 Sale</t>
        </is>
      </c>
      <c r="Q65" s="57" t="inlineStr">
        <is>
          <t>INTEGRATION</t>
        </is>
      </c>
    </row>
    <row r="66">
      <c r="M66" s="58" t="n">
        <v>46996</v>
      </c>
      <c r="O66" s="57" t="inlineStr">
        <is>
          <t>25112801</t>
        </is>
      </c>
      <c r="P66" s="57" t="inlineStr">
        <is>
          <t>APA MEL - iPad &amp; Bouncepad Sale</t>
        </is>
      </c>
      <c r="Q66" s="57" t="inlineStr">
        <is>
          <t>INTEGRATION</t>
        </is>
      </c>
    </row>
    <row r="67">
      <c r="M67" s="58" t="n">
        <v>47026</v>
      </c>
      <c r="O67" s="57" t="inlineStr">
        <is>
          <t>25121001</t>
        </is>
      </c>
      <c r="P67" s="57" t="inlineStr">
        <is>
          <t>HP Poly Mic System Sale and Install at Mission Australia</t>
        </is>
      </c>
      <c r="Q67" s="57" t="inlineStr">
        <is>
          <t>INTEGRATION</t>
        </is>
      </c>
    </row>
    <row r="68">
      <c r="M68" s="58" t="n">
        <v>47057</v>
      </c>
      <c r="O68" s="57" t="inlineStr">
        <is>
          <t>25121007</t>
        </is>
      </c>
      <c r="P68" s="57" t="inlineStr">
        <is>
          <t>Novigi SYD/MEL boardroom Mic upgrade + Cable Tidy</t>
        </is>
      </c>
      <c r="Q68" s="57" t="inlineStr">
        <is>
          <t>INTEGRATION</t>
        </is>
      </c>
    </row>
    <row r="69">
      <c r="M69" s="58" t="n">
        <v>47087</v>
      </c>
      <c r="O69" s="57" t="inlineStr">
        <is>
          <t>25121208</t>
        </is>
      </c>
      <c r="P69" s="57" t="inlineStr">
        <is>
          <t>APA HYR &amp; FYR Package 2026</t>
        </is>
      </c>
      <c r="Q69" s="57" t="inlineStr">
        <is>
          <t>PRODUCTION</t>
        </is>
      </c>
    </row>
    <row r="70">
      <c r="M70" s="58" t="n">
        <v>47118</v>
      </c>
      <c r="O70" s="57" t="inlineStr">
        <is>
          <t>2512503</t>
        </is>
      </c>
      <c r="P70" s="57" t="inlineStr">
        <is>
          <t>Ventia EOY Town Hall 10.12.2025</t>
        </is>
      </c>
      <c r="Q70" s="57" t="inlineStr">
        <is>
          <t>PRODUCTION</t>
        </is>
      </c>
    </row>
    <row r="71">
      <c r="M71" s="58" t="n">
        <v>47149</v>
      </c>
      <c r="O71" s="57" t="inlineStr">
        <is>
          <t>2512503V</t>
        </is>
      </c>
      <c r="P71" s="57" t="inlineStr">
        <is>
          <t>Ventia EOY Town Hall 10.12.2025</t>
        </is>
      </c>
      <c r="Q71" s="57" t="inlineStr">
        <is>
          <t>VIDEO</t>
        </is>
      </c>
    </row>
    <row r="72">
      <c r="M72" s="58" t="n">
        <v>47177</v>
      </c>
      <c r="O72" s="57" t="inlineStr">
        <is>
          <t>2512804</t>
        </is>
      </c>
      <c r="P72" s="57" t="inlineStr">
        <is>
          <t>RSNSW Ordinary General Meeting 5.8.26</t>
        </is>
      </c>
      <c r="Q72" s="57" t="inlineStr">
        <is>
          <t>PRODUCTION</t>
        </is>
      </c>
    </row>
    <row r="73">
      <c r="M73" s="58" t="n">
        <v>47208</v>
      </c>
      <c r="O73" s="57" t="inlineStr">
        <is>
          <t>2512804V</t>
        </is>
      </c>
      <c r="P73" s="57" t="inlineStr">
        <is>
          <t>RSNSW Ordinary General Meeting 5.8.26</t>
        </is>
      </c>
      <c r="Q73" s="57" t="inlineStr">
        <is>
          <t>VIDEO</t>
        </is>
      </c>
    </row>
    <row r="74">
      <c r="M74" s="58" t="n">
        <v>47238</v>
      </c>
      <c r="O74" s="57" t="inlineStr">
        <is>
          <t>2512805</t>
        </is>
      </c>
      <c r="P74" s="57" t="inlineStr">
        <is>
          <t>RSNSW Ordinary General Meeting 7.10.2026</t>
        </is>
      </c>
      <c r="Q74" s="57" t="inlineStr">
        <is>
          <t>PRODUCTION</t>
        </is>
      </c>
    </row>
    <row r="75">
      <c r="M75" s="58" t="n">
        <v>47269</v>
      </c>
      <c r="O75" s="57" t="inlineStr">
        <is>
          <t>2512805V</t>
        </is>
      </c>
      <c r="P75" s="57" t="inlineStr">
        <is>
          <t>RSNSW Ordinary General Meeting 7.10.2026</t>
        </is>
      </c>
      <c r="Q75" s="57" t="inlineStr">
        <is>
          <t>VIDEO</t>
        </is>
      </c>
    </row>
    <row r="76">
      <c r="M76" s="58" t="n">
        <v>47299</v>
      </c>
      <c r="O76" s="57" t="inlineStr">
        <is>
          <t>2512806</t>
        </is>
      </c>
      <c r="P76" s="57" t="inlineStr">
        <is>
          <t>RSNSW Ordinary General Meeting 2.12.26</t>
        </is>
      </c>
      <c r="Q76" s="57" t="inlineStr">
        <is>
          <t>PRODUCTION</t>
        </is>
      </c>
    </row>
    <row r="77">
      <c r="M77" s="58" t="n">
        <v>47330</v>
      </c>
      <c r="O77" s="57" t="inlineStr">
        <is>
          <t>2512806V</t>
        </is>
      </c>
      <c r="P77" s="57" t="inlineStr">
        <is>
          <t>RSNSW Ordinary General Meeting 2.12.26</t>
        </is>
      </c>
      <c r="Q77" s="57" t="inlineStr">
        <is>
          <t>VIDEO</t>
        </is>
      </c>
    </row>
    <row r="78">
      <c r="M78" s="58" t="n">
        <v>47361</v>
      </c>
      <c r="O78" s="57" t="inlineStr">
        <is>
          <t>2519</t>
        </is>
      </c>
      <c r="P78" s="57" t="inlineStr">
        <is>
          <t>NSW Prop-6PSQ Visitor MG</t>
        </is>
      </c>
      <c r="Q78" s="57" t="inlineStr">
        <is>
          <t>INTEGRATION</t>
        </is>
      </c>
    </row>
    <row r="79">
      <c r="M79" s="58" t="n">
        <v>47391</v>
      </c>
      <c r="O79" s="57" t="inlineStr">
        <is>
          <t>2521</t>
        </is>
      </c>
      <c r="P79" s="57" t="inlineStr">
        <is>
          <t>PWC - PER Tech</t>
        </is>
      </c>
      <c r="Q79" s="57" t="inlineStr">
        <is>
          <t>ONSITE</t>
        </is>
      </c>
    </row>
    <row r="80">
      <c r="M80" s="58" t="n">
        <v>47422</v>
      </c>
      <c r="O80" s="57" t="inlineStr">
        <is>
          <t>2540</t>
        </is>
      </c>
      <c r="P80" s="57" t="inlineStr">
        <is>
          <t>PWC - SYD Tech</t>
        </is>
      </c>
      <c r="Q80" s="57" t="inlineStr">
        <is>
          <t>ONSITE</t>
        </is>
      </c>
    </row>
    <row r="81">
      <c r="M81" s="58" t="n">
        <v>47452</v>
      </c>
      <c r="O81" s="57" t="inlineStr">
        <is>
          <t>2543</t>
        </is>
      </c>
      <c r="P81" s="57" t="inlineStr">
        <is>
          <t>DTTL MEL Tech (PT)</t>
        </is>
      </c>
      <c r="Q81" s="57" t="inlineStr">
        <is>
          <t>ONSITE</t>
        </is>
      </c>
    </row>
    <row r="82">
      <c r="M82" s="58" t="n">
        <v>47483</v>
      </c>
      <c r="O82" s="57" t="inlineStr">
        <is>
          <t>2591012</t>
        </is>
      </c>
      <c r="P82" s="57" t="inlineStr">
        <is>
          <t>St. Luke's Non-chargeable</t>
        </is>
      </c>
      <c r="Q82" s="57" t="inlineStr">
        <is>
          <t>PRODUCTION</t>
        </is>
      </c>
    </row>
    <row r="83">
      <c r="M83" s="58" t="n">
        <v>47514</v>
      </c>
      <c r="O83" s="57" t="inlineStr">
        <is>
          <t>2591012C</t>
        </is>
      </c>
      <c r="P83" s="57" t="inlineStr">
        <is>
          <t>St. Luke's Church</t>
        </is>
      </c>
      <c r="Q83" s="57" t="inlineStr">
        <is>
          <t>PRODUCTION</t>
        </is>
      </c>
    </row>
    <row r="84">
      <c r="M84" s="58" t="n">
        <v>47542</v>
      </c>
      <c r="O84" s="57" t="inlineStr">
        <is>
          <t>2593</t>
        </is>
      </c>
      <c r="P84" s="57" t="inlineStr">
        <is>
          <t>PWC CBR Technician</t>
        </is>
      </c>
      <c r="Q84" s="57" t="inlineStr">
        <is>
          <t>ONSITE</t>
        </is>
      </c>
    </row>
    <row r="85">
      <c r="M85" s="58" t="n">
        <v>47573</v>
      </c>
      <c r="O85" s="57" t="inlineStr">
        <is>
          <t>2598</t>
        </is>
      </c>
      <c r="P85" s="57" t="inlineStr">
        <is>
          <t>DTTL WA Tech</t>
        </is>
      </c>
      <c r="Q85" s="57" t="inlineStr">
        <is>
          <t>ONSITE</t>
        </is>
      </c>
    </row>
    <row r="86">
      <c r="M86" s="58" t="n">
        <v>47603</v>
      </c>
      <c r="O86" s="57" t="inlineStr">
        <is>
          <t>26011404</t>
        </is>
      </c>
      <c r="P86" s="57" t="inlineStr">
        <is>
          <t>ASX CEO Connect (Extended Results) 1.9.26</t>
        </is>
      </c>
      <c r="Q86" s="57" t="inlineStr">
        <is>
          <t>PRODUCTION</t>
        </is>
      </c>
    </row>
    <row r="87">
      <c r="M87" s="58" t="n">
        <v>47634</v>
      </c>
      <c r="O87" s="57" t="inlineStr">
        <is>
          <t>26011404V</t>
        </is>
      </c>
      <c r="P87" s="57" t="inlineStr">
        <is>
          <t>ASX CEO Connect (Extended Results) 1.9.26</t>
        </is>
      </c>
      <c r="Q87" s="57" t="inlineStr">
        <is>
          <t>VIDEO</t>
        </is>
      </c>
    </row>
    <row r="88">
      <c r="M88" s="58" t="n">
        <v>47664</v>
      </c>
      <c r="O88" s="57" t="inlineStr">
        <is>
          <t>26011407</t>
        </is>
      </c>
      <c r="P88" s="57" t="inlineStr">
        <is>
          <t>ASX CEO Connect 27.10.26</t>
        </is>
      </c>
      <c r="Q88" s="57" t="inlineStr">
        <is>
          <t>PRODUCTION</t>
        </is>
      </c>
    </row>
    <row r="89">
      <c r="M89" s="58" t="n">
        <v>47695</v>
      </c>
      <c r="O89" s="57" t="inlineStr">
        <is>
          <t>26011407V</t>
        </is>
      </c>
      <c r="P89" s="57" t="inlineStr">
        <is>
          <t>ASX CEO Connect 27.10.26</t>
        </is>
      </c>
      <c r="Q89" s="57" t="inlineStr">
        <is>
          <t>VIDEO</t>
        </is>
      </c>
    </row>
    <row r="90">
      <c r="M90" s="58" t="n">
        <v>47726</v>
      </c>
      <c r="O90" s="57" t="inlineStr">
        <is>
          <t>26011408</t>
        </is>
      </c>
      <c r="P90" s="57" t="inlineStr">
        <is>
          <t>ASX CEO Connect 1.12.26</t>
        </is>
      </c>
      <c r="Q90" s="57" t="inlineStr">
        <is>
          <t>PRODUCTION</t>
        </is>
      </c>
    </row>
    <row r="91">
      <c r="M91" s="58" t="n">
        <v>47756</v>
      </c>
      <c r="O91" s="57" t="inlineStr">
        <is>
          <t>26011408V</t>
        </is>
      </c>
      <c r="P91" s="57" t="inlineStr">
        <is>
          <t>ASX CEO Connect 1.12.26</t>
        </is>
      </c>
      <c r="Q91" s="57" t="inlineStr">
        <is>
          <t>VIDEO</t>
        </is>
      </c>
    </row>
    <row r="92">
      <c r="M92" s="58" t="n">
        <v>47787</v>
      </c>
      <c r="O92" s="57" t="inlineStr">
        <is>
          <t>26011409</t>
        </is>
      </c>
      <c r="P92" s="57" t="inlineStr">
        <is>
          <t>ASX Investor Days Sydney &amp; Melbourne 2026</t>
        </is>
      </c>
      <c r="Q92" s="57" t="inlineStr">
        <is>
          <t>PRODUCTION</t>
        </is>
      </c>
    </row>
    <row r="93">
      <c r="M93" s="58" t="n">
        <v>47817</v>
      </c>
      <c r="O93" s="57" t="inlineStr">
        <is>
          <t>26011501</t>
        </is>
      </c>
      <c r="P93" s="57" t="inlineStr">
        <is>
          <t>ASX Refinitiv Charity Golf Classic H/L Vid 2026</t>
        </is>
      </c>
      <c r="Q93" s="57" t="inlineStr">
        <is>
          <t>VIDEO</t>
        </is>
      </c>
    </row>
    <row r="94">
      <c r="M94" s="58" t="n">
        <v>47848</v>
      </c>
      <c r="O94" s="57" t="inlineStr">
        <is>
          <t>26011502</t>
        </is>
      </c>
      <c r="P94" s="57" t="inlineStr">
        <is>
          <t>ASX Charity Regatta Highlights Video 2026</t>
        </is>
      </c>
      <c r="Q94" s="57" t="inlineStr">
        <is>
          <t>VIDEO</t>
        </is>
      </c>
    </row>
    <row r="95">
      <c r="M95" s="58" t="n">
        <v>47879</v>
      </c>
      <c r="O95" s="57" t="inlineStr">
        <is>
          <t>26012301</t>
        </is>
      </c>
      <c r="P95" s="57" t="inlineStr">
        <is>
          <t>PWC IT Support - Brisbane</t>
        </is>
      </c>
      <c r="Q95" s="57" t="inlineStr">
        <is>
          <t>ONSITE</t>
        </is>
      </c>
    </row>
    <row r="96">
      <c r="M96" s="58" t="n">
        <v>47907</v>
      </c>
      <c r="O96" s="57" t="inlineStr">
        <is>
          <t>2601701</t>
        </is>
      </c>
      <c r="P96" s="57" t="inlineStr">
        <is>
          <t>CEOi - TLP Brand Video</t>
        </is>
      </c>
      <c r="Q96" s="57" t="inlineStr">
        <is>
          <t>VIDEO</t>
        </is>
      </c>
    </row>
    <row r="97">
      <c r="M97" s="58" t="n">
        <v>47938</v>
      </c>
      <c r="O97" s="57" t="inlineStr">
        <is>
          <t>26021602</t>
        </is>
      </c>
      <c r="P97" s="57" t="inlineStr">
        <is>
          <t>Gen E ABS AV Support (Canberra)</t>
        </is>
      </c>
      <c r="Q97" s="57" t="inlineStr">
        <is>
          <t>ONSITE</t>
        </is>
      </c>
    </row>
    <row r="98">
      <c r="M98" s="58" t="n">
        <v>47968</v>
      </c>
      <c r="O98" s="57" t="inlineStr">
        <is>
          <t>26021602N</t>
        </is>
      </c>
      <c r="P98" s="57" t="inlineStr">
        <is>
          <t>Gen E ABS AV Support (Canberra) [ONS non-chargeable]</t>
        </is>
      </c>
      <c r="Q98" s="57" t="inlineStr"/>
    </row>
    <row r="99">
      <c r="M99" s="58" t="n">
        <v>47999</v>
      </c>
      <c r="O99" s="57" t="inlineStr">
        <is>
          <t>26021801</t>
        </is>
      </c>
      <c r="P99" s="57" t="inlineStr">
        <is>
          <t>Aware Super Seminar Room AV Upgrade</t>
        </is>
      </c>
      <c r="Q99" s="57" t="inlineStr">
        <is>
          <t>INTEGRATION</t>
        </is>
      </c>
    </row>
    <row r="100">
      <c r="M100" s="58" t="n">
        <v>48029</v>
      </c>
      <c r="O100" s="57" t="inlineStr">
        <is>
          <t>2602203</t>
        </is>
      </c>
      <c r="P100" s="57" t="inlineStr">
        <is>
          <t>YSG Studio Orange Room Upgrade</t>
        </is>
      </c>
      <c r="Q100" s="57" t="inlineStr">
        <is>
          <t>CONSULTING</t>
        </is>
      </c>
    </row>
    <row r="101">
      <c r="O101" s="57" t="inlineStr">
        <is>
          <t>26022301</t>
        </is>
      </c>
      <c r="P101" s="57" t="inlineStr">
        <is>
          <t>Aware Super AV Maintenance</t>
        </is>
      </c>
      <c r="Q101" s="57" t="inlineStr">
        <is>
          <t>ONSITE</t>
        </is>
      </c>
    </row>
    <row r="102">
      <c r="O102" s="57" t="inlineStr">
        <is>
          <t>26022301C</t>
        </is>
      </c>
      <c r="P102" s="57" t="inlineStr">
        <is>
          <t>Aware Super AV Maintenance</t>
        </is>
      </c>
      <c r="Q102" s="57" t="inlineStr">
        <is>
          <t>CONSULTING</t>
        </is>
      </c>
    </row>
    <row r="103">
      <c r="O103" s="57" t="inlineStr">
        <is>
          <t>26022301NC</t>
        </is>
      </c>
      <c r="P103" s="57" t="inlineStr">
        <is>
          <t>Aware Super AV Maintenance Non-chargeable</t>
        </is>
      </c>
      <c r="Q103" s="57" t="inlineStr">
        <is>
          <t>ONSITE</t>
        </is>
      </c>
    </row>
    <row r="104">
      <c r="O104" s="57" t="inlineStr">
        <is>
          <t>26022301P</t>
        </is>
      </c>
      <c r="P104" s="57" t="inlineStr">
        <is>
          <t>Aware Super AV Maintenance</t>
        </is>
      </c>
      <c r="Q104" s="57" t="inlineStr">
        <is>
          <t>PRODUCTION</t>
        </is>
      </c>
    </row>
    <row r="105">
      <c r="O105" s="57" t="inlineStr">
        <is>
          <t>26022302</t>
        </is>
      </c>
      <c r="P105" s="57" t="inlineStr">
        <is>
          <t>GP - Talking Philanthropy - 18.9.26</t>
        </is>
      </c>
      <c r="Q105" s="57" t="inlineStr">
        <is>
          <t>PRODUCTION</t>
        </is>
      </c>
    </row>
    <row r="106">
      <c r="O106" s="57" t="inlineStr">
        <is>
          <t>26022302V</t>
        </is>
      </c>
      <c r="P106" s="57" t="inlineStr">
        <is>
          <t>GP - Talking Philanthropy - 18.9.26</t>
        </is>
      </c>
      <c r="Q106" s="57" t="inlineStr">
        <is>
          <t>VIDEO</t>
        </is>
      </c>
    </row>
    <row r="107">
      <c r="O107" s="57" t="inlineStr">
        <is>
          <t>26022601</t>
        </is>
      </c>
      <c r="P107" s="57" t="inlineStr">
        <is>
          <t>ART - Annual Members Meeting - 25.11.26</t>
        </is>
      </c>
      <c r="Q107" s="57" t="inlineStr">
        <is>
          <t>PRODUCTION</t>
        </is>
      </c>
    </row>
    <row r="108">
      <c r="O108" s="57" t="inlineStr">
        <is>
          <t>26022601V</t>
        </is>
      </c>
      <c r="P108" s="57" t="inlineStr">
        <is>
          <t>ART - Annual Members Meeting - 25.11.26</t>
        </is>
      </c>
      <c r="Q108" s="57" t="inlineStr">
        <is>
          <t>VIDEO</t>
        </is>
      </c>
    </row>
    <row r="109">
      <c r="O109" s="57" t="inlineStr">
        <is>
          <t>2602901</t>
        </is>
      </c>
      <c r="P109" s="57" t="inlineStr">
        <is>
          <t>HP-Telstra: Phone Modification</t>
        </is>
      </c>
      <c r="Q109" s="57" t="inlineStr">
        <is>
          <t>INTEGRATION</t>
        </is>
      </c>
    </row>
    <row r="110">
      <c r="O110" s="57" t="inlineStr">
        <is>
          <t>2603104</t>
        </is>
      </c>
      <c r="P110" s="57" t="inlineStr">
        <is>
          <t>Cochlear FY26 Results 18.8.26</t>
        </is>
      </c>
      <c r="Q110" s="57" t="inlineStr">
        <is>
          <t>PRODUCTION</t>
        </is>
      </c>
    </row>
    <row r="111">
      <c r="O111" s="57" t="inlineStr">
        <is>
          <t>2603104V</t>
        </is>
      </c>
      <c r="P111" s="57" t="inlineStr">
        <is>
          <t>Cochlear FY26 Results 18.8.26</t>
        </is>
      </c>
      <c r="Q111" s="57" t="inlineStr">
        <is>
          <t>VIDEO</t>
        </is>
      </c>
    </row>
    <row r="112">
      <c r="O112" s="57" t="inlineStr">
        <is>
          <t>2603105</t>
        </is>
      </c>
      <c r="P112" s="57" t="inlineStr">
        <is>
          <t>Cochlear - AGM - 26.10.26</t>
        </is>
      </c>
      <c r="Q112" s="57" t="inlineStr">
        <is>
          <t>PRODUCTION</t>
        </is>
      </c>
    </row>
    <row r="113">
      <c r="O113" s="57" t="inlineStr">
        <is>
          <t>2603105V</t>
        </is>
      </c>
      <c r="P113" s="57" t="inlineStr">
        <is>
          <t>Cochlear - AGM - 26.10.26</t>
        </is>
      </c>
      <c r="Q113" s="57" t="inlineStr">
        <is>
          <t>VIDEO</t>
        </is>
      </c>
    </row>
    <row r="114">
      <c r="O114" s="57" t="inlineStr">
        <is>
          <t>2603202</t>
        </is>
      </c>
      <c r="P114" s="57" t="inlineStr">
        <is>
          <t>Property NSW 5 O’Keefe Ave Nowra Workplace Hub</t>
        </is>
      </c>
      <c r="Q114" s="57" t="inlineStr">
        <is>
          <t>INTEGRATION</t>
        </is>
      </c>
    </row>
    <row r="115">
      <c r="O115" s="57" t="inlineStr">
        <is>
          <t>26032301</t>
        </is>
      </c>
      <c r="P115" s="57" t="inlineStr">
        <is>
          <t>RSNSW - OGM - 1.7.2026</t>
        </is>
      </c>
      <c r="Q115" s="57" t="inlineStr">
        <is>
          <t>PRODUCTION</t>
        </is>
      </c>
    </row>
    <row r="116">
      <c r="O116" s="57" t="inlineStr">
        <is>
          <t>26032301V</t>
        </is>
      </c>
      <c r="P116" s="57" t="inlineStr">
        <is>
          <t>RSNSW - OGM - 1.7.2026</t>
        </is>
      </c>
      <c r="Q116" s="57" t="inlineStr">
        <is>
          <t>VIDEO</t>
        </is>
      </c>
    </row>
    <row r="117">
      <c r="O117" s="57" t="inlineStr">
        <is>
          <t>26032302</t>
        </is>
      </c>
      <c r="P117" s="57" t="inlineStr">
        <is>
          <t>RSNSW - OGM - 2.9.2026</t>
        </is>
      </c>
      <c r="Q117" s="57" t="inlineStr">
        <is>
          <t>PRODUCTION</t>
        </is>
      </c>
    </row>
    <row r="118">
      <c r="O118" s="57" t="inlineStr">
        <is>
          <t>26032302V</t>
        </is>
      </c>
      <c r="P118" s="57" t="inlineStr">
        <is>
          <t>RSNSW - OGM - 2.9.2026</t>
        </is>
      </c>
      <c r="Q118" s="57" t="inlineStr">
        <is>
          <t>VIDEO</t>
        </is>
      </c>
    </row>
    <row r="119">
      <c r="O119" s="57" t="inlineStr">
        <is>
          <t>26032501</t>
        </is>
      </c>
      <c r="P119" s="57" t="inlineStr">
        <is>
          <t>ChorusCall - Regal Partners AGM - 28.5.26</t>
        </is>
      </c>
      <c r="Q119" s="57" t="inlineStr">
        <is>
          <t>PRODUCTION</t>
        </is>
      </c>
    </row>
    <row r="120">
      <c r="O120" s="57" t="inlineStr">
        <is>
          <t>26032502</t>
        </is>
      </c>
      <c r="P120" s="57" t="inlineStr">
        <is>
          <t>3YS Owls - Governance Top 100 2026 - 30.10.26</t>
        </is>
      </c>
      <c r="Q120" s="57" t="inlineStr">
        <is>
          <t>PRODUCTION</t>
        </is>
      </c>
    </row>
    <row r="121">
      <c r="O121" s="57" t="inlineStr">
        <is>
          <t>26032502V</t>
        </is>
      </c>
      <c r="P121" s="57" t="inlineStr">
        <is>
          <t>3YS Owls - Governance Top 100 2026 - 30.10.26</t>
        </is>
      </c>
      <c r="Q121" s="57" t="inlineStr">
        <is>
          <t>VIDEO</t>
        </is>
      </c>
    </row>
    <row r="122">
      <c r="O122" s="57" t="inlineStr">
        <is>
          <t>26032701</t>
        </is>
      </c>
      <c r="P122" s="57" t="inlineStr">
        <is>
          <t>MUFG - A1N AGM - 7.5.26</t>
        </is>
      </c>
      <c r="Q122" s="57" t="inlineStr">
        <is>
          <t>PRODUCTION</t>
        </is>
      </c>
    </row>
    <row r="123">
      <c r="O123" s="57" t="inlineStr">
        <is>
          <t>26032701V</t>
        </is>
      </c>
      <c r="P123" s="57" t="inlineStr">
        <is>
          <t>MUFG - A1N AGM - 7.5.26</t>
        </is>
      </c>
      <c r="Q123" s="57" t="inlineStr">
        <is>
          <t>VIDEO</t>
        </is>
      </c>
    </row>
    <row r="124">
      <c r="O124" s="57" t="inlineStr">
        <is>
          <t>26032702</t>
        </is>
      </c>
      <c r="P124" s="57" t="inlineStr">
        <is>
          <t>Ventia Transport Australia and Ventia Networking 6.5.26</t>
        </is>
      </c>
      <c r="Q124" s="57" t="inlineStr">
        <is>
          <t>PRODUCTION</t>
        </is>
      </c>
    </row>
    <row r="125">
      <c r="O125" s="57" t="inlineStr">
        <is>
          <t>26032704</t>
        </is>
      </c>
      <c r="P125" s="57" t="inlineStr">
        <is>
          <t>CBA LES - April 2026</t>
        </is>
      </c>
      <c r="Q125" s="57" t="inlineStr">
        <is>
          <t>PRODUCTION</t>
        </is>
      </c>
    </row>
    <row r="126">
      <c r="O126" s="57" t="inlineStr">
        <is>
          <t>26033003</t>
        </is>
      </c>
      <c r="P126" s="57" t="inlineStr">
        <is>
          <t>DTTL 8PSQ Dream Big Microphones</t>
        </is>
      </c>
      <c r="Q126" s="57" t="inlineStr">
        <is>
          <t>INTEGRATION</t>
        </is>
      </c>
    </row>
    <row r="127">
      <c r="O127" s="57" t="inlineStr">
        <is>
          <t>26033004</t>
        </is>
      </c>
      <c r="P127" s="57" t="inlineStr">
        <is>
          <t>DTTL Melbourne Bluetooth Audio</t>
        </is>
      </c>
      <c r="Q127" s="57" t="inlineStr">
        <is>
          <t>INTEGRATION</t>
        </is>
      </c>
    </row>
    <row r="128">
      <c r="O128" s="57" t="inlineStr">
        <is>
          <t>26033005</t>
        </is>
      </c>
      <c r="P128" s="57" t="inlineStr">
        <is>
          <t>DTTL QQT &amp; 8PSQ Crestron Connect Adaptor</t>
        </is>
      </c>
      <c r="Q128" s="57" t="inlineStr">
        <is>
          <t>INTEGRATION</t>
        </is>
      </c>
    </row>
    <row r="129">
      <c r="O129" s="57" t="inlineStr">
        <is>
          <t>26033006</t>
        </is>
      </c>
      <c r="P129" s="57" t="inlineStr">
        <is>
          <t>DTTL 8PSQ Bluetooth Audio</t>
        </is>
      </c>
      <c r="Q129" s="57" t="inlineStr">
        <is>
          <t>INTEGRATION</t>
        </is>
      </c>
    </row>
    <row r="130">
      <c r="O130" s="57" t="inlineStr">
        <is>
          <t>26033007</t>
        </is>
      </c>
      <c r="P130" s="57" t="inlineStr">
        <is>
          <t>DTTL QQT Lv45 Seminar Wheels repair</t>
        </is>
      </c>
      <c r="Q130" s="57" t="inlineStr">
        <is>
          <t>INTEGRATION</t>
        </is>
      </c>
    </row>
    <row r="131">
      <c r="O131" s="57" t="inlineStr">
        <is>
          <t>26033008</t>
        </is>
      </c>
      <c r="P131" s="57" t="inlineStr">
        <is>
          <t>DTTL MEL Repair of Lv31 LED panels</t>
        </is>
      </c>
      <c r="Q131" s="57" t="inlineStr">
        <is>
          <t>INTEGRATION</t>
        </is>
      </c>
    </row>
    <row r="132">
      <c r="O132" s="57" t="inlineStr">
        <is>
          <t>26041603</t>
        </is>
      </c>
      <c r="P132" s="57" t="inlineStr">
        <is>
          <t>Optiver - Town Hall - 23.7.26</t>
        </is>
      </c>
      <c r="Q132" s="57" t="inlineStr">
        <is>
          <t>PRODUCTION</t>
        </is>
      </c>
    </row>
    <row r="133">
      <c r="O133" s="57" t="inlineStr">
        <is>
          <t>26041603V</t>
        </is>
      </c>
      <c r="P133" s="57" t="inlineStr">
        <is>
          <t>Optiver - Town Hall - 23.7.26</t>
        </is>
      </c>
      <c r="Q133" s="57" t="inlineStr">
        <is>
          <t>VIDEO</t>
        </is>
      </c>
    </row>
    <row r="134">
      <c r="O134" s="57" t="inlineStr">
        <is>
          <t>26041701</t>
        </is>
      </c>
      <c r="P134" s="57" t="inlineStr">
        <is>
          <t>N2 Dance End of Year Concert Videos 2026</t>
        </is>
      </c>
      <c r="Q134" s="57" t="inlineStr">
        <is>
          <t>VIDEO</t>
        </is>
      </c>
    </row>
    <row r="135">
      <c r="O135" s="57" t="inlineStr">
        <is>
          <t>26042001</t>
        </is>
      </c>
      <c r="P135" s="57" t="inlineStr">
        <is>
          <t>ASX - AGM - 22.10.26</t>
        </is>
      </c>
      <c r="Q135" s="57" t="inlineStr">
        <is>
          <t>PRODUCTION</t>
        </is>
      </c>
    </row>
    <row r="136">
      <c r="O136" s="57" t="inlineStr">
        <is>
          <t>26042001V</t>
        </is>
      </c>
      <c r="P136" s="57" t="inlineStr">
        <is>
          <t>ASX - AGM - 22.10.26</t>
        </is>
      </c>
      <c r="Q136" s="57" t="inlineStr">
        <is>
          <t>VIDEO</t>
        </is>
      </c>
    </row>
    <row r="137">
      <c r="O137" s="57" t="inlineStr">
        <is>
          <t>2604201</t>
        </is>
      </c>
      <c r="P137" s="57" t="inlineStr">
        <is>
          <t>Bankwest - Stage Hire - 27.5.2026</t>
        </is>
      </c>
      <c r="Q137" s="57" t="inlineStr">
        <is>
          <t>PRODUCTION</t>
        </is>
      </c>
    </row>
    <row r="138">
      <c r="O138" s="57" t="inlineStr">
        <is>
          <t>2604202</t>
        </is>
      </c>
      <c r="P138" s="57" t="inlineStr">
        <is>
          <t>Ventia - Ventia Awards - 30.7.26</t>
        </is>
      </c>
      <c r="Q138" s="57" t="inlineStr">
        <is>
          <t>PRODUCTION</t>
        </is>
      </c>
    </row>
    <row r="139">
      <c r="O139" s="57" t="inlineStr">
        <is>
          <t>2604202V</t>
        </is>
      </c>
      <c r="P139" s="57" t="inlineStr">
        <is>
          <t>Ventia - Ventia Awards - 30.7.26</t>
        </is>
      </c>
      <c r="Q139" s="57" t="inlineStr">
        <is>
          <t>VIDEO</t>
        </is>
      </c>
    </row>
    <row r="140">
      <c r="O140" s="57" t="inlineStr">
        <is>
          <t>2604203V</t>
        </is>
      </c>
      <c r="P140" s="57" t="inlineStr">
        <is>
          <t>Ventia - Investor Day - 4.5.2026</t>
        </is>
      </c>
      <c r="Q140" s="57" t="inlineStr">
        <is>
          <t>VIDEO</t>
        </is>
      </c>
    </row>
    <row r="141">
      <c r="O141" s="57" t="inlineStr">
        <is>
          <t>2604204</t>
        </is>
      </c>
      <c r="P141" s="57" t="inlineStr">
        <is>
          <t>Ventia - AGM - 21.5.26</t>
        </is>
      </c>
      <c r="Q141" s="57" t="inlineStr">
        <is>
          <t>PRODUCTION</t>
        </is>
      </c>
    </row>
    <row r="142">
      <c r="O142" s="57" t="inlineStr">
        <is>
          <t>2604204V</t>
        </is>
      </c>
      <c r="P142" s="57" t="inlineStr">
        <is>
          <t>Ventia - AGM - 21.5.26</t>
        </is>
      </c>
      <c r="Q142" s="57" t="inlineStr">
        <is>
          <t>VIDEO</t>
        </is>
      </c>
    </row>
    <row r="143">
      <c r="O143" s="57" t="inlineStr">
        <is>
          <t>26042802</t>
        </is>
      </c>
      <c r="P143" s="57" t="inlineStr">
        <is>
          <t>DTTL DAR Meeting Room Extension Cable Install</t>
        </is>
      </c>
      <c r="Q143" s="57" t="inlineStr">
        <is>
          <t>INTEGRATION</t>
        </is>
      </c>
    </row>
    <row r="144">
      <c r="O144" s="57" t="inlineStr">
        <is>
          <t>26043001</t>
        </is>
      </c>
      <c r="P144" s="57" t="inlineStr">
        <is>
          <t>CBA FT Tech MEL - 12 months</t>
        </is>
      </c>
      <c r="Q144" s="57" t="inlineStr">
        <is>
          <t>ONSITE</t>
        </is>
      </c>
    </row>
    <row r="145">
      <c r="O145" s="57" t="inlineStr">
        <is>
          <t>26043002</t>
        </is>
      </c>
      <c r="P145" s="57" t="inlineStr">
        <is>
          <t>CTS Town Hall</t>
        </is>
      </c>
      <c r="Q145" s="57" t="inlineStr">
        <is>
          <t>CTS</t>
        </is>
      </c>
    </row>
    <row r="146">
      <c r="O146" s="57" t="inlineStr">
        <is>
          <t>26043003</t>
        </is>
      </c>
      <c r="P146" s="57" t="inlineStr">
        <is>
          <t>PwC Screen Replacements SYD+MEL</t>
        </is>
      </c>
      <c r="Q146" s="57" t="inlineStr">
        <is>
          <t>INTEGRATION</t>
        </is>
      </c>
    </row>
    <row r="147">
      <c r="O147" s="57" t="inlineStr">
        <is>
          <t>2604704</t>
        </is>
      </c>
      <c r="P147" s="57" t="inlineStr">
        <is>
          <t>Aware Super Seminar Room Audio Upgrade</t>
        </is>
      </c>
      <c r="Q147" s="57" t="inlineStr">
        <is>
          <t>INTEGRATION</t>
        </is>
      </c>
    </row>
    <row r="148">
      <c r="O148" s="57" t="inlineStr">
        <is>
          <t>2604802</t>
        </is>
      </c>
      <c r="P148" s="57" t="inlineStr">
        <is>
          <t>PwC - Audio Support - 29.4.26</t>
        </is>
      </c>
      <c r="Q148" s="57" t="inlineStr">
        <is>
          <t>PRODUCTION</t>
        </is>
      </c>
    </row>
    <row r="149">
      <c r="O149" s="57" t="inlineStr">
        <is>
          <t>26051101</t>
        </is>
      </c>
      <c r="P149" s="57" t="inlineStr">
        <is>
          <t>DTTL Mardi Gras/Vivid Event 27/05/26</t>
        </is>
      </c>
      <c r="Q149" s="57" t="inlineStr">
        <is>
          <t>PRODUCTION</t>
        </is>
      </c>
    </row>
    <row r="150">
      <c r="O150" s="57" t="inlineStr">
        <is>
          <t>26051101V</t>
        </is>
      </c>
      <c r="P150" s="57" t="inlineStr">
        <is>
          <t>DTTL Mardi Gras/Vivid Event 27/05/26</t>
        </is>
      </c>
      <c r="Q150" s="57" t="inlineStr">
        <is>
          <t>VIDEO</t>
        </is>
      </c>
    </row>
    <row r="151">
      <c r="O151" s="57" t="inlineStr">
        <is>
          <t>26051102</t>
        </is>
      </c>
      <c r="P151" s="57" t="inlineStr">
        <is>
          <t>DTTL - CEO Roadshow - 1.6.26</t>
        </is>
      </c>
      <c r="Q151" s="57" t="inlineStr">
        <is>
          <t>PRODUCTION</t>
        </is>
      </c>
    </row>
    <row r="152">
      <c r="O152" s="57" t="inlineStr">
        <is>
          <t>26051102V</t>
        </is>
      </c>
      <c r="P152" s="57" t="inlineStr">
        <is>
          <t>DTTL - CEO Roadshow - 1.6.26</t>
        </is>
      </c>
      <c r="Q152" s="57" t="inlineStr">
        <is>
          <t>VIDEO</t>
        </is>
      </c>
    </row>
    <row r="153">
      <c r="O153" s="57" t="inlineStr">
        <is>
          <t>26051103</t>
        </is>
      </c>
      <c r="P153" s="57" t="inlineStr">
        <is>
          <t>PwC PER Studio Support 25.05.26</t>
        </is>
      </c>
      <c r="Q153" s="57" t="inlineStr">
        <is>
          <t>PRODUCTION</t>
        </is>
      </c>
    </row>
    <row r="154">
      <c r="O154" s="57" t="inlineStr">
        <is>
          <t>26051103V</t>
        </is>
      </c>
      <c r="P154" s="57" t="inlineStr">
        <is>
          <t>PwC PER Studio Support 25.05.26</t>
        </is>
      </c>
      <c r="Q154" s="57" t="inlineStr">
        <is>
          <t>VIDEO</t>
        </is>
      </c>
    </row>
    <row r="155">
      <c r="O155" s="57" t="inlineStr">
        <is>
          <t>26051201</t>
        </is>
      </c>
      <c r="P155" s="57" t="inlineStr">
        <is>
          <t>ASX CEO Farewell Highlights</t>
        </is>
      </c>
      <c r="Q155" s="57" t="inlineStr">
        <is>
          <t>VIDEO</t>
        </is>
      </c>
    </row>
    <row r="156">
      <c r="O156" s="57" t="inlineStr">
        <is>
          <t>26051301</t>
        </is>
      </c>
      <c r="P156" s="57" t="inlineStr">
        <is>
          <t>HP-BAE | Phone Mod</t>
        </is>
      </c>
      <c r="Q156" s="57" t="inlineStr">
        <is>
          <t>INTEGRATION</t>
        </is>
      </c>
    </row>
    <row r="157">
      <c r="O157" s="57" t="inlineStr">
        <is>
          <t>26051401</t>
        </is>
      </c>
      <c r="P157" s="57" t="inlineStr">
        <is>
          <t>ASX - Business Meeting - 27.5.26</t>
        </is>
      </c>
      <c r="Q157" s="57" t="inlineStr">
        <is>
          <t>PRODUCTION</t>
        </is>
      </c>
    </row>
    <row r="158">
      <c r="O158" s="57" t="inlineStr">
        <is>
          <t>26051401V</t>
        </is>
      </c>
      <c r="P158" s="57" t="inlineStr">
        <is>
          <t>ASX - Business Meeting - 27.5.26</t>
        </is>
      </c>
      <c r="Q158" s="57" t="inlineStr">
        <is>
          <t>VIDEO</t>
        </is>
      </c>
    </row>
    <row r="159">
      <c r="O159" s="57" t="inlineStr">
        <is>
          <t>26051402</t>
        </is>
      </c>
      <c r="P159" s="57" t="inlineStr">
        <is>
          <t>PwC Foldback Monitor Hire</t>
        </is>
      </c>
      <c r="Q159" s="57" t="inlineStr">
        <is>
          <t>PRODUCTION</t>
        </is>
      </c>
    </row>
    <row r="160">
      <c r="O160" s="57" t="inlineStr">
        <is>
          <t>26051801</t>
        </is>
      </c>
      <c r="P160" s="57" t="inlineStr">
        <is>
          <t>PwC | Mel Studio Equipment</t>
        </is>
      </c>
      <c r="Q160" s="57" t="inlineStr">
        <is>
          <t>INTEGRATION</t>
        </is>
      </c>
    </row>
    <row r="161">
      <c r="O161" s="57" t="inlineStr">
        <is>
          <t>26051803</t>
        </is>
      </c>
      <c r="P161" s="57" t="inlineStr">
        <is>
          <t>AVIT - Taronga ZOO AV Support - May 2026</t>
        </is>
      </c>
      <c r="Q161" s="57" t="inlineStr">
        <is>
          <t>PRODUCTION</t>
        </is>
      </c>
    </row>
    <row r="162">
      <c r="O162" s="57" t="inlineStr">
        <is>
          <t>26052001</t>
        </is>
      </c>
      <c r="P162" s="57" t="inlineStr">
        <is>
          <t>MeetMagic - AI Behaviour Event - 29.5.26</t>
        </is>
      </c>
      <c r="Q162" s="57" t="inlineStr">
        <is>
          <t>PRODUCTION</t>
        </is>
      </c>
    </row>
    <row r="163">
      <c r="O163" s="57" t="inlineStr">
        <is>
          <t>26052001V</t>
        </is>
      </c>
      <c r="P163" s="57" t="inlineStr">
        <is>
          <t>MeetMagic - AI Behaviour Event - 29.5.26</t>
        </is>
      </c>
      <c r="Q163" s="57" t="inlineStr">
        <is>
          <t>VIDEO</t>
        </is>
      </c>
    </row>
    <row r="164">
      <c r="O164" s="57" t="inlineStr">
        <is>
          <t>26052002</t>
        </is>
      </c>
      <c r="P164" s="57" t="inlineStr">
        <is>
          <t>DTTL BNE L23 Training Rooms Upgrade</t>
        </is>
      </c>
      <c r="Q164" s="57" t="inlineStr">
        <is>
          <t>INTEGRATION</t>
        </is>
      </c>
    </row>
    <row r="165">
      <c r="O165" s="57" t="inlineStr">
        <is>
          <t>26052003</t>
        </is>
      </c>
      <c r="P165" s="57" t="inlineStr">
        <is>
          <t>DTTL Mobile Commbox Displays</t>
        </is>
      </c>
      <c r="Q165" s="57" t="inlineStr">
        <is>
          <t>INTEGRATION</t>
        </is>
      </c>
    </row>
    <row r="166">
      <c r="O166" s="57" t="inlineStr">
        <is>
          <t>26052004</t>
        </is>
      </c>
      <c r="P166" s="57" t="inlineStr">
        <is>
          <t>CBA - Live Event Support - June 2026</t>
        </is>
      </c>
      <c r="Q166" s="57" t="inlineStr">
        <is>
          <t>PRODUCTION</t>
        </is>
      </c>
    </row>
    <row r="167">
      <c r="O167" s="57" t="inlineStr">
        <is>
          <t>26052101</t>
        </is>
      </c>
      <c r="P167" s="57" t="inlineStr">
        <is>
          <t>MeetMagic - Human AI Event Highlights</t>
        </is>
      </c>
      <c r="Q167" s="57" t="inlineStr">
        <is>
          <t>VIDEO</t>
        </is>
      </c>
    </row>
    <row r="168">
      <c r="O168" s="57" t="inlineStr">
        <is>
          <t>26052102</t>
        </is>
      </c>
      <c r="P168" s="57" t="inlineStr">
        <is>
          <t>HP-D3 | Austrac Phone Mods</t>
        </is>
      </c>
      <c r="Q168" s="57" t="inlineStr">
        <is>
          <t>INTEGRATION</t>
        </is>
      </c>
    </row>
    <row r="169">
      <c r="O169" s="57" t="inlineStr">
        <is>
          <t>26052103</t>
        </is>
      </c>
      <c r="P169" s="57" t="inlineStr">
        <is>
          <t>Ventia - LTI FY26 Video Record</t>
        </is>
      </c>
      <c r="Q169" s="57" t="inlineStr">
        <is>
          <t>VIDEO</t>
        </is>
      </c>
    </row>
    <row r="170">
      <c r="O170" s="57" t="inlineStr">
        <is>
          <t>26052501V</t>
        </is>
      </c>
      <c r="P170" s="57" t="inlineStr">
        <is>
          <t>AVIT - Taronga AV Event Support - 26-27.5.26</t>
        </is>
      </c>
      <c r="Q170" s="57" t="inlineStr">
        <is>
          <t>VIDEO</t>
        </is>
      </c>
    </row>
    <row r="171">
      <c r="O171" s="57" t="inlineStr">
        <is>
          <t>26052502</t>
        </is>
      </c>
      <c r="P171" s="57" t="inlineStr">
        <is>
          <t>AVIT - Taronga AV Event Support 4-5.06.26</t>
        </is>
      </c>
      <c r="Q171" s="57" t="inlineStr">
        <is>
          <t>PRODUCTION</t>
        </is>
      </c>
    </row>
    <row r="172">
      <c r="O172" s="57" t="inlineStr">
        <is>
          <t>26052502V</t>
        </is>
      </c>
      <c r="P172" s="57" t="inlineStr">
        <is>
          <t>AVIT - Taronga AV Event Support 4-5.06.26</t>
        </is>
      </c>
      <c r="Q172" s="57" t="inlineStr">
        <is>
          <t>VIDEO</t>
        </is>
      </c>
    </row>
    <row r="173">
      <c r="O173" s="57" t="inlineStr">
        <is>
          <t>26052602</t>
        </is>
      </c>
      <c r="P173" s="57" t="inlineStr">
        <is>
          <t>DTTL MEL Display Supply</t>
        </is>
      </c>
      <c r="Q173" s="57" t="inlineStr">
        <is>
          <t>INTEGRATION</t>
        </is>
      </c>
    </row>
    <row r="174">
      <c r="O174" s="57" t="inlineStr">
        <is>
          <t>26052701</t>
        </is>
      </c>
      <c r="P174" s="57" t="inlineStr">
        <is>
          <t>Aware | SYD 28.06 Equipment</t>
        </is>
      </c>
      <c r="Q174" s="57" t="inlineStr">
        <is>
          <t>INTEGRATION</t>
        </is>
      </c>
    </row>
    <row r="175">
      <c r="O175" s="57" t="inlineStr">
        <is>
          <t>26052702</t>
        </is>
      </c>
      <c r="P175" s="57" t="inlineStr">
        <is>
          <t>ASX - FYR - 13.8.26</t>
        </is>
      </c>
      <c r="Q175" s="57" t="inlineStr">
        <is>
          <t>PRODUCTION</t>
        </is>
      </c>
    </row>
    <row r="176">
      <c r="O176" s="57" t="inlineStr">
        <is>
          <t>26052702V</t>
        </is>
      </c>
      <c r="P176" s="57" t="inlineStr">
        <is>
          <t>ASX - FYR - 13.8.26</t>
        </is>
      </c>
      <c r="Q176" s="57" t="inlineStr">
        <is>
          <t>VIDEO</t>
        </is>
      </c>
    </row>
    <row r="177">
      <c r="O177" s="57" t="inlineStr">
        <is>
          <t>26052703</t>
        </is>
      </c>
      <c r="P177" s="57" t="inlineStr">
        <is>
          <t>Microsoft Town Hall - 21.7.26</t>
        </is>
      </c>
      <c r="Q177" s="57" t="inlineStr">
        <is>
          <t>PRODUCTION</t>
        </is>
      </c>
    </row>
    <row r="178">
      <c r="O178" s="57" t="inlineStr">
        <is>
          <t>26052703V</t>
        </is>
      </c>
      <c r="P178" s="57" t="inlineStr">
        <is>
          <t>Microsoft Town Hall - 21.7.26</t>
        </is>
      </c>
      <c r="Q178" s="57" t="inlineStr">
        <is>
          <t>VIDEO</t>
        </is>
      </c>
    </row>
    <row r="179">
      <c r="O179" s="57" t="inlineStr">
        <is>
          <t>26052704</t>
        </is>
      </c>
      <c r="P179" s="57" t="inlineStr">
        <is>
          <t>AVIT - Pinsent Masons Technician Callout</t>
        </is>
      </c>
      <c r="Q179" s="57" t="inlineStr">
        <is>
          <t>ONSITE</t>
        </is>
      </c>
    </row>
    <row r="180">
      <c r="O180" s="57" t="inlineStr">
        <is>
          <t>26052901</t>
        </is>
      </c>
      <c r="P180" s="57" t="inlineStr">
        <is>
          <t>Causeway Productions - Stool Hire - 1.6.27</t>
        </is>
      </c>
      <c r="Q180" s="57" t="inlineStr">
        <is>
          <t>PRODUCTION</t>
        </is>
      </c>
    </row>
    <row r="181">
      <c r="O181" s="57" t="inlineStr">
        <is>
          <t>26052901V</t>
        </is>
      </c>
      <c r="P181" s="57" t="inlineStr">
        <is>
          <t>Causeway Productions - Stool Hire - 1.6.27</t>
        </is>
      </c>
      <c r="Q181" s="57" t="inlineStr">
        <is>
          <t>VIDEO</t>
        </is>
      </c>
    </row>
    <row r="182">
      <c r="O182" s="57" t="inlineStr">
        <is>
          <t>2605401</t>
        </is>
      </c>
      <c r="P182" s="57" t="inlineStr">
        <is>
          <t>AGL FYR - Investor Briefing - 12.8.26</t>
        </is>
      </c>
      <c r="Q182" s="57" t="inlineStr">
        <is>
          <t>PRODUCTION</t>
        </is>
      </c>
    </row>
    <row r="183">
      <c r="O183" s="57" t="inlineStr">
        <is>
          <t>2605401V</t>
        </is>
      </c>
      <c r="P183" s="57" t="inlineStr">
        <is>
          <t>AGL FYR - Investor Briefing - 12.8.26</t>
        </is>
      </c>
      <c r="Q183" s="57" t="inlineStr">
        <is>
          <t>VIDEO</t>
        </is>
      </c>
    </row>
    <row r="184">
      <c r="O184" s="57" t="inlineStr">
        <is>
          <t>2605402</t>
        </is>
      </c>
      <c r="P184" s="57" t="inlineStr">
        <is>
          <t>AGL FYR - Employee Town Hall - 12.8.26</t>
        </is>
      </c>
      <c r="Q184" s="57" t="inlineStr">
        <is>
          <t>PRODUCTION</t>
        </is>
      </c>
    </row>
    <row r="185">
      <c r="O185" s="57" t="inlineStr">
        <is>
          <t>2605402V</t>
        </is>
      </c>
      <c r="P185" s="57" t="inlineStr">
        <is>
          <t>AGL FYR - Employee Town Hall - 12.8.26</t>
        </is>
      </c>
      <c r="Q185" s="57" t="inlineStr">
        <is>
          <t>VIDEO</t>
        </is>
      </c>
    </row>
    <row r="186">
      <c r="O186" s="57" t="inlineStr">
        <is>
          <t>2605403</t>
        </is>
      </c>
      <c r="P186" s="57" t="inlineStr">
        <is>
          <t>ARUP - Oves Awards - 23.7.26</t>
        </is>
      </c>
      <c r="Q186" s="57" t="inlineStr">
        <is>
          <t>PRODUCTION</t>
        </is>
      </c>
    </row>
    <row r="187">
      <c r="O187" s="57" t="inlineStr">
        <is>
          <t>2605403V</t>
        </is>
      </c>
      <c r="P187" s="57" t="inlineStr">
        <is>
          <t>ARUP - Oves Awards - 23.7.26</t>
        </is>
      </c>
      <c r="Q187" s="57" t="inlineStr">
        <is>
          <t>VIDEO</t>
        </is>
      </c>
    </row>
    <row r="188">
      <c r="O188" s="57" t="inlineStr">
        <is>
          <t>2605501</t>
        </is>
      </c>
      <c r="P188" s="57" t="inlineStr">
        <is>
          <t>DTTL Tech Support AWS AP AI Symposium</t>
        </is>
      </c>
      <c r="Q188" s="57" t="inlineStr">
        <is>
          <t>ONSITE</t>
        </is>
      </c>
    </row>
    <row r="189">
      <c r="O189" s="57" t="inlineStr">
        <is>
          <t>2605502</t>
        </is>
      </c>
      <c r="P189" s="57" t="inlineStr">
        <is>
          <t>CBA BNE - Event Support - 13.5.26</t>
        </is>
      </c>
      <c r="Q189" s="57" t="inlineStr">
        <is>
          <t>PRODUCTION</t>
        </is>
      </c>
    </row>
    <row r="190">
      <c r="O190" s="57" t="inlineStr">
        <is>
          <t>2605502V</t>
        </is>
      </c>
      <c r="P190" s="57" t="inlineStr">
        <is>
          <t>CBA BNE - Event Support - 13.5.26</t>
        </is>
      </c>
      <c r="Q190" s="57" t="inlineStr">
        <is>
          <t>VIDEO</t>
        </is>
      </c>
    </row>
    <row r="191">
      <c r="O191" s="57" t="inlineStr">
        <is>
          <t>2605503</t>
        </is>
      </c>
      <c r="P191" s="57" t="inlineStr">
        <is>
          <t>DTTL L31 reception Led Wall Audio DSP Repair</t>
        </is>
      </c>
      <c r="Q191" s="57" t="inlineStr">
        <is>
          <t>INTEGRATION</t>
        </is>
      </c>
    </row>
    <row r="192">
      <c r="O192" s="57" t="inlineStr">
        <is>
          <t>2605605</t>
        </is>
      </c>
      <c r="P192" s="57" t="inlineStr">
        <is>
          <t>DTTL Hobart AV Fitout</t>
        </is>
      </c>
      <c r="Q192" s="57" t="inlineStr">
        <is>
          <t>INTEGRATION</t>
        </is>
      </c>
    </row>
    <row r="193">
      <c r="O193" s="57" t="inlineStr">
        <is>
          <t>2605606</t>
        </is>
      </c>
      <c r="P193" s="57" t="inlineStr">
        <is>
          <t>Ventia Internal Townhall 8.05.26</t>
        </is>
      </c>
      <c r="Q193" s="57" t="inlineStr">
        <is>
          <t>PRODUCTION</t>
        </is>
      </c>
    </row>
    <row r="194">
      <c r="O194" s="57" t="inlineStr">
        <is>
          <t>2605606V</t>
        </is>
      </c>
      <c r="P194" s="57" t="inlineStr">
        <is>
          <t>Ventia Internal Townhall 8.05.26</t>
        </is>
      </c>
      <c r="Q194" s="57" t="inlineStr">
        <is>
          <t>VIDEO</t>
        </is>
      </c>
    </row>
    <row r="195">
      <c r="O195" s="57" t="inlineStr">
        <is>
          <t>2605609</t>
        </is>
      </c>
      <c r="P195" s="57" t="inlineStr">
        <is>
          <t>ASX - CEO Farewell - 27.5.26</t>
        </is>
      </c>
      <c r="Q195" s="57" t="inlineStr">
        <is>
          <t>PRODUCTION</t>
        </is>
      </c>
    </row>
    <row r="196">
      <c r="O196" s="57" t="inlineStr">
        <is>
          <t>2605609V</t>
        </is>
      </c>
      <c r="P196" s="57" t="inlineStr">
        <is>
          <t>ASX - CEO Farewell - 27.5.26</t>
        </is>
      </c>
      <c r="Q196" s="57" t="inlineStr">
        <is>
          <t>VIDEO</t>
        </is>
      </c>
    </row>
    <row r="197">
      <c r="O197" s="57" t="inlineStr">
        <is>
          <t>2605610</t>
        </is>
      </c>
      <c r="P197" s="57" t="inlineStr">
        <is>
          <t>ASX CEO Farewell Additional Costs</t>
        </is>
      </c>
      <c r="Q197" s="57" t="inlineStr">
        <is>
          <t>PRODUCTION</t>
        </is>
      </c>
    </row>
    <row r="198">
      <c r="O198" s="57" t="inlineStr">
        <is>
          <t>2605704</t>
        </is>
      </c>
      <c r="P198" s="57" t="inlineStr">
        <is>
          <t>CBA CBPS Auditorium Upgrade</t>
        </is>
      </c>
      <c r="Q198" s="57" t="inlineStr">
        <is>
          <t>INTEGRATION</t>
        </is>
      </c>
    </row>
    <row r="199">
      <c r="O199" s="57" t="inlineStr">
        <is>
          <t>2605801</t>
        </is>
      </c>
      <c r="P199" s="57" t="inlineStr">
        <is>
          <t>Dimensional - AV Support - 3-4.6.26</t>
        </is>
      </c>
      <c r="Q199" s="57" t="inlineStr">
        <is>
          <t>PRODUCTION</t>
        </is>
      </c>
    </row>
    <row r="200">
      <c r="O200" s="57" t="inlineStr">
        <is>
          <t>2605803</t>
        </is>
      </c>
      <c r="P200" s="57" t="inlineStr">
        <is>
          <t>St Catherine's - Dedicated Tech - 12.6.26</t>
        </is>
      </c>
      <c r="Q200" s="57" t="inlineStr">
        <is>
          <t>PRODUCTION</t>
        </is>
      </c>
    </row>
    <row r="201">
      <c r="O201" s="57" t="inlineStr">
        <is>
          <t>2605804</t>
        </is>
      </c>
      <c r="P201" s="57" t="inlineStr">
        <is>
          <t>City of Sydney Supply of Barco Projector Shutters</t>
        </is>
      </c>
      <c r="Q201" s="57" t="inlineStr">
        <is>
          <t>INTEGRATION</t>
        </is>
      </c>
    </row>
    <row r="202">
      <c r="O202" s="57" t="inlineStr">
        <is>
          <t>2605806</t>
        </is>
      </c>
      <c r="P202" s="57" t="inlineStr">
        <is>
          <t>Aware Super AV Fitout @ 555 Collins Street MEL</t>
        </is>
      </c>
      <c r="Q202" s="57" t="inlineStr">
        <is>
          <t>INTEGRATION</t>
        </is>
      </c>
    </row>
    <row r="203">
      <c r="O203" s="57" t="inlineStr">
        <is>
          <t>26061001</t>
        </is>
      </c>
      <c r="P203" s="57" t="inlineStr">
        <is>
          <t>Garvan August All Clear Event 25.8.26</t>
        </is>
      </c>
      <c r="Q203" s="57" t="inlineStr">
        <is>
          <t>PRODUCTION</t>
        </is>
      </c>
    </row>
    <row r="204">
      <c r="O204" s="57" t="inlineStr">
        <is>
          <t>26061002</t>
        </is>
      </c>
      <c r="P204" s="57" t="inlineStr">
        <is>
          <t>Optiver - Fireside Event Support - 18.6.26</t>
        </is>
      </c>
      <c r="Q204" s="57" t="inlineStr">
        <is>
          <t>PRODUCTION</t>
        </is>
      </c>
    </row>
    <row r="205">
      <c r="O205" s="57" t="inlineStr">
        <is>
          <t>26061002V</t>
        </is>
      </c>
      <c r="P205" s="57" t="inlineStr">
        <is>
          <t>Optiver - Fireside Event Support - 18.6.26</t>
        </is>
      </c>
      <c r="Q205" s="57" t="inlineStr">
        <is>
          <t>VIDEO</t>
        </is>
      </c>
    </row>
    <row r="206">
      <c r="O206" s="57" t="inlineStr">
        <is>
          <t>26061102</t>
        </is>
      </c>
      <c r="P206" s="57" t="inlineStr">
        <is>
          <t>CSE Invest Sri Lanka | 16.8.26</t>
        </is>
      </c>
      <c r="Q206" s="57" t="inlineStr">
        <is>
          <t>PRODUCTION</t>
        </is>
      </c>
    </row>
    <row r="207">
      <c r="O207" s="57" t="inlineStr">
        <is>
          <t>26061102V</t>
        </is>
      </c>
      <c r="P207" s="57" t="inlineStr">
        <is>
          <t>CSE Invest Sri Lanka | 16.8.26</t>
        </is>
      </c>
      <c r="Q207" s="57" t="inlineStr">
        <is>
          <t>VIDEO</t>
        </is>
      </c>
    </row>
    <row r="208">
      <c r="O208" s="57" t="inlineStr">
        <is>
          <t>26061103</t>
        </is>
      </c>
      <c r="P208" s="57" t="inlineStr">
        <is>
          <t>Circadia Australia Elevate | 14.8.26</t>
        </is>
      </c>
      <c r="Q208" s="57" t="inlineStr">
        <is>
          <t>PRODUCTION</t>
        </is>
      </c>
    </row>
    <row r="209">
      <c r="O209" s="57" t="inlineStr">
        <is>
          <t>26061103V</t>
        </is>
      </c>
      <c r="P209" s="57" t="inlineStr">
        <is>
          <t>Circadia Australia Elevate | 14.8.26</t>
        </is>
      </c>
      <c r="Q209" s="57" t="inlineStr">
        <is>
          <t>VIDEO</t>
        </is>
      </c>
    </row>
    <row r="210">
      <c r="O210" s="57" t="inlineStr">
        <is>
          <t>26061104</t>
        </is>
      </c>
      <c r="P210" s="57" t="inlineStr">
        <is>
          <t>MUFG - FYR26 - 12.8.26</t>
        </is>
      </c>
      <c r="Q210" s="57" t="inlineStr">
        <is>
          <t>PRODUCTION</t>
        </is>
      </c>
    </row>
    <row r="211">
      <c r="O211" s="57" t="inlineStr">
        <is>
          <t>26061104V</t>
        </is>
      </c>
      <c r="P211" s="57" t="inlineStr">
        <is>
          <t>MUFG - FYR26 - 12.8.26</t>
        </is>
      </c>
      <c r="Q211" s="57" t="inlineStr">
        <is>
          <t>VIDEO</t>
        </is>
      </c>
    </row>
    <row r="212">
      <c r="O212" s="57" t="inlineStr">
        <is>
          <t>26061105</t>
        </is>
      </c>
      <c r="P212" s="57" t="inlineStr">
        <is>
          <t>CBA - FYR 2026 - 12.8.26</t>
        </is>
      </c>
      <c r="Q212" s="57" t="inlineStr">
        <is>
          <t>PRODUCTION</t>
        </is>
      </c>
    </row>
    <row r="213">
      <c r="O213" s="57" t="inlineStr">
        <is>
          <t>26061105V</t>
        </is>
      </c>
      <c r="P213" s="57" t="inlineStr">
        <is>
          <t>CBA - FYR 2026 - 12.8.26</t>
        </is>
      </c>
      <c r="Q213" s="57" t="inlineStr">
        <is>
          <t>VIDEO</t>
        </is>
      </c>
    </row>
    <row r="214">
      <c r="O214" s="57" t="inlineStr">
        <is>
          <t>26061106</t>
        </is>
      </c>
      <c r="P214" s="57" t="inlineStr">
        <is>
          <t>TLC Full Year Results MEL</t>
        </is>
      </c>
      <c r="Q214" s="57" t="inlineStr">
        <is>
          <t>PRODUCTION</t>
        </is>
      </c>
    </row>
    <row r="215">
      <c r="O215" s="57" t="inlineStr">
        <is>
          <t>26061106V</t>
        </is>
      </c>
      <c r="P215" s="57" t="inlineStr">
        <is>
          <t>TLC Full Year Results MEL</t>
        </is>
      </c>
      <c r="Q215" s="57" t="inlineStr">
        <is>
          <t>VIDEO</t>
        </is>
      </c>
    </row>
    <row r="216">
      <c r="O216" s="57" t="inlineStr">
        <is>
          <t>26061107</t>
        </is>
      </c>
      <c r="P216" s="57" t="inlineStr">
        <is>
          <t>Downer - FYR 2026 - 20.8.26</t>
        </is>
      </c>
      <c r="Q216" s="57" t="inlineStr">
        <is>
          <t>PRODUCTION</t>
        </is>
      </c>
    </row>
    <row r="217">
      <c r="O217" s="57" t="inlineStr">
        <is>
          <t>26061107V</t>
        </is>
      </c>
      <c r="P217" s="57" t="inlineStr">
        <is>
          <t>Downer - FYR 2026 - 20.8.26</t>
        </is>
      </c>
      <c r="Q217" s="57" t="inlineStr">
        <is>
          <t>VIDEO</t>
        </is>
      </c>
    </row>
    <row r="218">
      <c r="O218" s="57" t="inlineStr">
        <is>
          <t>26061108</t>
        </is>
      </c>
      <c r="P218" s="57" t="inlineStr">
        <is>
          <t>APA - Qtly All Hands FYR26 - 20.8.26</t>
        </is>
      </c>
      <c r="Q218" s="57" t="inlineStr">
        <is>
          <t>PRODUCTION</t>
        </is>
      </c>
    </row>
    <row r="219">
      <c r="O219" s="57" t="inlineStr">
        <is>
          <t>26061108V</t>
        </is>
      </c>
      <c r="P219" s="57" t="inlineStr">
        <is>
          <t>APA - Qtly All Hands FYR26 - 20.8.26</t>
        </is>
      </c>
      <c r="Q219" s="57" t="inlineStr">
        <is>
          <t>VIDEO</t>
        </is>
      </c>
    </row>
    <row r="220">
      <c r="O220" s="57" t="inlineStr">
        <is>
          <t>26061109</t>
        </is>
      </c>
      <c r="P220" s="57" t="inlineStr">
        <is>
          <t>Ventia - FYR26 - 24.8.26</t>
        </is>
      </c>
      <c r="Q220" s="57" t="inlineStr">
        <is>
          <t>PRODUCTION</t>
        </is>
      </c>
    </row>
    <row r="221">
      <c r="O221" s="57" t="inlineStr">
        <is>
          <t>26061109V</t>
        </is>
      </c>
      <c r="P221" s="57" t="inlineStr">
        <is>
          <t>Ventia - FYR26 - 24.8.26</t>
        </is>
      </c>
      <c r="Q221" s="57" t="inlineStr">
        <is>
          <t>VIDEO</t>
        </is>
      </c>
    </row>
    <row r="222">
      <c r="O222" s="57" t="inlineStr">
        <is>
          <t>26061201</t>
        </is>
      </c>
      <c r="P222" s="57" t="inlineStr">
        <is>
          <t>PWC - Firmwide Webcast - 30.6.26</t>
        </is>
      </c>
      <c r="Q222" s="57" t="inlineStr">
        <is>
          <t>PRODUCTION</t>
        </is>
      </c>
    </row>
    <row r="223">
      <c r="O223" s="57" t="inlineStr">
        <is>
          <t>26061201V</t>
        </is>
      </c>
      <c r="P223" s="57" t="inlineStr">
        <is>
          <t>PWC - Firmwide Webcast - 30.6.26</t>
        </is>
      </c>
      <c r="Q223" s="57" t="inlineStr">
        <is>
          <t>VIDEO</t>
        </is>
      </c>
    </row>
    <row r="224">
      <c r="O224" s="57" t="inlineStr">
        <is>
          <t>26061202</t>
        </is>
      </c>
      <c r="P224" s="57" t="inlineStr">
        <is>
          <t>CBA AGM 2027</t>
        </is>
      </c>
      <c r="Q224" s="57" t="inlineStr">
        <is>
          <t>PRODUCTION</t>
        </is>
      </c>
    </row>
    <row r="225">
      <c r="O225" s="57" t="inlineStr">
        <is>
          <t>26061202V</t>
        </is>
      </c>
      <c r="P225" s="57" t="inlineStr">
        <is>
          <t>CBA AGM 2027</t>
        </is>
      </c>
      <c r="Q225" s="57" t="inlineStr">
        <is>
          <t>VIDEO</t>
        </is>
      </c>
    </row>
    <row r="226">
      <c r="O226" s="57" t="inlineStr">
        <is>
          <t>26061501</t>
        </is>
      </c>
      <c r="P226" s="57" t="inlineStr">
        <is>
          <t>DTTL MEL Lv29 Display Supply</t>
        </is>
      </c>
      <c r="Q226" s="57" t="inlineStr">
        <is>
          <t>INTEGRATION</t>
        </is>
      </c>
    </row>
    <row r="227">
      <c r="O227" s="57" t="inlineStr">
        <is>
          <t>26061602</t>
        </is>
      </c>
      <c r="P227" s="57" t="inlineStr">
        <is>
          <t>ASX - CEO Connect (Extended) - 1.9.26</t>
        </is>
      </c>
      <c r="Q227" s="57" t="inlineStr">
        <is>
          <t>PRODUCTION</t>
        </is>
      </c>
    </row>
    <row r="228">
      <c r="O228" s="57" t="inlineStr">
        <is>
          <t>26061602V</t>
        </is>
      </c>
      <c r="P228" s="57" t="inlineStr">
        <is>
          <t>ASX - CEO Connect (Extended) - 1.9.26</t>
        </is>
      </c>
      <c r="Q228" s="57" t="inlineStr">
        <is>
          <t>VIDEO</t>
        </is>
      </c>
    </row>
    <row r="229">
      <c r="O229" s="57" t="inlineStr">
        <is>
          <t>26061605</t>
        </is>
      </c>
      <c r="P229" s="57" t="inlineStr">
        <is>
          <t>MUFG - IBM Ltd AGM - 27.10.26</t>
        </is>
      </c>
      <c r="Q229" s="57" t="inlineStr">
        <is>
          <t>PRODUCTION</t>
        </is>
      </c>
    </row>
    <row r="230">
      <c r="O230" s="57" t="inlineStr">
        <is>
          <t>26061605V</t>
        </is>
      </c>
      <c r="P230" s="57" t="inlineStr">
        <is>
          <t>MUFG - IBM Ltd AGM - 27.10.26</t>
        </is>
      </c>
      <c r="Q230" s="57" t="inlineStr">
        <is>
          <t>VIDEO</t>
        </is>
      </c>
    </row>
    <row r="231">
      <c r="O231" s="57" t="inlineStr">
        <is>
          <t>26061606</t>
        </is>
      </c>
      <c r="P231" s="57" t="inlineStr">
        <is>
          <t>MUFG - Endeavour AGM - 30.10.26</t>
        </is>
      </c>
      <c r="Q231" s="57" t="inlineStr">
        <is>
          <t>PRODUCTION</t>
        </is>
      </c>
    </row>
    <row r="232">
      <c r="O232" s="57" t="inlineStr">
        <is>
          <t>26061606V</t>
        </is>
      </c>
      <c r="P232" s="57" t="inlineStr">
        <is>
          <t>MUFG - Endeavour AGM - 30.10.26</t>
        </is>
      </c>
      <c r="Q232" s="57" t="inlineStr">
        <is>
          <t>VIDEO</t>
        </is>
      </c>
    </row>
    <row r="233">
      <c r="O233" s="57" t="inlineStr">
        <is>
          <t>26061607</t>
        </is>
      </c>
      <c r="P233" s="57" t="inlineStr">
        <is>
          <t>APA - Qtly All Hands (BNE) - 4.11.26</t>
        </is>
      </c>
      <c r="Q233" s="57" t="inlineStr">
        <is>
          <t>PRODUCTION</t>
        </is>
      </c>
    </row>
    <row r="234">
      <c r="O234" s="57" t="inlineStr">
        <is>
          <t>26061607V</t>
        </is>
      </c>
      <c r="P234" s="57" t="inlineStr">
        <is>
          <t>APA - Qtly All Hands (BNE) - 4.11.26</t>
        </is>
      </c>
      <c r="Q234" s="57" t="inlineStr">
        <is>
          <t>VIDEO</t>
        </is>
      </c>
    </row>
    <row r="235">
      <c r="O235" s="57" t="inlineStr">
        <is>
          <t>26061608</t>
        </is>
      </c>
      <c r="P235" s="57" t="inlineStr">
        <is>
          <t>APA - Qtly All Hands Sydney - Feb 27</t>
        </is>
      </c>
      <c r="Q235" s="57" t="inlineStr">
        <is>
          <t>PRODUCTION</t>
        </is>
      </c>
    </row>
    <row r="236">
      <c r="O236" s="57" t="inlineStr">
        <is>
          <t>26061608V</t>
        </is>
      </c>
      <c r="P236" s="57" t="inlineStr">
        <is>
          <t>APA - Qtly All Hands Sydney - Feb 27</t>
        </is>
      </c>
      <c r="Q236" s="57" t="inlineStr">
        <is>
          <t>VIDEO</t>
        </is>
      </c>
    </row>
    <row r="237">
      <c r="O237" s="57" t="inlineStr">
        <is>
          <t>26061609</t>
        </is>
      </c>
      <c r="P237" s="57" t="inlineStr">
        <is>
          <t>APA Qtly All Hands Perth - May 2027</t>
        </is>
      </c>
      <c r="Q237" s="57" t="inlineStr">
        <is>
          <t>PRODUCTION</t>
        </is>
      </c>
    </row>
    <row r="238">
      <c r="O238" s="57" t="inlineStr">
        <is>
          <t>26061609V</t>
        </is>
      </c>
      <c r="P238" s="57" t="inlineStr">
        <is>
          <t>APA Qtly All Hands Perth - May 2027</t>
        </is>
      </c>
      <c r="Q238" s="57" t="inlineStr">
        <is>
          <t>VIDEO</t>
        </is>
      </c>
    </row>
    <row r="239">
      <c r="O239" s="57" t="inlineStr">
        <is>
          <t>26061611</t>
        </is>
      </c>
      <c r="P239" s="57" t="inlineStr">
        <is>
          <t>QBE - Keynote Event - 27.10.26</t>
        </is>
      </c>
      <c r="Q239" s="57" t="inlineStr">
        <is>
          <t>PRODUCTION</t>
        </is>
      </c>
    </row>
    <row r="240">
      <c r="O240" s="57" t="inlineStr">
        <is>
          <t>26061611V</t>
        </is>
      </c>
      <c r="P240" s="57" t="inlineStr">
        <is>
          <t>QBE - Keynote Event - 27.10.26</t>
        </is>
      </c>
      <c r="Q240" s="57" t="inlineStr">
        <is>
          <t>VIDEO</t>
        </is>
      </c>
    </row>
    <row r="241">
      <c r="O241" s="57" t="inlineStr">
        <is>
          <t>26061612</t>
        </is>
      </c>
      <c r="P241" s="57" t="inlineStr">
        <is>
          <t>Chorus Call - Redox AGM - 7.10.26</t>
        </is>
      </c>
      <c r="Q241" s="57" t="inlineStr">
        <is>
          <t>PRODUCTION</t>
        </is>
      </c>
    </row>
    <row r="242">
      <c r="O242" s="57" t="inlineStr">
        <is>
          <t>26061612V</t>
        </is>
      </c>
      <c r="P242" s="57" t="inlineStr">
        <is>
          <t>Chorus Call - Redox AGM - 7.10.26</t>
        </is>
      </c>
      <c r="Q242" s="57" t="inlineStr">
        <is>
          <t>VIDEO</t>
        </is>
      </c>
    </row>
    <row r="243">
      <c r="O243" s="57" t="inlineStr">
        <is>
          <t>26061701</t>
        </is>
      </c>
      <c r="P243" s="57" t="inlineStr">
        <is>
          <t>CBA - LES - July 2026</t>
        </is>
      </c>
      <c r="Q243" s="57" t="inlineStr">
        <is>
          <t>PRODUCTION</t>
        </is>
      </c>
    </row>
    <row r="244">
      <c r="O244" s="57" t="inlineStr">
        <is>
          <t>26061702</t>
        </is>
      </c>
      <c r="P244" s="57" t="inlineStr">
        <is>
          <t>Garvan - Morning Tea Event - 31.7.26</t>
        </is>
      </c>
      <c r="Q244" s="57" t="inlineStr">
        <is>
          <t>PRODUCTION</t>
        </is>
      </c>
    </row>
    <row r="245">
      <c r="O245" s="57" t="inlineStr">
        <is>
          <t>26061801</t>
        </is>
      </c>
      <c r="P245" s="57" t="inlineStr">
        <is>
          <t>APA - Investor Briefing FYR26 - 20.8.26</t>
        </is>
      </c>
      <c r="Q245" s="57" t="inlineStr">
        <is>
          <t>PRODUCTION</t>
        </is>
      </c>
    </row>
    <row r="246">
      <c r="O246" s="57" t="inlineStr">
        <is>
          <t>26061801V</t>
        </is>
      </c>
      <c r="P246" s="57" t="inlineStr">
        <is>
          <t>APA - Investor Briefing FYR26 - 20.8.26</t>
        </is>
      </c>
      <c r="Q246" s="57" t="inlineStr">
        <is>
          <t>VIDEO</t>
        </is>
      </c>
    </row>
    <row r="247">
      <c r="O247" s="57" t="inlineStr">
        <is>
          <t>26062201</t>
        </is>
      </c>
      <c r="P247" s="57" t="inlineStr">
        <is>
          <t>PWC - Tax &amp; Legal Webcast 02.07.26</t>
        </is>
      </c>
      <c r="Q247" s="57" t="inlineStr">
        <is>
          <t>PRODUCTION</t>
        </is>
      </c>
    </row>
    <row r="248">
      <c r="O248" s="57" t="inlineStr">
        <is>
          <t>26062201V</t>
        </is>
      </c>
      <c r="P248" s="57" t="inlineStr">
        <is>
          <t>PWC - Tax &amp; Legal Webcast 02.07.26</t>
        </is>
      </c>
      <c r="Q248" s="57" t="inlineStr">
        <is>
          <t>VIDEO</t>
        </is>
      </c>
    </row>
    <row r="249">
      <c r="O249" s="57" t="inlineStr">
        <is>
          <t>26062202</t>
        </is>
      </c>
      <c r="P249" s="57" t="inlineStr">
        <is>
          <t>PWC - Early Careers Webcast - 29.7.26</t>
        </is>
      </c>
      <c r="Q249" s="57" t="inlineStr">
        <is>
          <t>PRODUCTION</t>
        </is>
      </c>
    </row>
    <row r="250">
      <c r="O250" s="57" t="inlineStr">
        <is>
          <t>26062202V</t>
        </is>
      </c>
      <c r="P250" s="57" t="inlineStr">
        <is>
          <t>PWC - Early Careers Webcast - 29.7.26</t>
        </is>
      </c>
      <c r="Q250" s="57" t="inlineStr">
        <is>
          <t>VIDEO</t>
        </is>
      </c>
    </row>
    <row r="251">
      <c r="O251" s="57" t="inlineStr">
        <is>
          <t>26062403</t>
        </is>
      </c>
      <c r="P251" s="57" t="inlineStr">
        <is>
          <t>CBA - CommBank Private Hosting 25.6.26</t>
        </is>
      </c>
      <c r="Q251" s="57" t="inlineStr">
        <is>
          <t>PRODUCTION</t>
        </is>
      </c>
    </row>
    <row r="252">
      <c r="O252" s="57" t="inlineStr">
        <is>
          <t>26062403V</t>
        </is>
      </c>
      <c r="P252" s="57" t="inlineStr">
        <is>
          <t>CBA - CommBank Private Hosting 25.6.26</t>
        </is>
      </c>
      <c r="Q252" s="57" t="inlineStr">
        <is>
          <t>VIDEO</t>
        </is>
      </c>
    </row>
    <row r="253">
      <c r="O253" s="57" t="inlineStr">
        <is>
          <t>26062501</t>
        </is>
      </c>
      <c r="P253" s="57" t="inlineStr">
        <is>
          <t>DTTL STL Travel (SYD-MEL Return)</t>
        </is>
      </c>
      <c r="Q253" s="57" t="inlineStr">
        <is>
          <t>ONSITE</t>
        </is>
      </c>
    </row>
    <row r="254">
      <c r="O254" s="57" t="inlineStr">
        <is>
          <t>26062503</t>
        </is>
      </c>
      <c r="P254" s="57" t="inlineStr">
        <is>
          <t>Aware Super 24.16 UC Engine Replacement</t>
        </is>
      </c>
      <c r="Q254" s="57" t="inlineStr">
        <is>
          <t>INTEGRATION</t>
        </is>
      </c>
    </row>
    <row r="255">
      <c r="O255" s="57" t="inlineStr">
        <is>
          <t>26062601</t>
        </is>
      </c>
      <c r="P255" s="57" t="inlineStr">
        <is>
          <t>Ventia - XELT Event - 29.6.26</t>
        </is>
      </c>
      <c r="Q255" s="57" t="inlineStr">
        <is>
          <t>PRODUCTION</t>
        </is>
      </c>
    </row>
    <row r="256">
      <c r="O256" s="57" t="inlineStr">
        <is>
          <t>26062601V</t>
        </is>
      </c>
      <c r="P256" s="57" t="inlineStr">
        <is>
          <t>Ventia - XELT Event - 29.6.26</t>
        </is>
      </c>
      <c r="Q256" s="57" t="inlineStr">
        <is>
          <t>VIDEO</t>
        </is>
      </c>
    </row>
    <row r="257">
      <c r="O257" s="57" t="inlineStr">
        <is>
          <t>26062901</t>
        </is>
      </c>
      <c r="P257" s="57" t="inlineStr">
        <is>
          <t>Aware | SYD 28.06 Services</t>
        </is>
      </c>
      <c r="Q257" s="57" t="inlineStr">
        <is>
          <t>INTEGRATION</t>
        </is>
      </c>
    </row>
    <row r="258">
      <c r="O258" s="57" t="inlineStr">
        <is>
          <t>26062902</t>
        </is>
      </c>
      <c r="P258" s="57" t="inlineStr">
        <is>
          <t>Aware | SYD Occupancy Sensors</t>
        </is>
      </c>
      <c r="Q258" s="57" t="inlineStr">
        <is>
          <t>INTEGRATION</t>
        </is>
      </c>
    </row>
    <row r="259">
      <c r="O259" s="57" t="inlineStr">
        <is>
          <t>26063002</t>
        </is>
      </c>
      <c r="P259" s="57" t="inlineStr">
        <is>
          <t>CEOi - CEO Connect - 11.8.26</t>
        </is>
      </c>
      <c r="Q259" s="57" t="inlineStr">
        <is>
          <t>PRODUCTION</t>
        </is>
      </c>
    </row>
    <row r="260">
      <c r="O260" s="57" t="inlineStr">
        <is>
          <t>26063002V</t>
        </is>
      </c>
      <c r="P260" s="57" t="inlineStr">
        <is>
          <t>CEOi - CEO Connect - 11.8.26</t>
        </is>
      </c>
      <c r="Q260" s="57" t="inlineStr">
        <is>
          <t>VIDEO</t>
        </is>
      </c>
    </row>
    <row r="261">
      <c r="O261" s="57" t="inlineStr">
        <is>
          <t>2606401V</t>
        </is>
      </c>
      <c r="P261" s="57" t="inlineStr">
        <is>
          <t>PWC - NRW Webcast - 11.6.26</t>
        </is>
      </c>
      <c r="Q261" s="57" t="inlineStr">
        <is>
          <t>VIDEO</t>
        </is>
      </c>
    </row>
    <row r="262">
      <c r="O262" s="57" t="inlineStr">
        <is>
          <t>2606901</t>
        </is>
      </c>
      <c r="P262" s="57" t="inlineStr">
        <is>
          <t>PwC | Syd Studio Equipment</t>
        </is>
      </c>
      <c r="Q262" s="57" t="inlineStr">
        <is>
          <t>INTEGRATION</t>
        </is>
      </c>
    </row>
    <row r="263">
      <c r="O263" s="57" t="inlineStr">
        <is>
          <t>2606902</t>
        </is>
      </c>
      <c r="P263" s="57" t="inlineStr">
        <is>
          <t>AVIT - Taronga AV Support - 9-11.6.26</t>
        </is>
      </c>
      <c r="Q263" s="57" t="inlineStr">
        <is>
          <t>PRODUCTION</t>
        </is>
      </c>
    </row>
    <row r="264">
      <c r="O264" s="57" t="inlineStr">
        <is>
          <t>2606903</t>
        </is>
      </c>
      <c r="P264" s="57" t="inlineStr">
        <is>
          <t>Virgin FY26 Results</t>
        </is>
      </c>
      <c r="Q264" s="57" t="inlineStr">
        <is>
          <t>PRODUCTION</t>
        </is>
      </c>
    </row>
    <row r="265">
      <c r="O265" s="57" t="inlineStr">
        <is>
          <t>2606903V</t>
        </is>
      </c>
      <c r="P265" s="57" t="inlineStr">
        <is>
          <t>Virgin FY26 Results</t>
        </is>
      </c>
      <c r="Q265" s="57" t="inlineStr">
        <is>
          <t>VIDEO</t>
        </is>
      </c>
    </row>
    <row r="266">
      <c r="O266" s="57" t="inlineStr">
        <is>
          <t>2606904</t>
        </is>
      </c>
      <c r="P266" s="57" t="inlineStr">
        <is>
          <t>Symal - FYR26 (Melb) - 24.8.26</t>
        </is>
      </c>
      <c r="Q266" s="57" t="inlineStr">
        <is>
          <t>PRODUCTION</t>
        </is>
      </c>
    </row>
    <row r="267">
      <c r="O267" s="57" t="inlineStr">
        <is>
          <t>2606904V</t>
        </is>
      </c>
      <c r="P267" s="57" t="inlineStr">
        <is>
          <t>Symal - FYR26 (Melb) - 24.8.26</t>
        </is>
      </c>
      <c r="Q267" s="57" t="inlineStr">
        <is>
          <t>VIDEO</t>
        </is>
      </c>
    </row>
    <row r="268">
      <c r="O268" s="57" t="inlineStr">
        <is>
          <t>2606905</t>
        </is>
      </c>
      <c r="P268" s="57" t="inlineStr">
        <is>
          <t>Dimensional - Audio Tech Support - 22.6.26</t>
        </is>
      </c>
      <c r="Q268" s="57" t="inlineStr">
        <is>
          <t>PRODUCTION</t>
        </is>
      </c>
    </row>
    <row r="269">
      <c r="O269" s="57" t="inlineStr">
        <is>
          <t>2606906</t>
        </is>
      </c>
      <c r="P269" s="57" t="inlineStr">
        <is>
          <t>St Catherines Case Study Video Non-Chrgable</t>
        </is>
      </c>
      <c r="Q269" s="57" t="inlineStr">
        <is>
          <t>VIDEO</t>
        </is>
      </c>
    </row>
    <row r="270">
      <c r="O270" s="57" t="inlineStr">
        <is>
          <t>26071303</t>
        </is>
      </c>
      <c r="P270" s="57" t="inlineStr">
        <is>
          <t>Ventia - Melbourne Office Event - 30.7.26</t>
        </is>
      </c>
      <c r="Q270" s="57" t="inlineStr">
        <is>
          <t>PRODUCTION</t>
        </is>
      </c>
    </row>
    <row r="271">
      <c r="O271" s="57" t="inlineStr">
        <is>
          <t>26071304</t>
        </is>
      </c>
      <c r="P271" s="57" t="inlineStr">
        <is>
          <t>YSG | Orange Room Upgrade</t>
        </is>
      </c>
      <c r="Q271" s="57" t="inlineStr">
        <is>
          <t>INTEGRATION</t>
        </is>
      </c>
    </row>
    <row r="272">
      <c r="O272" s="57" t="inlineStr">
        <is>
          <t>26071403</t>
        </is>
      </c>
      <c r="P272" s="57" t="inlineStr">
        <is>
          <t>Elkiem - Studio Support - 4.11.26</t>
        </is>
      </c>
      <c r="Q272" s="57" t="inlineStr">
        <is>
          <t>PRODUCTION</t>
        </is>
      </c>
    </row>
    <row r="273">
      <c r="O273" s="57" t="inlineStr">
        <is>
          <t>26071404</t>
        </is>
      </c>
      <c r="P273" s="57" t="inlineStr">
        <is>
          <t>Elkiem - Studio Support - 9.12.26</t>
        </is>
      </c>
      <c r="Q273" s="57" t="inlineStr">
        <is>
          <t>PRODUCTION</t>
        </is>
      </c>
    </row>
    <row r="274">
      <c r="O274" s="57" t="inlineStr">
        <is>
          <t>26071405</t>
        </is>
      </c>
      <c r="P274" s="57" t="inlineStr">
        <is>
          <t>PWC - Event Technician - 29.7.26</t>
        </is>
      </c>
      <c r="Q274" s="57" t="inlineStr">
        <is>
          <t>PRODUCTION</t>
        </is>
      </c>
    </row>
    <row r="275">
      <c r="O275" s="57" t="inlineStr">
        <is>
          <t>26071501</t>
        </is>
      </c>
      <c r="P275" s="57" t="inlineStr">
        <is>
          <t>Ventia - Half Year Results Briefing - 24.8.26</t>
        </is>
      </c>
      <c r="Q275" s="57" t="inlineStr">
        <is>
          <t>PRODUCTION</t>
        </is>
      </c>
    </row>
    <row r="276">
      <c r="O276" s="57" t="inlineStr">
        <is>
          <t>26071501V</t>
        </is>
      </c>
      <c r="P276" s="57" t="inlineStr">
        <is>
          <t>Ventia - Half Year Results Briefing - 24.8.26</t>
        </is>
      </c>
      <c r="Q276" s="57" t="inlineStr">
        <is>
          <t>VIDEO</t>
        </is>
      </c>
    </row>
    <row r="277">
      <c r="O277" s="57" t="inlineStr">
        <is>
          <t>26071601</t>
        </is>
      </c>
      <c r="P277" s="57" t="inlineStr">
        <is>
          <t>Aware | PER | Barry Marshall and Albany Rooms BYOD USB-C Replcmnt</t>
        </is>
      </c>
      <c r="Q277" s="57" t="inlineStr">
        <is>
          <t>INTEGRATION</t>
        </is>
      </c>
    </row>
    <row r="278">
      <c r="O278" s="57" t="inlineStr">
        <is>
          <t>26071701</t>
        </is>
      </c>
      <c r="P278" s="57" t="inlineStr">
        <is>
          <t>ASX Live - 9.9.26</t>
        </is>
      </c>
      <c r="Q278" s="57" t="inlineStr">
        <is>
          <t>PRODUCTION</t>
        </is>
      </c>
    </row>
    <row r="279">
      <c r="O279" s="57" t="inlineStr">
        <is>
          <t>26071701V</t>
        </is>
      </c>
      <c r="P279" s="57" t="inlineStr">
        <is>
          <t>ASX Live - 9.9.26</t>
        </is>
      </c>
      <c r="Q279" s="57" t="inlineStr">
        <is>
          <t>VIDEO</t>
        </is>
      </c>
    </row>
    <row r="280">
      <c r="O280" s="57" t="inlineStr">
        <is>
          <t>26071901</t>
        </is>
      </c>
      <c r="P280" s="57" t="inlineStr">
        <is>
          <t>Elkiem - Studio Support - 11.8.26</t>
        </is>
      </c>
      <c r="Q280" s="57" t="inlineStr">
        <is>
          <t>PRODUCTION</t>
        </is>
      </c>
    </row>
    <row r="281">
      <c r="O281" s="57" t="inlineStr">
        <is>
          <t>26072003</t>
        </is>
      </c>
      <c r="P281" s="57" t="inlineStr">
        <is>
          <t>CBA Live Event Support August 2026</t>
        </is>
      </c>
      <c r="Q281" s="57" t="inlineStr">
        <is>
          <t>PRODUCTION</t>
        </is>
      </c>
    </row>
    <row r="282">
      <c r="O282" s="57" t="inlineStr">
        <is>
          <t>26072101</t>
        </is>
      </c>
      <c r="P282" s="57" t="inlineStr">
        <is>
          <t>Aware MEL 17.02 Amp Replacement</t>
        </is>
      </c>
      <c r="Q282" s="57" t="inlineStr">
        <is>
          <t>INTEGRATION</t>
        </is>
      </c>
    </row>
    <row r="283">
      <c r="O283" s="57" t="inlineStr">
        <is>
          <t>26072101</t>
        </is>
      </c>
      <c r="P283" s="57" t="inlineStr">
        <is>
          <t>Aware_Mel 17.02 Amp Replacement</t>
        </is>
      </c>
      <c r="Q283" s="57" t="inlineStr">
        <is>
          <t>INTEGRATION</t>
        </is>
      </c>
    </row>
    <row r="284">
      <c r="O284" s="57" t="inlineStr">
        <is>
          <t>26072102</t>
        </is>
      </c>
      <c r="P284" s="57" t="inlineStr">
        <is>
          <t>Ventia - RUOK? Day - 10.09.2026</t>
        </is>
      </c>
      <c r="Q284" s="57" t="inlineStr">
        <is>
          <t>PRODUCTION</t>
        </is>
      </c>
    </row>
    <row r="285">
      <c r="O285" s="57" t="inlineStr">
        <is>
          <t>26072102V</t>
        </is>
      </c>
      <c r="P285" s="57" t="inlineStr">
        <is>
          <t>Ventia - RUOK? Day - 10.09.2026</t>
        </is>
      </c>
      <c r="Q285" s="57" t="inlineStr">
        <is>
          <t>VIDEO</t>
        </is>
      </c>
    </row>
    <row r="286">
      <c r="O286" s="57" t="inlineStr">
        <is>
          <t>26072802</t>
        </is>
      </c>
      <c r="P286" s="57" t="inlineStr">
        <is>
          <t>ON24 KWM Sydney Event - 18.08.2026</t>
        </is>
      </c>
      <c r="Q286" s="57" t="inlineStr">
        <is>
          <t>PRODUCTION</t>
        </is>
      </c>
    </row>
    <row r="287">
      <c r="O287" s="57" t="inlineStr">
        <is>
          <t>26072802V</t>
        </is>
      </c>
      <c r="P287" s="57" t="inlineStr">
        <is>
          <t>ON24 KWM Sydney Event - 18.08.2026</t>
        </is>
      </c>
      <c r="Q287" s="57" t="inlineStr">
        <is>
          <t>VIDEO</t>
        </is>
      </c>
    </row>
    <row r="288">
      <c r="O288" s="57" t="inlineStr">
        <is>
          <t>26072902</t>
        </is>
      </c>
      <c r="P288" s="57" t="inlineStr">
        <is>
          <t>PWC AI Townhall 6.8.26</t>
        </is>
      </c>
      <c r="Q288" s="57" t="inlineStr">
        <is>
          <t>PRODUCTION</t>
        </is>
      </c>
    </row>
    <row r="289">
      <c r="O289" s="57" t="inlineStr">
        <is>
          <t>26072902V</t>
        </is>
      </c>
      <c r="P289" s="57" t="inlineStr">
        <is>
          <t>PWC AI Townhall 6.8.26</t>
        </is>
      </c>
      <c r="Q289" s="57" t="inlineStr">
        <is>
          <t>VIDEO</t>
        </is>
      </c>
    </row>
    <row r="290">
      <c r="O290" s="57" t="inlineStr">
        <is>
          <t>26072903</t>
        </is>
      </c>
      <c r="P290" s="57" t="inlineStr">
        <is>
          <t>PWC - GB Webcast - 11.8.26</t>
        </is>
      </c>
      <c r="Q290" s="57" t="inlineStr">
        <is>
          <t>PRODUCTION</t>
        </is>
      </c>
    </row>
    <row r="291">
      <c r="O291" s="57" t="inlineStr">
        <is>
          <t>26072903V</t>
        </is>
      </c>
      <c r="P291" s="57" t="inlineStr">
        <is>
          <t>PWC - GB Webcast - 11.8.26</t>
        </is>
      </c>
      <c r="Q291" s="57" t="inlineStr">
        <is>
          <t>VIDEO</t>
        </is>
      </c>
    </row>
    <row r="292">
      <c r="O292" s="57" t="inlineStr">
        <is>
          <t>26072906</t>
        </is>
      </c>
      <c r="P292" s="57" t="inlineStr">
        <is>
          <t>ASX Advisory Group on Corporate Governance</t>
        </is>
      </c>
      <c r="Q292" s="57" t="inlineStr">
        <is>
          <t>PRODUCTION</t>
        </is>
      </c>
    </row>
    <row r="293">
      <c r="O293" s="57" t="inlineStr">
        <is>
          <t>26072906V</t>
        </is>
      </c>
      <c r="P293" s="57" t="inlineStr">
        <is>
          <t>ASX Advisory Group on Corporate Governance</t>
        </is>
      </c>
      <c r="Q293" s="57" t="inlineStr">
        <is>
          <t>VIDEO</t>
        </is>
      </c>
    </row>
    <row r="294">
      <c r="O294" s="57" t="inlineStr">
        <is>
          <t>26073103</t>
        </is>
      </c>
      <c r="P294" s="57" t="inlineStr">
        <is>
          <t>DTTL PER AV &amp; Hospitality Tech (SEP26-FEB27)</t>
        </is>
      </c>
      <c r="Q294" s="57" t="inlineStr">
        <is>
          <t>ONSITE</t>
        </is>
      </c>
    </row>
    <row r="295">
      <c r="O295" s="57" t="inlineStr">
        <is>
          <t>26073103N</t>
        </is>
      </c>
      <c r="P295" s="57" t="inlineStr">
        <is>
          <t>DTTL PER AV &amp; Hospitality Tech (SEP26-FEB27) [ONS] non-chargeable</t>
        </is>
      </c>
      <c r="Q295" s="57" t="inlineStr"/>
    </row>
    <row r="296">
      <c r="O296" s="57" t="inlineStr">
        <is>
          <t>26073105</t>
        </is>
      </c>
      <c r="P296" s="57" t="inlineStr">
        <is>
          <t>Elkiem - Studio Support - 25.8.26</t>
        </is>
      </c>
      <c r="Q296" s="57" t="inlineStr">
        <is>
          <t>PRODUCTION</t>
        </is>
      </c>
    </row>
    <row r="297">
      <c r="O297" s="57" t="inlineStr">
        <is>
          <t>26073106</t>
        </is>
      </c>
      <c r="P297" s="57" t="inlineStr">
        <is>
          <t>Elkiem - Studio Support - 18.9.26</t>
        </is>
      </c>
      <c r="Q297" s="57" t="inlineStr">
        <is>
          <t>PRODUCTION</t>
        </is>
      </c>
    </row>
    <row r="298">
      <c r="O298" s="57" t="inlineStr">
        <is>
          <t>26073107</t>
        </is>
      </c>
      <c r="P298" s="57" t="inlineStr">
        <is>
          <t>DTTL Travel for Technician &amp; Coverage ADL-HOB</t>
        </is>
      </c>
      <c r="Q298" s="57" t="inlineStr">
        <is>
          <t>ONSITE</t>
        </is>
      </c>
    </row>
    <row r="299">
      <c r="O299" s="57" t="inlineStr">
        <is>
          <t>26073110</t>
        </is>
      </c>
      <c r="P299" s="57" t="inlineStr">
        <is>
          <t>Garvan - Weizmann Dinner Event - 20.8.26</t>
        </is>
      </c>
      <c r="Q299" s="57" t="inlineStr">
        <is>
          <t>PRODUCTION</t>
        </is>
      </c>
    </row>
    <row r="300">
      <c r="O300" s="57" t="inlineStr">
        <is>
          <t>26073110V</t>
        </is>
      </c>
      <c r="P300" s="57" t="inlineStr">
        <is>
          <t>Garvan - Weizmann Dinner Event - 20.8.26</t>
        </is>
      </c>
      <c r="Q300" s="57" t="inlineStr">
        <is>
          <t>VIDEO</t>
        </is>
      </c>
    </row>
    <row r="301">
      <c r="O301" s="57" t="inlineStr">
        <is>
          <t>26073111</t>
        </is>
      </c>
      <c r="P301" s="57" t="inlineStr">
        <is>
          <t>Downer - FYR &amp; Employee Webcast - 25.8.26</t>
        </is>
      </c>
      <c r="Q301" s="57" t="inlineStr">
        <is>
          <t>PRODUCTION</t>
        </is>
      </c>
    </row>
    <row r="302">
      <c r="O302" s="57" t="inlineStr">
        <is>
          <t>26073111V</t>
        </is>
      </c>
      <c r="P302" s="57" t="inlineStr">
        <is>
          <t>Downer - FYR &amp; Employee Webcast - 25.8.26</t>
        </is>
      </c>
      <c r="Q302" s="57" t="inlineStr">
        <is>
          <t>VIDEO</t>
        </is>
      </c>
    </row>
    <row r="303">
      <c r="O303" s="57" t="inlineStr">
        <is>
          <t>2607703</t>
        </is>
      </c>
      <c r="P303" s="57" t="inlineStr">
        <is>
          <t>Garvan - YPO Event - 6.8.2026</t>
        </is>
      </c>
      <c r="Q303" s="57" t="inlineStr">
        <is>
          <t>PRODUCTION</t>
        </is>
      </c>
    </row>
    <row r="304">
      <c r="O304" s="57" t="inlineStr">
        <is>
          <t>2607703V</t>
        </is>
      </c>
      <c r="P304" s="57" t="inlineStr">
        <is>
          <t>Garvan - YPO Event - 6.8.2026</t>
        </is>
      </c>
      <c r="Q304" s="57" t="inlineStr">
        <is>
          <t>VIDEO</t>
        </is>
      </c>
    </row>
    <row r="305">
      <c r="O305" s="57" t="inlineStr">
        <is>
          <t>2608101</t>
        </is>
      </c>
      <c r="P305" s="57" t="inlineStr">
        <is>
          <t>ART - AMM Captioning - 25.11.26</t>
        </is>
      </c>
      <c r="Q305" s="57" t="inlineStr">
        <is>
          <t>PRODUCTION</t>
        </is>
      </c>
    </row>
    <row r="306">
      <c r="O306" s="57" t="inlineStr">
        <is>
          <t>2608101V</t>
        </is>
      </c>
      <c r="P306" s="57" t="inlineStr">
        <is>
          <t>ART - AMM Captioning - 25.11.26</t>
        </is>
      </c>
      <c r="Q306" s="57" t="inlineStr">
        <is>
          <t>VIDEO</t>
        </is>
      </c>
    </row>
    <row r="307">
      <c r="O307" s="57" t="inlineStr">
        <is>
          <t>2608102</t>
        </is>
      </c>
      <c r="P307" s="57" t="inlineStr">
        <is>
          <t>ART - Education Session Captioning - 25.11.26</t>
        </is>
      </c>
      <c r="Q307" s="57" t="inlineStr">
        <is>
          <t>PRODUCTION</t>
        </is>
      </c>
    </row>
    <row r="308">
      <c r="O308" s="57" t="inlineStr">
        <is>
          <t>26081101</t>
        </is>
      </c>
      <c r="P308" s="57" t="inlineStr">
        <is>
          <t>Vega Global - Payments Forum - 17.9.26</t>
        </is>
      </c>
      <c r="Q308" s="57" t="inlineStr">
        <is>
          <t>PRODUCTION</t>
        </is>
      </c>
    </row>
    <row r="309">
      <c r="O309" s="57" t="inlineStr">
        <is>
          <t>26081302</t>
        </is>
      </c>
      <c r="P309" s="57" t="inlineStr">
        <is>
          <t>Ubank - Volunteer Day - 11.11.26</t>
        </is>
      </c>
      <c r="Q309" s="57" t="inlineStr">
        <is>
          <t>PRODUCTION</t>
        </is>
      </c>
    </row>
    <row r="310">
      <c r="O310" s="57" t="inlineStr">
        <is>
          <t>26081302V</t>
        </is>
      </c>
      <c r="P310" s="57" t="inlineStr">
        <is>
          <t>Ubank - Volunteer Day - 11.11.26</t>
        </is>
      </c>
      <c r="Q310" s="57" t="inlineStr">
        <is>
          <t>VIDEO</t>
        </is>
      </c>
    </row>
    <row r="311">
      <c r="O311" s="57" t="inlineStr">
        <is>
          <t>26081402</t>
        </is>
      </c>
      <c r="P311" s="57" t="inlineStr">
        <is>
          <t>Dimensional - AV Support - 19.8.26</t>
        </is>
      </c>
      <c r="Q311" s="57" t="inlineStr">
        <is>
          <t>PRODUCTION</t>
        </is>
      </c>
    </row>
    <row r="312">
      <c r="O312" s="57" t="inlineStr">
        <is>
          <t>26081801</t>
        </is>
      </c>
      <c r="P312" s="57" t="inlineStr">
        <is>
          <t>Microsoft - SME&amp;C Town Hall 14.10.2026</t>
        </is>
      </c>
      <c r="Q312" s="57" t="inlineStr">
        <is>
          <t>PRODUCTION</t>
        </is>
      </c>
    </row>
    <row r="313">
      <c r="O313" s="57" t="inlineStr">
        <is>
          <t>26081801V</t>
        </is>
      </c>
      <c r="P313" s="57" t="inlineStr">
        <is>
          <t>Microsoft - SME&amp;C Town Hall 14.10.2026</t>
        </is>
      </c>
      <c r="Q313" s="57" t="inlineStr">
        <is>
          <t>VIDEO</t>
        </is>
      </c>
    </row>
    <row r="314">
      <c r="O314" s="57" t="inlineStr">
        <is>
          <t>26081901</t>
        </is>
      </c>
      <c r="P314" s="57" t="inlineStr">
        <is>
          <t>AusPayNet Logitech Essentials for Room License Renewal</t>
        </is>
      </c>
      <c r="Q314" s="57" t="inlineStr">
        <is>
          <t>INTEGRATION</t>
        </is>
      </c>
    </row>
    <row r="315">
      <c r="O315" s="57" t="inlineStr">
        <is>
          <t>26081904</t>
        </is>
      </c>
      <c r="P315" s="57" t="inlineStr">
        <is>
          <t>Garvan - AllClear Program Meeting - 2.9.26</t>
        </is>
      </c>
      <c r="Q315" s="57" t="inlineStr">
        <is>
          <t>PRODUCTION</t>
        </is>
      </c>
    </row>
    <row r="316">
      <c r="O316" s="57" t="inlineStr">
        <is>
          <t>26082402</t>
        </is>
      </c>
      <c r="P316" s="57" t="inlineStr">
        <is>
          <t>TLC - 2026 AGM - 14.10.26</t>
        </is>
      </c>
      <c r="Q316" s="57" t="inlineStr">
        <is>
          <t>PRODUCTION</t>
        </is>
      </c>
    </row>
    <row r="317">
      <c r="O317" s="57" t="inlineStr">
        <is>
          <t>26082402V</t>
        </is>
      </c>
      <c r="P317" s="57" t="inlineStr">
        <is>
          <t>TLC - 2026 AGM - 14.10.26</t>
        </is>
      </c>
      <c r="Q317" s="57" t="inlineStr">
        <is>
          <t>VIDEO</t>
        </is>
      </c>
    </row>
    <row r="318">
      <c r="O318" s="57" t="inlineStr">
        <is>
          <t>26082501</t>
        </is>
      </c>
      <c r="P318" s="57" t="inlineStr">
        <is>
          <t>CBA - LES - September 2026</t>
        </is>
      </c>
      <c r="Q318" s="57" t="inlineStr">
        <is>
          <t>PRODUCTION</t>
        </is>
      </c>
    </row>
    <row r="319">
      <c r="O319" s="57" t="inlineStr">
        <is>
          <t>26082502</t>
        </is>
      </c>
      <c r="P319" s="57" t="inlineStr">
        <is>
          <t>ICC - Presenter &amp; Speaker Preparation - September 2026</t>
        </is>
      </c>
      <c r="Q319" s="57" t="inlineStr">
        <is>
          <t>PRODUCTION</t>
        </is>
      </c>
    </row>
    <row r="320">
      <c r="O320" s="57" t="inlineStr">
        <is>
          <t>26082502V</t>
        </is>
      </c>
      <c r="P320" s="57" t="inlineStr">
        <is>
          <t>ICC - Presenter &amp; Speaker Preparation - September 2026</t>
        </is>
      </c>
      <c r="Q320" s="57" t="inlineStr">
        <is>
          <t>VIDEO</t>
        </is>
      </c>
    </row>
    <row r="321">
      <c r="O321" s="57" t="inlineStr">
        <is>
          <t>26082702</t>
        </is>
      </c>
      <c r="P321" s="57" t="inlineStr">
        <is>
          <t>Garvan - Breast Cancer Public Lecture - 1.10.26</t>
        </is>
      </c>
      <c r="Q321" s="57" t="inlineStr">
        <is>
          <t>PRODUCTION</t>
        </is>
      </c>
    </row>
    <row r="322">
      <c r="O322" s="57" t="inlineStr">
        <is>
          <t>26082703</t>
        </is>
      </c>
      <c r="P322" s="57" t="inlineStr">
        <is>
          <t>APA - RUOK Day - 10.9.26</t>
        </is>
      </c>
      <c r="Q322" s="57" t="inlineStr">
        <is>
          <t>PRODUCTION</t>
        </is>
      </c>
    </row>
    <row r="323">
      <c r="O323" s="57" t="inlineStr">
        <is>
          <t>26082703V</t>
        </is>
      </c>
      <c r="P323" s="57" t="inlineStr">
        <is>
          <t>APA - RUOK Day - 10.9.26</t>
        </is>
      </c>
      <c r="Q323" s="57" t="inlineStr">
        <is>
          <t>VIDEO</t>
        </is>
      </c>
    </row>
    <row r="324">
      <c r="O324" s="57" t="inlineStr">
        <is>
          <t>26082704</t>
        </is>
      </c>
      <c r="P324" s="57" t="inlineStr">
        <is>
          <t>DTTL Travel for National STL &amp; Coverage SYD-PER</t>
        </is>
      </c>
      <c r="Q324" s="57" t="inlineStr">
        <is>
          <t>ONSITE</t>
        </is>
      </c>
    </row>
    <row r="325">
      <c r="O325" s="57" t="inlineStr">
        <is>
          <t>26082801</t>
        </is>
      </c>
      <c r="P325" s="57" t="inlineStr">
        <is>
          <t>Ricoh Australia - SHELL AV Support</t>
        </is>
      </c>
      <c r="Q325" s="57" t="inlineStr">
        <is>
          <t>ONSITE</t>
        </is>
      </c>
    </row>
    <row r="326">
      <c r="O326" s="57" t="inlineStr">
        <is>
          <t>2608402</t>
        </is>
      </c>
      <c r="P326" s="57" t="inlineStr">
        <is>
          <t>Garvan - Suttons Event - 15.10.26</t>
        </is>
      </c>
      <c r="Q326" s="57" t="inlineStr">
        <is>
          <t>PRODUCTION</t>
        </is>
      </c>
    </row>
    <row r="327">
      <c r="O327" s="57" t="inlineStr">
        <is>
          <t>2608404</t>
        </is>
      </c>
      <c r="P327" s="57" t="inlineStr">
        <is>
          <t>St Vincents Public Hospital - Awards Night - 26.8.25</t>
        </is>
      </c>
      <c r="Q327" s="57" t="inlineStr">
        <is>
          <t>PRODUCTION</t>
        </is>
      </c>
    </row>
    <row r="328">
      <c r="O328" s="57" t="inlineStr">
        <is>
          <t>2608404V</t>
        </is>
      </c>
      <c r="P328" s="57" t="inlineStr">
        <is>
          <t>St Vincents Public Hospital - Awards Night - 26.8.25</t>
        </is>
      </c>
      <c r="Q328" s="57" t="inlineStr">
        <is>
          <t>VIDEO</t>
        </is>
      </c>
    </row>
    <row r="329">
      <c r="O329" s="57" t="inlineStr">
        <is>
          <t>2608604</t>
        </is>
      </c>
      <c r="P329" s="57" t="inlineStr">
        <is>
          <t>ASX - FYR Employee Town Hall - 13.8.26</t>
        </is>
      </c>
      <c r="Q329" s="57" t="inlineStr">
        <is>
          <t>PRODUCTION</t>
        </is>
      </c>
    </row>
    <row r="330">
      <c r="O330" s="57" t="inlineStr">
        <is>
          <t>2608604V</t>
        </is>
      </c>
      <c r="P330" s="57" t="inlineStr">
        <is>
          <t>ASX - FYR Employee Town Hall - 13.8.26</t>
        </is>
      </c>
      <c r="Q330" s="57" t="inlineStr">
        <is>
          <t>VIDEO</t>
        </is>
      </c>
    </row>
    <row r="331">
      <c r="O331" s="57" t="inlineStr">
        <is>
          <t>2608701</t>
        </is>
      </c>
      <c r="P331" s="57" t="inlineStr">
        <is>
          <t>Elkeim - Studio Support - 10.9.26</t>
        </is>
      </c>
      <c r="Q331" s="57" t="inlineStr">
        <is>
          <t>PRODUCTION</t>
        </is>
      </c>
    </row>
    <row r="332">
      <c r="O332" s="57" t="inlineStr">
        <is>
          <t>2608702</t>
        </is>
      </c>
      <c r="P332" s="57" t="inlineStr">
        <is>
          <t>APA - Qtly All Hands SYD Screen Hire - 20.8.26</t>
        </is>
      </c>
      <c r="Q332" s="57" t="inlineStr">
        <is>
          <t>PRODUCTION</t>
        </is>
      </c>
    </row>
    <row r="333">
      <c r="O333" s="57" t="inlineStr">
        <is>
          <t>26091002</t>
        </is>
      </c>
      <c r="P333" s="57" t="inlineStr">
        <is>
          <t>GP - Talking Philanthropy - Event Videography 18.9.26</t>
        </is>
      </c>
      <c r="Q333" s="57" t="inlineStr">
        <is>
          <t>PRODUCTION</t>
        </is>
      </c>
    </row>
    <row r="334">
      <c r="O334" s="57" t="inlineStr">
        <is>
          <t>26091002V</t>
        </is>
      </c>
      <c r="P334" s="57" t="inlineStr">
        <is>
          <t>GP - Talking Philanthropy - Event Videography 18.9.26</t>
        </is>
      </c>
      <c r="Q334" s="57" t="inlineStr">
        <is>
          <t>VIDEO</t>
        </is>
      </c>
    </row>
    <row r="335">
      <c r="O335" s="57" t="inlineStr">
        <is>
          <t>26091601</t>
        </is>
      </c>
      <c r="P335" s="57" t="inlineStr">
        <is>
          <t>Automic - September All Hands - 25.9.26</t>
        </is>
      </c>
      <c r="Q335" s="57" t="inlineStr">
        <is>
          <t>PRODUCTION</t>
        </is>
      </c>
    </row>
    <row r="336">
      <c r="O336" s="57" t="inlineStr">
        <is>
          <t>26091601V</t>
        </is>
      </c>
      <c r="P336" s="57" t="inlineStr">
        <is>
          <t>Automic - September All Hands - 25.9.26</t>
        </is>
      </c>
      <c r="Q336" s="57" t="inlineStr">
        <is>
          <t>VIDEO</t>
        </is>
      </c>
    </row>
    <row r="337">
      <c r="O337" s="57" t="inlineStr">
        <is>
          <t>26091604</t>
        </is>
      </c>
      <c r="P337" s="57" t="inlineStr">
        <is>
          <t>The George Institute - SYD CV Symposium - 29-30.10.26</t>
        </is>
      </c>
      <c r="Q337" s="57" t="inlineStr">
        <is>
          <t>PRODUCTION</t>
        </is>
      </c>
    </row>
    <row r="338">
      <c r="O338" s="57" t="inlineStr">
        <is>
          <t>26091604V</t>
        </is>
      </c>
      <c r="P338" s="57" t="inlineStr">
        <is>
          <t>The George Institute - SYD CV Symposium - 29-30.10.26</t>
        </is>
      </c>
      <c r="Q338" s="57" t="inlineStr">
        <is>
          <t>VIDEO</t>
        </is>
      </c>
    </row>
    <row r="339">
      <c r="O339" s="57" t="inlineStr">
        <is>
          <t>2609402</t>
        </is>
      </c>
      <c r="P339" s="57" t="inlineStr">
        <is>
          <t>MUFG - SUN Investor Day - 29.10.26</t>
        </is>
      </c>
      <c r="Q339" s="57" t="inlineStr">
        <is>
          <t>PRODUCTION</t>
        </is>
      </c>
    </row>
    <row r="340">
      <c r="O340" s="57" t="inlineStr">
        <is>
          <t>2609402V</t>
        </is>
      </c>
      <c r="P340" s="57" t="inlineStr">
        <is>
          <t>MUFG - SUN Investor Day - 29.10.26</t>
        </is>
      </c>
      <c r="Q340" s="57" t="inlineStr">
        <is>
          <t>VIDEO</t>
        </is>
      </c>
    </row>
    <row r="341">
      <c r="O341" s="57" t="inlineStr">
        <is>
          <t>2609801</t>
        </is>
      </c>
      <c r="P341" s="57" t="inlineStr">
        <is>
          <t>Elkiem - Studio Support - 16.9.26</t>
        </is>
      </c>
      <c r="Q341" s="57" t="inlineStr">
        <is>
          <t>PRODUCTION</t>
        </is>
      </c>
    </row>
    <row r="342">
      <c r="O342" s="57" t="inlineStr">
        <is>
          <t>2645</t>
        </is>
      </c>
      <c r="P342" s="57" t="inlineStr">
        <is>
          <t>EY SYD Tech Support</t>
        </is>
      </c>
      <c r="Q342" s="57" t="inlineStr">
        <is>
          <t>ONSITE</t>
        </is>
      </c>
    </row>
    <row r="343">
      <c r="O343" s="57" t="inlineStr">
        <is>
          <t>2648</t>
        </is>
      </c>
      <c r="P343" s="57" t="inlineStr">
        <is>
          <t>DTTL MEL Additional Tech</t>
        </is>
      </c>
      <c r="Q343" s="57" t="inlineStr">
        <is>
          <t>ONSITE</t>
        </is>
      </c>
    </row>
    <row r="344">
      <c r="O344" s="57" t="inlineStr">
        <is>
          <t>2658</t>
        </is>
      </c>
      <c r="P344" s="57" t="inlineStr">
        <is>
          <t>EY MELB Tech</t>
        </is>
      </c>
      <c r="Q344" s="57" t="inlineStr">
        <is>
          <t>ONSITE</t>
        </is>
      </c>
    </row>
    <row r="345">
      <c r="O345" s="57" t="inlineStr">
        <is>
          <t>2675</t>
        </is>
      </c>
      <c r="P345" s="57" t="inlineStr">
        <is>
          <t>ONS EY (non-chargeable)</t>
        </is>
      </c>
      <c r="Q345" s="57" t="inlineStr"/>
    </row>
    <row r="346">
      <c r="O346" s="57" t="inlineStr">
        <is>
          <t>2685</t>
        </is>
      </c>
      <c r="P346" s="57" t="inlineStr">
        <is>
          <t>APA Proxyclick BNE &amp; DRW</t>
        </is>
      </c>
      <c r="Q346" s="57" t="inlineStr">
        <is>
          <t>INTEGRATION</t>
        </is>
      </c>
    </row>
    <row r="347">
      <c r="O347" s="57" t="inlineStr">
        <is>
          <t>2706</t>
        </is>
      </c>
      <c r="P347" s="57" t="inlineStr">
        <is>
          <t>EPA 6PSQ Proxyclick VMS</t>
        </is>
      </c>
      <c r="Q347" s="57" t="inlineStr">
        <is>
          <t>INTEGRATION</t>
        </is>
      </c>
    </row>
    <row r="348">
      <c r="O348" s="57" t="inlineStr">
        <is>
          <t>2719</t>
        </is>
      </c>
      <c r="P348" s="57" t="inlineStr">
        <is>
          <t>GSP - 6PSQProxyclickOnb</t>
        </is>
      </c>
      <c r="Q348" s="57" t="inlineStr">
        <is>
          <t>INTEGRATION</t>
        </is>
      </c>
    </row>
    <row r="349">
      <c r="O349" s="57" t="inlineStr">
        <is>
          <t>2722</t>
        </is>
      </c>
      <c r="P349" s="57" t="inlineStr">
        <is>
          <t>PWC Monthly Consulting</t>
        </is>
      </c>
      <c r="Q349" s="57" t="inlineStr">
        <is>
          <t>CONSULTING</t>
        </is>
      </c>
    </row>
    <row r="350">
      <c r="O350" s="57" t="inlineStr">
        <is>
          <t>2726</t>
        </is>
      </c>
      <c r="P350" s="57" t="inlineStr">
        <is>
          <t>KPMG MEL Tech</t>
        </is>
      </c>
      <c r="Q350" s="57" t="inlineStr">
        <is>
          <t>ONSITE</t>
        </is>
      </c>
    </row>
    <row r="351">
      <c r="O351" s="57" t="inlineStr">
        <is>
          <t>2756</t>
        </is>
      </c>
      <c r="P351" s="57" t="inlineStr">
        <is>
          <t>CTS Mgmt Meetings</t>
        </is>
      </c>
      <c r="Q351" s="57" t="inlineStr">
        <is>
          <t>CTS</t>
        </is>
      </c>
    </row>
    <row r="352">
      <c r="O352" s="57" t="inlineStr">
        <is>
          <t>2834</t>
        </is>
      </c>
      <c r="P352" s="57" t="inlineStr">
        <is>
          <t>APA Young - Visitor Mgmt</t>
        </is>
      </c>
      <c r="Q352" s="57" t="inlineStr">
        <is>
          <t>INTEGRATION</t>
        </is>
      </c>
    </row>
    <row r="353">
      <c r="O353" s="57" t="inlineStr">
        <is>
          <t>2838</t>
        </is>
      </c>
      <c r="P353" s="57" t="inlineStr">
        <is>
          <t>KPMG SYD Tech</t>
        </is>
      </c>
      <c r="Q353" s="57" t="inlineStr">
        <is>
          <t>ONSITE</t>
        </is>
      </c>
    </row>
    <row r="354">
      <c r="O354" s="57" t="inlineStr">
        <is>
          <t>2846</t>
        </is>
      </c>
      <c r="P354" s="57" t="inlineStr">
        <is>
          <t>DTTL National STL</t>
        </is>
      </c>
      <c r="Q354" s="57" t="inlineStr">
        <is>
          <t>ONSITE</t>
        </is>
      </c>
    </row>
    <row r="355">
      <c r="O355" s="57" t="inlineStr">
        <is>
          <t>2848</t>
        </is>
      </c>
      <c r="P355" s="57" t="inlineStr">
        <is>
          <t>APA ADL Visitor Mgmt</t>
        </is>
      </c>
      <c r="Q355" s="57" t="inlineStr">
        <is>
          <t>INTEGRATION</t>
        </is>
      </c>
    </row>
    <row r="356">
      <c r="O356" s="57" t="inlineStr">
        <is>
          <t>2849</t>
        </is>
      </c>
      <c r="P356" s="57" t="inlineStr">
        <is>
          <t>DTTL SYD Internal</t>
        </is>
      </c>
      <c r="Q356" s="57" t="inlineStr">
        <is>
          <t>ONSITE</t>
        </is>
      </c>
    </row>
    <row r="357">
      <c r="O357" s="57" t="inlineStr">
        <is>
          <t>2855</t>
        </is>
      </c>
      <c r="P357" s="57" t="inlineStr">
        <is>
          <t>APA Melbourne VMS</t>
        </is>
      </c>
      <c r="Q357" s="57" t="inlineStr">
        <is>
          <t>INTEGRATION</t>
        </is>
      </c>
    </row>
    <row r="358">
      <c r="O358" s="57" t="inlineStr">
        <is>
          <t>2857</t>
        </is>
      </c>
      <c r="P358" s="57" t="inlineStr">
        <is>
          <t>APA Sydney Visitor Mgmt</t>
        </is>
      </c>
      <c r="Q358" s="57" t="inlineStr">
        <is>
          <t>INTEGRATION</t>
        </is>
      </c>
    </row>
    <row r="359">
      <c r="O359" s="57" t="inlineStr">
        <is>
          <t>2877</t>
        </is>
      </c>
      <c r="P359" s="57" t="inlineStr">
        <is>
          <t>DEWR Maintenance Ext</t>
        </is>
      </c>
      <c r="Q359" s="57" t="inlineStr">
        <is>
          <t>INTEGRATION</t>
        </is>
      </c>
    </row>
    <row r="360">
      <c r="O360" s="57" t="inlineStr">
        <is>
          <t>2879</t>
        </is>
      </c>
      <c r="P360" s="57" t="inlineStr">
        <is>
          <t>ONS Ricoh-QANTAS (non-chgble)</t>
        </is>
      </c>
      <c r="Q360" s="57" t="inlineStr"/>
    </row>
    <row r="361">
      <c r="O361" s="57" t="inlineStr">
        <is>
          <t>2880</t>
        </is>
      </c>
      <c r="P361" s="57" t="inlineStr">
        <is>
          <t>Ricoh - QANTAS</t>
        </is>
      </c>
      <c r="Q361" s="57" t="inlineStr">
        <is>
          <t>ONSITE</t>
        </is>
      </c>
    </row>
    <row r="362">
      <c r="O362" s="57" t="inlineStr">
        <is>
          <t>2892</t>
        </is>
      </c>
      <c r="P362" s="57" t="inlineStr">
        <is>
          <t>JP Morgan Onsite Tech</t>
        </is>
      </c>
      <c r="Q362" s="57" t="inlineStr">
        <is>
          <t>ONSITE</t>
        </is>
      </c>
    </row>
    <row r="363">
      <c r="O363" s="57" t="inlineStr">
        <is>
          <t>2896</t>
        </is>
      </c>
      <c r="P363" s="57" t="inlineStr">
        <is>
          <t>ONS KPMG (non-chargeable)</t>
        </is>
      </c>
      <c r="Q363" s="57" t="inlineStr"/>
    </row>
    <row r="364">
      <c r="O364" s="57" t="inlineStr">
        <is>
          <t>2897</t>
        </is>
      </c>
      <c r="P364" s="57" t="inlineStr">
        <is>
          <t>ONS JPM (non-chargeable)</t>
        </is>
      </c>
      <c r="Q364" s="57" t="inlineStr"/>
    </row>
    <row r="365">
      <c r="O365" s="57" t="inlineStr">
        <is>
          <t>2900</t>
        </is>
      </c>
      <c r="P365" s="57" t="inlineStr">
        <is>
          <t>ONS Ammacus-Woolworths (non-chargeable)</t>
        </is>
      </c>
      <c r="Q365" s="57" t="inlineStr"/>
    </row>
    <row r="366">
      <c r="O366" s="57" t="inlineStr">
        <is>
          <t>2906</t>
        </is>
      </c>
      <c r="P366" s="57" t="inlineStr">
        <is>
          <t>KPMG BNE Tech</t>
        </is>
      </c>
      <c r="Q366" s="57" t="inlineStr">
        <is>
          <t>ONSITE</t>
        </is>
      </c>
    </row>
    <row r="367">
      <c r="O367" s="57" t="inlineStr">
        <is>
          <t>2907</t>
        </is>
      </c>
      <c r="P367" s="57" t="inlineStr">
        <is>
          <t>Ammacus-Woolworths Tech</t>
        </is>
      </c>
      <c r="Q367" s="57" t="inlineStr">
        <is>
          <t>ONSITE</t>
        </is>
      </c>
    </row>
    <row r="368">
      <c r="O368" s="57" t="inlineStr">
        <is>
          <t>2910</t>
        </is>
      </c>
      <c r="P368" s="57" t="inlineStr">
        <is>
          <t>Office Move 2024</t>
        </is>
      </c>
      <c r="Q368" s="57" t="inlineStr">
        <is>
          <t>CTS</t>
        </is>
      </c>
    </row>
    <row r="369">
      <c r="O369" s="57" t="inlineStr">
        <is>
          <t>2977</t>
        </is>
      </c>
      <c r="P369" s="57" t="inlineStr">
        <is>
          <t>St Catherine's School (CONS)</t>
        </is>
      </c>
      <c r="Q369" s="57" t="inlineStr"/>
    </row>
    <row r="370">
      <c r="O370" s="57" t="inlineStr">
        <is>
          <t>3014</t>
        </is>
      </c>
      <c r="P370" s="57" t="inlineStr">
        <is>
          <t>ONS Ricoh/Campari (Chargeable)</t>
        </is>
      </c>
      <c r="Q370" s="57" t="inlineStr"/>
    </row>
    <row r="371">
      <c r="O371" s="57" t="inlineStr">
        <is>
          <t>3015</t>
        </is>
      </c>
      <c r="P371" s="57" t="inlineStr">
        <is>
          <t>ONS Ricoh/Campari (Non Chgble)</t>
        </is>
      </c>
      <c r="Q371" s="57" t="inlineStr"/>
    </row>
    <row r="372">
      <c r="O372" s="57" t="inlineStr">
        <is>
          <t>3027</t>
        </is>
      </c>
      <c r="P372" s="57" t="inlineStr">
        <is>
          <t>DPIE Elizabeth St Booking</t>
        </is>
      </c>
      <c r="Q372" s="57" t="inlineStr">
        <is>
          <t>INTEGRATION</t>
        </is>
      </c>
    </row>
    <row r="373">
      <c r="O373" s="57" t="inlineStr">
        <is>
          <t>3028</t>
        </is>
      </c>
      <c r="P373" s="57" t="inlineStr">
        <is>
          <t>APA Kidman Park VMS</t>
        </is>
      </c>
      <c r="Q373" s="57" t="inlineStr">
        <is>
          <t>INTEGRATION</t>
        </is>
      </c>
    </row>
    <row r="374">
      <c r="O374" s="57" t="inlineStr">
        <is>
          <t>3034</t>
        </is>
      </c>
      <c r="P374" s="57" t="inlineStr">
        <is>
          <t>ARUP ONS (non-chargeable)</t>
        </is>
      </c>
      <c r="Q374" s="57" t="inlineStr"/>
    </row>
    <row r="375">
      <c r="O375" s="57" t="inlineStr">
        <is>
          <t>3035</t>
        </is>
      </c>
      <c r="P375" s="57" t="inlineStr">
        <is>
          <t>ARUP ONS National (Chargeable)</t>
        </is>
      </c>
      <c r="Q375" s="57" t="inlineStr"/>
    </row>
    <row r="376">
      <c r="O376" s="57" t="inlineStr">
        <is>
          <t>3040</t>
        </is>
      </c>
      <c r="P376" s="57" t="inlineStr">
        <is>
          <t>Corrs MELB Office Reloc</t>
        </is>
      </c>
      <c r="Q376" s="57" t="inlineStr">
        <is>
          <t>CONSULTING</t>
        </is>
      </c>
    </row>
    <row r="377">
      <c r="O377" s="57" t="inlineStr">
        <is>
          <t>3042</t>
        </is>
      </c>
      <c r="P377" s="57" t="inlineStr">
        <is>
          <t>Corrs-PER Office Reloc</t>
        </is>
      </c>
      <c r="Q377" s="57" t="inlineStr">
        <is>
          <t>CONSULTING</t>
        </is>
      </c>
    </row>
    <row r="378">
      <c r="O378" s="57" t="inlineStr">
        <is>
          <t>3046</t>
        </is>
      </c>
      <c r="P378" s="57" t="inlineStr">
        <is>
          <t>Stone&amp;Chalk ONS [chargeable]</t>
        </is>
      </c>
      <c r="Q378" s="57" t="inlineStr"/>
    </row>
    <row r="379">
      <c r="O379" s="57" t="inlineStr">
        <is>
          <t>3047</t>
        </is>
      </c>
      <c r="P379" s="57" t="inlineStr">
        <is>
          <t>Stone&amp;Chalk ONS [non-chargable]</t>
        </is>
      </c>
      <c r="Q379" s="57" t="inlineStr"/>
    </row>
    <row r="380">
      <c r="O380" s="57" t="inlineStr">
        <is>
          <t>3048</t>
        </is>
      </c>
      <c r="P380" s="57" t="inlineStr">
        <is>
          <t>Stone &amp; Chalk Audit 2</t>
        </is>
      </c>
      <c r="Q380" s="57" t="inlineStr">
        <is>
          <t>CONSULTING</t>
        </is>
      </c>
    </row>
    <row r="381">
      <c r="O381" s="57" t="inlineStr">
        <is>
          <t>3056</t>
        </is>
      </c>
      <c r="P381" s="57" t="inlineStr">
        <is>
          <t>AusPayNet Onsite [Chargeable]</t>
        </is>
      </c>
      <c r="Q381" s="57" t="inlineStr"/>
    </row>
    <row r="382">
      <c r="O382" s="57" t="inlineStr">
        <is>
          <t>3057</t>
        </is>
      </c>
      <c r="P382" s="57" t="inlineStr">
        <is>
          <t>AusPayNet ONS[Non-Chargeable]</t>
        </is>
      </c>
      <c r="Q382" s="57" t="inlineStr"/>
    </row>
    <row r="383">
      <c r="O383" s="57" t="inlineStr">
        <is>
          <t>3059</t>
        </is>
      </c>
      <c r="P383" s="57" t="inlineStr">
        <is>
          <t>CBA AGM 2025</t>
        </is>
      </c>
      <c r="Q383" s="57" t="inlineStr">
        <is>
          <t>PRODUCTION</t>
        </is>
      </c>
    </row>
    <row r="384">
      <c r="O384" s="57" t="inlineStr">
        <is>
          <t>3068</t>
        </is>
      </c>
      <c r="P384" s="57" t="inlineStr">
        <is>
          <t>DPIE Pitt and Penrith</t>
        </is>
      </c>
      <c r="Q384" s="57" t="inlineStr">
        <is>
          <t>INTEGRATION</t>
        </is>
      </c>
    </row>
    <row r="385">
      <c r="O385" s="57" t="inlineStr">
        <is>
          <t>3072</t>
        </is>
      </c>
      <c r="P385" s="57" t="inlineStr">
        <is>
          <t>APA Thomastown</t>
        </is>
      </c>
      <c r="Q385" s="57" t="inlineStr">
        <is>
          <t>INTEGRATION</t>
        </is>
      </c>
    </row>
    <row r="386">
      <c r="O386" s="57" t="inlineStr">
        <is>
          <t>585</t>
        </is>
      </c>
      <c r="P386" s="57" t="inlineStr">
        <is>
          <t>CBA Team Leader</t>
        </is>
      </c>
      <c r="Q386" s="57" t="inlineStr">
        <is>
          <t>ONSITE</t>
        </is>
      </c>
    </row>
    <row r="387">
      <c r="O387" s="57" t="inlineStr">
        <is>
          <t>586</t>
        </is>
      </c>
      <c r="P387" s="57" t="inlineStr">
        <is>
          <t>CBA Tech NP</t>
        </is>
      </c>
      <c r="Q387" s="57" t="inlineStr">
        <is>
          <t>ONSITE</t>
        </is>
      </c>
    </row>
    <row r="388">
      <c r="O388" s="57" t="inlineStr">
        <is>
          <t>587</t>
        </is>
      </c>
      <c r="P388" s="57" t="inlineStr">
        <is>
          <t>CBA Tech TN</t>
        </is>
      </c>
      <c r="Q388" s="57" t="inlineStr">
        <is>
          <t>ONSITE</t>
        </is>
      </c>
    </row>
    <row r="389">
      <c r="O389" s="57" t="inlineStr">
        <is>
          <t>724</t>
        </is>
      </c>
      <c r="P389" s="57" t="inlineStr">
        <is>
          <t>DTTL SYD NTSL</t>
        </is>
      </c>
      <c r="Q389" s="57" t="inlineStr">
        <is>
          <t>ONSITE</t>
        </is>
      </c>
    </row>
    <row r="390">
      <c r="O390" s="57" t="inlineStr">
        <is>
          <t>725</t>
        </is>
      </c>
      <c r="P390" s="57" t="inlineStr">
        <is>
          <t>DTTL Mel Tech FT 1</t>
        </is>
      </c>
      <c r="Q390" s="57" t="inlineStr">
        <is>
          <t>ONSITE</t>
        </is>
      </c>
    </row>
    <row r="391">
      <c r="O391" s="57" t="inlineStr">
        <is>
          <t>729</t>
        </is>
      </c>
      <c r="P391" s="57" t="inlineStr">
        <is>
          <t>DTTL Consulting</t>
        </is>
      </c>
      <c r="Q391" s="57" t="inlineStr">
        <is>
          <t>CONSULTING</t>
        </is>
      </c>
    </row>
    <row r="392">
      <c r="O392" s="57" t="inlineStr">
        <is>
          <t>732</t>
        </is>
      </c>
      <c r="P392" s="57" t="inlineStr">
        <is>
          <t>Bank West Contract</t>
        </is>
      </c>
      <c r="Q392" s="57" t="inlineStr">
        <is>
          <t>ONSITE</t>
        </is>
      </c>
    </row>
    <row r="393">
      <c r="O393" s="57" t="inlineStr">
        <is>
          <t>9000</t>
        </is>
      </c>
      <c r="P393" s="57" t="inlineStr">
        <is>
          <t>OFFICE / ADMIN</t>
        </is>
      </c>
      <c r="Q393" s="57" t="inlineStr">
        <is>
          <t>CTS</t>
        </is>
      </c>
    </row>
    <row r="394">
      <c r="O394" s="57" t="inlineStr">
        <is>
          <t>9001</t>
        </is>
      </c>
      <c r="P394" s="57" t="inlineStr">
        <is>
          <t>OFFICE/ADMIN Orientation</t>
        </is>
      </c>
      <c r="Q394" s="57" t="inlineStr">
        <is>
          <t>CTS</t>
        </is>
      </c>
    </row>
    <row r="395">
      <c r="O395" s="57" t="inlineStr">
        <is>
          <t>9050</t>
        </is>
      </c>
      <c r="P395" s="57" t="inlineStr">
        <is>
          <t>OFFICE ASSETS</t>
        </is>
      </c>
      <c r="Q395" s="57" t="inlineStr">
        <is>
          <t>CTS</t>
        </is>
      </c>
    </row>
    <row r="396">
      <c r="O396" s="57" t="inlineStr">
        <is>
          <t>9100</t>
        </is>
      </c>
      <c r="P396" s="57" t="inlineStr">
        <is>
          <t>PRODUCTION</t>
        </is>
      </c>
      <c r="Q396" s="57" t="inlineStr">
        <is>
          <t>PRODUCTION</t>
        </is>
      </c>
    </row>
    <row r="397">
      <c r="O397" s="57" t="inlineStr">
        <is>
          <t>9101</t>
        </is>
      </c>
      <c r="P397" s="57" t="inlineStr">
        <is>
          <t>PRODUCTION - Orientation</t>
        </is>
      </c>
      <c r="Q397" s="57" t="inlineStr">
        <is>
          <t>PRODUCTION</t>
        </is>
      </c>
    </row>
    <row r="398">
      <c r="O398" s="57" t="inlineStr">
        <is>
          <t>9102</t>
        </is>
      </c>
      <c r="P398" s="57" t="inlineStr">
        <is>
          <t>Production - Training</t>
        </is>
      </c>
      <c r="Q398" s="57" t="inlineStr">
        <is>
          <t>PRODUCTION</t>
        </is>
      </c>
    </row>
    <row r="399">
      <c r="O399" s="57" t="inlineStr">
        <is>
          <t>9105</t>
        </is>
      </c>
      <c r="P399" s="57" t="inlineStr">
        <is>
          <t>ONSITE (including PROD backup)</t>
        </is>
      </c>
      <c r="Q399" s="57" t="inlineStr"/>
    </row>
    <row r="400">
      <c r="O400" s="57" t="inlineStr">
        <is>
          <t>9106</t>
        </is>
      </c>
      <c r="P400" s="57" t="inlineStr">
        <is>
          <t>ONSITE - Orientation</t>
        </is>
      </c>
      <c r="Q400" s="57" t="inlineStr">
        <is>
          <t>ONSITE</t>
        </is>
      </c>
    </row>
    <row r="401">
      <c r="O401" s="57" t="inlineStr">
        <is>
          <t>9107</t>
        </is>
      </c>
      <c r="P401" s="57" t="inlineStr">
        <is>
          <t>ONSITE - Assets</t>
        </is>
      </c>
      <c r="Q401" s="57" t="inlineStr">
        <is>
          <t>ONSITE</t>
        </is>
      </c>
    </row>
    <row r="402">
      <c r="O402" s="57" t="inlineStr">
        <is>
          <t>9108</t>
        </is>
      </c>
      <c r="P402" s="57" t="inlineStr">
        <is>
          <t>ONSITE - Sales</t>
        </is>
      </c>
      <c r="Q402" s="57" t="inlineStr">
        <is>
          <t>ONSITE</t>
        </is>
      </c>
    </row>
    <row r="403">
      <c r="O403" s="57" t="inlineStr">
        <is>
          <t>9109</t>
        </is>
      </c>
      <c r="P403" s="57" t="inlineStr">
        <is>
          <t>ONSITE - Marketing</t>
        </is>
      </c>
      <c r="Q403" s="57" t="inlineStr">
        <is>
          <t>ONSITE</t>
        </is>
      </c>
    </row>
    <row r="404">
      <c r="O404" s="57" t="inlineStr">
        <is>
          <t>9125</t>
        </is>
      </c>
      <c r="P404" s="57" t="inlineStr">
        <is>
          <t>VIDEO DEPT</t>
        </is>
      </c>
      <c r="Q404" s="57" t="inlineStr">
        <is>
          <t>VIDEO</t>
        </is>
      </c>
    </row>
    <row r="405">
      <c r="O405" s="57" t="inlineStr">
        <is>
          <t>9126</t>
        </is>
      </c>
      <c r="P405" s="57" t="inlineStr">
        <is>
          <t>VIDEO - Orientation</t>
        </is>
      </c>
      <c r="Q405" s="57" t="inlineStr">
        <is>
          <t>VIDEO</t>
        </is>
      </c>
    </row>
    <row r="406">
      <c r="O406" s="57" t="inlineStr">
        <is>
          <t>9127</t>
        </is>
      </c>
      <c r="P406" s="57" t="inlineStr">
        <is>
          <t>VIDEO - Assets</t>
        </is>
      </c>
      <c r="Q406" s="57" t="inlineStr">
        <is>
          <t>VIDEO</t>
        </is>
      </c>
    </row>
    <row r="407">
      <c r="O407" s="57" t="inlineStr">
        <is>
          <t>9128</t>
        </is>
      </c>
      <c r="P407" s="57" t="inlineStr">
        <is>
          <t>VIDEO - Sales</t>
        </is>
      </c>
      <c r="Q407" s="57" t="inlineStr">
        <is>
          <t>VIDEO</t>
        </is>
      </c>
    </row>
    <row r="408">
      <c r="O408" s="57" t="inlineStr">
        <is>
          <t>9129</t>
        </is>
      </c>
      <c r="P408" s="57" t="inlineStr">
        <is>
          <t>VIDEO - Marketing</t>
        </is>
      </c>
      <c r="Q408" s="57" t="inlineStr">
        <is>
          <t>VIDEO</t>
        </is>
      </c>
    </row>
    <row r="409">
      <c r="O409" s="57" t="inlineStr">
        <is>
          <t>9150</t>
        </is>
      </c>
      <c r="P409" s="57" t="inlineStr">
        <is>
          <t>PRODUCTION - Assets</t>
        </is>
      </c>
      <c r="Q409" s="57" t="inlineStr">
        <is>
          <t>PRODUCTION</t>
        </is>
      </c>
    </row>
    <row r="410">
      <c r="O410" s="57" t="inlineStr">
        <is>
          <t>9175</t>
        </is>
      </c>
      <c r="P410" s="57" t="inlineStr">
        <is>
          <t>PRODUCTION - Sales</t>
        </is>
      </c>
      <c r="Q410" s="57" t="inlineStr">
        <is>
          <t>PRODUCTION</t>
        </is>
      </c>
    </row>
    <row r="411">
      <c r="O411" s="57" t="inlineStr">
        <is>
          <t>9176</t>
        </is>
      </c>
      <c r="P411" s="57" t="inlineStr">
        <is>
          <t>Production - Marketing</t>
        </is>
      </c>
      <c r="Q411" s="57" t="inlineStr">
        <is>
          <t>PRODUCTION</t>
        </is>
      </c>
    </row>
    <row r="412">
      <c r="O412" s="57" t="inlineStr">
        <is>
          <t>9178</t>
        </is>
      </c>
      <c r="P412" s="57" t="inlineStr">
        <is>
          <t>Production – Webcasts</t>
        </is>
      </c>
      <c r="Q412" s="57" t="inlineStr">
        <is>
          <t>PRODUCTION</t>
        </is>
      </c>
    </row>
    <row r="413">
      <c r="O413" s="57" t="inlineStr">
        <is>
          <t>9200</t>
        </is>
      </c>
      <c r="P413" s="57" t="inlineStr">
        <is>
          <t>INTEGRATION</t>
        </is>
      </c>
      <c r="Q413" s="57" t="inlineStr">
        <is>
          <t>INTEGRATION</t>
        </is>
      </c>
    </row>
    <row r="414">
      <c r="O414" s="57" t="inlineStr">
        <is>
          <t>9201</t>
        </is>
      </c>
      <c r="P414" s="57" t="inlineStr">
        <is>
          <t>INTEGRATION - Orientation [INT</t>
        </is>
      </c>
      <c r="Q414" s="57" t="inlineStr"/>
    </row>
    <row r="415">
      <c r="O415" s="57" t="inlineStr">
        <is>
          <t>9202</t>
        </is>
      </c>
      <c r="P415" s="57" t="inlineStr">
        <is>
          <t>INTEGRATION - Quotes</t>
        </is>
      </c>
      <c r="Q415" s="57" t="inlineStr">
        <is>
          <t>INTEGRATION</t>
        </is>
      </c>
    </row>
    <row r="416">
      <c r="O416" s="57" t="inlineStr">
        <is>
          <t>9225</t>
        </is>
      </c>
      <c r="P416" s="57" t="inlineStr">
        <is>
          <t>Integration - SALES</t>
        </is>
      </c>
      <c r="Q416" s="57" t="inlineStr">
        <is>
          <t>INTEGRATION</t>
        </is>
      </c>
    </row>
    <row r="417">
      <c r="O417" s="57" t="inlineStr">
        <is>
          <t>9226</t>
        </is>
      </c>
      <c r="P417" s="57" t="inlineStr">
        <is>
          <t>Integration - Marketing</t>
        </is>
      </c>
      <c r="Q417" s="57" t="inlineStr">
        <is>
          <t>INTEGRATION</t>
        </is>
      </c>
    </row>
    <row r="418">
      <c r="O418" s="57" t="inlineStr">
        <is>
          <t>9300</t>
        </is>
      </c>
      <c r="P418" s="57" t="inlineStr">
        <is>
          <t>HUMAN RESOURCES</t>
        </is>
      </c>
      <c r="Q418" s="57" t="inlineStr">
        <is>
          <t>CTS</t>
        </is>
      </c>
    </row>
    <row r="419">
      <c r="O419" s="57" t="inlineStr">
        <is>
          <t>9301</t>
        </is>
      </c>
      <c r="P419" s="57" t="inlineStr">
        <is>
          <t>Recruitment</t>
        </is>
      </c>
      <c r="Q419" s="57" t="inlineStr">
        <is>
          <t>CTS</t>
        </is>
      </c>
    </row>
    <row r="420">
      <c r="O420" s="57" t="inlineStr">
        <is>
          <t>9350</t>
        </is>
      </c>
      <c r="P420" s="57" t="inlineStr">
        <is>
          <t>MARKETING (external)</t>
        </is>
      </c>
      <c r="Q420" s="57" t="inlineStr">
        <is>
          <t>CTS</t>
        </is>
      </c>
    </row>
    <row r="421">
      <c r="O421" s="57" t="inlineStr">
        <is>
          <t>9375</t>
        </is>
      </c>
      <c r="P421" s="57" t="inlineStr">
        <is>
          <t>MARKETING / COMMS</t>
        </is>
      </c>
      <c r="Q421" s="57" t="inlineStr">
        <is>
          <t>CTS</t>
        </is>
      </c>
    </row>
    <row r="422">
      <c r="O422" s="57" t="inlineStr">
        <is>
          <t>9400</t>
        </is>
      </c>
      <c r="P422" s="57" t="inlineStr">
        <is>
          <t>CONSULTING</t>
        </is>
      </c>
      <c r="Q422" s="57" t="inlineStr">
        <is>
          <t>CONSULTING</t>
        </is>
      </c>
    </row>
    <row r="423">
      <c r="O423" s="57" t="inlineStr">
        <is>
          <t>9402</t>
        </is>
      </c>
      <c r="P423" s="57" t="inlineStr">
        <is>
          <t>CONSULTING - Assets</t>
        </is>
      </c>
      <c r="Q423" s="57" t="inlineStr">
        <is>
          <t>CONSULTING</t>
        </is>
      </c>
    </row>
    <row r="424">
      <c r="O424" s="57" t="inlineStr">
        <is>
          <t>9403</t>
        </is>
      </c>
      <c r="P424" s="57" t="inlineStr">
        <is>
          <t>CONSULTING - Sales</t>
        </is>
      </c>
      <c r="Q424" s="57" t="inlineStr">
        <is>
          <t>CONSULTING</t>
        </is>
      </c>
    </row>
    <row r="425">
      <c r="O425" s="57" t="inlineStr">
        <is>
          <t>9405</t>
        </is>
      </c>
      <c r="P425" s="57" t="inlineStr">
        <is>
          <t>CONSULTING - Marketing</t>
        </is>
      </c>
      <c r="Q425" s="57" t="inlineStr">
        <is>
          <t>CONSULTING</t>
        </is>
      </c>
    </row>
    <row r="426">
      <c r="O426" s="57" t="inlineStr">
        <is>
          <t>9407</t>
        </is>
      </c>
      <c r="P426" s="57" t="inlineStr">
        <is>
          <t>CONSULTING - Training</t>
        </is>
      </c>
      <c r="Q426" s="57" t="inlineStr">
        <is>
          <t>CONSULTING</t>
        </is>
      </c>
    </row>
    <row r="427">
      <c r="O427" s="57" t="inlineStr">
        <is>
          <t>974</t>
        </is>
      </c>
      <c r="P427" s="57" t="inlineStr">
        <is>
          <t>DTTL 1300 Number</t>
        </is>
      </c>
      <c r="Q427" s="57" t="inlineStr">
        <is>
          <t>ONSITE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2026-09-17T02:20:35Z</dcterms:created>
  <dcterms:modified xsi:type="dcterms:W3CDTF">2026-09-17T02:20:36Z</dcterms:modified>
</cp:coreProperties>
</file>